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gonnedoe-my.sharepoint.com/personal/tacrain_anl_gov/Documents/Documents/DellOneDrive/Modeling/SerialData/"/>
    </mc:Choice>
  </mc:AlternateContent>
  <xr:revisionPtr revIDLastSave="150" documentId="8_{88DADFC7-66B1-46F3-9BE3-3ED104CED653}" xr6:coauthVersionLast="47" xr6:coauthVersionMax="47" xr10:uidLastSave="{5D0B3D53-9E3C-4965-AF29-AD9678B872A0}"/>
  <bookViews>
    <workbookView xWindow="28680" yWindow="-120" windowWidth="29040" windowHeight="15840" xr2:uid="{00000000-000D-0000-FFFF-FFFF00000000}"/>
    <workbookView xWindow="-120" yWindow="-120" windowWidth="29040" windowHeight="15840" xr2:uid="{8126A8BF-2232-462F-A121-30315F04BF6D}"/>
  </bookViews>
  <sheets>
    <sheet name="FlexIL UDP Signals" sheetId="2" r:id="rId1"/>
    <sheet name="FlexIL CAN Signals" sheetId="4" r:id="rId2"/>
    <sheet name="Terminology" sheetId="3" r:id="rId3"/>
  </sheets>
  <definedNames>
    <definedName name="ExternalData_1" localSheetId="1" hidden="1">'FlexIL CAN Signals'!$Q$2:$AC$114</definedName>
    <definedName name="ExternalData_1" localSheetId="0" hidden="1">'FlexIL UDP Signals'!$Q$1:$AD$119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3" i="2" l="1"/>
  <c r="A103" i="2" s="1"/>
  <c r="L103" i="2"/>
  <c r="L102" i="2"/>
  <c r="E102" i="2"/>
  <c r="A102" i="2" s="1"/>
  <c r="E118" i="2"/>
  <c r="A118" i="2" s="1"/>
  <c r="L118" i="2"/>
  <c r="E116" i="2"/>
  <c r="A116" i="2" s="1"/>
  <c r="E117" i="2"/>
  <c r="A117" i="2" s="1"/>
  <c r="L117" i="2"/>
  <c r="E119" i="2"/>
  <c r="A119" i="2" s="1"/>
  <c r="L119" i="2"/>
  <c r="L114" i="4"/>
  <c r="E114" i="4"/>
  <c r="A114" i="4" s="1"/>
  <c r="L113" i="4"/>
  <c r="E113" i="4"/>
  <c r="S113" i="4" s="1"/>
  <c r="L112" i="4"/>
  <c r="E112" i="4"/>
  <c r="L111" i="4"/>
  <c r="E111" i="4"/>
  <c r="S111" i="4" s="1"/>
  <c r="L110" i="4"/>
  <c r="E110" i="4"/>
  <c r="A110" i="4" s="1"/>
  <c r="AA109" i="4"/>
  <c r="Z109" i="4"/>
  <c r="L109" i="4"/>
  <c r="E109" i="4"/>
  <c r="S109" i="4" s="1"/>
  <c r="AA108" i="4"/>
  <c r="Z108" i="4"/>
  <c r="L108" i="4"/>
  <c r="E108" i="4"/>
  <c r="S108" i="4" s="1"/>
  <c r="A108" i="4"/>
  <c r="AA107" i="4"/>
  <c r="Z107" i="4"/>
  <c r="L107" i="4"/>
  <c r="E107" i="4"/>
  <c r="S107" i="4" s="1"/>
  <c r="A107" i="4"/>
  <c r="AA106" i="4"/>
  <c r="Z106" i="4"/>
  <c r="L106" i="4"/>
  <c r="E106" i="4"/>
  <c r="S106" i="4" s="1"/>
  <c r="A106" i="4"/>
  <c r="AA105" i="4"/>
  <c r="Z105" i="4"/>
  <c r="L105" i="4"/>
  <c r="E105" i="4"/>
  <c r="S105" i="4" s="1"/>
  <c r="A105" i="4"/>
  <c r="AA104" i="4"/>
  <c r="Z104" i="4"/>
  <c r="L104" i="4"/>
  <c r="E104" i="4"/>
  <c r="A104" i="4" s="1"/>
  <c r="AA103" i="4"/>
  <c r="Z103" i="4"/>
  <c r="L103" i="4"/>
  <c r="E103" i="4"/>
  <c r="S103" i="4" s="1"/>
  <c r="A103" i="4"/>
  <c r="AA102" i="4"/>
  <c r="Z102" i="4"/>
  <c r="L102" i="4"/>
  <c r="E102" i="4"/>
  <c r="S102" i="4" s="1"/>
  <c r="A102" i="4"/>
  <c r="AA101" i="4"/>
  <c r="Z101" i="4"/>
  <c r="L101" i="4"/>
  <c r="E101" i="4"/>
  <c r="S101" i="4" s="1"/>
  <c r="AA100" i="4"/>
  <c r="Z100" i="4"/>
  <c r="L100" i="4"/>
  <c r="E100" i="4"/>
  <c r="S100" i="4" s="1"/>
  <c r="A100" i="4"/>
  <c r="AA99" i="4"/>
  <c r="Z99" i="4"/>
  <c r="L99" i="4"/>
  <c r="E99" i="4"/>
  <c r="S99" i="4" s="1"/>
  <c r="A99" i="4"/>
  <c r="AA98" i="4"/>
  <c r="Z98" i="4"/>
  <c r="L98" i="4"/>
  <c r="E98" i="4"/>
  <c r="S98" i="4" s="1"/>
  <c r="A98" i="4"/>
  <c r="AA97" i="4"/>
  <c r="Z97" i="4"/>
  <c r="L97" i="4"/>
  <c r="E97" i="4"/>
  <c r="S97" i="4" s="1"/>
  <c r="A97" i="4"/>
  <c r="AA96" i="4"/>
  <c r="Z96" i="4"/>
  <c r="L96" i="4"/>
  <c r="E96" i="4"/>
  <c r="S96" i="4" s="1"/>
  <c r="AA95" i="4"/>
  <c r="Z95" i="4"/>
  <c r="L95" i="4"/>
  <c r="E95" i="4"/>
  <c r="S95" i="4" s="1"/>
  <c r="A95" i="4"/>
  <c r="AA94" i="4"/>
  <c r="Z94" i="4"/>
  <c r="L94" i="4"/>
  <c r="E94" i="4"/>
  <c r="S94" i="4" s="1"/>
  <c r="A94" i="4"/>
  <c r="AA93" i="4"/>
  <c r="Z93" i="4"/>
  <c r="L93" i="4"/>
  <c r="E93" i="4"/>
  <c r="S93" i="4" s="1"/>
  <c r="AA92" i="4"/>
  <c r="Z92" i="4"/>
  <c r="S92" i="4"/>
  <c r="L92" i="4"/>
  <c r="A92" i="4"/>
  <c r="AA91" i="4"/>
  <c r="Z91" i="4"/>
  <c r="L91" i="4"/>
  <c r="E91" i="4"/>
  <c r="A91" i="4" s="1"/>
  <c r="AA90" i="4"/>
  <c r="Z90" i="4"/>
  <c r="L90" i="4"/>
  <c r="E90" i="4"/>
  <c r="A90" i="4" s="1"/>
  <c r="AA89" i="4"/>
  <c r="Z89" i="4"/>
  <c r="L89" i="4"/>
  <c r="E89" i="4"/>
  <c r="A89" i="4" s="1"/>
  <c r="AA88" i="4"/>
  <c r="Z88" i="4"/>
  <c r="L88" i="4"/>
  <c r="E88" i="4"/>
  <c r="S88" i="4" s="1"/>
  <c r="AA87" i="4"/>
  <c r="Z87" i="4"/>
  <c r="L87" i="4"/>
  <c r="E87" i="4"/>
  <c r="AA86" i="4"/>
  <c r="Z86" i="4"/>
  <c r="L86" i="4"/>
  <c r="E86" i="4"/>
  <c r="AA85" i="4"/>
  <c r="Z85" i="4"/>
  <c r="L85" i="4"/>
  <c r="E85" i="4"/>
  <c r="A85" i="4" s="1"/>
  <c r="AA84" i="4"/>
  <c r="Z84" i="4"/>
  <c r="L84" i="4"/>
  <c r="E84" i="4"/>
  <c r="S84" i="4" s="1"/>
  <c r="AA83" i="4"/>
  <c r="Z83" i="4"/>
  <c r="L83" i="4"/>
  <c r="E83" i="4"/>
  <c r="A83" i="4" s="1"/>
  <c r="AA82" i="4"/>
  <c r="Z82" i="4"/>
  <c r="L82" i="4"/>
  <c r="E82" i="4"/>
  <c r="A82" i="4" s="1"/>
  <c r="AA81" i="4"/>
  <c r="Z81" i="4"/>
  <c r="L81" i="4"/>
  <c r="E81" i="4"/>
  <c r="A81" i="4" s="1"/>
  <c r="AA80" i="4"/>
  <c r="Z80" i="4"/>
  <c r="L80" i="4"/>
  <c r="E80" i="4"/>
  <c r="S80" i="4" s="1"/>
  <c r="AA79" i="4"/>
  <c r="Z79" i="4"/>
  <c r="L79" i="4"/>
  <c r="E79" i="4"/>
  <c r="AA78" i="4"/>
  <c r="Z78" i="4"/>
  <c r="L78" i="4"/>
  <c r="E78" i="4"/>
  <c r="A78" i="4" s="1"/>
  <c r="AA77" i="4"/>
  <c r="Z77" i="4"/>
  <c r="L77" i="4"/>
  <c r="E77" i="4"/>
  <c r="A77" i="4" s="1"/>
  <c r="AA76" i="4"/>
  <c r="Z76" i="4"/>
  <c r="L76" i="4"/>
  <c r="E76" i="4"/>
  <c r="S76" i="4" s="1"/>
  <c r="AA75" i="4"/>
  <c r="Z75" i="4"/>
  <c r="L75" i="4"/>
  <c r="E75" i="4"/>
  <c r="A75" i="4" s="1"/>
  <c r="AA74" i="4"/>
  <c r="Z74" i="4"/>
  <c r="L74" i="4"/>
  <c r="E74" i="4"/>
  <c r="AA73" i="4"/>
  <c r="Z73" i="4"/>
  <c r="L73" i="4"/>
  <c r="E73" i="4"/>
  <c r="A73" i="4" s="1"/>
  <c r="AA72" i="4"/>
  <c r="Z72" i="4"/>
  <c r="L72" i="4"/>
  <c r="E72" i="4"/>
  <c r="S72" i="4" s="1"/>
  <c r="AA71" i="4"/>
  <c r="Z71" i="4"/>
  <c r="L71" i="4"/>
  <c r="E71" i="4"/>
  <c r="S71" i="4" s="1"/>
  <c r="AA70" i="4"/>
  <c r="Z70" i="4"/>
  <c r="L70" i="4"/>
  <c r="E70" i="4"/>
  <c r="AA69" i="4"/>
  <c r="Z69" i="4"/>
  <c r="L69" i="4"/>
  <c r="E69" i="4"/>
  <c r="A69" i="4" s="1"/>
  <c r="AA68" i="4"/>
  <c r="Z68" i="4"/>
  <c r="L68" i="4"/>
  <c r="E68" i="4"/>
  <c r="S68" i="4" s="1"/>
  <c r="AA67" i="4"/>
  <c r="Z67" i="4"/>
  <c r="L67" i="4"/>
  <c r="E67" i="4"/>
  <c r="S67" i="4" s="1"/>
  <c r="A67" i="4"/>
  <c r="AA66" i="4"/>
  <c r="Z66" i="4"/>
  <c r="L66" i="4"/>
  <c r="E66" i="4"/>
  <c r="AA65" i="4"/>
  <c r="Z65" i="4"/>
  <c r="L65" i="4"/>
  <c r="E65" i="4"/>
  <c r="A65" i="4" s="1"/>
  <c r="AA64" i="4"/>
  <c r="Z64" i="4"/>
  <c r="L64" i="4"/>
  <c r="E64" i="4"/>
  <c r="S64" i="4" s="1"/>
  <c r="A64" i="4"/>
  <c r="AA63" i="4"/>
  <c r="Z63" i="4"/>
  <c r="L63" i="4"/>
  <c r="E63" i="4"/>
  <c r="S63" i="4" s="1"/>
  <c r="A63" i="4"/>
  <c r="AA62" i="4"/>
  <c r="Z62" i="4"/>
  <c r="L62" i="4"/>
  <c r="E62" i="4"/>
  <c r="A62" i="4" s="1"/>
  <c r="AA61" i="4"/>
  <c r="Z61" i="4"/>
  <c r="L61" i="4"/>
  <c r="E61" i="4"/>
  <c r="A61" i="4" s="1"/>
  <c r="AA60" i="4"/>
  <c r="Z60" i="4"/>
  <c r="L60" i="4"/>
  <c r="E60" i="4"/>
  <c r="S60" i="4" s="1"/>
  <c r="AA59" i="4"/>
  <c r="Z59" i="4"/>
  <c r="L59" i="4"/>
  <c r="E59" i="4"/>
  <c r="S59" i="4" s="1"/>
  <c r="A59" i="4"/>
  <c r="AA58" i="4"/>
  <c r="Z58" i="4"/>
  <c r="L58" i="4"/>
  <c r="E58" i="4"/>
  <c r="S58" i="4" s="1"/>
  <c r="A58" i="4"/>
  <c r="AA57" i="4"/>
  <c r="Z57" i="4"/>
  <c r="L57" i="4"/>
  <c r="E57" i="4"/>
  <c r="A57" i="4" s="1"/>
  <c r="AA56" i="4"/>
  <c r="Z56" i="4"/>
  <c r="L56" i="4"/>
  <c r="E56" i="4"/>
  <c r="S56" i="4" s="1"/>
  <c r="AA55" i="4"/>
  <c r="Z55" i="4"/>
  <c r="L55" i="4"/>
  <c r="E55" i="4"/>
  <c r="S55" i="4" s="1"/>
  <c r="AA54" i="4"/>
  <c r="Z54" i="4"/>
  <c r="L54" i="4"/>
  <c r="E54" i="4"/>
  <c r="S54" i="4" s="1"/>
  <c r="A54" i="4"/>
  <c r="AA53" i="4"/>
  <c r="Z53" i="4"/>
  <c r="L53" i="4"/>
  <c r="E53" i="4"/>
  <c r="A53" i="4" s="1"/>
  <c r="AA52" i="4"/>
  <c r="Z52" i="4"/>
  <c r="L52" i="4"/>
  <c r="E52" i="4"/>
  <c r="S52" i="4" s="1"/>
  <c r="A52" i="4"/>
  <c r="AA51" i="4"/>
  <c r="Z51" i="4"/>
  <c r="L51" i="4"/>
  <c r="E51" i="4"/>
  <c r="A51" i="4" s="1"/>
  <c r="AA50" i="4"/>
  <c r="Z50" i="4"/>
  <c r="L50" i="4"/>
  <c r="E50" i="4"/>
  <c r="S50" i="4" s="1"/>
  <c r="A50" i="4"/>
  <c r="AA49" i="4"/>
  <c r="Z49" i="4"/>
  <c r="L49" i="4"/>
  <c r="E49" i="4"/>
  <c r="A49" i="4" s="1"/>
  <c r="AA48" i="4"/>
  <c r="Z48" i="4"/>
  <c r="L48" i="4"/>
  <c r="E48" i="4"/>
  <c r="S48" i="4" s="1"/>
  <c r="A48" i="4"/>
  <c r="AA47" i="4"/>
  <c r="Z47" i="4"/>
  <c r="L47" i="4"/>
  <c r="E47" i="4"/>
  <c r="S47" i="4" s="1"/>
  <c r="AA46" i="4"/>
  <c r="Z46" i="4"/>
  <c r="L46" i="4"/>
  <c r="E46" i="4"/>
  <c r="S46" i="4" s="1"/>
  <c r="AA45" i="4"/>
  <c r="Z45" i="4"/>
  <c r="L45" i="4"/>
  <c r="E45" i="4"/>
  <c r="A45" i="4" s="1"/>
  <c r="AA44" i="4"/>
  <c r="Z44" i="4"/>
  <c r="L44" i="4"/>
  <c r="E44" i="4"/>
  <c r="S44" i="4" s="1"/>
  <c r="A44" i="4"/>
  <c r="AA43" i="4"/>
  <c r="Z43" i="4"/>
  <c r="L43" i="4"/>
  <c r="E43" i="4"/>
  <c r="S43" i="4" s="1"/>
  <c r="A43" i="4"/>
  <c r="AA42" i="4"/>
  <c r="Z42" i="4"/>
  <c r="L42" i="4"/>
  <c r="E42" i="4"/>
  <c r="A42" i="4" s="1"/>
  <c r="AA41" i="4"/>
  <c r="Z41" i="4"/>
  <c r="L41" i="4"/>
  <c r="E41" i="4"/>
  <c r="A41" i="4" s="1"/>
  <c r="AA40" i="4"/>
  <c r="Z40" i="4"/>
  <c r="L40" i="4"/>
  <c r="E40" i="4"/>
  <c r="S40" i="4" s="1"/>
  <c r="A40" i="4"/>
  <c r="AA39" i="4"/>
  <c r="Z39" i="4"/>
  <c r="L39" i="4"/>
  <c r="E39" i="4"/>
  <c r="S39" i="4" s="1"/>
  <c r="A39" i="4"/>
  <c r="AA38" i="4"/>
  <c r="Z38" i="4"/>
  <c r="L38" i="4"/>
  <c r="E38" i="4"/>
  <c r="AA37" i="4"/>
  <c r="Z37" i="4"/>
  <c r="L37" i="4"/>
  <c r="E37" i="4"/>
  <c r="A37" i="4" s="1"/>
  <c r="AA36" i="4"/>
  <c r="Z36" i="4"/>
  <c r="L36" i="4"/>
  <c r="E36" i="4"/>
  <c r="S36" i="4" s="1"/>
  <c r="A36" i="4"/>
  <c r="AA35" i="4"/>
  <c r="Z35" i="4"/>
  <c r="L35" i="4"/>
  <c r="E35" i="4"/>
  <c r="S35" i="4" s="1"/>
  <c r="A35" i="4"/>
  <c r="AA34" i="4"/>
  <c r="Z34" i="4"/>
  <c r="L34" i="4"/>
  <c r="E34" i="4"/>
  <c r="S34" i="4" s="1"/>
  <c r="A34" i="4"/>
  <c r="AA33" i="4"/>
  <c r="Z33" i="4"/>
  <c r="L33" i="4"/>
  <c r="E33" i="4"/>
  <c r="A33" i="4" s="1"/>
  <c r="AA32" i="4"/>
  <c r="Z32" i="4"/>
  <c r="L32" i="4"/>
  <c r="E32" i="4"/>
  <c r="S32" i="4" s="1"/>
  <c r="AA31" i="4"/>
  <c r="Z31" i="4"/>
  <c r="L31" i="4"/>
  <c r="E31" i="4"/>
  <c r="S31" i="4" s="1"/>
  <c r="A31" i="4"/>
  <c r="AA30" i="4"/>
  <c r="Z30" i="4"/>
  <c r="L30" i="4"/>
  <c r="E30" i="4"/>
  <c r="S30" i="4" s="1"/>
  <c r="A30" i="4"/>
  <c r="AA29" i="4"/>
  <c r="Z29" i="4"/>
  <c r="L29" i="4"/>
  <c r="E29" i="4"/>
  <c r="A29" i="4" s="1"/>
  <c r="AA28" i="4"/>
  <c r="Z28" i="4"/>
  <c r="L28" i="4"/>
  <c r="E28" i="4"/>
  <c r="S28" i="4" s="1"/>
  <c r="AA27" i="4"/>
  <c r="Z27" i="4"/>
  <c r="L27" i="4"/>
  <c r="E27" i="4"/>
  <c r="S27" i="4" s="1"/>
  <c r="A27" i="4"/>
  <c r="AA26" i="4"/>
  <c r="Z26" i="4"/>
  <c r="L26" i="4"/>
  <c r="E26" i="4"/>
  <c r="S26" i="4" s="1"/>
  <c r="A26" i="4"/>
  <c r="AA25" i="4"/>
  <c r="Z25" i="4"/>
  <c r="L25" i="4"/>
  <c r="E25" i="4"/>
  <c r="A25" i="4" s="1"/>
  <c r="AA24" i="4"/>
  <c r="Z24" i="4"/>
  <c r="L24" i="4"/>
  <c r="E24" i="4"/>
  <c r="S24" i="4" s="1"/>
  <c r="AA23" i="4"/>
  <c r="Z23" i="4"/>
  <c r="L23" i="4"/>
  <c r="E23" i="4"/>
  <c r="S23" i="4" s="1"/>
  <c r="AA22" i="4"/>
  <c r="Z22" i="4"/>
  <c r="L22" i="4"/>
  <c r="E22" i="4"/>
  <c r="S22" i="4" s="1"/>
  <c r="A22" i="4"/>
  <c r="AA21" i="4"/>
  <c r="Z21" i="4"/>
  <c r="L21" i="4"/>
  <c r="E21" i="4"/>
  <c r="A21" i="4" s="1"/>
  <c r="AA20" i="4"/>
  <c r="Z20" i="4"/>
  <c r="L20" i="4"/>
  <c r="E20" i="4"/>
  <c r="S20" i="4" s="1"/>
  <c r="A20" i="4"/>
  <c r="AA19" i="4"/>
  <c r="Z19" i="4"/>
  <c r="L19" i="4"/>
  <c r="E19" i="4"/>
  <c r="A19" i="4" s="1"/>
  <c r="AA18" i="4"/>
  <c r="Z18" i="4"/>
  <c r="L18" i="4"/>
  <c r="E18" i="4"/>
  <c r="S18" i="4" s="1"/>
  <c r="A18" i="4"/>
  <c r="AA17" i="4"/>
  <c r="Z17" i="4"/>
  <c r="L17" i="4"/>
  <c r="E17" i="4"/>
  <c r="S17" i="4" s="1"/>
  <c r="AA16" i="4"/>
  <c r="Z16" i="4"/>
  <c r="L16" i="4"/>
  <c r="E16" i="4"/>
  <c r="S16" i="4" s="1"/>
  <c r="AA15" i="4"/>
  <c r="Z15" i="4"/>
  <c r="L15" i="4"/>
  <c r="E15" i="4"/>
  <c r="S15" i="4" s="1"/>
  <c r="A15" i="4"/>
  <c r="AA14" i="4"/>
  <c r="Z14" i="4"/>
  <c r="L14" i="4"/>
  <c r="E14" i="4"/>
  <c r="S14" i="4" s="1"/>
  <c r="A14" i="4"/>
  <c r="AA13" i="4"/>
  <c r="Z13" i="4"/>
  <c r="L13" i="4"/>
  <c r="E13" i="4"/>
  <c r="S13" i="4" s="1"/>
  <c r="A13" i="4"/>
  <c r="AA12" i="4"/>
  <c r="Z12" i="4"/>
  <c r="L12" i="4"/>
  <c r="E12" i="4"/>
  <c r="S12" i="4" s="1"/>
  <c r="A12" i="4"/>
  <c r="AA11" i="4"/>
  <c r="Z11" i="4"/>
  <c r="L11" i="4"/>
  <c r="E11" i="4"/>
  <c r="S11" i="4" s="1"/>
  <c r="A11" i="4"/>
  <c r="AA10" i="4"/>
  <c r="Z10" i="4"/>
  <c r="L10" i="4"/>
  <c r="E10" i="4"/>
  <c r="S10" i="4" s="1"/>
  <c r="A10" i="4"/>
  <c r="AA9" i="4"/>
  <c r="Z9" i="4"/>
  <c r="L9" i="4"/>
  <c r="E9" i="4"/>
  <c r="S9" i="4" s="1"/>
  <c r="A9" i="4"/>
  <c r="AA8" i="4"/>
  <c r="Z8" i="4"/>
  <c r="L8" i="4"/>
  <c r="E8" i="4"/>
  <c r="S8" i="4" s="1"/>
  <c r="A8" i="4"/>
  <c r="AA7" i="4"/>
  <c r="Z7" i="4"/>
  <c r="L7" i="4"/>
  <c r="E7" i="4"/>
  <c r="S7" i="4" s="1"/>
  <c r="A7" i="4"/>
  <c r="AA6" i="4"/>
  <c r="Z6" i="4"/>
  <c r="L6" i="4"/>
  <c r="E6" i="4"/>
  <c r="A6" i="4" s="1"/>
  <c r="AA5" i="4"/>
  <c r="Z5" i="4"/>
  <c r="L5" i="4"/>
  <c r="E5" i="4"/>
  <c r="S5" i="4" s="1"/>
  <c r="AA4" i="4"/>
  <c r="Z4" i="4"/>
  <c r="L4" i="4"/>
  <c r="E4" i="4"/>
  <c r="S4" i="4" s="1"/>
  <c r="A4" i="4"/>
  <c r="AA3" i="4"/>
  <c r="Z3" i="4"/>
  <c r="L3" i="4"/>
  <c r="E3" i="4"/>
  <c r="A3" i="4" s="1"/>
  <c r="E40" i="2"/>
  <c r="S40" i="2" s="1"/>
  <c r="L6" i="2"/>
  <c r="L10" i="2"/>
  <c r="L2" i="2"/>
  <c r="E6" i="2"/>
  <c r="AB6" i="2"/>
  <c r="AA6" i="2"/>
  <c r="L3" i="2"/>
  <c r="L93" i="2"/>
  <c r="L101" i="2"/>
  <c r="L19" i="2"/>
  <c r="L42" i="2"/>
  <c r="L41" i="2"/>
  <c r="L56" i="2"/>
  <c r="L108" i="2"/>
  <c r="L109" i="2"/>
  <c r="L48" i="2"/>
  <c r="L59" i="2"/>
  <c r="L61" i="2"/>
  <c r="L62" i="2"/>
  <c r="L31" i="2"/>
  <c r="L60" i="2"/>
  <c r="L50" i="2"/>
  <c r="L32" i="2"/>
  <c r="L57" i="2"/>
  <c r="L63" i="2"/>
  <c r="L64" i="2"/>
  <c r="L52" i="2"/>
  <c r="L51" i="2"/>
  <c r="L21" i="2"/>
  <c r="L25" i="2"/>
  <c r="L26" i="2"/>
  <c r="L72" i="2"/>
  <c r="L76" i="2"/>
  <c r="L94" i="2"/>
  <c r="L77" i="2"/>
  <c r="L44" i="2"/>
  <c r="L45" i="2"/>
  <c r="L47" i="2"/>
  <c r="L98" i="2"/>
  <c r="L46" i="2"/>
  <c r="L54" i="2"/>
  <c r="L33" i="2"/>
  <c r="L55" i="2"/>
  <c r="L43" i="2"/>
  <c r="L99" i="2"/>
  <c r="L100" i="2"/>
  <c r="L30" i="2"/>
  <c r="L11" i="2"/>
  <c r="L53" i="2"/>
  <c r="L12" i="2"/>
  <c r="L39" i="2"/>
  <c r="L37" i="2"/>
  <c r="L40" i="2"/>
  <c r="L38" i="2"/>
  <c r="L18" i="2"/>
  <c r="L29" i="2"/>
  <c r="L65" i="2"/>
  <c r="L66" i="2"/>
  <c r="L20" i="2"/>
  <c r="L23" i="2"/>
  <c r="L24" i="2"/>
  <c r="L67" i="2"/>
  <c r="L35" i="2"/>
  <c r="L104" i="2"/>
  <c r="L58" i="2"/>
  <c r="L70" i="2"/>
  <c r="L81" i="2"/>
  <c r="L82" i="2"/>
  <c r="L83" i="2"/>
  <c r="L71" i="2"/>
  <c r="L84" i="2"/>
  <c r="L5" i="2"/>
  <c r="L7" i="2"/>
  <c r="L8" i="2"/>
  <c r="L89" i="2"/>
  <c r="L90" i="2"/>
  <c r="L91" i="2"/>
  <c r="L92" i="2"/>
  <c r="L9" i="2"/>
  <c r="L115" i="2"/>
  <c r="L106" i="2"/>
  <c r="L105" i="2"/>
  <c r="L107" i="2"/>
  <c r="L16" i="2"/>
  <c r="L36" i="2"/>
  <c r="L4" i="2"/>
  <c r="L73" i="2"/>
  <c r="L97" i="2"/>
  <c r="L86" i="2"/>
  <c r="L87" i="2"/>
  <c r="L88" i="2"/>
  <c r="L74" i="2"/>
  <c r="L34" i="2"/>
  <c r="L17" i="2"/>
  <c r="L15" i="2"/>
  <c r="L13" i="2"/>
  <c r="L14" i="2"/>
  <c r="L68" i="2"/>
  <c r="L78" i="2"/>
  <c r="L79" i="2"/>
  <c r="L80" i="2"/>
  <c r="L69" i="2"/>
  <c r="L49" i="2"/>
  <c r="L22" i="2"/>
  <c r="L27" i="2"/>
  <c r="L28" i="2"/>
  <c r="L75" i="2"/>
  <c r="L95" i="2"/>
  <c r="L85" i="2"/>
  <c r="L96" i="2"/>
  <c r="L110" i="2"/>
  <c r="L111" i="2"/>
  <c r="L112" i="2"/>
  <c r="L113" i="2"/>
  <c r="L114" i="2"/>
  <c r="E42" i="2"/>
  <c r="S42" i="2" s="1"/>
  <c r="E41" i="2"/>
  <c r="S41" i="2" s="1"/>
  <c r="E56" i="2"/>
  <c r="S56" i="2" s="1"/>
  <c r="E108" i="2"/>
  <c r="S108" i="2" s="1"/>
  <c r="E109" i="2"/>
  <c r="S109" i="2" s="1"/>
  <c r="E48" i="2"/>
  <c r="S48" i="2" s="1"/>
  <c r="E59" i="2"/>
  <c r="S59" i="2" s="1"/>
  <c r="E61" i="2"/>
  <c r="S61" i="2" s="1"/>
  <c r="E62" i="2"/>
  <c r="S62" i="2" s="1"/>
  <c r="E31" i="2"/>
  <c r="S31" i="2" s="1"/>
  <c r="E60" i="2"/>
  <c r="S60" i="2" s="1"/>
  <c r="E50" i="2"/>
  <c r="S50" i="2" s="1"/>
  <c r="E32" i="2"/>
  <c r="S32" i="2" s="1"/>
  <c r="E57" i="2"/>
  <c r="S57" i="2" s="1"/>
  <c r="E63" i="2"/>
  <c r="S63" i="2" s="1"/>
  <c r="E64" i="2"/>
  <c r="S64" i="2" s="1"/>
  <c r="E52" i="2"/>
  <c r="S52" i="2" s="1"/>
  <c r="E51" i="2"/>
  <c r="S51" i="2" s="1"/>
  <c r="E21" i="2"/>
  <c r="S21" i="2" s="1"/>
  <c r="E25" i="2"/>
  <c r="S25" i="2" s="1"/>
  <c r="E26" i="2"/>
  <c r="S26" i="2" s="1"/>
  <c r="E72" i="2"/>
  <c r="S72" i="2" s="1"/>
  <c r="E76" i="2"/>
  <c r="S76" i="2" s="1"/>
  <c r="E94" i="2"/>
  <c r="S94" i="2" s="1"/>
  <c r="E77" i="2"/>
  <c r="S77" i="2" s="1"/>
  <c r="E44" i="2"/>
  <c r="S44" i="2" s="1"/>
  <c r="E45" i="2"/>
  <c r="S45" i="2" s="1"/>
  <c r="E47" i="2"/>
  <c r="S47" i="2" s="1"/>
  <c r="E98" i="2"/>
  <c r="S98" i="2" s="1"/>
  <c r="E46" i="2"/>
  <c r="S46" i="2" s="1"/>
  <c r="E54" i="2"/>
  <c r="S54" i="2" s="1"/>
  <c r="E33" i="2"/>
  <c r="S33" i="2" s="1"/>
  <c r="E55" i="2"/>
  <c r="S55" i="2" s="1"/>
  <c r="S43" i="2"/>
  <c r="E99" i="2"/>
  <c r="S99" i="2" s="1"/>
  <c r="E100" i="2"/>
  <c r="S100" i="2" s="1"/>
  <c r="E30" i="2"/>
  <c r="S30" i="2" s="1"/>
  <c r="E11" i="2"/>
  <c r="S11" i="2" s="1"/>
  <c r="E10" i="2"/>
  <c r="S10" i="2" s="1"/>
  <c r="E53" i="2"/>
  <c r="S53" i="2" s="1"/>
  <c r="E2" i="2"/>
  <c r="S2" i="2" s="1"/>
  <c r="E12" i="2"/>
  <c r="S12" i="2" s="1"/>
  <c r="E39" i="2"/>
  <c r="S39" i="2" s="1"/>
  <c r="E37" i="2"/>
  <c r="S37" i="2" s="1"/>
  <c r="E38" i="2"/>
  <c r="S38" i="2" s="1"/>
  <c r="E18" i="2"/>
  <c r="S18" i="2" s="1"/>
  <c r="E29" i="2"/>
  <c r="S29" i="2" s="1"/>
  <c r="E65" i="2"/>
  <c r="S65" i="2" s="1"/>
  <c r="E66" i="2"/>
  <c r="S66" i="2" s="1"/>
  <c r="E20" i="2"/>
  <c r="S20" i="2" s="1"/>
  <c r="E23" i="2"/>
  <c r="S23" i="2" s="1"/>
  <c r="E24" i="2"/>
  <c r="S24" i="2" s="1"/>
  <c r="E93" i="2"/>
  <c r="S93" i="2" s="1"/>
  <c r="E67" i="2"/>
  <c r="S67" i="2" s="1"/>
  <c r="E35" i="2"/>
  <c r="S35" i="2" s="1"/>
  <c r="E104" i="2"/>
  <c r="S104" i="2" s="1"/>
  <c r="E58" i="2"/>
  <c r="S58" i="2" s="1"/>
  <c r="E70" i="2"/>
  <c r="S70" i="2" s="1"/>
  <c r="E81" i="2"/>
  <c r="S81" i="2" s="1"/>
  <c r="E82" i="2"/>
  <c r="S82" i="2" s="1"/>
  <c r="E83" i="2"/>
  <c r="S83" i="2" s="1"/>
  <c r="E71" i="2"/>
  <c r="S71" i="2" s="1"/>
  <c r="E84" i="2"/>
  <c r="S84" i="2" s="1"/>
  <c r="E5" i="2"/>
  <c r="S5" i="2" s="1"/>
  <c r="E7" i="2"/>
  <c r="S7" i="2" s="1"/>
  <c r="E8" i="2"/>
  <c r="S8" i="2" s="1"/>
  <c r="E89" i="2"/>
  <c r="S89" i="2" s="1"/>
  <c r="E90" i="2"/>
  <c r="S90" i="2" s="1"/>
  <c r="E91" i="2"/>
  <c r="S91" i="2" s="1"/>
  <c r="E92" i="2"/>
  <c r="S92" i="2" s="1"/>
  <c r="E9" i="2"/>
  <c r="S9" i="2" s="1"/>
  <c r="E101" i="2"/>
  <c r="S101" i="2" s="1"/>
  <c r="E115" i="2"/>
  <c r="S115" i="2" s="1"/>
  <c r="E106" i="2"/>
  <c r="S106" i="2" s="1"/>
  <c r="E105" i="2"/>
  <c r="S105" i="2" s="1"/>
  <c r="E107" i="2"/>
  <c r="S107" i="2" s="1"/>
  <c r="E16" i="2"/>
  <c r="S16" i="2" s="1"/>
  <c r="E36" i="2"/>
  <c r="S36" i="2" s="1"/>
  <c r="E3" i="2"/>
  <c r="S3" i="2" s="1"/>
  <c r="E4" i="2"/>
  <c r="S4" i="2" s="1"/>
  <c r="E73" i="2"/>
  <c r="S73" i="2" s="1"/>
  <c r="E97" i="2"/>
  <c r="S97" i="2" s="1"/>
  <c r="E86" i="2"/>
  <c r="S86" i="2" s="1"/>
  <c r="E87" i="2"/>
  <c r="S87" i="2" s="1"/>
  <c r="E88" i="2"/>
  <c r="S88" i="2" s="1"/>
  <c r="E74" i="2"/>
  <c r="S74" i="2" s="1"/>
  <c r="E34" i="2"/>
  <c r="S34" i="2" s="1"/>
  <c r="E17" i="2"/>
  <c r="S17" i="2" s="1"/>
  <c r="E15" i="2"/>
  <c r="S15" i="2" s="1"/>
  <c r="E13" i="2"/>
  <c r="S13" i="2" s="1"/>
  <c r="E14" i="2"/>
  <c r="S14" i="2" s="1"/>
  <c r="E68" i="2"/>
  <c r="S68" i="2" s="1"/>
  <c r="E78" i="2"/>
  <c r="S78" i="2" s="1"/>
  <c r="E79" i="2"/>
  <c r="S79" i="2" s="1"/>
  <c r="E80" i="2"/>
  <c r="S80" i="2" s="1"/>
  <c r="E69" i="2"/>
  <c r="S69" i="2" s="1"/>
  <c r="E19" i="2"/>
  <c r="S19" i="2" s="1"/>
  <c r="E49" i="2"/>
  <c r="S49" i="2" s="1"/>
  <c r="E22" i="2"/>
  <c r="S22" i="2" s="1"/>
  <c r="E27" i="2"/>
  <c r="S27" i="2" s="1"/>
  <c r="E28" i="2"/>
  <c r="S28" i="2" s="1"/>
  <c r="E75" i="2"/>
  <c r="S75" i="2" s="1"/>
  <c r="E95" i="2"/>
  <c r="S95" i="2" s="1"/>
  <c r="E85" i="2"/>
  <c r="S85" i="2" s="1"/>
  <c r="E96" i="2"/>
  <c r="S96" i="2" s="1"/>
  <c r="E110" i="2"/>
  <c r="S110" i="2" s="1"/>
  <c r="E111" i="2"/>
  <c r="S111" i="2" s="1"/>
  <c r="E112" i="2"/>
  <c r="S112" i="2" s="1"/>
  <c r="E113" i="2"/>
  <c r="S113" i="2" s="1"/>
  <c r="E114" i="2"/>
  <c r="S114" i="2" s="1"/>
  <c r="AB30" i="2"/>
  <c r="AA56" i="2"/>
  <c r="AB56" i="2"/>
  <c r="AA108" i="2"/>
  <c r="AB108" i="2"/>
  <c r="AA109" i="2"/>
  <c r="AB109" i="2"/>
  <c r="AA48" i="2"/>
  <c r="AB48" i="2"/>
  <c r="AA59" i="2"/>
  <c r="AB59" i="2"/>
  <c r="AA61" i="2"/>
  <c r="AB61" i="2"/>
  <c r="AA62" i="2"/>
  <c r="AB62" i="2"/>
  <c r="AA31" i="2"/>
  <c r="AB31" i="2"/>
  <c r="AA60" i="2"/>
  <c r="AB60" i="2"/>
  <c r="AA50" i="2"/>
  <c r="AB50" i="2"/>
  <c r="AA32" i="2"/>
  <c r="AB32" i="2"/>
  <c r="AA57" i="2"/>
  <c r="AB57" i="2"/>
  <c r="AA63" i="2"/>
  <c r="AB63" i="2"/>
  <c r="AA64" i="2"/>
  <c r="AB64" i="2"/>
  <c r="AA52" i="2"/>
  <c r="AB52" i="2"/>
  <c r="AA51" i="2"/>
  <c r="AB51" i="2"/>
  <c r="AA21" i="2"/>
  <c r="AB21" i="2"/>
  <c r="AA25" i="2"/>
  <c r="AB25" i="2"/>
  <c r="AA26" i="2"/>
  <c r="AB26" i="2"/>
  <c r="AA72" i="2"/>
  <c r="AB72" i="2"/>
  <c r="AA76" i="2"/>
  <c r="AB76" i="2"/>
  <c r="AA94" i="2"/>
  <c r="AB94" i="2"/>
  <c r="AA77" i="2"/>
  <c r="AB77" i="2"/>
  <c r="AA44" i="2"/>
  <c r="AB44" i="2"/>
  <c r="AA45" i="2"/>
  <c r="AB45" i="2"/>
  <c r="AA47" i="2"/>
  <c r="AB47" i="2"/>
  <c r="AA98" i="2"/>
  <c r="AB98" i="2"/>
  <c r="AA46" i="2"/>
  <c r="AB46" i="2"/>
  <c r="AA54" i="2"/>
  <c r="AB54" i="2"/>
  <c r="AA33" i="2"/>
  <c r="AB33" i="2"/>
  <c r="AA55" i="2"/>
  <c r="AB55" i="2"/>
  <c r="AA43" i="2"/>
  <c r="AB43" i="2"/>
  <c r="AA99" i="2"/>
  <c r="AB99" i="2"/>
  <c r="AA100" i="2"/>
  <c r="AB100" i="2"/>
  <c r="AA30" i="2"/>
  <c r="AA11" i="2"/>
  <c r="AB11" i="2"/>
  <c r="AA10" i="2"/>
  <c r="AB10" i="2"/>
  <c r="AA53" i="2"/>
  <c r="AB53" i="2"/>
  <c r="AA2" i="2"/>
  <c r="AB2" i="2"/>
  <c r="AA12" i="2"/>
  <c r="AB12" i="2"/>
  <c r="AA39" i="2"/>
  <c r="AB39" i="2"/>
  <c r="AA37" i="2"/>
  <c r="AB37" i="2"/>
  <c r="AA40" i="2"/>
  <c r="AB40" i="2"/>
  <c r="AA38" i="2"/>
  <c r="AB38" i="2"/>
  <c r="AA18" i="2"/>
  <c r="AB18" i="2"/>
  <c r="AA29" i="2"/>
  <c r="AB29" i="2"/>
  <c r="AA65" i="2"/>
  <c r="AB65" i="2"/>
  <c r="AA66" i="2"/>
  <c r="AB66" i="2"/>
  <c r="AA20" i="2"/>
  <c r="AB20" i="2"/>
  <c r="AA23" i="2"/>
  <c r="AB23" i="2"/>
  <c r="AA24" i="2"/>
  <c r="AB24" i="2"/>
  <c r="AA93" i="2"/>
  <c r="AB93" i="2"/>
  <c r="AA67" i="2"/>
  <c r="AB67" i="2"/>
  <c r="AA35" i="2"/>
  <c r="AB35" i="2"/>
  <c r="AA104" i="2"/>
  <c r="AB104" i="2"/>
  <c r="AA58" i="2"/>
  <c r="AB58" i="2"/>
  <c r="AA70" i="2"/>
  <c r="AB70" i="2"/>
  <c r="AA81" i="2"/>
  <c r="AB81" i="2"/>
  <c r="AA82" i="2"/>
  <c r="AB82" i="2"/>
  <c r="AA83" i="2"/>
  <c r="AB83" i="2"/>
  <c r="AA71" i="2"/>
  <c r="AB71" i="2"/>
  <c r="AA84" i="2"/>
  <c r="AB84" i="2"/>
  <c r="AA5" i="2"/>
  <c r="AB5" i="2"/>
  <c r="AA7" i="2"/>
  <c r="AB7" i="2"/>
  <c r="AA8" i="2"/>
  <c r="AB8" i="2"/>
  <c r="AA89" i="2"/>
  <c r="AB89" i="2"/>
  <c r="AA90" i="2"/>
  <c r="AB90" i="2"/>
  <c r="AA91" i="2"/>
  <c r="AB91" i="2"/>
  <c r="AA92" i="2"/>
  <c r="AB92" i="2"/>
  <c r="AA9" i="2"/>
  <c r="AB9" i="2"/>
  <c r="AA101" i="2"/>
  <c r="AB101" i="2"/>
  <c r="AA115" i="2"/>
  <c r="AB115" i="2"/>
  <c r="AA106" i="2"/>
  <c r="AB106" i="2"/>
  <c r="AA105" i="2"/>
  <c r="AB105" i="2"/>
  <c r="AA107" i="2"/>
  <c r="AB107" i="2"/>
  <c r="AA16" i="2"/>
  <c r="AB16" i="2"/>
  <c r="AA36" i="2"/>
  <c r="AB36" i="2"/>
  <c r="AA3" i="2"/>
  <c r="AB3" i="2"/>
  <c r="AA4" i="2"/>
  <c r="AB4" i="2"/>
  <c r="AA73" i="2"/>
  <c r="AB73" i="2"/>
  <c r="AA97" i="2"/>
  <c r="AB97" i="2"/>
  <c r="AA86" i="2"/>
  <c r="AB86" i="2"/>
  <c r="AA87" i="2"/>
  <c r="AB87" i="2"/>
  <c r="AA88" i="2"/>
  <c r="AB88" i="2"/>
  <c r="AA74" i="2"/>
  <c r="AB74" i="2"/>
  <c r="AA34" i="2"/>
  <c r="AB34" i="2"/>
  <c r="AA17" i="2"/>
  <c r="AB17" i="2"/>
  <c r="AA15" i="2"/>
  <c r="AB15" i="2"/>
  <c r="AA13" i="2"/>
  <c r="AB13" i="2"/>
  <c r="AA14" i="2"/>
  <c r="AB14" i="2"/>
  <c r="AA68" i="2"/>
  <c r="AB68" i="2"/>
  <c r="AA78" i="2"/>
  <c r="AB78" i="2"/>
  <c r="AA79" i="2"/>
  <c r="AB79" i="2"/>
  <c r="AA80" i="2"/>
  <c r="AB80" i="2"/>
  <c r="AA69" i="2"/>
  <c r="AB69" i="2"/>
  <c r="AA19" i="2"/>
  <c r="AB19" i="2"/>
  <c r="AA49" i="2"/>
  <c r="AB49" i="2"/>
  <c r="AA22" i="2"/>
  <c r="AB22" i="2"/>
  <c r="AA27" i="2"/>
  <c r="AB27" i="2"/>
  <c r="AA28" i="2"/>
  <c r="AB28" i="2"/>
  <c r="AA75" i="2"/>
  <c r="AB75" i="2"/>
  <c r="AA95" i="2"/>
  <c r="AB95" i="2"/>
  <c r="AA85" i="2"/>
  <c r="AB85" i="2"/>
  <c r="AA96" i="2"/>
  <c r="AB96" i="2"/>
  <c r="AA42" i="2"/>
  <c r="AB42" i="2"/>
  <c r="AA41" i="2"/>
  <c r="AB41" i="2"/>
  <c r="S119" i="2" l="1"/>
  <c r="S102" i="2"/>
  <c r="S103" i="2"/>
  <c r="S118" i="2"/>
  <c r="S117" i="2"/>
  <c r="S116" i="2"/>
  <c r="A38" i="4"/>
  <c r="S38" i="4"/>
  <c r="A66" i="4"/>
  <c r="S66" i="4"/>
  <c r="A70" i="4"/>
  <c r="S70" i="4"/>
  <c r="A74" i="4"/>
  <c r="S74" i="4"/>
  <c r="A79" i="4"/>
  <c r="S79" i="4"/>
  <c r="A86" i="4"/>
  <c r="S86" i="4"/>
  <c r="A87" i="4"/>
  <c r="S87" i="4"/>
  <c r="A112" i="4"/>
  <c r="S112" i="4"/>
  <c r="S3" i="4"/>
  <c r="A5" i="4"/>
  <c r="S6" i="4"/>
  <c r="S19" i="4"/>
  <c r="A24" i="4"/>
  <c r="S42" i="4"/>
  <c r="A47" i="4"/>
  <c r="S51" i="4"/>
  <c r="A56" i="4"/>
  <c r="S62" i="4"/>
  <c r="S75" i="4"/>
  <c r="S82" i="4"/>
  <c r="S104" i="4"/>
  <c r="S110" i="4"/>
  <c r="A113" i="4"/>
  <c r="S91" i="4"/>
  <c r="A93" i="4"/>
  <c r="A96" i="4"/>
  <c r="A109" i="4"/>
  <c r="A111" i="4"/>
  <c r="A17" i="4"/>
  <c r="A23" i="4"/>
  <c r="A32" i="4"/>
  <c r="A46" i="4"/>
  <c r="A55" i="4"/>
  <c r="A71" i="4"/>
  <c r="S90" i="4"/>
  <c r="A16" i="4"/>
  <c r="A28" i="4"/>
  <c r="A60" i="4"/>
  <c r="S78" i="4"/>
  <c r="S83" i="4"/>
  <c r="A101" i="4"/>
  <c r="S114" i="4"/>
  <c r="A68" i="4"/>
  <c r="A72" i="4"/>
  <c r="A76" i="4"/>
  <c r="A80" i="4"/>
  <c r="A84" i="4"/>
  <c r="A88" i="4"/>
  <c r="S21" i="4"/>
  <c r="S25" i="4"/>
  <c r="S29" i="4"/>
  <c r="S33" i="4"/>
  <c r="S37" i="4"/>
  <c r="S41" i="4"/>
  <c r="S45" i="4"/>
  <c r="S49" i="4"/>
  <c r="S53" i="4"/>
  <c r="S57" i="4"/>
  <c r="S61" i="4"/>
  <c r="S65" i="4"/>
  <c r="S69" i="4"/>
  <c r="S73" i="4"/>
  <c r="S77" i="4"/>
  <c r="S81" i="4"/>
  <c r="S85" i="4"/>
  <c r="S89" i="4"/>
  <c r="A6" i="2"/>
  <c r="S6" i="2"/>
  <c r="A46" i="2"/>
  <c r="A44" i="2"/>
  <c r="A40" i="2"/>
  <c r="A11" i="2"/>
  <c r="A60" i="2"/>
  <c r="A57" i="2"/>
  <c r="A10" i="2"/>
  <c r="A20" i="2"/>
  <c r="A23" i="2"/>
  <c r="A24" i="2"/>
  <c r="A22" i="2"/>
  <c r="A27" i="2"/>
  <c r="A28" i="2"/>
  <c r="A19" i="2"/>
  <c r="A21" i="2"/>
  <c r="A25" i="2"/>
  <c r="A26" i="2"/>
  <c r="A30" i="2"/>
  <c r="A39" i="2"/>
  <c r="A37" i="2"/>
  <c r="A38" i="2"/>
  <c r="A18" i="2"/>
  <c r="A29" i="2"/>
  <c r="A5" i="2"/>
  <c r="A45" i="2"/>
  <c r="A47" i="2"/>
  <c r="A7" i="2"/>
  <c r="A8" i="2"/>
  <c r="A3" i="2"/>
  <c r="A4" i="2"/>
  <c r="A14" i="2"/>
  <c r="A9" i="2"/>
  <c r="A35" i="2"/>
  <c r="A49" i="2"/>
  <c r="A36" i="2"/>
  <c r="A34" i="2"/>
  <c r="A104" i="2"/>
  <c r="A115" i="2"/>
  <c r="A106" i="2"/>
  <c r="A105" i="2"/>
  <c r="A107" i="2"/>
  <c r="A17" i="2"/>
  <c r="A15" i="2"/>
  <c r="A13" i="2"/>
  <c r="A75" i="2"/>
  <c r="A96" i="2"/>
  <c r="A70" i="2"/>
  <c r="A81" i="2"/>
  <c r="A82" i="2"/>
  <c r="A83" i="2"/>
  <c r="A71" i="2"/>
  <c r="A68" i="2"/>
  <c r="A78" i="2"/>
  <c r="A79" i="2"/>
  <c r="A80" i="2"/>
  <c r="A69" i="2"/>
  <c r="A98" i="2"/>
  <c r="A100" i="2"/>
  <c r="A72" i="2"/>
  <c r="A76" i="2"/>
  <c r="A67" i="2"/>
  <c r="A54" i="2"/>
  <c r="A95" i="2"/>
  <c r="A85" i="2"/>
  <c r="A84" i="2"/>
  <c r="A89" i="2"/>
  <c r="A90" i="2"/>
  <c r="A91" i="2"/>
  <c r="A92" i="2"/>
  <c r="A73" i="2"/>
  <c r="A97" i="2"/>
  <c r="A86" i="2"/>
  <c r="A87" i="2"/>
  <c r="A88" i="2"/>
  <c r="A74" i="2"/>
  <c r="A94" i="2"/>
  <c r="A77" i="2"/>
  <c r="A53" i="2"/>
  <c r="A31" i="2"/>
  <c r="A32" i="2"/>
  <c r="A41" i="2"/>
  <c r="A48" i="2"/>
  <c r="A50" i="2"/>
  <c r="A42" i="2"/>
  <c r="A59" i="2"/>
  <c r="A61" i="2"/>
  <c r="A62" i="2"/>
  <c r="A56" i="2"/>
  <c r="A63" i="2"/>
  <c r="A64" i="2"/>
  <c r="A108" i="2"/>
  <c r="A109" i="2"/>
  <c r="A58" i="2"/>
  <c r="A101" i="2"/>
  <c r="A65" i="2"/>
  <c r="A66" i="2"/>
  <c r="A33" i="2"/>
  <c r="A43" i="2"/>
  <c r="A52" i="2"/>
  <c r="A51" i="2"/>
  <c r="A93" i="2"/>
  <c r="A55" i="2"/>
  <c r="A99" i="2"/>
  <c r="A12" i="2"/>
  <c r="A16" i="2"/>
  <c r="A2" i="2"/>
  <c r="A110" i="2"/>
  <c r="A111" i="2"/>
  <c r="A112" i="2"/>
  <c r="A113" i="2"/>
  <c r="A11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ObjectList2" description="Connection to the 'ObjectList2' query in the workbook." type="5" refreshedVersion="7" background="1" saveData="1">
    <dbPr connection="Provider=Microsoft.Mashup.OleDb.1;Data Source=$Workbook$;Location=ObjectList2;Extended Properties=&quot;&quot;" command="SELECT * FROM [ObjectList2]"/>
  </connection>
  <connection id="2" xr16:uid="{ADFF876E-57F2-481E-B3DC-E66E269799A5}" keepAlive="1" name="Query - ObjectList2 (2)" description="Connection to the 'ObjectList2 (2)' query in the workbook." type="5" refreshedVersion="7" background="1" saveData="1">
    <dbPr connection="Provider=Microsoft.Mashup.OleDb.1;Data Source=$Workbook$;Location=&quot;ObjectList2 (2)&quot;;Extended Properties=&quot;&quot;" command="SELECT * FROM [ObjectList2 (2)]"/>
  </connection>
</connections>
</file>

<file path=xl/sharedStrings.xml><?xml version="1.0" encoding="utf-8"?>
<sst xmlns="http://schemas.openxmlformats.org/spreadsheetml/2006/main" count="2839" uniqueCount="387">
  <si>
    <t>Char Count</t>
  </si>
  <si>
    <t>Signal Present on UDP</t>
  </si>
  <si>
    <t>Port Used</t>
  </si>
  <si>
    <t>Used in software</t>
  </si>
  <si>
    <t>Name</t>
  </si>
  <si>
    <t>System</t>
  </si>
  <si>
    <t>Category</t>
  </si>
  <si>
    <t>Subsystem</t>
  </si>
  <si>
    <t>Subsystem Number</t>
  </si>
  <si>
    <t>Type</t>
  </si>
  <si>
    <t>Descriptor</t>
  </si>
  <si>
    <t>SignalLongName</t>
  </si>
  <si>
    <t>Source</t>
  </si>
  <si>
    <t>Purpose</t>
  </si>
  <si>
    <t>Unit</t>
  </si>
  <si>
    <t>Value Descriptions</t>
  </si>
  <si>
    <t>Comment</t>
  </si>
  <si>
    <t>Network</t>
  </si>
  <si>
    <t>DBC Code</t>
  </si>
  <si>
    <t>Byte Order</t>
  </si>
  <si>
    <t>Value Type</t>
  </si>
  <si>
    <t>Length [Bit]</t>
  </si>
  <si>
    <t>Initial Value</t>
  </si>
  <si>
    <t>Factor</t>
  </si>
  <si>
    <t>Offset</t>
  </si>
  <si>
    <t>Minimum</t>
  </si>
  <si>
    <t>Maximum</t>
  </si>
  <si>
    <t>IncludedInDBC</t>
  </si>
  <si>
    <t>Message(s)</t>
  </si>
  <si>
    <t>AuxLoad</t>
  </si>
  <si>
    <t>Ctrl</t>
  </si>
  <si>
    <t>Method</t>
  </si>
  <si>
    <t>Master</t>
  </si>
  <si>
    <t>Facilities Control</t>
  </si>
  <si>
    <t>bool</t>
  </si>
  <si>
    <t>0 "inactive" 1 "curr" 2 "volt" 3 "power"</t>
  </si>
  <si>
    <t>Auxiliary load bank control signal specifying which method of control to use</t>
  </si>
  <si>
    <t>DAQ CAN</t>
  </si>
  <si>
    <t>Intel</t>
  </si>
  <si>
    <t>Unsigned</t>
  </si>
  <si>
    <t>Pwr</t>
  </si>
  <si>
    <t>Cmd</t>
  </si>
  <si>
    <t>kW</t>
  </si>
  <si>
    <t>Auxiliary load bank control signal for power command</t>
  </si>
  <si>
    <t>Curr</t>
  </si>
  <si>
    <t>A</t>
  </si>
  <si>
    <t>Auxiliary load bank control signal for current command</t>
  </si>
  <si>
    <t>Volt</t>
  </si>
  <si>
    <t>V</t>
  </si>
  <si>
    <t>Auxiliary load bank control signal for voltage command</t>
  </si>
  <si>
    <t>Resp</t>
  </si>
  <si>
    <t>Max</t>
  </si>
  <si>
    <t>Facilities</t>
  </si>
  <si>
    <t>Auxiliary load bank Maximum Power allowed</t>
  </si>
  <si>
    <t>Min</t>
  </si>
  <si>
    <t>Auxiliary load bank minimum power allowed</t>
  </si>
  <si>
    <t>Auxiliary load bank Maximum current allowed</t>
  </si>
  <si>
    <t>Signed</t>
  </si>
  <si>
    <t>Auxiliary load bank minimum current allowed</t>
  </si>
  <si>
    <t>Auxiliary load bank maximum voltage allowed</t>
  </si>
  <si>
    <t>Auxiliary load bank minimum voltage allowed</t>
  </si>
  <si>
    <t>Dyno</t>
  </si>
  <si>
    <t>Grade</t>
  </si>
  <si>
    <t>%</t>
  </si>
  <si>
    <t>Dyno grade command (when commanded in realtime as opposed to a pre-defined cycle file)</t>
  </si>
  <si>
    <t>Y</t>
  </si>
  <si>
    <t>Dyno_Ctrl</t>
  </si>
  <si>
    <t>Data</t>
  </si>
  <si>
    <t>Temp</t>
  </si>
  <si>
    <t>Facilities data</t>
  </si>
  <si>
    <t>degC</t>
  </si>
  <si>
    <t>Dyno facility data from temperature sensor 1</t>
  </si>
  <si>
    <t>y</t>
  </si>
  <si>
    <t>Dyno facility data from temperature sensor 2</t>
  </si>
  <si>
    <t>Fan</t>
  </si>
  <si>
    <t>Spd</t>
  </si>
  <si>
    <t>km/h</t>
  </si>
  <si>
    <t>Speed of the dyno fan system</t>
  </si>
  <si>
    <t>Trace</t>
  </si>
  <si>
    <t>Speed of the drive trace </t>
  </si>
  <si>
    <t>% </t>
  </si>
  <si>
    <t>Grade used at current point in loaded drive cycle</t>
  </si>
  <si>
    <t>Dyno_Data</t>
  </si>
  <si>
    <t>FrntRoll</t>
  </si>
  <si>
    <t>Speed of the dyno front roll</t>
  </si>
  <si>
    <t>RearRoll</t>
  </si>
  <si>
    <t>Speed of the dyno rear roll</t>
  </si>
  <si>
    <t>Status</t>
  </si>
  <si>
    <t>Test Management</t>
  </si>
  <si>
    <t>enum</t>
  </si>
  <si>
    <t>0 "not ready" 1 "ready" 2 "testActive" 3 "fault" 4 "estop"</t>
  </si>
  <si>
    <t>Dyno system's reported current status</t>
  </si>
  <si>
    <t>Used</t>
  </si>
  <si>
    <t>Facilities control</t>
  </si>
  <si>
    <t>Grade value the dyno is currently attempting to use</t>
  </si>
  <si>
    <t>CmdEcho</t>
  </si>
  <si>
    <t>Diagnostics</t>
  </si>
  <si>
    <t>Echo of grade command received (used for ensuring proper signal transmission)</t>
  </si>
  <si>
    <t>Facil</t>
  </si>
  <si>
    <t>Mgmt</t>
  </si>
  <si>
    <t>Test</t>
  </si>
  <si>
    <t>ID</t>
  </si>
  <si>
    <t>int</t>
  </si>
  <si>
    <t>Identification number of the test </t>
  </si>
  <si>
    <t>Time</t>
  </si>
  <si>
    <t>DAQ</t>
  </si>
  <si>
    <t>s </t>
  </si>
  <si>
    <t>Time sent by the DAQ </t>
  </si>
  <si>
    <t>Sync</t>
  </si>
  <si>
    <t>s</t>
  </si>
  <si>
    <t>Dyno Sync Time</t>
  </si>
  <si>
    <t>Start</t>
  </si>
  <si>
    <t>Start time of the test </t>
  </si>
  <si>
    <t>Facility system's reported current status</t>
  </si>
  <si>
    <t>Greyware</t>
  </si>
  <si>
    <t>Facility Time used for synchronization </t>
  </si>
  <si>
    <t>FuelMetr1</t>
  </si>
  <si>
    <t>FuelFlow</t>
  </si>
  <si>
    <t>L/hr</t>
  </si>
  <si>
    <t>Fuel flow meter 1 fuel flow data signal</t>
  </si>
  <si>
    <t>FuelMetr2</t>
  </si>
  <si>
    <t>Fuel flow meter 1 data signal</t>
  </si>
  <si>
    <t>FuelMetr3</t>
  </si>
  <si>
    <t>FuelIntg</t>
  </si>
  <si>
    <t>L</t>
  </si>
  <si>
    <t>Fuel flow meter 1 integrated fuel signal</t>
  </si>
  <si>
    <t>0 "stopTest" 1 "initialize" 2 "runTest" 3 "pause" 4 "estop"</t>
  </si>
  <si>
    <t xml:space="preserve">Test control signal from master for commanding test state </t>
  </si>
  <si>
    <t>SoftID</t>
  </si>
  <si>
    <t>NA</t>
  </si>
  <si>
    <t>Master system Software ID version number</t>
  </si>
  <si>
    <t>Sys</t>
  </si>
  <si>
    <t>Master system current status</t>
  </si>
  <si>
    <t>RobDrv</t>
  </si>
  <si>
    <t>APP</t>
  </si>
  <si>
    <t>Pos</t>
  </si>
  <si>
    <t>Used for robot driver direct accelerator pedal position % control (as opposed to mapped torque/acceleration)</t>
  </si>
  <si>
    <t>BPP</t>
  </si>
  <si>
    <t>Used for direct brake pedal % control (as opposed to mapped torque/acceleration)</t>
  </si>
  <si>
    <t>Actv</t>
  </si>
  <si>
    <t>When flag active, APP command should be used for Robot driver control</t>
  </si>
  <si>
    <t>When flag active, BPP command should be used for Robot driver control</t>
  </si>
  <si>
    <t>Echo of pedal request received for communication diagnostics</t>
  </si>
  <si>
    <t>VUT</t>
  </si>
  <si>
    <t>ACC</t>
  </si>
  <si>
    <t>Accel</t>
  </si>
  <si>
    <t>VUT Long Control</t>
  </si>
  <si>
    <t>m/s^2</t>
  </si>
  <si>
    <t>Control signal for commanding ACC acceleration</t>
  </si>
  <si>
    <t>Trns</t>
  </si>
  <si>
    <t>Gear</t>
  </si>
  <si>
    <t>VUT Powertrain Control</t>
  </si>
  <si>
    <t>Control signal for specifying transmission gear number for powertrain control</t>
  </si>
  <si>
    <t>VehCmd_LongCtrl2</t>
  </si>
  <si>
    <t>0 "inactive" 1 "active"</t>
  </si>
  <si>
    <t>When flag active, acceleration signal should be used for longitudinal control</t>
  </si>
  <si>
    <t>AxlTrq</t>
  </si>
  <si>
    <t>Nm</t>
  </si>
  <si>
    <t>Control signal for commanding axle torque</t>
  </si>
  <si>
    <t>VehCmd_LongCtrl1</t>
  </si>
  <si>
    <t>VUT_Ctrl_Trns_Gear_Actv</t>
  </si>
  <si>
    <t>When flag active, transmission gear selection signal should be used for Powertrain control</t>
  </si>
  <si>
    <t>When flag active, Axle torque command should be used for longitudinal control</t>
  </si>
  <si>
    <t>LongCtrl</t>
  </si>
  <si>
    <t>0 "unused" 1 "robotDrvr" 2 "objRadar" 3 "CanAcc"</t>
  </si>
  <si>
    <t>Control signal for selecting Longitudinal control method</t>
  </si>
  <si>
    <t>BrkDecel</t>
  </si>
  <si>
    <t>Control signal for commanding brake deceleration</t>
  </si>
  <si>
    <t>When flag active, brake system deceleration signal should be used for longitudinal control. Overrides axle torque active flag.</t>
  </si>
  <si>
    <t>TrqCnvCl</t>
  </si>
  <si>
    <t>0 "no request" 1 "immediate off" 2 "ramp off A" 3 "ramp off b" 4 "apply"</t>
  </si>
  <si>
    <t>Control signal for commanding torque converter clutch closure</t>
  </si>
  <si>
    <t>When flag active, clutch command signal should be used for powertrain control</t>
  </si>
  <si>
    <t>Vehicle-measured accelerator pedal position</t>
  </si>
  <si>
    <t>ESS</t>
  </si>
  <si>
    <t>SOC</t>
  </si>
  <si>
    <t>VUT Data 1</t>
  </si>
  <si>
    <t>Vehicle-measured HV battery state of charge</t>
  </si>
  <si>
    <t>Eng</t>
  </si>
  <si>
    <t>Trq</t>
  </si>
  <si>
    <t>VUT data engine torque measured</t>
  </si>
  <si>
    <t>Gen</t>
  </si>
  <si>
    <t>VUT data Generator torque measured</t>
  </si>
  <si>
    <t>rpm</t>
  </si>
  <si>
    <t>VUT data engine speed</t>
  </si>
  <si>
    <t>VUT data generator speed</t>
  </si>
  <si>
    <t>Vehicle-measured HV ESS current</t>
  </si>
  <si>
    <t>VUT Data 2</t>
  </si>
  <si>
    <t>VUT data indicating ESS temperature</t>
  </si>
  <si>
    <t>VUT data indicating generator temperature (series hybrids)</t>
  </si>
  <si>
    <t>VUT data HV ESS voltage</t>
  </si>
  <si>
    <t>Veh</t>
  </si>
  <si>
    <t>Grade value measured by the vehicle chassis systems</t>
  </si>
  <si>
    <t>VehResp_AccelAndDriveline</t>
  </si>
  <si>
    <t>Chrg</t>
  </si>
  <si>
    <t>Vehicle-measured Onboard charger current</t>
  </si>
  <si>
    <t>DCDC</t>
  </si>
  <si>
    <t>Vehicle-measured DC DC converter LV current</t>
  </si>
  <si>
    <t>Engd</t>
  </si>
  <si>
    <t>0 "open" 1 "engaged"</t>
  </si>
  <si>
    <t>VUT data stating if transmission gear is currently engaged</t>
  </si>
  <si>
    <t>VUT data indicating Current transmission gear</t>
  </si>
  <si>
    <t>Mot</t>
  </si>
  <si>
    <t>VUT data motor 1 torque measured</t>
  </si>
  <si>
    <t>VUT data motor 2 torque measured</t>
  </si>
  <si>
    <t>VUT data motor 3 torque measured</t>
  </si>
  <si>
    <t>VUT data motor 1 speed</t>
  </si>
  <si>
    <t>VUT data motor 2 speed</t>
  </si>
  <si>
    <t>VUT data motor 3 speed</t>
  </si>
  <si>
    <t>Turbo</t>
  </si>
  <si>
    <t>VUT data turbo speed</t>
  </si>
  <si>
    <t>VUT data DCDC converter LV voltage</t>
  </si>
  <si>
    <t>VUT data indicating Motor 1 temperature</t>
  </si>
  <si>
    <t>VUT data indicating Motor 2 temperature</t>
  </si>
  <si>
    <t>VUT data indicating motor 3 temperature</t>
  </si>
  <si>
    <t>Whl</t>
  </si>
  <si>
    <t>FL</t>
  </si>
  <si>
    <t>VUT data current wheel speed front left</t>
  </si>
  <si>
    <t>FR</t>
  </si>
  <si>
    <t>VUT data current wheel speed front right</t>
  </si>
  <si>
    <t>RL</t>
  </si>
  <si>
    <t>VUT data current wheel speed rear left</t>
  </si>
  <si>
    <t>RR</t>
  </si>
  <si>
    <t>VUT data current wheel speed rear right</t>
  </si>
  <si>
    <t>Ratio</t>
  </si>
  <si>
    <t>ratio</t>
  </si>
  <si>
    <t>VUT data current transmission ratio</t>
  </si>
  <si>
    <t>LVBatt</t>
  </si>
  <si>
    <t>Vehicle-measured low-voltage battery current</t>
  </si>
  <si>
    <t>VUT data low volt battery voltage</t>
  </si>
  <si>
    <t>VoltAC</t>
  </si>
  <si>
    <t>VUT data onboard charger AC voltage</t>
  </si>
  <si>
    <t>Oil</t>
  </si>
  <si>
    <t>VUT data indicating Engine oil temperature</t>
  </si>
  <si>
    <t>VUT data Engine fuel flow measured</t>
  </si>
  <si>
    <t>VUT data indicating transmission gear commanded by TCM</t>
  </si>
  <si>
    <t>GearSel</t>
  </si>
  <si>
    <t>0 "Unknown" 1 "P" 2 "R" 3 "N" 4 "D" 5 "L or M"</t>
  </si>
  <si>
    <t>VUT data indicating gear selector position</t>
  </si>
  <si>
    <t>Brake</t>
  </si>
  <si>
    <t>Apply</t>
  </si>
  <si>
    <t>0  "brake off" 1 "brake on"</t>
  </si>
  <si>
    <t>VUT data indicating if brake is currently engaged</t>
  </si>
  <si>
    <t>Value identifying vehicle software version on gateway MABx (veh.ver) so Prius could be 1.001</t>
  </si>
  <si>
    <t>VUT signal for vehicle speed</t>
  </si>
  <si>
    <t>VehResp_AxleTorque</t>
  </si>
  <si>
    <t>VUT signal for vehicle acceleration</t>
  </si>
  <si>
    <t>0  "unavailable" 1 "available"</t>
  </si>
  <si>
    <t>VUT signal stating if ACC system override control is currently available</t>
  </si>
  <si>
    <t>Radar</t>
  </si>
  <si>
    <t>VUT signal stating if radar-based control is currently available</t>
  </si>
  <si>
    <t>VUT signal stating if robot driver control is currently available</t>
  </si>
  <si>
    <t>VUT signal stating maximum ACC acceleration allowed</t>
  </si>
  <si>
    <t>VUT signal stating minimum ACC acceleration allowed</t>
  </si>
  <si>
    <t>VUT signal stating maximum axle torque command allowed</t>
  </si>
  <si>
    <t>VehResp_Limits</t>
  </si>
  <si>
    <t>VUT signal stating minimum axle torque command allowed</t>
  </si>
  <si>
    <t>VUT signal stating if longitudinal control system is currently available</t>
  </si>
  <si>
    <t>Meas</t>
  </si>
  <si>
    <t>VUT signal for measured axle torque</t>
  </si>
  <si>
    <t>VUT signal stating maximum brake deceleration allowed</t>
  </si>
  <si>
    <t>VUT signal stating minimum brake deceleration allowed</t>
  </si>
  <si>
    <t>Echo of axle torque request received</t>
  </si>
  <si>
    <t>Echo of brake decel request received</t>
  </si>
  <si>
    <t>TrnsGear</t>
  </si>
  <si>
    <t>Echo of transmission gear request received</t>
  </si>
  <si>
    <t>RC</t>
  </si>
  <si>
    <t>GPSLong</t>
  </si>
  <si>
    <t>deg</t>
  </si>
  <si>
    <t>GPSLat</t>
  </si>
  <si>
    <t>Not updated since moving to FlexIL UDP ethernet!</t>
  </si>
  <si>
    <t>Cycle</t>
  </si>
  <si>
    <t>Abbreviations</t>
  </si>
  <si>
    <t>Definition</t>
  </si>
  <si>
    <t>Signals used specifically for diagnosing communication issues</t>
  </si>
  <si>
    <t>Used for controlling facilities elements (aux load bank, dyno, etc.)</t>
  </si>
  <si>
    <t>acceleration</t>
  </si>
  <si>
    <t>Facilities Data</t>
  </si>
  <si>
    <t>Data from facilities instrumentation and equipment</t>
  </si>
  <si>
    <t>active</t>
  </si>
  <si>
    <t>Used for starting and stopping tests, synchronization, test information</t>
  </si>
  <si>
    <t>accelerator pedal position</t>
  </si>
  <si>
    <t>Data from vehicle under test using vehicle-agnostic format</t>
  </si>
  <si>
    <t>auxiliary load bank</t>
  </si>
  <si>
    <t>Control signals for commanding VUT longitudinal features</t>
  </si>
  <si>
    <t>Axl</t>
  </si>
  <si>
    <t>axle</t>
  </si>
  <si>
    <t>Control signals for commanding VUT powertrain operation</t>
  </si>
  <si>
    <t>axle torque</t>
  </si>
  <si>
    <t>brake pedal position</t>
  </si>
  <si>
    <t>Response signals in reply to control signals</t>
  </si>
  <si>
    <t>brake</t>
  </si>
  <si>
    <t>Control signals used to command VIL hardware/vehicle elements</t>
  </si>
  <si>
    <t>Brk</t>
  </si>
  <si>
    <t>brake deceleration</t>
  </si>
  <si>
    <t>Master with control over simulation and vehicle under test (functionality currently embedded in VUT software)</t>
  </si>
  <si>
    <t>Chas</t>
  </si>
  <si>
    <t>chassis</t>
  </si>
  <si>
    <t>Signals with data from VIL hardware/vehicle elements</t>
  </si>
  <si>
    <t>onboard hv battery charger</t>
  </si>
  <si>
    <t>Clutch</t>
  </si>
  <si>
    <t>clutch</t>
  </si>
  <si>
    <t>command</t>
  </si>
  <si>
    <t>command echo</t>
  </si>
  <si>
    <t>control</t>
  </si>
  <si>
    <t>current</t>
  </si>
  <si>
    <t>cycle</t>
  </si>
  <si>
    <t>data acquisition system</t>
  </si>
  <si>
    <t>data</t>
  </si>
  <si>
    <t>dcdc converter</t>
  </si>
  <si>
    <t>Decel</t>
  </si>
  <si>
    <t>deceleration</t>
  </si>
  <si>
    <t>dynamometer</t>
  </si>
  <si>
    <t>engine</t>
  </si>
  <si>
    <t>engaged</t>
  </si>
  <si>
    <t>energy storage system</t>
  </si>
  <si>
    <t>facilities systems</t>
  </si>
  <si>
    <t>front left</t>
  </si>
  <si>
    <t>front right</t>
  </si>
  <si>
    <t>Frnt</t>
  </si>
  <si>
    <t>front</t>
  </si>
  <si>
    <t>fuel flow</t>
  </si>
  <si>
    <t>fuel integrated</t>
  </si>
  <si>
    <t>FuelMetr</t>
  </si>
  <si>
    <t xml:space="preserve">fuel meter </t>
  </si>
  <si>
    <t>fuel meter 1</t>
  </si>
  <si>
    <t>fuel meter 2</t>
  </si>
  <si>
    <t>fuel meter 3</t>
  </si>
  <si>
    <t>gear</t>
  </si>
  <si>
    <t>generator</t>
  </si>
  <si>
    <t>grade</t>
  </si>
  <si>
    <t>greyware</t>
  </si>
  <si>
    <t>identification number</t>
  </si>
  <si>
    <t>intg</t>
  </si>
  <si>
    <t>integrated</t>
  </si>
  <si>
    <t>longitudinal control</t>
  </si>
  <si>
    <t>low voltage battery</t>
  </si>
  <si>
    <t>master</t>
  </si>
  <si>
    <t>maximum</t>
  </si>
  <si>
    <t>measured</t>
  </si>
  <si>
    <t>method</t>
  </si>
  <si>
    <t>minimum</t>
  </si>
  <si>
    <t>motor</t>
  </si>
  <si>
    <t>oil</t>
  </si>
  <si>
    <t>position</t>
  </si>
  <si>
    <t>power</t>
  </si>
  <si>
    <t>radar</t>
  </si>
  <si>
    <t>response</t>
  </si>
  <si>
    <t>rear left</t>
  </si>
  <si>
    <t>robot driver</t>
  </si>
  <si>
    <t>rear right</t>
  </si>
  <si>
    <t>Sel</t>
  </si>
  <si>
    <t>selector</t>
  </si>
  <si>
    <t>state of charge</t>
  </si>
  <si>
    <t>Soft</t>
  </si>
  <si>
    <t>software</t>
  </si>
  <si>
    <t>software ID number</t>
  </si>
  <si>
    <t>speed</t>
  </si>
  <si>
    <t>start</t>
  </si>
  <si>
    <t>State</t>
  </si>
  <si>
    <t>state</t>
  </si>
  <si>
    <t>status</t>
  </si>
  <si>
    <t>synchronization</t>
  </si>
  <si>
    <t>system</t>
  </si>
  <si>
    <t>temperature</t>
  </si>
  <si>
    <t>test</t>
  </si>
  <si>
    <t>time</t>
  </si>
  <si>
    <t>transmission</t>
  </si>
  <si>
    <t>torque</t>
  </si>
  <si>
    <t>TrqConv</t>
  </si>
  <si>
    <t>torque converter</t>
  </si>
  <si>
    <t>type</t>
  </si>
  <si>
    <t>used</t>
  </si>
  <si>
    <t>vehicle</t>
  </si>
  <si>
    <t>voltage</t>
  </si>
  <si>
    <t>voltage AC</t>
  </si>
  <si>
    <t>vehicle under test</t>
  </si>
  <si>
    <t>wheel</t>
  </si>
  <si>
    <t>front roll</t>
  </si>
  <si>
    <t>rear roll</t>
  </si>
  <si>
    <t>management</t>
  </si>
  <si>
    <t>trace</t>
  </si>
  <si>
    <t>fan</t>
  </si>
  <si>
    <t>Deployment status</t>
  </si>
  <si>
    <t>UDP variable type</t>
  </si>
  <si>
    <t>single</t>
  </si>
  <si>
    <t>uint8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</si>
</sst>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/>
        <bgColor theme="9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33" borderId="10" xfId="0" applyFill="1" applyBorder="1"/>
    <xf numFmtId="0" fontId="0" fillId="0" borderId="10" xfId="0" applyBorder="1"/>
    <xf numFmtId="0" fontId="19" fillId="0" borderId="0" xfId="0" applyFont="1"/>
    <xf numFmtId="0" fontId="19" fillId="0" borderId="10" xfId="0" applyFont="1" applyBorder="1"/>
    <xf numFmtId="0" fontId="19" fillId="33" borderId="10" xfId="0" applyFont="1" applyFill="1" applyBorder="1"/>
    <xf numFmtId="0" fontId="0" fillId="34" borderId="0" xfId="0" applyFill="1"/>
    <xf numFmtId="0" fontId="0" fillId="0" borderId="11" xfId="0" applyBorder="1" applyAlignment="1">
      <alignment horizontal="left" textRotation="45"/>
    </xf>
    <xf numFmtId="0" fontId="13" fillId="35" borderId="11" xfId="0" applyFont="1" applyFill="1" applyBorder="1" applyAlignment="1">
      <alignment horizontal="left" textRotation="45"/>
    </xf>
    <xf numFmtId="0" fontId="0" fillId="37" borderId="11" xfId="0" applyFill="1" applyBorder="1" applyAlignment="1">
      <alignment horizontal="left" textRotation="45"/>
    </xf>
    <xf numFmtId="0" fontId="13" fillId="38" borderId="11" xfId="0" applyFont="1" applyFill="1" applyBorder="1" applyAlignment="1">
      <alignment horizontal="left" textRotation="45"/>
    </xf>
    <xf numFmtId="0" fontId="20" fillId="36" borderId="12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5">
    <dxf>
      <fill>
        <patternFill patternType="solid">
          <fgColor indexed="64"/>
          <bgColor theme="9" tint="0.3999755851924192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>
        <bottom style="thin">
          <color rgb="FF000000"/>
        </bottom>
      </border>
    </dxf>
    <dxf>
      <fill>
        <patternFill>
          <bgColor theme="8"/>
        </patternFill>
      </fill>
      <alignment horizontal="left" vertical="bottom" textRotation="45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>
        <bottom style="thin">
          <color indexed="64"/>
        </bottom>
      </border>
    </dxf>
    <dxf>
      <alignment horizontal="left" vertical="bottom" textRotation="45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000-000000000000}" autoFormatId="16" applyNumberFormats="0" applyBorderFormats="0" applyFontFormats="0" applyPatternFormats="0" applyAlignmentFormats="0" applyWidthHeightFormats="0">
  <queryTableRefresh nextId="43" unboundColumnsLeft="16">
    <queryTableFields count="30">
      <queryTableField id="33" dataBound="0" tableColumnId="28"/>
      <queryTableField id="40" dataBound="0" tableColumnId="11"/>
      <queryTableField id="41" dataBound="0" tableColumnId="22"/>
      <queryTableField id="39" dataBound="0" tableColumnId="1"/>
      <queryTableField id="30" dataBound="0" tableColumnId="25"/>
      <queryTableField id="25" dataBound="0" tableColumnId="20"/>
      <queryTableField id="28" dataBound="0" tableColumnId="23"/>
      <queryTableField id="29" dataBound="0" tableColumnId="24"/>
      <queryTableField id="38" dataBound="0" tableColumnId="31"/>
      <queryTableField id="31" dataBound="0" tableColumnId="26"/>
      <queryTableField id="26" dataBound="0" tableColumnId="21"/>
      <queryTableField id="36" dataBound="0" tableColumnId="29"/>
      <queryTableField id="15" dataBound="0" tableColumnId="15"/>
      <queryTableField id="17" dataBound="0" tableColumnId="17"/>
      <queryTableField id="16" dataBound="0" tableColumnId="16"/>
      <queryTableField id="20" dataBound="0" tableColumnId="10"/>
      <queryTableField id="12" name="Comment" tableColumnId="12"/>
      <queryTableField id="18" dataBound="0" tableColumnId="18"/>
      <queryTableField id="22" dataBound="0" tableColumnId="19"/>
      <queryTableField id="42" dataBound="0" tableColumnId="27"/>
      <queryTableField id="3" name="Byte Order" tableColumnId="3"/>
      <queryTableField id="4" name="Value Type" tableColumnId="4"/>
      <queryTableField id="2" name="Length [Bit]" tableColumnId="2"/>
      <queryTableField id="5" name="Initial Value" tableColumnId="5"/>
      <queryTableField id="6" name="Factor" tableColumnId="6"/>
      <queryTableField id="7" name="Offset" tableColumnId="7"/>
      <queryTableField id="8" name="Minimum" tableColumnId="8"/>
      <queryTableField id="9" name="Maximum" tableColumnId="9"/>
      <queryTableField id="14" dataBound="0" tableColumnId="14"/>
      <queryTableField id="13" name="Message(s)" tableColumnId="13"/>
    </queryTableFields>
    <queryTableDeletedFields count="3">
      <deletedField name="Unit"/>
      <deletedField name="Value Table"/>
      <deletedField name="Name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85A1B6F-EEEF-483B-9295-58DF8D1C4F94}" autoFormatId="16" applyNumberFormats="0" applyBorderFormats="0" applyFontFormats="0" applyPatternFormats="0" applyAlignmentFormats="0" applyWidthHeightFormats="0">
  <queryTableRefresh nextId="42" unboundColumnsLeft="16">
    <queryTableFields count="29">
      <queryTableField id="33" dataBound="0" tableColumnId="28"/>
      <queryTableField id="40" dataBound="0" tableColumnId="11"/>
      <queryTableField id="41" dataBound="0" tableColumnId="22"/>
      <queryTableField id="39" dataBound="0" tableColumnId="1"/>
      <queryTableField id="30" dataBound="0" tableColumnId="25"/>
      <queryTableField id="25" dataBound="0" tableColumnId="20"/>
      <queryTableField id="28" dataBound="0" tableColumnId="23"/>
      <queryTableField id="29" dataBound="0" tableColumnId="24"/>
      <queryTableField id="38" dataBound="0" tableColumnId="31"/>
      <queryTableField id="31" dataBound="0" tableColumnId="26"/>
      <queryTableField id="26" dataBound="0" tableColumnId="21"/>
      <queryTableField id="36" dataBound="0" tableColumnId="29"/>
      <queryTableField id="15" dataBound="0" tableColumnId="15"/>
      <queryTableField id="17" dataBound="0" tableColumnId="17"/>
      <queryTableField id="16" dataBound="0" tableColumnId="16"/>
      <queryTableField id="20" dataBound="0" tableColumnId="10"/>
      <queryTableField id="12" name="Comment" tableColumnId="12"/>
      <queryTableField id="18" dataBound="0" tableColumnId="18"/>
      <queryTableField id="22" dataBound="0" tableColumnId="19"/>
      <queryTableField id="3" name="Byte Order" tableColumnId="3"/>
      <queryTableField id="4" name="Value Type" tableColumnId="4"/>
      <queryTableField id="2" name="Length [Bit]" tableColumnId="2"/>
      <queryTableField id="5" name="Initial Value" tableColumnId="5"/>
      <queryTableField id="6" name="Factor" tableColumnId="6"/>
      <queryTableField id="7" name="Offset" tableColumnId="7"/>
      <queryTableField id="8" name="Minimum" tableColumnId="8"/>
      <queryTableField id="9" name="Maximum" tableColumnId="9"/>
      <queryTableField id="14" dataBound="0" tableColumnId="14"/>
      <queryTableField id="13" name="Message(s)" tableColumnId="13"/>
    </queryTableFields>
    <queryTableDeletedFields count="3">
      <deletedField name="Unit"/>
      <deletedField name="Value Table"/>
      <deletedField name="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bjectList2" displayName="ObjectList2" ref="A1:AD119" tableType="queryTable" totalsRowShown="0" headerRowDxfId="44" headerRowBorderDxfId="43">
  <autoFilter ref="A1:AD119" xr:uid="{00000000-0009-0000-0100-000001000000}">
    <filterColumn colId="5">
      <filters>
        <filter val="Dyno"/>
        <filter val="Facil"/>
        <filter val="Master"/>
        <filter val="RobDrv"/>
        <filter val="VUT"/>
      </filters>
    </filterColumn>
    <filterColumn colId="6">
      <customFilters>
        <customFilter operator="notEqual" val=" "/>
      </customFilters>
    </filterColumn>
  </autoFilter>
  <sortState xmlns:xlrd2="http://schemas.microsoft.com/office/spreadsheetml/2017/richdata2" ref="A2:AD119">
    <sortCondition ref="M1:M119"/>
  </sortState>
  <tableColumns count="30">
    <tableColumn id="28" xr3:uid="{B38F11EE-D604-4B20-A052-2E6D874D1273}" uniqueName="28" name="Char Count" queryTableFieldId="33" dataDxfId="42">
      <calculatedColumnFormula>LEN(ObjectList2[[#This Row],[Name]])</calculatedColumnFormula>
    </tableColumn>
    <tableColumn id="11" xr3:uid="{228F12B6-2DF6-417C-A55A-BA52745E7194}" uniqueName="11" name="Signal Present on UDP" queryTableFieldId="40"/>
    <tableColumn id="22" xr3:uid="{D5774CBB-A309-4885-B975-2B347F9CEA0C}" uniqueName="22" name="Port Used" queryTableFieldId="41"/>
    <tableColumn id="1" xr3:uid="{E9653CB4-72D4-4C4D-9FA9-C5459D86DD97}" uniqueName="1" name="Deployment status" queryTableFieldId="39"/>
    <tableColumn id="25" xr3:uid="{9744136B-2A71-4E9D-829E-D8490D6628C9}" uniqueName="25" name="Name" queryTableFieldId="30" dataDxfId="41">
      <calculatedColumnFormula>_xlfn.TEXTJOIN("_",TRUE,ObjectList2[[#This Row],[System]],ObjectList2[[#This Row],[Category]],ObjectList2[[#This Row],[Subsystem]],ObjectList2[[#This Row],[Subsystem Number]],ObjectList2[[#This Row],[Type]],ObjectList2[[#This Row],[Descriptor]])</calculatedColumnFormula>
    </tableColumn>
    <tableColumn id="20" xr3:uid="{4D915E18-C423-4804-B113-4A814053EA27}" uniqueName="20" name="System" queryTableFieldId="25" dataDxfId="40"/>
    <tableColumn id="23" xr3:uid="{BFBE3A40-5CC6-4FA1-A67A-4B2483DA3A42}" uniqueName="23" name="Category" queryTableFieldId="28" dataDxfId="39"/>
    <tableColumn id="24" xr3:uid="{32F8820A-315A-48A0-A80E-F0F206337919}" uniqueName="24" name="Subsystem" queryTableFieldId="29" dataDxfId="38"/>
    <tableColumn id="31" xr3:uid="{25FECC25-91D6-4B20-BD94-D342E5065BE3}" uniqueName="31" name="Subsystem Number" queryTableFieldId="38" dataDxfId="37"/>
    <tableColumn id="26" xr3:uid="{FC717656-62B7-456D-8B5E-85F99C7A1F52}" uniqueName="26" name="Type" queryTableFieldId="31" dataDxfId="36"/>
    <tableColumn id="21" xr3:uid="{3DE49152-FB3D-4FED-A4F5-3E99005B0A7E}" uniqueName="21" name="Descriptor" queryTableFieldId="26" dataDxfId="35"/>
    <tableColumn id="29" xr3:uid="{2270BDCD-CE49-4CA9-A72E-3735228EA76F}" uniqueName="29" name="SignalLongName" queryTableFieldId="36" dataDxfId="34">
      <calculatedColumnFormula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calculatedColumnFormula>
    </tableColumn>
    <tableColumn id="15" xr3:uid="{F4C6F20B-F133-478A-B8C5-8E2E3154B3EC}" uniqueName="15" name="Source" queryTableFieldId="15" dataDxfId="33"/>
    <tableColumn id="17" xr3:uid="{DD3D776D-DDFC-47E8-BCEC-07A4D91D2D84}" uniqueName="17" name="Purpose" queryTableFieldId="17" dataDxfId="32"/>
    <tableColumn id="16" xr3:uid="{50BA1CB0-7236-4F87-8887-4204344A2E45}" uniqueName="16" name="Unit" queryTableFieldId="16" dataDxfId="31"/>
    <tableColumn id="10" xr3:uid="{385A18BC-D34A-48F5-BD47-C0D1A46FD0A1}" uniqueName="10" name="Value Descriptions" queryTableFieldId="20" dataDxfId="30"/>
    <tableColumn id="12" xr3:uid="{00000000-0010-0000-0000-00000C000000}" uniqueName="12" name="Comment" queryTableFieldId="12" dataDxfId="29"/>
    <tableColumn id="18" xr3:uid="{B260A22F-0EA1-4FCA-AFF2-380927427CD8}" uniqueName="18" name="Network" queryTableFieldId="18"/>
    <tableColumn id="19" xr3:uid="{DE550BF5-510D-4A3E-A1DC-6534A8104BF0}" uniqueName="19" name="DBC Code" queryTableFieldId="22" dataDxfId="28">
      <calculatedColumnFormula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calculatedColumnFormula>
    </tableColumn>
    <tableColumn id="27" xr3:uid="{52A8CC1E-EB70-4B15-92A6-5E2614462CEA}" uniqueName="27" name="UDP variable type" queryTableFieldId="42"/>
    <tableColumn id="3" xr3:uid="{00000000-0010-0000-0000-000003000000}" uniqueName="3" name="Byte Order" queryTableFieldId="3" dataDxfId="27"/>
    <tableColumn id="4" xr3:uid="{00000000-0010-0000-0000-000004000000}" uniqueName="4" name="Value Type" queryTableFieldId="4" dataDxfId="26"/>
    <tableColumn id="2" xr3:uid="{00000000-0010-0000-0000-000002000000}" uniqueName="2" name="Length [Bit]" queryTableFieldId="2" dataDxfId="25"/>
    <tableColumn id="5" xr3:uid="{00000000-0010-0000-0000-000005000000}" uniqueName="5" name="Initial Value" queryTableFieldId="5"/>
    <tableColumn id="6" xr3:uid="{00000000-0010-0000-0000-000006000000}" uniqueName="6" name="Factor" queryTableFieldId="6"/>
    <tableColumn id="7" xr3:uid="{00000000-0010-0000-0000-000007000000}" uniqueName="7" name="Offset" queryTableFieldId="7"/>
    <tableColumn id="8" xr3:uid="{00000000-0010-0000-0000-000008000000}" uniqueName="8" name="Minimum" queryTableFieldId="8"/>
    <tableColumn id="9" xr3:uid="{00000000-0010-0000-0000-000009000000}" uniqueName="9" name="Maximum" queryTableFieldId="9"/>
    <tableColumn id="14" xr3:uid="{00000000-0010-0000-0000-00000E000000}" uniqueName="14" name="IncludedInDBC" queryTableFieldId="14" dataDxfId="24"/>
    <tableColumn id="13" xr3:uid="{00000000-0010-0000-0000-00000D000000}" uniqueName="13" name="Message(s)" queryTableFieldId="13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71A8B1-9D22-4213-A498-1211E79E7AC0}" name="ObjectList24" displayName="ObjectList24" ref="A2:AC114" tableType="queryTable" totalsRowShown="0" headerRowDxfId="22" headerRowBorderDxfId="21">
  <autoFilter ref="A2:AC114" xr:uid="{00000000-0009-0000-0100-000001000000}"/>
  <sortState xmlns:xlrd2="http://schemas.microsoft.com/office/spreadsheetml/2017/richdata2" ref="A3:AC114">
    <sortCondition ref="F2:F114"/>
  </sortState>
  <tableColumns count="29">
    <tableColumn id="28" xr3:uid="{E7759CD5-6D01-4FF9-9BF1-AEDB7D4DCBD8}" uniqueName="28" name="Char Count" queryTableFieldId="33" dataDxfId="20">
      <calculatedColumnFormula>LEN(ObjectList24[[#This Row],[Name]])</calculatedColumnFormula>
    </tableColumn>
    <tableColumn id="11" xr3:uid="{F2A3E24B-E3C2-4D7B-BB52-9FDC7D0D09E1}" uniqueName="11" name="Signal Present on UDP" queryTableFieldId="40"/>
    <tableColumn id="22" xr3:uid="{6F3BEF19-18C6-40C8-B85F-10ED82F6D156}" uniqueName="22" name="Port Used" queryTableFieldId="41"/>
    <tableColumn id="1" xr3:uid="{54A20402-A05E-43FA-AE54-5993E148F61E}" uniqueName="1" name="Used in software" queryTableFieldId="39"/>
    <tableColumn id="25" xr3:uid="{7C712BC0-9FD2-4A80-9ED4-009618C75192}" uniqueName="25" name="Name" queryTableFieldId="30" dataDxfId="19">
      <calculatedColumnFormula>_xlfn.TEXTJOIN("_",TRUE,ObjectList24[[#This Row],[System]],ObjectList24[[#This Row],[Category]],ObjectList24[[#This Row],[Subsystem]],ObjectList24[[#This Row],[Subsystem Number]],ObjectList24[[#This Row],[Type]],ObjectList24[[#This Row],[Descriptor]])</calculatedColumnFormula>
    </tableColumn>
    <tableColumn id="20" xr3:uid="{A4651473-3A83-4C1B-9651-46863BE531AD}" uniqueName="20" name="System" queryTableFieldId="25" dataDxfId="18"/>
    <tableColumn id="23" xr3:uid="{06D64C18-ED14-483E-B88D-E2A2A35FAFBB}" uniqueName="23" name="Category" queryTableFieldId="28" dataDxfId="17"/>
    <tableColumn id="24" xr3:uid="{E1FC8676-5A37-45E7-A30E-0AF23BAD3996}" uniqueName="24" name="Subsystem" queryTableFieldId="29" dataDxfId="16"/>
    <tableColumn id="31" xr3:uid="{D30EE6F8-E13B-4658-907D-8E34E12C64CC}" uniqueName="31" name="Subsystem Number" queryTableFieldId="38" dataDxfId="15"/>
    <tableColumn id="26" xr3:uid="{8BAFE16D-412E-4FCF-B2DD-8E6BBEAA393B}" uniqueName="26" name="Type" queryTableFieldId="31" dataDxfId="14"/>
    <tableColumn id="21" xr3:uid="{F66402D7-7C35-436E-B55C-044E367EA0FB}" uniqueName="21" name="Descriptor" queryTableFieldId="26" dataDxfId="13"/>
    <tableColumn id="29" xr3:uid="{5CFEFCE0-B51E-4B5C-B9D4-B03904A4D100}" uniqueName="29" name="SignalLongName" queryTableFieldId="36" dataDxfId="12">
      <calculatedColumnFormula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calculatedColumnFormula>
    </tableColumn>
    <tableColumn id="15" xr3:uid="{2C12F81F-5D43-4E0A-8A89-7F1CCC9BDFFF}" uniqueName="15" name="Source" queryTableFieldId="15" dataDxfId="11"/>
    <tableColumn id="17" xr3:uid="{DDC5B29D-ED48-46FB-AE1C-0B0C5C31AF72}" uniqueName="17" name="Purpose" queryTableFieldId="17" dataDxfId="10"/>
    <tableColumn id="16" xr3:uid="{19FED55E-D951-4E59-A271-81DA038EB684}" uniqueName="16" name="Unit" queryTableFieldId="16" dataDxfId="9"/>
    <tableColumn id="10" xr3:uid="{740FF569-81A3-4B3B-8C27-FF926F88B7BE}" uniqueName="10" name="Value Descriptions" queryTableFieldId="20" dataDxfId="8"/>
    <tableColumn id="12" xr3:uid="{967778A0-C6C4-4D17-8FFE-EF632DF712DF}" uniqueName="12" name="Comment" queryTableFieldId="12" dataDxfId="7"/>
    <tableColumn id="18" xr3:uid="{52DDD9FC-650C-4558-9200-19A1EB5D58A7}" uniqueName="18" name="Network" queryTableFieldId="18"/>
    <tableColumn id="19" xr3:uid="{CE980DD8-C387-40D0-BACC-D89817440F3C}" uniqueName="19" name="DBC Code" queryTableFieldId="22" dataDxfId="6">
      <calculatedColumnFormula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calculatedColumnFormula>
    </tableColumn>
    <tableColumn id="3" xr3:uid="{69A29FB2-3F38-4A24-956C-FD366BE18F3A}" uniqueName="3" name="Byte Order" queryTableFieldId="3" dataDxfId="5"/>
    <tableColumn id="4" xr3:uid="{0C0751D1-F76E-46E9-87FA-1AC455D394A9}" uniqueName="4" name="Value Type" queryTableFieldId="4" dataDxfId="4"/>
    <tableColumn id="2" xr3:uid="{B9791102-3DDB-4146-9B46-3103CC80360B}" uniqueName="2" name="Length [Bit]" queryTableFieldId="2" dataDxfId="3"/>
    <tableColumn id="5" xr3:uid="{F1F8A2DE-2C42-4F7E-9127-9B2546680328}" uniqueName="5" name="Initial Value" queryTableFieldId="5"/>
    <tableColumn id="6" xr3:uid="{53E1F8E3-4742-4545-8E81-D54C254BE587}" uniqueName="6" name="Factor" queryTableFieldId="6"/>
    <tableColumn id="7" xr3:uid="{AA0CD051-CF5B-464D-94B5-A9C562A991C2}" uniqueName="7" name="Offset" queryTableFieldId="7"/>
    <tableColumn id="8" xr3:uid="{B0ACD86E-F68F-4CE5-8518-9D547A498DDF}" uniqueName="8" name="Minimum" queryTableFieldId="8"/>
    <tableColumn id="9" xr3:uid="{1235CB9B-9B70-4627-8A96-612449CB7BF0}" uniqueName="9" name="Maximum" queryTableFieldId="9"/>
    <tableColumn id="14" xr3:uid="{982B5115-3C3C-4776-9D49-F6BC1FB1406E}" uniqueName="14" name="IncludedInDBC" queryTableFieldId="14" dataDxfId="2"/>
    <tableColumn id="13" xr3:uid="{04537DAE-C170-4D3D-846D-2FEA9C25A6BB}" uniqueName="13" name="Message(s)" queryTableFieldId="13" dataDxf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7ADC2E-ADB7-4CFA-B600-F06573F238DD}" name="Table2" displayName="Table2" ref="B3:C90" totalsRowShown="0" headerRowDxfId="0">
  <autoFilter ref="B3:C90" xr:uid="{477ADC2E-ADB7-4CFA-B600-F06573F238DD}"/>
  <sortState xmlns:xlrd2="http://schemas.microsoft.com/office/spreadsheetml/2017/richdata2" ref="B4:C85">
    <sortCondition ref="B3:B85"/>
  </sortState>
  <tableColumns count="2">
    <tableColumn id="1" xr3:uid="{A452D26B-67B0-4299-A6D4-A17AA40B2267}" name="Abbreviations"/>
    <tableColumn id="2" xr3:uid="{56EE81AB-3B19-40C7-86B0-D1A1C904C9BE}" name="Defin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19"/>
  <sheetViews>
    <sheetView tabSelected="1" topLeftCell="F5" zoomScale="115" zoomScaleNormal="115" workbookViewId="0">
      <selection activeCell="T20" sqref="T20"/>
    </sheetView>
    <sheetView tabSelected="1" topLeftCell="H1" workbookViewId="1">
      <selection activeCell="B3" sqref="B3"/>
    </sheetView>
  </sheetViews>
  <sheetFormatPr defaultColWidth="9.140625" defaultRowHeight="15" x14ac:dyDescent="0.25"/>
  <cols>
    <col min="1" max="2" width="4" customWidth="1"/>
    <col min="3" max="3" width="5.140625" customWidth="1"/>
    <col min="4" max="4" width="15.140625" customWidth="1"/>
    <col min="5" max="5" width="33.140625" bestFit="1" customWidth="1"/>
    <col min="6" max="6" width="10.140625" customWidth="1"/>
    <col min="7" max="7" width="11.140625" customWidth="1"/>
    <col min="8" max="8" width="10.28515625" customWidth="1"/>
    <col min="9" max="9" width="6.28515625" customWidth="1"/>
    <col min="10" max="10" width="9.85546875" customWidth="1"/>
    <col min="11" max="11" width="12.42578125" customWidth="1"/>
    <col min="12" max="12" width="43" customWidth="1"/>
    <col min="13" max="13" width="10.85546875" customWidth="1"/>
    <col min="14" max="14" width="19.140625" customWidth="1"/>
    <col min="15" max="15" width="7.140625" bestFit="1" customWidth="1"/>
    <col min="16" max="16" width="12" customWidth="1"/>
    <col min="17" max="17" width="60.85546875" customWidth="1"/>
    <col min="18" max="18" width="9.140625" customWidth="1"/>
    <col min="19" max="19" width="78.28515625" bestFit="1" customWidth="1"/>
    <col min="20" max="20" width="13.85546875" customWidth="1"/>
    <col min="22" max="22" width="9.5703125" bestFit="1" customWidth="1"/>
    <col min="23" max="23" width="6" customWidth="1"/>
    <col min="24" max="24" width="6.140625" hidden="1" customWidth="1"/>
    <col min="25" max="25" width="6.28515625" customWidth="1"/>
    <col min="26" max="26" width="7.28515625" bestFit="1" customWidth="1"/>
    <col min="27" max="27" width="10.28515625" customWidth="1"/>
    <col min="28" max="28" width="9.5703125" customWidth="1"/>
    <col min="29" max="29" width="4.28515625" customWidth="1"/>
    <col min="30" max="30" width="26.85546875" customWidth="1"/>
    <col min="31" max="31" width="27" customWidth="1"/>
    <col min="32" max="32" width="12" customWidth="1"/>
    <col min="33" max="33" width="29" bestFit="1" customWidth="1"/>
  </cols>
  <sheetData>
    <row r="1" spans="1:30" s="7" customFormat="1" ht="85.5" x14ac:dyDescent="0.25">
      <c r="A1" s="7" t="s">
        <v>0</v>
      </c>
      <c r="B1" s="7" t="s">
        <v>1</v>
      </c>
      <c r="C1" s="7" t="s">
        <v>2</v>
      </c>
      <c r="D1" s="8" t="s">
        <v>383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384</v>
      </c>
      <c r="U1" s="7" t="s">
        <v>19</v>
      </c>
      <c r="V1" s="7" t="s">
        <v>20</v>
      </c>
      <c r="W1" s="7" t="s">
        <v>21</v>
      </c>
      <c r="X1" s="7" t="s">
        <v>22</v>
      </c>
      <c r="Y1" s="7" t="s">
        <v>23</v>
      </c>
      <c r="Z1" s="7" t="s">
        <v>24</v>
      </c>
      <c r="AA1" s="7" t="s">
        <v>25</v>
      </c>
      <c r="AB1" s="7" t="s">
        <v>26</v>
      </c>
      <c r="AC1" s="7" t="s">
        <v>27</v>
      </c>
      <c r="AD1" s="7" t="s">
        <v>28</v>
      </c>
    </row>
    <row r="2" spans="1:30" x14ac:dyDescent="0.25">
      <c r="A2">
        <f>LEN(ObjectList2[[#This Row],[Name]])</f>
        <v>21</v>
      </c>
      <c r="E2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Dyno_Data_Trace_Grade</v>
      </c>
      <c r="F2" t="s">
        <v>61</v>
      </c>
      <c r="G2" t="s">
        <v>67</v>
      </c>
      <c r="H2" t="s">
        <v>78</v>
      </c>
      <c r="J2" t="s">
        <v>62</v>
      </c>
      <c r="L2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Dyno data - trace grade</v>
      </c>
      <c r="M2" s="3" t="s">
        <v>52</v>
      </c>
      <c r="N2" s="3" t="s">
        <v>69</v>
      </c>
      <c r="O2" t="s">
        <v>80</v>
      </c>
      <c r="Q2" t="s">
        <v>81</v>
      </c>
      <c r="R2" t="s">
        <v>37</v>
      </c>
      <c r="S2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Dyno_Data_Trace_Grade : 10@1- (0.1,0) [0|0] "% " Vector__XXX</v>
      </c>
      <c r="T2" t="s">
        <v>385</v>
      </c>
      <c r="U2" t="s">
        <v>38</v>
      </c>
      <c r="V2" t="s">
        <v>57</v>
      </c>
      <c r="W2">
        <v>10</v>
      </c>
      <c r="X2">
        <v>0</v>
      </c>
      <c r="Y2">
        <v>0.1</v>
      </c>
      <c r="Z2">
        <v>0</v>
      </c>
      <c r="AA2">
        <f>IF(ObjectList2[[#This Row],[Value Type]]="Signed",(-(2^ObjectList2[[#This Row],[Length '[Bit']]])/2*ObjectList2[[#This Row],[Factor]]+ObjectList2[[#This Row],[Offset]]),(ObjectList2[[#This Row],[Offset]]))</f>
        <v>-51.2</v>
      </c>
      <c r="AB2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51.1</v>
      </c>
      <c r="AC2" t="s">
        <v>72</v>
      </c>
      <c r="AD2" t="s">
        <v>82</v>
      </c>
    </row>
    <row r="3" spans="1:30" x14ac:dyDescent="0.25">
      <c r="A3">
        <f>LEN(ObjectList2[[#This Row],[Name]])</f>
        <v>16</v>
      </c>
      <c r="E3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Dyno_Data_Temp_1</v>
      </c>
      <c r="F3" t="s">
        <v>61</v>
      </c>
      <c r="G3" t="s">
        <v>67</v>
      </c>
      <c r="J3" t="s">
        <v>68</v>
      </c>
      <c r="K3">
        <v>1</v>
      </c>
      <c r="L3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Dyno data - temperature</v>
      </c>
      <c r="M3" s="3" t="s">
        <v>52</v>
      </c>
      <c r="N3" s="3" t="s">
        <v>69</v>
      </c>
      <c r="O3" t="s">
        <v>70</v>
      </c>
      <c r="Q3" t="s">
        <v>71</v>
      </c>
      <c r="R3" t="s">
        <v>37</v>
      </c>
      <c r="S3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Dyno_Data_Temp_1 : 10@1+ (0.2,-20) [0|0] "degC" Vector__XXX</v>
      </c>
      <c r="U3" t="s">
        <v>38</v>
      </c>
      <c r="V3" t="s">
        <v>39</v>
      </c>
      <c r="W3">
        <v>10</v>
      </c>
      <c r="X3">
        <v>0</v>
      </c>
      <c r="Y3">
        <v>0.2</v>
      </c>
      <c r="Z3">
        <v>-20</v>
      </c>
      <c r="AA3">
        <f>IF(ObjectList2[[#This Row],[Value Type]]="Signed",(-(2^ObjectList2[[#This Row],[Length '[Bit']]])/2*ObjectList2[[#This Row],[Factor]]+ObjectList2[[#This Row],[Offset]]),(ObjectList2[[#This Row],[Offset]]))</f>
        <v>-20</v>
      </c>
      <c r="AB3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184.60000000000002</v>
      </c>
      <c r="AC3" t="s">
        <v>72</v>
      </c>
    </row>
    <row r="4" spans="1:30" x14ac:dyDescent="0.25">
      <c r="A4">
        <f>LEN(ObjectList2[[#This Row],[Name]])</f>
        <v>16</v>
      </c>
      <c r="E4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Dyno_Data_Temp_2</v>
      </c>
      <c r="F4" t="s">
        <v>61</v>
      </c>
      <c r="G4" t="s">
        <v>67</v>
      </c>
      <c r="J4" t="s">
        <v>68</v>
      </c>
      <c r="K4">
        <v>2</v>
      </c>
      <c r="L4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Dyno data - temperature</v>
      </c>
      <c r="M4" s="3" t="s">
        <v>52</v>
      </c>
      <c r="N4" s="3" t="s">
        <v>69</v>
      </c>
      <c r="O4" t="s">
        <v>70</v>
      </c>
      <c r="Q4" t="s">
        <v>73</v>
      </c>
      <c r="R4" t="s">
        <v>37</v>
      </c>
      <c r="S4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Dyno_Data_Temp_2 : 10@1+ (0.2,-20) [0|0] "degC" Vector__XXX</v>
      </c>
      <c r="U4" t="s">
        <v>38</v>
      </c>
      <c r="V4" t="s">
        <v>39</v>
      </c>
      <c r="W4">
        <v>10</v>
      </c>
      <c r="X4">
        <v>0</v>
      </c>
      <c r="Y4">
        <v>0.2</v>
      </c>
      <c r="Z4">
        <v>-20</v>
      </c>
      <c r="AA4">
        <f>IF(ObjectList2[[#This Row],[Value Type]]="Signed",(-(2^ObjectList2[[#This Row],[Length '[Bit']]])/2*ObjectList2[[#This Row],[Factor]]+ObjectList2[[#This Row],[Offset]]),(ObjectList2[[#This Row],[Offset]]))</f>
        <v>-20</v>
      </c>
      <c r="AB4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184.60000000000002</v>
      </c>
      <c r="AC4" t="s">
        <v>72</v>
      </c>
    </row>
    <row r="5" spans="1:30" x14ac:dyDescent="0.25">
      <c r="A5">
        <f>LEN(ObjectList2[[#This Row],[Name]])</f>
        <v>17</v>
      </c>
      <c r="E5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Dyno_Data_Fan_Spd</v>
      </c>
      <c r="F5" t="s">
        <v>61</v>
      </c>
      <c r="G5" t="s">
        <v>67</v>
      </c>
      <c r="H5" t="s">
        <v>74</v>
      </c>
      <c r="J5" t="s">
        <v>75</v>
      </c>
      <c r="L5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Dyno data - fan speed</v>
      </c>
      <c r="M5" s="3" t="s">
        <v>52</v>
      </c>
      <c r="N5" s="3" t="s">
        <v>69</v>
      </c>
      <c r="O5" t="s">
        <v>76</v>
      </c>
      <c r="Q5" t="s">
        <v>77</v>
      </c>
      <c r="R5" t="s">
        <v>37</v>
      </c>
      <c r="S5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Dyno_Data_Fan_Spd : 16@1- (0.01,0) [0|0] "km/h" Vector__XXX</v>
      </c>
      <c r="U5" t="s">
        <v>38</v>
      </c>
      <c r="V5" t="s">
        <v>57</v>
      </c>
      <c r="W5">
        <v>16</v>
      </c>
      <c r="X5">
        <v>0</v>
      </c>
      <c r="Y5">
        <v>0.01</v>
      </c>
      <c r="Z5">
        <v>0</v>
      </c>
      <c r="AA5">
        <f>IF(ObjectList2[[#This Row],[Value Type]]="Signed",(-(2^ObjectList2[[#This Row],[Length '[Bit']]])/2*ObjectList2[[#This Row],[Factor]]+ObjectList2[[#This Row],[Offset]]),(ObjectList2[[#This Row],[Offset]]))</f>
        <v>-327.68</v>
      </c>
      <c r="AB5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327.67</v>
      </c>
      <c r="AC5" t="s">
        <v>72</v>
      </c>
    </row>
    <row r="6" spans="1:30" x14ac:dyDescent="0.25">
      <c r="A6">
        <f>LEN(ObjectList2[[#This Row],[Name]])</f>
        <v>19</v>
      </c>
      <c r="E6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Dyno_Data_Trace_Spd</v>
      </c>
      <c r="F6" t="s">
        <v>61</v>
      </c>
      <c r="G6" t="s">
        <v>67</v>
      </c>
      <c r="H6" t="s">
        <v>78</v>
      </c>
      <c r="J6" t="s">
        <v>75</v>
      </c>
      <c r="L6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Dyno data - trace speed</v>
      </c>
      <c r="M6" s="3" t="s">
        <v>52</v>
      </c>
      <c r="N6" s="3" t="s">
        <v>69</v>
      </c>
      <c r="O6" t="s">
        <v>76</v>
      </c>
      <c r="Q6" t="s">
        <v>79</v>
      </c>
      <c r="R6" t="s">
        <v>37</v>
      </c>
      <c r="S6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Dyno_Data_Trace_Spd : 16@1- (0.01,0) [0|0] "km/h" Vector__XXX</v>
      </c>
      <c r="U6" t="s">
        <v>38</v>
      </c>
      <c r="V6" t="s">
        <v>57</v>
      </c>
      <c r="W6">
        <v>16</v>
      </c>
      <c r="X6">
        <v>0</v>
      </c>
      <c r="Y6">
        <v>0.01</v>
      </c>
      <c r="Z6">
        <v>0</v>
      </c>
      <c r="AA6">
        <f>IF(ObjectList2[[#This Row],[Value Type]]="Signed",(-(2^ObjectList2[[#This Row],[Length '[Bit']]])/2*ObjectList2[[#This Row],[Factor]]+ObjectList2[[#This Row],[Offset]]),(ObjectList2[[#This Row],[Offset]]))</f>
        <v>-327.68</v>
      </c>
      <c r="AB6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327.67</v>
      </c>
      <c r="AC6" t="s">
        <v>72</v>
      </c>
    </row>
    <row r="7" spans="1:30" x14ac:dyDescent="0.25">
      <c r="A7">
        <f>LEN(ObjectList2[[#This Row],[Name]])</f>
        <v>22</v>
      </c>
      <c r="E7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Dyno_Data_FrntRoll_Spd</v>
      </c>
      <c r="F7" t="s">
        <v>61</v>
      </c>
      <c r="G7" t="s">
        <v>67</v>
      </c>
      <c r="H7" t="s">
        <v>83</v>
      </c>
      <c r="J7" t="s">
        <v>75</v>
      </c>
      <c r="L7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Dyno data - front roll speed</v>
      </c>
      <c r="M7" s="3" t="s">
        <v>52</v>
      </c>
      <c r="N7" s="3" t="s">
        <v>69</v>
      </c>
      <c r="O7" t="s">
        <v>76</v>
      </c>
      <c r="Q7" t="s">
        <v>84</v>
      </c>
      <c r="R7" t="s">
        <v>37</v>
      </c>
      <c r="S7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Dyno_Data_FrntRoll_Spd : 16@1- (0.01,0) [0|0] "km/h" Vector__XXX</v>
      </c>
      <c r="U7" t="s">
        <v>38</v>
      </c>
      <c r="V7" t="s">
        <v>57</v>
      </c>
      <c r="W7">
        <v>16</v>
      </c>
      <c r="X7">
        <v>0</v>
      </c>
      <c r="Y7">
        <v>0.01</v>
      </c>
      <c r="Z7">
        <v>0</v>
      </c>
      <c r="AA7">
        <f>IF(ObjectList2[[#This Row],[Value Type]]="Signed",(-(2^ObjectList2[[#This Row],[Length '[Bit']]])/2*ObjectList2[[#This Row],[Factor]]+ObjectList2[[#This Row],[Offset]]),(ObjectList2[[#This Row],[Offset]]))</f>
        <v>-327.68</v>
      </c>
      <c r="AB7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327.67</v>
      </c>
      <c r="AC7" t="s">
        <v>72</v>
      </c>
    </row>
    <row r="8" spans="1:30" x14ac:dyDescent="0.25">
      <c r="A8">
        <f>LEN(ObjectList2[[#This Row],[Name]])</f>
        <v>22</v>
      </c>
      <c r="E8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Dyno_Data_RearRoll_Spd</v>
      </c>
      <c r="F8" t="s">
        <v>61</v>
      </c>
      <c r="G8" t="s">
        <v>67</v>
      </c>
      <c r="H8" t="s">
        <v>85</v>
      </c>
      <c r="J8" t="s">
        <v>75</v>
      </c>
      <c r="L8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Dyno data - rear roll speed</v>
      </c>
      <c r="M8" s="3" t="s">
        <v>52</v>
      </c>
      <c r="N8" s="3" t="s">
        <v>69</v>
      </c>
      <c r="O8" t="s">
        <v>76</v>
      </c>
      <c r="Q8" t="s">
        <v>86</v>
      </c>
      <c r="R8" t="s">
        <v>37</v>
      </c>
      <c r="S8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Dyno_Data_RearRoll_Spd : 16@1- (0.01,0) [0|0] "km/h" Vector__XXX</v>
      </c>
      <c r="U8" t="s">
        <v>38</v>
      </c>
      <c r="V8" t="s">
        <v>57</v>
      </c>
      <c r="W8">
        <v>16</v>
      </c>
      <c r="X8">
        <v>0</v>
      </c>
      <c r="Y8">
        <v>0.01</v>
      </c>
      <c r="Z8">
        <v>0</v>
      </c>
      <c r="AA8">
        <f>IF(ObjectList2[[#This Row],[Value Type]]="Signed",(-(2^ObjectList2[[#This Row],[Length '[Bit']]])/2*ObjectList2[[#This Row],[Factor]]+ObjectList2[[#This Row],[Offset]]),(ObjectList2[[#This Row],[Offset]]))</f>
        <v>-327.68</v>
      </c>
      <c r="AB8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327.67</v>
      </c>
      <c r="AC8" t="s">
        <v>72</v>
      </c>
    </row>
    <row r="9" spans="1:30" x14ac:dyDescent="0.25">
      <c r="A9">
        <f>LEN(ObjectList2[[#This Row],[Name]])</f>
        <v>16</v>
      </c>
      <c r="E9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Dyno_Resp_Status</v>
      </c>
      <c r="F9" t="s">
        <v>61</v>
      </c>
      <c r="G9" t="s">
        <v>50</v>
      </c>
      <c r="J9" t="s">
        <v>87</v>
      </c>
      <c r="L9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Dyno response - status</v>
      </c>
      <c r="M9" t="s">
        <v>52</v>
      </c>
      <c r="N9" t="s">
        <v>88</v>
      </c>
      <c r="O9" t="s">
        <v>89</v>
      </c>
      <c r="P9" t="s">
        <v>90</v>
      </c>
      <c r="Q9" t="s">
        <v>91</v>
      </c>
      <c r="R9" t="s">
        <v>37</v>
      </c>
      <c r="S9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Dyno_Resp_Status : 3@1+ (1,0) [0|0] "enum" Vector__XXX</v>
      </c>
      <c r="U9" t="s">
        <v>38</v>
      </c>
      <c r="V9" t="s">
        <v>39</v>
      </c>
      <c r="W9">
        <v>3</v>
      </c>
      <c r="X9">
        <v>0</v>
      </c>
      <c r="Y9">
        <v>1</v>
      </c>
      <c r="Z9">
        <v>0</v>
      </c>
      <c r="AA9">
        <f>IF(ObjectList2[[#This Row],[Value Type]]="Signed",(-(2^ObjectList2[[#This Row],[Length '[Bit']]])/2*ObjectList2[[#This Row],[Factor]]+ObjectList2[[#This Row],[Offset]]),(ObjectList2[[#This Row],[Offset]]))</f>
        <v>0</v>
      </c>
      <c r="AB9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7</v>
      </c>
      <c r="AC9" t="s">
        <v>72</v>
      </c>
    </row>
    <row r="10" spans="1:30" x14ac:dyDescent="0.25">
      <c r="A10">
        <f>LEN(ObjectList2[[#This Row],[Name]])</f>
        <v>20</v>
      </c>
      <c r="E10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Dyno_Resp_Grade_Used</v>
      </c>
      <c r="F10" t="s">
        <v>61</v>
      </c>
      <c r="G10" t="s">
        <v>50</v>
      </c>
      <c r="J10" t="s">
        <v>62</v>
      </c>
      <c r="K10" t="s">
        <v>92</v>
      </c>
      <c r="L10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Dyno response - grade used</v>
      </c>
      <c r="M10" t="s">
        <v>52</v>
      </c>
      <c r="N10" s="3" t="s">
        <v>93</v>
      </c>
      <c r="O10" t="s">
        <v>63</v>
      </c>
      <c r="Q10" t="s">
        <v>94</v>
      </c>
      <c r="R10" t="s">
        <v>37</v>
      </c>
      <c r="S10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Dyno_Resp_Grade_Used : 10@1- (0.1,0) [0|0] "%" Vector__XXX</v>
      </c>
      <c r="U10" t="s">
        <v>38</v>
      </c>
      <c r="V10" t="s">
        <v>57</v>
      </c>
      <c r="W10">
        <v>10</v>
      </c>
      <c r="X10">
        <v>0</v>
      </c>
      <c r="Y10">
        <v>0.1</v>
      </c>
      <c r="Z10">
        <v>0</v>
      </c>
      <c r="AA10">
        <f>IF(ObjectList2[[#This Row],[Value Type]]="Signed",(-(2^ObjectList2[[#This Row],[Length '[Bit']]])/2*ObjectList2[[#This Row],[Factor]]+ObjectList2[[#This Row],[Offset]]),(ObjectList2[[#This Row],[Offset]]))</f>
        <v>-51.2</v>
      </c>
      <c r="AB10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51.1</v>
      </c>
      <c r="AC10" t="s">
        <v>72</v>
      </c>
    </row>
    <row r="11" spans="1:30" x14ac:dyDescent="0.25">
      <c r="A11">
        <f>LEN(ObjectList2[[#This Row],[Name]])</f>
        <v>23</v>
      </c>
      <c r="E11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Dyno_Resp_Grade_CmdEcho</v>
      </c>
      <c r="F11" t="s">
        <v>61</v>
      </c>
      <c r="G11" t="s">
        <v>50</v>
      </c>
      <c r="J11" t="s">
        <v>62</v>
      </c>
      <c r="K11" t="s">
        <v>95</v>
      </c>
      <c r="L11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Dyno response - grade command echo</v>
      </c>
      <c r="M11" t="s">
        <v>52</v>
      </c>
      <c r="N11" t="s">
        <v>96</v>
      </c>
      <c r="O11" t="s">
        <v>63</v>
      </c>
      <c r="Q11" t="s">
        <v>97</v>
      </c>
      <c r="R11" t="s">
        <v>37</v>
      </c>
      <c r="S11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Dyno_Resp_Grade_CmdEcho : 10@1- (0.1,0) [0|0] "%" Vector__XXX</v>
      </c>
      <c r="U11" t="s">
        <v>38</v>
      </c>
      <c r="V11" t="s">
        <v>57</v>
      </c>
      <c r="W11">
        <v>10</v>
      </c>
      <c r="X11">
        <v>0</v>
      </c>
      <c r="Y11">
        <v>0.1</v>
      </c>
      <c r="Z11">
        <v>0</v>
      </c>
      <c r="AA11">
        <f>IF(ObjectList2[[#This Row],[Value Type]]="Signed",(-(2^ObjectList2[[#This Row],[Length '[Bit']]])/2*ObjectList2[[#This Row],[Factor]]+ObjectList2[[#This Row],[Offset]]),(ObjectList2[[#This Row],[Offset]]))</f>
        <v>-51.2</v>
      </c>
      <c r="AB11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51.1</v>
      </c>
      <c r="AC11" t="s">
        <v>72</v>
      </c>
    </row>
    <row r="12" spans="1:30" x14ac:dyDescent="0.25">
      <c r="A12">
        <f>LEN(ObjectList2[[#This Row],[Name]])</f>
        <v>18</v>
      </c>
      <c r="E12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Facil_Mgmt_Test_ID</v>
      </c>
      <c r="F12" t="s">
        <v>98</v>
      </c>
      <c r="G12" t="s">
        <v>99</v>
      </c>
      <c r="H12" t="s">
        <v>100</v>
      </c>
      <c r="J12" t="s">
        <v>101</v>
      </c>
      <c r="L12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Facil management - test identification number</v>
      </c>
      <c r="M12" t="s">
        <v>52</v>
      </c>
      <c r="N12" t="s">
        <v>88</v>
      </c>
      <c r="O12" t="s">
        <v>102</v>
      </c>
      <c r="Q12" t="s">
        <v>103</v>
      </c>
      <c r="R12" t="s">
        <v>37</v>
      </c>
      <c r="S12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Facil_Mgmt_Test_ID : 16@1+ (1,0) [0|0] "int" Vector__XXX</v>
      </c>
      <c r="U12" t="s">
        <v>38</v>
      </c>
      <c r="V12" t="s">
        <v>39</v>
      </c>
      <c r="W12">
        <v>16</v>
      </c>
      <c r="X12">
        <v>0</v>
      </c>
      <c r="Y12">
        <v>1</v>
      </c>
      <c r="Z12">
        <v>0</v>
      </c>
      <c r="AA12">
        <f>IF(ObjectList2[[#This Row],[Value Type]]="Signed",(-(2^ObjectList2[[#This Row],[Length '[Bit']]])/2*ObjectList2[[#This Row],[Factor]]+ObjectList2[[#This Row],[Offset]]),(ObjectList2[[#This Row],[Offset]]))</f>
        <v>0</v>
      </c>
      <c r="AB12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65535</v>
      </c>
    </row>
    <row r="13" spans="1:30" x14ac:dyDescent="0.25">
      <c r="A13">
        <f>LEN(ObjectList2[[#This Row],[Name]])</f>
        <v>19</v>
      </c>
      <c r="E13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Facil_Mgmt_Time_DAQ</v>
      </c>
      <c r="F13" t="s">
        <v>98</v>
      </c>
      <c r="G13" t="s">
        <v>99</v>
      </c>
      <c r="J13" t="s">
        <v>104</v>
      </c>
      <c r="K13" t="s">
        <v>105</v>
      </c>
      <c r="L13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Facil management - time data acquisition system</v>
      </c>
      <c r="M13" t="s">
        <v>52</v>
      </c>
      <c r="N13" t="s">
        <v>88</v>
      </c>
      <c r="O13" t="s">
        <v>106</v>
      </c>
      <c r="Q13" t="s">
        <v>107</v>
      </c>
      <c r="R13" t="s">
        <v>37</v>
      </c>
      <c r="S13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Facil_Mgmt_Time_DAQ : 32@1+ (0.001,0) [0|0] "s " Vector__XXX</v>
      </c>
      <c r="U13" t="s">
        <v>38</v>
      </c>
      <c r="V13" t="s">
        <v>39</v>
      </c>
      <c r="W13">
        <v>32</v>
      </c>
      <c r="X13">
        <v>0</v>
      </c>
      <c r="Y13">
        <v>1E-3</v>
      </c>
      <c r="Z13">
        <v>0</v>
      </c>
      <c r="AA13">
        <f>IF(ObjectList2[[#This Row],[Value Type]]="Signed",(-(2^ObjectList2[[#This Row],[Length '[Bit']]])/2*ObjectList2[[#This Row],[Factor]]+ObjectList2[[#This Row],[Offset]]),(ObjectList2[[#This Row],[Offset]]))</f>
        <v>0</v>
      </c>
      <c r="AB13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4294967.2949999999</v>
      </c>
    </row>
    <row r="14" spans="1:30" x14ac:dyDescent="0.25">
      <c r="A14">
        <f>LEN(ObjectList2[[#This Row],[Name]])</f>
        <v>20</v>
      </c>
      <c r="E14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Facil_Mgmt_Time_Sync</v>
      </c>
      <c r="F14" t="s">
        <v>98</v>
      </c>
      <c r="G14" t="s">
        <v>99</v>
      </c>
      <c r="J14" t="s">
        <v>104</v>
      </c>
      <c r="K14" t="s">
        <v>108</v>
      </c>
      <c r="L14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Facil management - time synchronization</v>
      </c>
      <c r="M14" t="s">
        <v>52</v>
      </c>
      <c r="N14" t="s">
        <v>88</v>
      </c>
      <c r="O14" t="s">
        <v>109</v>
      </c>
      <c r="Q14" t="s">
        <v>110</v>
      </c>
      <c r="R14" t="s">
        <v>37</v>
      </c>
      <c r="S14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Facil_Mgmt_Time_Sync : 32@1+ (0.001,0) [0|0] "s" Vector__XXX</v>
      </c>
      <c r="U14" t="s">
        <v>38</v>
      </c>
      <c r="V14" t="s">
        <v>39</v>
      </c>
      <c r="W14">
        <v>32</v>
      </c>
      <c r="X14">
        <v>0</v>
      </c>
      <c r="Y14">
        <v>1E-3</v>
      </c>
      <c r="Z14">
        <v>0</v>
      </c>
      <c r="AA14">
        <f>IF(ObjectList2[[#This Row],[Value Type]]="Signed",(-(2^ObjectList2[[#This Row],[Length '[Bit']]])/2*ObjectList2[[#This Row],[Factor]]+ObjectList2[[#This Row],[Offset]]),(ObjectList2[[#This Row],[Offset]]))</f>
        <v>0</v>
      </c>
      <c r="AB14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4294967.2949999999</v>
      </c>
    </row>
    <row r="15" spans="1:30" x14ac:dyDescent="0.25">
      <c r="A15">
        <f>LEN(ObjectList2[[#This Row],[Name]])</f>
        <v>26</v>
      </c>
      <c r="E15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Facil_Mgmt_Test_Time_Start</v>
      </c>
      <c r="F15" t="s">
        <v>98</v>
      </c>
      <c r="G15" t="s">
        <v>99</v>
      </c>
      <c r="H15" t="s">
        <v>100</v>
      </c>
      <c r="J15" t="s">
        <v>104</v>
      </c>
      <c r="K15" t="s">
        <v>111</v>
      </c>
      <c r="L15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Facil management - test time start</v>
      </c>
      <c r="M15" t="s">
        <v>52</v>
      </c>
      <c r="N15" t="s">
        <v>88</v>
      </c>
      <c r="O15" t="s">
        <v>106</v>
      </c>
      <c r="Q15" t="s">
        <v>112</v>
      </c>
      <c r="R15" t="s">
        <v>37</v>
      </c>
      <c r="S15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Facil_Mgmt_Test_Time_Start : 32@1+ (0.001,0) [0|0] "s " Vector__XXX</v>
      </c>
      <c r="U15" t="s">
        <v>38</v>
      </c>
      <c r="V15" t="s">
        <v>39</v>
      </c>
      <c r="W15">
        <v>32</v>
      </c>
      <c r="X15">
        <v>0</v>
      </c>
      <c r="Y15">
        <v>1E-3</v>
      </c>
      <c r="Z15">
        <v>0</v>
      </c>
      <c r="AA15">
        <f>IF(ObjectList2[[#This Row],[Value Type]]="Signed",(-(2^ObjectList2[[#This Row],[Length '[Bit']]])/2*ObjectList2[[#This Row],[Factor]]+ObjectList2[[#This Row],[Offset]]),(ObjectList2[[#This Row],[Offset]]))</f>
        <v>0</v>
      </c>
      <c r="AB15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4294967.2949999999</v>
      </c>
    </row>
    <row r="16" spans="1:30" x14ac:dyDescent="0.25">
      <c r="A16">
        <f>LEN(ObjectList2[[#This Row],[Name]])</f>
        <v>22</v>
      </c>
      <c r="E16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Facil_Mgmt_Test_Status</v>
      </c>
      <c r="F16" t="s">
        <v>98</v>
      </c>
      <c r="G16" t="s">
        <v>99</v>
      </c>
      <c r="H16" t="s">
        <v>100</v>
      </c>
      <c r="J16" t="s">
        <v>87</v>
      </c>
      <c r="L16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Facil management - test status</v>
      </c>
      <c r="M16" t="s">
        <v>52</v>
      </c>
      <c r="N16" t="s">
        <v>88</v>
      </c>
      <c r="O16" t="s">
        <v>89</v>
      </c>
      <c r="P16" t="s">
        <v>90</v>
      </c>
      <c r="Q16" t="s">
        <v>113</v>
      </c>
      <c r="R16" t="s">
        <v>37</v>
      </c>
      <c r="S16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Facil_Mgmt_Test_Status : 3@1+ (1,0) [0|0] "enum" Vector__XXX</v>
      </c>
      <c r="U16" t="s">
        <v>38</v>
      </c>
      <c r="V16" t="s">
        <v>39</v>
      </c>
      <c r="W16">
        <v>3</v>
      </c>
      <c r="X16">
        <v>0</v>
      </c>
      <c r="Y16">
        <v>1</v>
      </c>
      <c r="Z16">
        <v>0</v>
      </c>
      <c r="AA16">
        <f>IF(ObjectList2[[#This Row],[Value Type]]="Signed",(-(2^ObjectList2[[#This Row],[Length '[Bit']]])/2*ObjectList2[[#This Row],[Factor]]+ObjectList2[[#This Row],[Offset]]),(ObjectList2[[#This Row],[Offset]]))</f>
        <v>0</v>
      </c>
      <c r="AB16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7</v>
      </c>
    </row>
    <row r="17" spans="1:30" x14ac:dyDescent="0.25">
      <c r="A17">
        <f>LEN(ObjectList2[[#This Row],[Name]])</f>
        <v>24</v>
      </c>
      <c r="E17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Facil_Mgmt_Time_Greyware</v>
      </c>
      <c r="F17" t="s">
        <v>98</v>
      </c>
      <c r="G17" t="s">
        <v>99</v>
      </c>
      <c r="J17" t="s">
        <v>104</v>
      </c>
      <c r="K17" t="s">
        <v>114</v>
      </c>
      <c r="L17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Facil management - time greyware</v>
      </c>
      <c r="M17" t="s">
        <v>52</v>
      </c>
      <c r="N17" t="s">
        <v>88</v>
      </c>
      <c r="O17" t="s">
        <v>106</v>
      </c>
      <c r="Q17" t="s">
        <v>115</v>
      </c>
      <c r="R17" t="s">
        <v>37</v>
      </c>
      <c r="S17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Facil_Mgmt_Time_Greyware : 32@1+ (0.001,0) [0|0] "s " Vector__XXX</v>
      </c>
      <c r="U17" t="s">
        <v>38</v>
      </c>
      <c r="V17" t="s">
        <v>39</v>
      </c>
      <c r="W17">
        <v>32</v>
      </c>
      <c r="X17">
        <v>0</v>
      </c>
      <c r="Y17">
        <v>1E-3</v>
      </c>
      <c r="Z17">
        <v>0</v>
      </c>
      <c r="AA17">
        <f>IF(ObjectList2[[#This Row],[Value Type]]="Signed",(-(2^ObjectList2[[#This Row],[Length '[Bit']]])/2*ObjectList2[[#This Row],[Factor]]+ObjectList2[[#This Row],[Offset]]),(ObjectList2[[#This Row],[Offset]]))</f>
        <v>0</v>
      </c>
      <c r="AB17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4294967.2949999999</v>
      </c>
    </row>
    <row r="18" spans="1:30" x14ac:dyDescent="0.25">
      <c r="A18">
        <f>LEN(ObjectList2[[#This Row],[Name]])</f>
        <v>27</v>
      </c>
      <c r="E18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RobDrv_Resp_APP_Pos_CmdEcho</v>
      </c>
      <c r="F18" t="s">
        <v>133</v>
      </c>
      <c r="G18" t="s">
        <v>50</v>
      </c>
      <c r="H18" t="s">
        <v>134</v>
      </c>
      <c r="J18" t="s">
        <v>135</v>
      </c>
      <c r="K18" t="s">
        <v>95</v>
      </c>
      <c r="L18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RobDrv response - accelerator pedal position position command echo</v>
      </c>
      <c r="M18" s="3" t="s">
        <v>52</v>
      </c>
      <c r="N18" t="s">
        <v>96</v>
      </c>
      <c r="O18" t="s">
        <v>63</v>
      </c>
      <c r="Q18" t="s">
        <v>142</v>
      </c>
      <c r="R18" t="s">
        <v>37</v>
      </c>
      <c r="S18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RobDrv_Resp_APP_Pos_CmdEcho : 10@1+ (0.1,0) [0|0] "%" Vector__XXX</v>
      </c>
      <c r="U18" t="s">
        <v>38</v>
      </c>
      <c r="V18" t="s">
        <v>39</v>
      </c>
      <c r="W18">
        <v>10</v>
      </c>
      <c r="X18">
        <v>0</v>
      </c>
      <c r="Y18">
        <v>0.1</v>
      </c>
      <c r="Z18">
        <v>0</v>
      </c>
      <c r="AA18">
        <f>IF(ObjectList2[[#This Row],[Value Type]]="Signed",(-(2^ObjectList2[[#This Row],[Length '[Bit']]])/2*ObjectList2[[#This Row],[Factor]]+ObjectList2[[#This Row],[Offset]]),(ObjectList2[[#This Row],[Offset]]))</f>
        <v>0</v>
      </c>
      <c r="AB18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102.30000000000001</v>
      </c>
    </row>
    <row r="19" spans="1:30" hidden="1" x14ac:dyDescent="0.25">
      <c r="A19">
        <f>LEN(ObjectList2[[#This Row],[Name]])</f>
        <v>19</v>
      </c>
      <c r="E19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AuxLoad_Ctrl_Method</v>
      </c>
      <c r="F19" t="s">
        <v>29</v>
      </c>
      <c r="G19" t="s">
        <v>30</v>
      </c>
      <c r="J19" t="s">
        <v>31</v>
      </c>
      <c r="L19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AuxLoad control - method</v>
      </c>
      <c r="M19" t="s">
        <v>32</v>
      </c>
      <c r="N19" t="s">
        <v>33</v>
      </c>
      <c r="O19" t="s">
        <v>34</v>
      </c>
      <c r="P19" t="s">
        <v>35</v>
      </c>
      <c r="Q19" t="s">
        <v>36</v>
      </c>
      <c r="R19" t="s">
        <v>37</v>
      </c>
      <c r="S19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AuxLoad_Ctrl_Method : 2@1+ (1,0) [0|0] "bool" Vector__XXX</v>
      </c>
      <c r="T19" t="s">
        <v>386</v>
      </c>
      <c r="U19" t="s">
        <v>38</v>
      </c>
      <c r="V19" t="s">
        <v>39</v>
      </c>
      <c r="W19">
        <v>2</v>
      </c>
      <c r="X19">
        <v>0</v>
      </c>
      <c r="Y19">
        <v>1</v>
      </c>
      <c r="Z19">
        <v>0</v>
      </c>
      <c r="AA19">
        <f>IF(ObjectList2[[#This Row],[Value Type]]="Signed",(-(2^ObjectList2[[#This Row],[Length '[Bit']]])/2*ObjectList2[[#This Row],[Factor]]+ObjectList2[[#This Row],[Offset]]),(ObjectList2[[#This Row],[Offset]]))</f>
        <v>0</v>
      </c>
      <c r="AB19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3</v>
      </c>
    </row>
    <row r="20" spans="1:30" hidden="1" x14ac:dyDescent="0.25">
      <c r="A20">
        <f>LEN(ObjectList2[[#This Row],[Name]])</f>
        <v>20</v>
      </c>
      <c r="E20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AuxLoad_Ctrl_Pwr_Cmd</v>
      </c>
      <c r="F20" t="s">
        <v>29</v>
      </c>
      <c r="G20" t="s">
        <v>30</v>
      </c>
      <c r="J20" t="s">
        <v>40</v>
      </c>
      <c r="K20" t="s">
        <v>41</v>
      </c>
      <c r="L20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AuxLoad control - power command</v>
      </c>
      <c r="M20" t="s">
        <v>32</v>
      </c>
      <c r="N20" t="s">
        <v>33</v>
      </c>
      <c r="O20" t="s">
        <v>42</v>
      </c>
      <c r="Q20" t="s">
        <v>43</v>
      </c>
      <c r="R20" t="s">
        <v>37</v>
      </c>
      <c r="S20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AuxLoad_Ctrl_Pwr_Cmd : 12@1+ (0.001,0) [0|0] "kW" Vector__XXX</v>
      </c>
      <c r="U20" t="s">
        <v>38</v>
      </c>
      <c r="V20" t="s">
        <v>39</v>
      </c>
      <c r="W20">
        <v>12</v>
      </c>
      <c r="X20">
        <v>0</v>
      </c>
      <c r="Y20">
        <v>1E-3</v>
      </c>
      <c r="Z20">
        <v>0</v>
      </c>
      <c r="AA20">
        <f>IF(ObjectList2[[#This Row],[Value Type]]="Signed",(-(2^ObjectList2[[#This Row],[Length '[Bit']]])/2*ObjectList2[[#This Row],[Factor]]+ObjectList2[[#This Row],[Offset]]),(ObjectList2[[#This Row],[Offset]]))</f>
        <v>0</v>
      </c>
      <c r="AB20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4.0949999999999998</v>
      </c>
    </row>
    <row r="21" spans="1:30" hidden="1" x14ac:dyDescent="0.25">
      <c r="A21">
        <f>LEN(ObjectList2[[#This Row],[Name]])</f>
        <v>21</v>
      </c>
      <c r="E21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AuxLoad_Ctrl_Curr_Cmd</v>
      </c>
      <c r="F21" t="s">
        <v>29</v>
      </c>
      <c r="G21" t="s">
        <v>30</v>
      </c>
      <c r="J21" t="s">
        <v>44</v>
      </c>
      <c r="K21" t="s">
        <v>41</v>
      </c>
      <c r="L21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AuxLoad control - current command</v>
      </c>
      <c r="M21" t="s">
        <v>32</v>
      </c>
      <c r="N21" t="s">
        <v>33</v>
      </c>
      <c r="O21" t="s">
        <v>45</v>
      </c>
      <c r="Q21" t="s">
        <v>46</v>
      </c>
      <c r="R21" t="s">
        <v>37</v>
      </c>
      <c r="S21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AuxLoad_Ctrl_Curr_Cmd : 12@1+ (0.075,0) [0|0] "A" Vector__XXX</v>
      </c>
      <c r="U21" t="s">
        <v>38</v>
      </c>
      <c r="V21" t="s">
        <v>39</v>
      </c>
      <c r="W21">
        <v>12</v>
      </c>
      <c r="X21">
        <v>0</v>
      </c>
      <c r="Y21">
        <v>7.4999999999999997E-2</v>
      </c>
      <c r="Z21">
        <v>0</v>
      </c>
      <c r="AA21">
        <f>IF(ObjectList2[[#This Row],[Value Type]]="Signed",(-(2^ObjectList2[[#This Row],[Length '[Bit']]])/2*ObjectList2[[#This Row],[Factor]]+ObjectList2[[#This Row],[Offset]]),(ObjectList2[[#This Row],[Offset]]))</f>
        <v>0</v>
      </c>
      <c r="AB21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307.125</v>
      </c>
    </row>
    <row r="22" spans="1:30" hidden="1" x14ac:dyDescent="0.25">
      <c r="A22">
        <f>LEN(ObjectList2[[#This Row],[Name]])</f>
        <v>21</v>
      </c>
      <c r="E22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AuxLoad_Ctrl_Volt_Cmd</v>
      </c>
      <c r="F22" t="s">
        <v>29</v>
      </c>
      <c r="G22" t="s">
        <v>30</v>
      </c>
      <c r="J22" t="s">
        <v>47</v>
      </c>
      <c r="K22" t="s">
        <v>41</v>
      </c>
      <c r="L22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AuxLoad control - voltage command</v>
      </c>
      <c r="M22" t="s">
        <v>32</v>
      </c>
      <c r="N22" t="s">
        <v>33</v>
      </c>
      <c r="O22" t="s">
        <v>48</v>
      </c>
      <c r="Q22" t="s">
        <v>49</v>
      </c>
      <c r="R22" t="s">
        <v>37</v>
      </c>
      <c r="S22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AuxLoad_Ctrl_Volt_Cmd : 12@1+ (0.01,0) [0|0] "V" Vector__XXX</v>
      </c>
      <c r="U22" t="s">
        <v>38</v>
      </c>
      <c r="V22" t="s">
        <v>39</v>
      </c>
      <c r="W22">
        <v>12</v>
      </c>
      <c r="X22">
        <v>0</v>
      </c>
      <c r="Y22">
        <v>0.01</v>
      </c>
      <c r="Z22">
        <v>0</v>
      </c>
      <c r="AA22">
        <f>IF(ObjectList2[[#This Row],[Value Type]]="Signed",(-(2^ObjectList2[[#This Row],[Length '[Bit']]])/2*ObjectList2[[#This Row],[Factor]]+ObjectList2[[#This Row],[Offset]]),(ObjectList2[[#This Row],[Offset]]))</f>
        <v>0</v>
      </c>
      <c r="AB22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40.950000000000003</v>
      </c>
    </row>
    <row r="23" spans="1:30" hidden="1" x14ac:dyDescent="0.25">
      <c r="A23">
        <f>LEN(ObjectList2[[#This Row],[Name]])</f>
        <v>20</v>
      </c>
      <c r="E23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AuxLoad_Resp_Pwr_Max</v>
      </c>
      <c r="F23" t="s">
        <v>29</v>
      </c>
      <c r="G23" t="s">
        <v>50</v>
      </c>
      <c r="J23" t="s">
        <v>40</v>
      </c>
      <c r="K23" t="s">
        <v>51</v>
      </c>
      <c r="L23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AuxLoad response - power maximum</v>
      </c>
      <c r="M23" s="3" t="s">
        <v>52</v>
      </c>
      <c r="N23" t="s">
        <v>33</v>
      </c>
      <c r="O23" t="s">
        <v>42</v>
      </c>
      <c r="Q23" t="s">
        <v>53</v>
      </c>
      <c r="R23" t="s">
        <v>37</v>
      </c>
      <c r="S23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AuxLoad_Resp_Pwr_Max : 8@1+ (0.02,0) [0|0] "kW" Vector__XXX</v>
      </c>
      <c r="U23" t="s">
        <v>38</v>
      </c>
      <c r="V23" t="s">
        <v>39</v>
      </c>
      <c r="W23">
        <v>8</v>
      </c>
      <c r="X23">
        <v>0</v>
      </c>
      <c r="Y23">
        <v>0.02</v>
      </c>
      <c r="Z23">
        <v>0</v>
      </c>
      <c r="AA23">
        <f>IF(ObjectList2[[#This Row],[Value Type]]="Signed",(-(2^ObjectList2[[#This Row],[Length '[Bit']]])/2*ObjectList2[[#This Row],[Factor]]+ObjectList2[[#This Row],[Offset]]),(ObjectList2[[#This Row],[Offset]]))</f>
        <v>0</v>
      </c>
      <c r="AB23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5.1000000000000005</v>
      </c>
    </row>
    <row r="24" spans="1:30" hidden="1" x14ac:dyDescent="0.25">
      <c r="A24">
        <f>LEN(ObjectList2[[#This Row],[Name]])</f>
        <v>20</v>
      </c>
      <c r="E24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AuxLoad_Resp_Pwr_Min</v>
      </c>
      <c r="F24" t="s">
        <v>29</v>
      </c>
      <c r="G24" t="s">
        <v>50</v>
      </c>
      <c r="J24" t="s">
        <v>40</v>
      </c>
      <c r="K24" t="s">
        <v>54</v>
      </c>
      <c r="L24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AuxLoad response - power minimum</v>
      </c>
      <c r="M24" s="3" t="s">
        <v>52</v>
      </c>
      <c r="N24" t="s">
        <v>33</v>
      </c>
      <c r="O24" t="s">
        <v>42</v>
      </c>
      <c r="Q24" t="s">
        <v>55</v>
      </c>
      <c r="R24" t="s">
        <v>37</v>
      </c>
      <c r="S24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AuxLoad_Resp_Pwr_Min : 8@1+ (0.02,0) [0|0] "kW" Vector__XXX</v>
      </c>
      <c r="U24" t="s">
        <v>38</v>
      </c>
      <c r="V24" t="s">
        <v>39</v>
      </c>
      <c r="W24">
        <v>8</v>
      </c>
      <c r="X24">
        <v>0</v>
      </c>
      <c r="Y24">
        <v>0.02</v>
      </c>
      <c r="Z24">
        <v>0</v>
      </c>
      <c r="AA24">
        <f>IF(ObjectList2[[#This Row],[Value Type]]="Signed",(-(2^ObjectList2[[#This Row],[Length '[Bit']]])/2*ObjectList2[[#This Row],[Factor]]+ObjectList2[[#This Row],[Offset]]),(ObjectList2[[#This Row],[Offset]]))</f>
        <v>0</v>
      </c>
      <c r="AB24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5.1000000000000005</v>
      </c>
    </row>
    <row r="25" spans="1:30" hidden="1" x14ac:dyDescent="0.25">
      <c r="A25">
        <f>LEN(ObjectList2[[#This Row],[Name]])</f>
        <v>21</v>
      </c>
      <c r="E25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AuxLoad_Resp_Curr_Max</v>
      </c>
      <c r="F25" t="s">
        <v>29</v>
      </c>
      <c r="G25" t="s">
        <v>50</v>
      </c>
      <c r="J25" t="s">
        <v>44</v>
      </c>
      <c r="K25" t="s">
        <v>51</v>
      </c>
      <c r="L25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AuxLoad response - current maximum</v>
      </c>
      <c r="M25" s="3" t="s">
        <v>52</v>
      </c>
      <c r="N25" t="s">
        <v>33</v>
      </c>
      <c r="O25" t="s">
        <v>45</v>
      </c>
      <c r="Q25" t="s">
        <v>56</v>
      </c>
      <c r="R25" t="s">
        <v>37</v>
      </c>
      <c r="S25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AuxLoad_Resp_Curr_Max : 14@1- (0.3,0) [0|0] "A" Vector__XXX</v>
      </c>
      <c r="U25" t="s">
        <v>38</v>
      </c>
      <c r="V25" t="s">
        <v>57</v>
      </c>
      <c r="W25">
        <v>14</v>
      </c>
      <c r="X25">
        <v>0</v>
      </c>
      <c r="Y25">
        <v>0.3</v>
      </c>
      <c r="Z25">
        <v>0</v>
      </c>
      <c r="AA25">
        <f>IF(ObjectList2[[#This Row],[Value Type]]="Signed",(-(2^ObjectList2[[#This Row],[Length '[Bit']]])/2*ObjectList2[[#This Row],[Factor]]+ObjectList2[[#This Row],[Offset]]),(ObjectList2[[#This Row],[Offset]]))</f>
        <v>-2457.6</v>
      </c>
      <c r="AB25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2457.2999999999997</v>
      </c>
    </row>
    <row r="26" spans="1:30" hidden="1" x14ac:dyDescent="0.25">
      <c r="A26">
        <f>LEN(ObjectList2[[#This Row],[Name]])</f>
        <v>21</v>
      </c>
      <c r="E26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AuxLoad_Resp_Curr_Min</v>
      </c>
      <c r="F26" t="s">
        <v>29</v>
      </c>
      <c r="G26" t="s">
        <v>50</v>
      </c>
      <c r="J26" t="s">
        <v>44</v>
      </c>
      <c r="K26" t="s">
        <v>54</v>
      </c>
      <c r="L26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AuxLoad response - current minimum</v>
      </c>
      <c r="M26" s="3" t="s">
        <v>52</v>
      </c>
      <c r="N26" t="s">
        <v>33</v>
      </c>
      <c r="O26" t="s">
        <v>45</v>
      </c>
      <c r="Q26" t="s">
        <v>58</v>
      </c>
      <c r="R26" t="s">
        <v>37</v>
      </c>
      <c r="S26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AuxLoad_Resp_Curr_Min : 14@1- (0.3,0) [0|0] "A" Vector__XXX</v>
      </c>
      <c r="U26" t="s">
        <v>38</v>
      </c>
      <c r="V26" t="s">
        <v>57</v>
      </c>
      <c r="W26">
        <v>14</v>
      </c>
      <c r="X26">
        <v>0</v>
      </c>
      <c r="Y26">
        <v>0.3</v>
      </c>
      <c r="Z26">
        <v>0</v>
      </c>
      <c r="AA26">
        <f>IF(ObjectList2[[#This Row],[Value Type]]="Signed",(-(2^ObjectList2[[#This Row],[Length '[Bit']]])/2*ObjectList2[[#This Row],[Factor]]+ObjectList2[[#This Row],[Offset]]),(ObjectList2[[#This Row],[Offset]]))</f>
        <v>-2457.6</v>
      </c>
      <c r="AB26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2457.2999999999997</v>
      </c>
    </row>
    <row r="27" spans="1:30" hidden="1" x14ac:dyDescent="0.25">
      <c r="A27">
        <f>LEN(ObjectList2[[#This Row],[Name]])</f>
        <v>21</v>
      </c>
      <c r="E27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AuxLoad_Resp_Volt_Max</v>
      </c>
      <c r="F27" t="s">
        <v>29</v>
      </c>
      <c r="G27" t="s">
        <v>50</v>
      </c>
      <c r="J27" t="s">
        <v>47</v>
      </c>
      <c r="K27" t="s">
        <v>51</v>
      </c>
      <c r="L27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AuxLoad response - voltage maximum</v>
      </c>
      <c r="M27" s="3" t="s">
        <v>52</v>
      </c>
      <c r="N27" t="s">
        <v>33</v>
      </c>
      <c r="O27" t="s">
        <v>48</v>
      </c>
      <c r="Q27" t="s">
        <v>59</v>
      </c>
      <c r="R27" t="s">
        <v>37</v>
      </c>
      <c r="S27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AuxLoad_Resp_Volt_Max : 8@1+ (0.1,0) [0|0] "V" Vector__XXX</v>
      </c>
      <c r="U27" t="s">
        <v>38</v>
      </c>
      <c r="V27" t="s">
        <v>39</v>
      </c>
      <c r="W27">
        <v>8</v>
      </c>
      <c r="X27">
        <v>0</v>
      </c>
      <c r="Y27">
        <v>0.1</v>
      </c>
      <c r="Z27">
        <v>0</v>
      </c>
      <c r="AA27">
        <f>IF(ObjectList2[[#This Row],[Value Type]]="Signed",(-(2^ObjectList2[[#This Row],[Length '[Bit']]])/2*ObjectList2[[#This Row],[Factor]]+ObjectList2[[#This Row],[Offset]]),(ObjectList2[[#This Row],[Offset]]))</f>
        <v>0</v>
      </c>
      <c r="AB27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25.5</v>
      </c>
    </row>
    <row r="28" spans="1:30" hidden="1" x14ac:dyDescent="0.25">
      <c r="A28">
        <f>LEN(ObjectList2[[#This Row],[Name]])</f>
        <v>21</v>
      </c>
      <c r="E28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AuxLoad_Resp_Volt_Min</v>
      </c>
      <c r="F28" t="s">
        <v>29</v>
      </c>
      <c r="G28" t="s">
        <v>50</v>
      </c>
      <c r="J28" t="s">
        <v>47</v>
      </c>
      <c r="K28" t="s">
        <v>54</v>
      </c>
      <c r="L28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AuxLoad response - voltage minimum</v>
      </c>
      <c r="M28" s="3" t="s">
        <v>52</v>
      </c>
      <c r="N28" t="s">
        <v>33</v>
      </c>
      <c r="O28" t="s">
        <v>48</v>
      </c>
      <c r="Q28" t="s">
        <v>60</v>
      </c>
      <c r="R28" t="s">
        <v>37</v>
      </c>
      <c r="S28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AuxLoad_Resp_Volt_Min : 8@1+ (0.1,0) [0|0] "V" Vector__XXX</v>
      </c>
      <c r="U28" t="s">
        <v>38</v>
      </c>
      <c r="V28" t="s">
        <v>39</v>
      </c>
      <c r="W28">
        <v>8</v>
      </c>
      <c r="X28">
        <v>0</v>
      </c>
      <c r="Y28">
        <v>0.1</v>
      </c>
      <c r="Z28">
        <v>0</v>
      </c>
      <c r="AA28">
        <f>IF(ObjectList2[[#This Row],[Value Type]]="Signed",(-(2^ObjectList2[[#This Row],[Length '[Bit']]])/2*ObjectList2[[#This Row],[Factor]]+ObjectList2[[#This Row],[Offset]]),(ObjectList2[[#This Row],[Offset]]))</f>
        <v>0</v>
      </c>
      <c r="AB28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25.5</v>
      </c>
    </row>
    <row r="29" spans="1:30" x14ac:dyDescent="0.25">
      <c r="A29">
        <f>LEN(ObjectList2[[#This Row],[Name]])</f>
        <v>27</v>
      </c>
      <c r="E29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RobDrv_Resp_BPP_Pos_CmdEcho</v>
      </c>
      <c r="F29" t="s">
        <v>133</v>
      </c>
      <c r="G29" t="s">
        <v>50</v>
      </c>
      <c r="H29" t="s">
        <v>137</v>
      </c>
      <c r="J29" t="s">
        <v>135</v>
      </c>
      <c r="K29" t="s">
        <v>95</v>
      </c>
      <c r="L29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RobDrv response - brake pedal position position command echo</v>
      </c>
      <c r="M29" s="3" t="s">
        <v>52</v>
      </c>
      <c r="N29" t="s">
        <v>96</v>
      </c>
      <c r="O29" t="s">
        <v>63</v>
      </c>
      <c r="Q29" t="s">
        <v>142</v>
      </c>
      <c r="R29" t="s">
        <v>37</v>
      </c>
      <c r="S29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RobDrv_Resp_BPP_Pos_CmdEcho : 10@1+ (0.1,0) [0|0] "%" Vector__XXX</v>
      </c>
      <c r="U29" t="s">
        <v>38</v>
      </c>
      <c r="V29" t="s">
        <v>39</v>
      </c>
      <c r="W29">
        <v>10</v>
      </c>
      <c r="X29">
        <v>0</v>
      </c>
      <c r="Y29">
        <v>0.1</v>
      </c>
      <c r="Z29">
        <v>0</v>
      </c>
      <c r="AA29">
        <f>IF(ObjectList2[[#This Row],[Value Type]]="Signed",(-(2^ObjectList2[[#This Row],[Length '[Bit']]])/2*ObjectList2[[#This Row],[Factor]]+ObjectList2[[#This Row],[Offset]]),(ObjectList2[[#This Row],[Offset]]))</f>
        <v>0</v>
      </c>
      <c r="AB29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102.30000000000001</v>
      </c>
    </row>
    <row r="30" spans="1:30" x14ac:dyDescent="0.25">
      <c r="A30">
        <f>LEN(ObjectList2[[#This Row],[Name]])</f>
        <v>19</v>
      </c>
      <c r="E30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Dyno_Ctrl_Grade_Cmd</v>
      </c>
      <c r="F30" t="s">
        <v>61</v>
      </c>
      <c r="G30" t="s">
        <v>30</v>
      </c>
      <c r="J30" t="s">
        <v>62</v>
      </c>
      <c r="K30" t="s">
        <v>41</v>
      </c>
      <c r="L30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Dyno control - grade command</v>
      </c>
      <c r="M30" t="s">
        <v>32</v>
      </c>
      <c r="N30" t="s">
        <v>33</v>
      </c>
      <c r="O30" t="s">
        <v>63</v>
      </c>
      <c r="Q30" t="s">
        <v>64</v>
      </c>
      <c r="R30" t="s">
        <v>37</v>
      </c>
      <c r="S30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Dyno_Ctrl_Grade_Cmd : 10@1- (0.1,0) [0|0] "%" Vector__XXX</v>
      </c>
      <c r="T30" t="s">
        <v>385</v>
      </c>
      <c r="U30" t="s">
        <v>38</v>
      </c>
      <c r="V30" t="s">
        <v>57</v>
      </c>
      <c r="W30">
        <v>10</v>
      </c>
      <c r="X30">
        <v>0</v>
      </c>
      <c r="Y30">
        <v>0.1</v>
      </c>
      <c r="Z30">
        <v>0</v>
      </c>
      <c r="AA30">
        <f>IF(ObjectList2[[#This Row],[Value Type]]="Signed",(-(2^ObjectList2[[#This Row],[Length '[Bit']]])/2*ObjectList2[[#This Row],[Factor]]+ObjectList2[[#This Row],[Offset]]),(ObjectList2[[#This Row],[Offset]]))</f>
        <v>-51.2</v>
      </c>
      <c r="AB30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51.1</v>
      </c>
      <c r="AC30" t="s">
        <v>65</v>
      </c>
      <c r="AD30" t="s">
        <v>66</v>
      </c>
    </row>
    <row r="31" spans="1:30" x14ac:dyDescent="0.25">
      <c r="A31">
        <f>LEN(ObjectList2[[#This Row],[Name]])</f>
        <v>23</v>
      </c>
      <c r="E31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VUT_Ctrl_ACC_AxlTrq_Cmd</v>
      </c>
      <c r="F31" t="s">
        <v>143</v>
      </c>
      <c r="G31" t="s">
        <v>30</v>
      </c>
      <c r="H31" t="s">
        <v>144</v>
      </c>
      <c r="J31" t="s">
        <v>156</v>
      </c>
      <c r="K31" t="s">
        <v>41</v>
      </c>
      <c r="L31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control - ACC axle torque command</v>
      </c>
      <c r="M31" t="s">
        <v>32</v>
      </c>
      <c r="N31" t="s">
        <v>146</v>
      </c>
      <c r="O31" t="s">
        <v>157</v>
      </c>
      <c r="Q31" t="s">
        <v>158</v>
      </c>
      <c r="R31" t="s">
        <v>37</v>
      </c>
      <c r="S31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VUT_Ctrl_ACC_AxlTrq_Cmd : 16@1- (0.5,0) [0|0] "Nm" Vector__XXX</v>
      </c>
      <c r="T31" t="s">
        <v>385</v>
      </c>
      <c r="U31" t="s">
        <v>38</v>
      </c>
      <c r="V31" t="s">
        <v>57</v>
      </c>
      <c r="W31">
        <v>16</v>
      </c>
      <c r="X31">
        <v>0</v>
      </c>
      <c r="Y31">
        <v>0.5</v>
      </c>
      <c r="Z31">
        <v>0</v>
      </c>
      <c r="AA31">
        <f>IF(ObjectList2[[#This Row],[Value Type]]="Signed",(-(2^ObjectList2[[#This Row],[Length '[Bit']]])/2*ObjectList2[[#This Row],[Factor]]+ObjectList2[[#This Row],[Offset]]),(ObjectList2[[#This Row],[Offset]]))</f>
        <v>-16384</v>
      </c>
      <c r="AB31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16383.5</v>
      </c>
      <c r="AC31" t="s">
        <v>65</v>
      </c>
      <c r="AD31" t="s">
        <v>159</v>
      </c>
    </row>
    <row r="32" spans="1:30" x14ac:dyDescent="0.25">
      <c r="A32">
        <f>LEN(ObjectList2[[#This Row],[Name]])</f>
        <v>25</v>
      </c>
      <c r="E32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VUT_Ctrl_ACC_BrkDecel_Cmd</v>
      </c>
      <c r="F32" t="s">
        <v>143</v>
      </c>
      <c r="G32" t="s">
        <v>30</v>
      </c>
      <c r="H32" t="s">
        <v>144</v>
      </c>
      <c r="J32" t="s">
        <v>166</v>
      </c>
      <c r="K32" t="s">
        <v>41</v>
      </c>
      <c r="L32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control - ACC brake deceleration command</v>
      </c>
      <c r="M32" t="s">
        <v>32</v>
      </c>
      <c r="N32" t="s">
        <v>146</v>
      </c>
      <c r="O32" t="s">
        <v>147</v>
      </c>
      <c r="Q32" t="s">
        <v>167</v>
      </c>
      <c r="R32" t="s">
        <v>37</v>
      </c>
      <c r="S32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VUT_Ctrl_ACC_BrkDecel_Cmd : 12@1- (0.01,0) [0|0] "m/s^2" Vector__XXX</v>
      </c>
      <c r="T32" t="s">
        <v>385</v>
      </c>
      <c r="U32" t="s">
        <v>38</v>
      </c>
      <c r="V32" t="s">
        <v>57</v>
      </c>
      <c r="W32">
        <v>12</v>
      </c>
      <c r="X32">
        <v>0</v>
      </c>
      <c r="Y32">
        <v>0.01</v>
      </c>
      <c r="Z32">
        <v>0</v>
      </c>
      <c r="AA32">
        <f>IF(ObjectList2[[#This Row],[Value Type]]="Signed",(-(2^ObjectList2[[#This Row],[Length '[Bit']]])/2*ObjectList2[[#This Row],[Factor]]+ObjectList2[[#This Row],[Offset]]),(ObjectList2[[#This Row],[Offset]]))</f>
        <v>-20.48</v>
      </c>
      <c r="AB32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20.47</v>
      </c>
      <c r="AC32" t="s">
        <v>65</v>
      </c>
      <c r="AD32" t="s">
        <v>159</v>
      </c>
    </row>
    <row r="33" spans="1:30" x14ac:dyDescent="0.25">
      <c r="A33">
        <f>LEN(ObjectList2[[#This Row],[Name]])</f>
        <v>22</v>
      </c>
      <c r="E33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VUT_Ctrl_Trns_Gear_Cmd</v>
      </c>
      <c r="F33" t="s">
        <v>143</v>
      </c>
      <c r="G33" t="s">
        <v>30</v>
      </c>
      <c r="H33" t="s">
        <v>149</v>
      </c>
      <c r="J33" t="s">
        <v>150</v>
      </c>
      <c r="K33" t="s">
        <v>41</v>
      </c>
      <c r="L33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control - transmission gear command</v>
      </c>
      <c r="M33" t="s">
        <v>32</v>
      </c>
      <c r="N33" t="s">
        <v>151</v>
      </c>
      <c r="O33" t="s">
        <v>102</v>
      </c>
      <c r="Q33" t="s">
        <v>152</v>
      </c>
      <c r="R33" t="s">
        <v>37</v>
      </c>
      <c r="S33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VUT_Ctrl_Trns_Gear_Cmd : 4@1+ (1,0) [0|0] "int" Vector__XXX</v>
      </c>
      <c r="T33" t="s">
        <v>386</v>
      </c>
      <c r="U33" t="s">
        <v>38</v>
      </c>
      <c r="V33" t="s">
        <v>39</v>
      </c>
      <c r="W33">
        <v>4</v>
      </c>
      <c r="X33">
        <v>0</v>
      </c>
      <c r="Y33">
        <v>1</v>
      </c>
      <c r="Z33">
        <v>0</v>
      </c>
      <c r="AA33">
        <f>IF(ObjectList2[[#This Row],[Value Type]]="Signed",(-(2^ObjectList2[[#This Row],[Length '[Bit']]])/2*ObjectList2[[#This Row],[Factor]]+ObjectList2[[#This Row],[Offset]]),(ObjectList2[[#This Row],[Offset]]))</f>
        <v>0</v>
      </c>
      <c r="AB33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15</v>
      </c>
      <c r="AC33" t="s">
        <v>65</v>
      </c>
      <c r="AD33" t="s">
        <v>153</v>
      </c>
    </row>
    <row r="34" spans="1:30" x14ac:dyDescent="0.25">
      <c r="A34">
        <f>LEN(ObjectList2[[#This Row],[Name]])</f>
        <v>20</v>
      </c>
      <c r="E34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Master_Ctrl_Test_Cmd</v>
      </c>
      <c r="F34" t="s">
        <v>32</v>
      </c>
      <c r="G34" t="s">
        <v>30</v>
      </c>
      <c r="J34" t="s">
        <v>100</v>
      </c>
      <c r="K34" t="s">
        <v>41</v>
      </c>
      <c r="L34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Master control - test command</v>
      </c>
      <c r="M34" t="s">
        <v>32</v>
      </c>
      <c r="N34" t="s">
        <v>88</v>
      </c>
      <c r="O34" t="s">
        <v>89</v>
      </c>
      <c r="P34" t="s">
        <v>126</v>
      </c>
      <c r="Q34" t="s">
        <v>127</v>
      </c>
      <c r="R34" t="s">
        <v>37</v>
      </c>
      <c r="S34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Master_Ctrl_Test_Cmd : 3@1+ (1,0) [0|0] "enum" Vector__XXX</v>
      </c>
      <c r="U34" t="s">
        <v>38</v>
      </c>
      <c r="V34" t="s">
        <v>39</v>
      </c>
      <c r="W34">
        <v>3</v>
      </c>
      <c r="X34">
        <v>0</v>
      </c>
      <c r="Y34">
        <v>1</v>
      </c>
      <c r="Z34">
        <v>0</v>
      </c>
      <c r="AA34">
        <f>IF(ObjectList2[[#This Row],[Value Type]]="Signed",(-(2^ObjectList2[[#This Row],[Length '[Bit']]])/2*ObjectList2[[#This Row],[Factor]]+ObjectList2[[#This Row],[Offset]]),(ObjectList2[[#This Row],[Offset]]))</f>
        <v>0</v>
      </c>
      <c r="AB34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7</v>
      </c>
    </row>
    <row r="35" spans="1:30" x14ac:dyDescent="0.25">
      <c r="A35">
        <f>LEN(ObjectList2[[#This Row],[Name]])</f>
        <v>18</v>
      </c>
      <c r="E35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Master_Resp_SoftID</v>
      </c>
      <c r="F35" t="s">
        <v>32</v>
      </c>
      <c r="G35" t="s">
        <v>50</v>
      </c>
      <c r="J35" t="s">
        <v>128</v>
      </c>
      <c r="L35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Master response - software ID number</v>
      </c>
      <c r="M35" t="s">
        <v>32</v>
      </c>
      <c r="N35" t="s">
        <v>88</v>
      </c>
      <c r="O35" t="s">
        <v>129</v>
      </c>
      <c r="Q35" t="s">
        <v>130</v>
      </c>
      <c r="R35" t="s">
        <v>37</v>
      </c>
      <c r="S35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Master_Resp_SoftID : 16@1+ (1,0) [0|0] "NA" Vector__XXX</v>
      </c>
      <c r="U35" t="s">
        <v>38</v>
      </c>
      <c r="V35" t="s">
        <v>39</v>
      </c>
      <c r="W35">
        <v>16</v>
      </c>
      <c r="X35">
        <v>0</v>
      </c>
      <c r="Y35">
        <v>1</v>
      </c>
      <c r="Z35">
        <v>0</v>
      </c>
      <c r="AA35">
        <f>IF(ObjectList2[[#This Row],[Value Type]]="Signed",(-(2^ObjectList2[[#This Row],[Length '[Bit']]])/2*ObjectList2[[#This Row],[Factor]]+ObjectList2[[#This Row],[Offset]]),(ObjectList2[[#This Row],[Offset]]))</f>
        <v>0</v>
      </c>
      <c r="AB35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65535</v>
      </c>
    </row>
    <row r="36" spans="1:30" x14ac:dyDescent="0.25">
      <c r="A36">
        <f>LEN(ObjectList2[[#This Row],[Name]])</f>
        <v>22</v>
      </c>
      <c r="E36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Master_Resp_Sys_Status</v>
      </c>
      <c r="F36" t="s">
        <v>32</v>
      </c>
      <c r="G36" t="s">
        <v>50</v>
      </c>
      <c r="H36" t="s">
        <v>131</v>
      </c>
      <c r="J36" t="s">
        <v>87</v>
      </c>
      <c r="L36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Master response - system status</v>
      </c>
      <c r="M36" t="s">
        <v>32</v>
      </c>
      <c r="N36" t="s">
        <v>88</v>
      </c>
      <c r="O36" t="s">
        <v>89</v>
      </c>
      <c r="P36" t="s">
        <v>90</v>
      </c>
      <c r="Q36" t="s">
        <v>132</v>
      </c>
      <c r="R36" t="s">
        <v>37</v>
      </c>
      <c r="S36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Master_Resp_Sys_Status : 3@1+ (1,0) [0|0] "enum" Vector__XXX</v>
      </c>
      <c r="U36" t="s">
        <v>38</v>
      </c>
      <c r="V36" t="s">
        <v>39</v>
      </c>
      <c r="W36">
        <v>3</v>
      </c>
      <c r="X36">
        <v>0</v>
      </c>
      <c r="Y36">
        <v>1</v>
      </c>
      <c r="Z36">
        <v>0</v>
      </c>
      <c r="AA36">
        <f>IF(ObjectList2[[#This Row],[Value Type]]="Signed",(-(2^ObjectList2[[#This Row],[Length '[Bit']]])/2*ObjectList2[[#This Row],[Factor]]+ObjectList2[[#This Row],[Offset]]),(ObjectList2[[#This Row],[Offset]]))</f>
        <v>0</v>
      </c>
      <c r="AB36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7</v>
      </c>
    </row>
    <row r="37" spans="1:30" x14ac:dyDescent="0.25">
      <c r="A37">
        <f>LEN(ObjectList2[[#This Row],[Name]])</f>
        <v>23</v>
      </c>
      <c r="E37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RobDrv_Ctrl_APP_Pos_Cmd</v>
      </c>
      <c r="F37" t="s">
        <v>133</v>
      </c>
      <c r="G37" t="s">
        <v>30</v>
      </c>
      <c r="H37" t="s">
        <v>134</v>
      </c>
      <c r="J37" t="s">
        <v>135</v>
      </c>
      <c r="K37" t="s">
        <v>41</v>
      </c>
      <c r="L37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RobDrv control - accelerator pedal position position command</v>
      </c>
      <c r="M37" t="s">
        <v>32</v>
      </c>
      <c r="N37" t="s">
        <v>33</v>
      </c>
      <c r="O37" t="s">
        <v>63</v>
      </c>
      <c r="Q37" t="s">
        <v>136</v>
      </c>
      <c r="R37" t="s">
        <v>37</v>
      </c>
      <c r="S37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RobDrv_Ctrl_APP_Pos_Cmd : 10@1+ (0.1,0) [0|0] "%" Vector__XXX</v>
      </c>
      <c r="U37" t="s">
        <v>38</v>
      </c>
      <c r="V37" t="s">
        <v>39</v>
      </c>
      <c r="W37">
        <v>10</v>
      </c>
      <c r="X37">
        <v>0</v>
      </c>
      <c r="Y37">
        <v>0.1</v>
      </c>
      <c r="Z37">
        <v>0</v>
      </c>
      <c r="AA37">
        <f>IF(ObjectList2[[#This Row],[Value Type]]="Signed",(-(2^ObjectList2[[#This Row],[Length '[Bit']]])/2*ObjectList2[[#This Row],[Factor]]+ObjectList2[[#This Row],[Offset]]),(ObjectList2[[#This Row],[Offset]]))</f>
        <v>0</v>
      </c>
      <c r="AB37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102.30000000000001</v>
      </c>
    </row>
    <row r="38" spans="1:30" x14ac:dyDescent="0.25">
      <c r="A38">
        <f>LEN(ObjectList2[[#This Row],[Name]])</f>
        <v>23</v>
      </c>
      <c r="E38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RobDrv_Ctrl_BPP_Pos_Cmd</v>
      </c>
      <c r="F38" t="s">
        <v>133</v>
      </c>
      <c r="G38" t="s">
        <v>30</v>
      </c>
      <c r="H38" t="s">
        <v>137</v>
      </c>
      <c r="J38" t="s">
        <v>135</v>
      </c>
      <c r="K38" t="s">
        <v>41</v>
      </c>
      <c r="L38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RobDrv control - brake pedal position position command</v>
      </c>
      <c r="M38" t="s">
        <v>32</v>
      </c>
      <c r="N38" t="s">
        <v>33</v>
      </c>
      <c r="O38" t="s">
        <v>63</v>
      </c>
      <c r="Q38" t="s">
        <v>138</v>
      </c>
      <c r="R38" t="s">
        <v>37</v>
      </c>
      <c r="S38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RobDrv_Ctrl_BPP_Pos_Cmd : 10@1+ (0.1,0) [0|0] "%" Vector__XXX</v>
      </c>
      <c r="U38" t="s">
        <v>38</v>
      </c>
      <c r="V38" t="s">
        <v>39</v>
      </c>
      <c r="W38">
        <v>10</v>
      </c>
      <c r="X38">
        <v>0</v>
      </c>
      <c r="Y38">
        <v>0.1</v>
      </c>
      <c r="Z38">
        <v>0</v>
      </c>
      <c r="AA38">
        <f>IF(ObjectList2[[#This Row],[Value Type]]="Signed",(-(2^ObjectList2[[#This Row],[Length '[Bit']]])/2*ObjectList2[[#This Row],[Factor]]+ObjectList2[[#This Row],[Offset]]),(ObjectList2[[#This Row],[Offset]]))</f>
        <v>0</v>
      </c>
      <c r="AB38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102.30000000000001</v>
      </c>
    </row>
    <row r="39" spans="1:30" x14ac:dyDescent="0.25">
      <c r="A39">
        <f>LEN(ObjectList2[[#This Row],[Name]])</f>
        <v>24</v>
      </c>
      <c r="E39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RobDrv_Ctrl_APP_Pos_Actv</v>
      </c>
      <c r="F39" t="s">
        <v>133</v>
      </c>
      <c r="G39" t="s">
        <v>30</v>
      </c>
      <c r="H39" t="s">
        <v>134</v>
      </c>
      <c r="J39" t="s">
        <v>135</v>
      </c>
      <c r="K39" t="s">
        <v>139</v>
      </c>
      <c r="L39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RobDrv control - accelerator pedal position position active</v>
      </c>
      <c r="M39" t="s">
        <v>32</v>
      </c>
      <c r="N39" t="s">
        <v>33</v>
      </c>
      <c r="O39" t="s">
        <v>34</v>
      </c>
      <c r="Q39" t="s">
        <v>140</v>
      </c>
      <c r="R39" t="s">
        <v>37</v>
      </c>
      <c r="S39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RobDrv_Ctrl_APP_Pos_Actv : 1@1+ (1,0) [0|0] "bool" Vector__XXX</v>
      </c>
      <c r="U39" t="s">
        <v>38</v>
      </c>
      <c r="V39" t="s">
        <v>39</v>
      </c>
      <c r="W39">
        <v>1</v>
      </c>
      <c r="X39">
        <v>0</v>
      </c>
      <c r="Y39">
        <v>1</v>
      </c>
      <c r="Z39">
        <v>0</v>
      </c>
      <c r="AA39">
        <f>IF(ObjectList2[[#This Row],[Value Type]]="Signed",(-(2^ObjectList2[[#This Row],[Length '[Bit']]])/2*ObjectList2[[#This Row],[Factor]]+ObjectList2[[#This Row],[Offset]]),(ObjectList2[[#This Row],[Offset]]))</f>
        <v>0</v>
      </c>
      <c r="AB39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1</v>
      </c>
    </row>
    <row r="40" spans="1:30" x14ac:dyDescent="0.25">
      <c r="A40">
        <f>LEN(ObjectList2[[#This Row],[Name]])</f>
        <v>24</v>
      </c>
      <c r="E40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RobDrv_Ctrl_BPP_Pos_Actv</v>
      </c>
      <c r="F40" t="s">
        <v>133</v>
      </c>
      <c r="G40" t="s">
        <v>30</v>
      </c>
      <c r="H40" t="s">
        <v>137</v>
      </c>
      <c r="J40" t="s">
        <v>135</v>
      </c>
      <c r="K40" t="s">
        <v>139</v>
      </c>
      <c r="L40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RobDrv control - brake pedal position position active</v>
      </c>
      <c r="M40" t="s">
        <v>32</v>
      </c>
      <c r="N40" t="s">
        <v>33</v>
      </c>
      <c r="O40" t="s">
        <v>34</v>
      </c>
      <c r="Q40" t="s">
        <v>141</v>
      </c>
      <c r="R40" t="s">
        <v>37</v>
      </c>
      <c r="S40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RobDrv_Ctrl_BPP_Pos_Actv : 1@1+ (1,0) [0|0] "bool" Vector__XXX</v>
      </c>
      <c r="U40" t="s">
        <v>38</v>
      </c>
      <c r="V40" t="s">
        <v>39</v>
      </c>
      <c r="W40">
        <v>1</v>
      </c>
      <c r="Y40">
        <v>1</v>
      </c>
      <c r="Z40">
        <v>0</v>
      </c>
      <c r="AA40">
        <f>IF(ObjectList2[[#This Row],[Value Type]]="Signed",(-(2^ObjectList2[[#This Row],[Length '[Bit']]])/2*ObjectList2[[#This Row],[Factor]]+ObjectList2[[#This Row],[Offset]]),(ObjectList2[[#This Row],[Offset]]))</f>
        <v>0</v>
      </c>
      <c r="AB40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1</v>
      </c>
    </row>
    <row r="41" spans="1:30" x14ac:dyDescent="0.25">
      <c r="A41">
        <f>LEN(ObjectList2[[#This Row],[Name]])</f>
        <v>22</v>
      </c>
      <c r="E41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VUT_Ctrl_ACC_Accel_Cmd</v>
      </c>
      <c r="F41" t="s">
        <v>143</v>
      </c>
      <c r="G41" t="s">
        <v>30</v>
      </c>
      <c r="H41" t="s">
        <v>144</v>
      </c>
      <c r="J41" t="s">
        <v>145</v>
      </c>
      <c r="K41" t="s">
        <v>41</v>
      </c>
      <c r="L41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control - ACC acceleration command</v>
      </c>
      <c r="M41" t="s">
        <v>32</v>
      </c>
      <c r="N41" t="s">
        <v>146</v>
      </c>
      <c r="O41" t="s">
        <v>147</v>
      </c>
      <c r="Q41" t="s">
        <v>148</v>
      </c>
      <c r="R41" t="s">
        <v>37</v>
      </c>
      <c r="S41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VUT_Ctrl_ACC_Accel_Cmd : 12@1- (0.01,0) [0|0] "m/s^2" Vector__XXX</v>
      </c>
      <c r="U41" t="s">
        <v>38</v>
      </c>
      <c r="V41" t="s">
        <v>57</v>
      </c>
      <c r="W41">
        <v>12</v>
      </c>
      <c r="X41">
        <v>0</v>
      </c>
      <c r="Y41">
        <v>0.01</v>
      </c>
      <c r="Z41">
        <v>0</v>
      </c>
      <c r="AA41">
        <f>IF(ObjectList2[[#This Row],[Value Type]]="Signed",(-(2^ObjectList2[[#This Row],[Length '[Bit']]])/2*ObjectList2[[#This Row],[Factor]]+ObjectList2[[#This Row],[Offset]]),(ObjectList2[[#This Row],[Offset]]))</f>
        <v>-20.48</v>
      </c>
      <c r="AB41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20.47</v>
      </c>
    </row>
    <row r="42" spans="1:30" x14ac:dyDescent="0.25">
      <c r="A42">
        <f>LEN(ObjectList2[[#This Row],[Name]])</f>
        <v>23</v>
      </c>
      <c r="E42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VUT_Ctrl_ACC_Accel_Actv</v>
      </c>
      <c r="F42" t="s">
        <v>143</v>
      </c>
      <c r="G42" t="s">
        <v>30</v>
      </c>
      <c r="H42" t="s">
        <v>144</v>
      </c>
      <c r="J42" t="s">
        <v>145</v>
      </c>
      <c r="K42" t="s">
        <v>139</v>
      </c>
      <c r="L42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control - ACC acceleration active</v>
      </c>
      <c r="M42" t="s">
        <v>32</v>
      </c>
      <c r="N42" t="s">
        <v>146</v>
      </c>
      <c r="O42" t="s">
        <v>34</v>
      </c>
      <c r="P42" t="s">
        <v>154</v>
      </c>
      <c r="Q42" t="s">
        <v>155</v>
      </c>
      <c r="R42" t="s">
        <v>37</v>
      </c>
      <c r="S42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VUT_Ctrl_ACC_Accel_Actv : 1@1+ (1,0) [0|0] "bool" Vector__XXX</v>
      </c>
      <c r="U42" t="s">
        <v>38</v>
      </c>
      <c r="V42" t="s">
        <v>39</v>
      </c>
      <c r="W42">
        <v>1</v>
      </c>
      <c r="X42">
        <v>0</v>
      </c>
      <c r="Y42">
        <v>1</v>
      </c>
      <c r="Z42">
        <v>0</v>
      </c>
      <c r="AA42">
        <f>IF(ObjectList2[[#This Row],[Value Type]]="Signed",(-(2^ObjectList2[[#This Row],[Length '[Bit']]])/2*ObjectList2[[#This Row],[Factor]]+ObjectList2[[#This Row],[Offset]]),(ObjectList2[[#This Row],[Offset]]))</f>
        <v>0</v>
      </c>
      <c r="AB42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1</v>
      </c>
    </row>
    <row r="43" spans="1:30" x14ac:dyDescent="0.25">
      <c r="A43">
        <f>LEN(ObjectList2[[#This Row],[Name]])</f>
        <v>23</v>
      </c>
      <c r="E43" t="s">
        <v>160</v>
      </c>
      <c r="F43" t="s">
        <v>143</v>
      </c>
      <c r="G43" t="s">
        <v>30</v>
      </c>
      <c r="H43" t="s">
        <v>149</v>
      </c>
      <c r="J43" t="s">
        <v>150</v>
      </c>
      <c r="K43" t="s">
        <v>139</v>
      </c>
      <c r="L43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control - transmission gear active</v>
      </c>
      <c r="M43" t="s">
        <v>32</v>
      </c>
      <c r="N43" t="s">
        <v>151</v>
      </c>
      <c r="O43" t="s">
        <v>34</v>
      </c>
      <c r="P43" t="s">
        <v>154</v>
      </c>
      <c r="Q43" t="s">
        <v>161</v>
      </c>
      <c r="R43" t="s">
        <v>37</v>
      </c>
      <c r="S43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VUT_Ctrl_Trns_Gear_Actv : 1@1+ (1,0) [0|0] "bool" Vector__XXX</v>
      </c>
      <c r="U43" t="s">
        <v>38</v>
      </c>
      <c r="V43" t="s">
        <v>39</v>
      </c>
      <c r="W43">
        <v>1</v>
      </c>
      <c r="X43">
        <v>0</v>
      </c>
      <c r="Y43">
        <v>1</v>
      </c>
      <c r="Z43">
        <v>0</v>
      </c>
      <c r="AA43">
        <f>IF(ObjectList2[[#This Row],[Value Type]]="Signed",(-(2^ObjectList2[[#This Row],[Length '[Bit']]])/2*ObjectList2[[#This Row],[Factor]]+ObjectList2[[#This Row],[Offset]]),(ObjectList2[[#This Row],[Offset]]))</f>
        <v>0</v>
      </c>
      <c r="AB43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1</v>
      </c>
    </row>
    <row r="44" spans="1:30" hidden="1" x14ac:dyDescent="0.25">
      <c r="A44">
        <f>LEN(ObjectList2[[#This Row],[Name]])</f>
        <v>23</v>
      </c>
      <c r="E44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FuelMetr1_Data_FuelFlow</v>
      </c>
      <c r="F44" t="s">
        <v>116</v>
      </c>
      <c r="G44" t="s">
        <v>67</v>
      </c>
      <c r="J44" t="s">
        <v>117</v>
      </c>
      <c r="L44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FuelMetr1 data - fuel flow</v>
      </c>
      <c r="M44" s="3" t="s">
        <v>52</v>
      </c>
      <c r="N44" s="3" t="s">
        <v>69</v>
      </c>
      <c r="O44" t="s">
        <v>118</v>
      </c>
      <c r="Q44" t="s">
        <v>119</v>
      </c>
      <c r="R44" t="s">
        <v>37</v>
      </c>
      <c r="S44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FuelMetr1_Data_FuelFlow : 14@1- (0.015,0) [0|0] "L/hr" Vector__XXX</v>
      </c>
      <c r="U44" t="s">
        <v>38</v>
      </c>
      <c r="V44" t="s">
        <v>57</v>
      </c>
      <c r="W44">
        <v>14</v>
      </c>
      <c r="X44">
        <v>0</v>
      </c>
      <c r="Y44">
        <v>1.4999999999999999E-2</v>
      </c>
      <c r="Z44">
        <v>0</v>
      </c>
      <c r="AA44">
        <f>IF(ObjectList2[[#This Row],[Value Type]]="Signed",(-(2^ObjectList2[[#This Row],[Length '[Bit']]])/2*ObjectList2[[#This Row],[Factor]]+ObjectList2[[#This Row],[Offset]]),(ObjectList2[[#This Row],[Offset]]))</f>
        <v>-122.88</v>
      </c>
      <c r="AB44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122.86499999999999</v>
      </c>
    </row>
    <row r="45" spans="1:30" hidden="1" x14ac:dyDescent="0.25">
      <c r="A45">
        <f>LEN(ObjectList2[[#This Row],[Name]])</f>
        <v>23</v>
      </c>
      <c r="E45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FuelMetr2_Data_FuelFlow</v>
      </c>
      <c r="F45" t="s">
        <v>120</v>
      </c>
      <c r="G45" t="s">
        <v>67</v>
      </c>
      <c r="J45" t="s">
        <v>117</v>
      </c>
      <c r="L45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FuelMetr2 data - fuel flow</v>
      </c>
      <c r="M45" s="3" t="s">
        <v>52</v>
      </c>
      <c r="N45" s="3" t="s">
        <v>69</v>
      </c>
      <c r="O45" t="s">
        <v>118</v>
      </c>
      <c r="Q45" t="s">
        <v>121</v>
      </c>
      <c r="R45" t="s">
        <v>37</v>
      </c>
      <c r="S45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FuelMetr2_Data_FuelFlow : 14@1- (0.015,0) [0|0] "L/hr" Vector__XXX</v>
      </c>
      <c r="U45" t="s">
        <v>38</v>
      </c>
      <c r="V45" t="s">
        <v>57</v>
      </c>
      <c r="W45">
        <v>14</v>
      </c>
      <c r="X45">
        <v>0</v>
      </c>
      <c r="Y45">
        <v>1.4999999999999999E-2</v>
      </c>
      <c r="Z45">
        <v>0</v>
      </c>
      <c r="AA45">
        <f>IF(ObjectList2[[#This Row],[Value Type]]="Signed",(-(2^ObjectList2[[#This Row],[Length '[Bit']]])/2*ObjectList2[[#This Row],[Factor]]+ObjectList2[[#This Row],[Offset]]),(ObjectList2[[#This Row],[Offset]]))</f>
        <v>-122.88</v>
      </c>
      <c r="AB45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122.86499999999999</v>
      </c>
    </row>
    <row r="46" spans="1:30" hidden="1" x14ac:dyDescent="0.25">
      <c r="A46">
        <f>LEN(ObjectList2[[#This Row],[Name]])</f>
        <v>23</v>
      </c>
      <c r="E46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FuelMetr3_Data_FuelIntg</v>
      </c>
      <c r="F46" t="s">
        <v>122</v>
      </c>
      <c r="G46" t="s">
        <v>67</v>
      </c>
      <c r="J46" t="s">
        <v>123</v>
      </c>
      <c r="L46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FuelMetr3 data - fuel integrated</v>
      </c>
      <c r="M46" s="3" t="s">
        <v>52</v>
      </c>
      <c r="N46" s="3" t="s">
        <v>69</v>
      </c>
      <c r="O46" t="s">
        <v>124</v>
      </c>
      <c r="Q46" t="s">
        <v>125</v>
      </c>
      <c r="R46" t="s">
        <v>37</v>
      </c>
      <c r="S46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FuelMetr3_Data_FuelIntg : 14@1+ (0.001,0) [0|0] "L" Vector__XXX</v>
      </c>
      <c r="U46" t="s">
        <v>38</v>
      </c>
      <c r="V46" t="s">
        <v>39</v>
      </c>
      <c r="W46">
        <v>14</v>
      </c>
      <c r="X46">
        <v>0</v>
      </c>
      <c r="Y46">
        <v>1E-3</v>
      </c>
      <c r="Z46">
        <v>0</v>
      </c>
      <c r="AA46">
        <f>IF(ObjectList2[[#This Row],[Value Type]]="Signed",(-(2^ObjectList2[[#This Row],[Length '[Bit']]])/2*ObjectList2[[#This Row],[Factor]]+ObjectList2[[#This Row],[Offset]]),(ObjectList2[[#This Row],[Offset]]))</f>
        <v>0</v>
      </c>
      <c r="AB46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16.382999999999999</v>
      </c>
    </row>
    <row r="47" spans="1:30" hidden="1" x14ac:dyDescent="0.25">
      <c r="A47">
        <f>LEN(ObjectList2[[#This Row],[Name]])</f>
        <v>23</v>
      </c>
      <c r="E47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FuelMetr3_Data_FuelFlow</v>
      </c>
      <c r="F47" t="s">
        <v>122</v>
      </c>
      <c r="G47" t="s">
        <v>67</v>
      </c>
      <c r="J47" t="s">
        <v>117</v>
      </c>
      <c r="L47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FuelMetr3 data - fuel flow</v>
      </c>
      <c r="M47" s="3" t="s">
        <v>52</v>
      </c>
      <c r="N47" s="3" t="s">
        <v>69</v>
      </c>
      <c r="O47" t="s">
        <v>118</v>
      </c>
      <c r="Q47" t="s">
        <v>121</v>
      </c>
      <c r="R47" t="s">
        <v>37</v>
      </c>
      <c r="S47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FuelMetr3_Data_FuelFlow : 14@1- (0.015,0) [0|0] "L/hr" Vector__XXX</v>
      </c>
      <c r="U47" t="s">
        <v>38</v>
      </c>
      <c r="V47" t="s">
        <v>57</v>
      </c>
      <c r="W47">
        <v>14</v>
      </c>
      <c r="X47">
        <v>0</v>
      </c>
      <c r="Y47">
        <v>1.4999999999999999E-2</v>
      </c>
      <c r="Z47">
        <v>0</v>
      </c>
      <c r="AA47">
        <f>IF(ObjectList2[[#This Row],[Value Type]]="Signed",(-(2^ObjectList2[[#This Row],[Length '[Bit']]])/2*ObjectList2[[#This Row],[Factor]]+ObjectList2[[#This Row],[Offset]]),(ObjectList2[[#This Row],[Offset]]))</f>
        <v>-122.88</v>
      </c>
      <c r="AB47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122.86499999999999</v>
      </c>
    </row>
    <row r="48" spans="1:30" x14ac:dyDescent="0.25">
      <c r="A48">
        <f>LEN(ObjectList2[[#This Row],[Name]])</f>
        <v>24</v>
      </c>
      <c r="E48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VUT_Ctrl_ACC_AxlTrq_Actv</v>
      </c>
      <c r="F48" t="s">
        <v>143</v>
      </c>
      <c r="G48" t="s">
        <v>30</v>
      </c>
      <c r="H48" t="s">
        <v>144</v>
      </c>
      <c r="J48" t="s">
        <v>156</v>
      </c>
      <c r="K48" t="s">
        <v>139</v>
      </c>
      <c r="L48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control - ACC axle torque active</v>
      </c>
      <c r="M48" t="s">
        <v>32</v>
      </c>
      <c r="N48" t="s">
        <v>146</v>
      </c>
      <c r="O48" t="s">
        <v>34</v>
      </c>
      <c r="P48" t="s">
        <v>154</v>
      </c>
      <c r="Q48" t="s">
        <v>162</v>
      </c>
      <c r="R48" t="s">
        <v>37</v>
      </c>
      <c r="S48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VUT_Ctrl_ACC_AxlTrq_Actv : 1@1+ (1,0) [0|0] "bool" Vector__XXX</v>
      </c>
      <c r="U48" t="s">
        <v>38</v>
      </c>
      <c r="V48" t="s">
        <v>39</v>
      </c>
      <c r="W48">
        <v>1</v>
      </c>
      <c r="X48">
        <v>0</v>
      </c>
      <c r="Y48">
        <v>1</v>
      </c>
      <c r="Z48">
        <v>0</v>
      </c>
      <c r="AA48">
        <f>IF(ObjectList2[[#This Row],[Value Type]]="Signed",(-(2^ObjectList2[[#This Row],[Length '[Bit']]])/2*ObjectList2[[#This Row],[Factor]]+ObjectList2[[#This Row],[Offset]]),(ObjectList2[[#This Row],[Offset]]))</f>
        <v>0</v>
      </c>
      <c r="AB48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1</v>
      </c>
    </row>
    <row r="49" spans="1:30" x14ac:dyDescent="0.25">
      <c r="A49">
        <f>LEN(ObjectList2[[#This Row],[Name]])</f>
        <v>24</v>
      </c>
      <c r="E49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VUT_Ctrl_LongCtrl_Method</v>
      </c>
      <c r="F49" t="s">
        <v>143</v>
      </c>
      <c r="G49" t="s">
        <v>30</v>
      </c>
      <c r="H49" t="s">
        <v>163</v>
      </c>
      <c r="J49" t="s">
        <v>31</v>
      </c>
      <c r="L49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control - longitudinal control method</v>
      </c>
      <c r="M49" t="s">
        <v>32</v>
      </c>
      <c r="N49" t="s">
        <v>88</v>
      </c>
      <c r="O49" t="s">
        <v>89</v>
      </c>
      <c r="P49" t="s">
        <v>164</v>
      </c>
      <c r="Q49" t="s">
        <v>165</v>
      </c>
      <c r="R49" t="s">
        <v>37</v>
      </c>
      <c r="S49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VUT_Ctrl_LongCtrl_Method : 3@1+ (1,0) [0|0] "enum" Vector__XXX</v>
      </c>
      <c r="U49" t="s">
        <v>38</v>
      </c>
      <c r="V49" t="s">
        <v>39</v>
      </c>
      <c r="W49">
        <v>3</v>
      </c>
      <c r="X49">
        <v>0</v>
      </c>
      <c r="Y49">
        <v>1</v>
      </c>
      <c r="Z49">
        <v>0</v>
      </c>
      <c r="AA49">
        <f>IF(ObjectList2[[#This Row],[Value Type]]="Signed",(-(2^ObjectList2[[#This Row],[Length '[Bit']]])/2*ObjectList2[[#This Row],[Factor]]+ObjectList2[[#This Row],[Offset]]),(ObjectList2[[#This Row],[Offset]]))</f>
        <v>0</v>
      </c>
      <c r="AB49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7</v>
      </c>
    </row>
    <row r="50" spans="1:30" x14ac:dyDescent="0.25">
      <c r="A50">
        <f>LEN(ObjectList2[[#This Row],[Name]])</f>
        <v>26</v>
      </c>
      <c r="E50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VUT_Ctrl_ACC_BrkDecel_Actv</v>
      </c>
      <c r="F50" t="s">
        <v>143</v>
      </c>
      <c r="G50" t="s">
        <v>30</v>
      </c>
      <c r="H50" t="s">
        <v>144</v>
      </c>
      <c r="J50" t="s">
        <v>166</v>
      </c>
      <c r="K50" t="s">
        <v>139</v>
      </c>
      <c r="L50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control - ACC brake deceleration active</v>
      </c>
      <c r="M50" t="s">
        <v>32</v>
      </c>
      <c r="N50" t="s">
        <v>146</v>
      </c>
      <c r="O50" t="s">
        <v>34</v>
      </c>
      <c r="P50" t="s">
        <v>154</v>
      </c>
      <c r="Q50" t="s">
        <v>168</v>
      </c>
      <c r="R50" t="s">
        <v>37</v>
      </c>
      <c r="S50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VUT_Ctrl_ACC_BrkDecel_Actv : 1@1+ (1,0) [0|0] "bool" Vector__XXX</v>
      </c>
      <c r="U50" t="s">
        <v>38</v>
      </c>
      <c r="V50" t="s">
        <v>39</v>
      </c>
      <c r="W50">
        <v>1</v>
      </c>
      <c r="X50">
        <v>0</v>
      </c>
      <c r="Y50">
        <v>1</v>
      </c>
      <c r="Z50">
        <v>0</v>
      </c>
      <c r="AA50">
        <f>IF(ObjectList2[[#This Row],[Value Type]]="Signed",(-(2^ObjectList2[[#This Row],[Length '[Bit']]])/2*ObjectList2[[#This Row],[Factor]]+ObjectList2[[#This Row],[Offset]]),(ObjectList2[[#This Row],[Offset]]))</f>
        <v>0</v>
      </c>
      <c r="AB50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1</v>
      </c>
    </row>
    <row r="51" spans="1:30" x14ac:dyDescent="0.25">
      <c r="A51">
        <f>LEN(ObjectList2[[#This Row],[Name]])</f>
        <v>26</v>
      </c>
      <c r="E51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VUT_Ctrl_Trns_TrqCnvCl_Cmd</v>
      </c>
      <c r="F51" t="s">
        <v>143</v>
      </c>
      <c r="G51" t="s">
        <v>30</v>
      </c>
      <c r="H51" t="s">
        <v>149</v>
      </c>
      <c r="J51" t="s">
        <v>169</v>
      </c>
      <c r="K51" t="s">
        <v>41</v>
      </c>
      <c r="L51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control - transmission command</v>
      </c>
      <c r="M51" t="s">
        <v>32</v>
      </c>
      <c r="N51" t="s">
        <v>151</v>
      </c>
      <c r="O51" t="s">
        <v>89</v>
      </c>
      <c r="P51" t="s">
        <v>170</v>
      </c>
      <c r="Q51" t="s">
        <v>171</v>
      </c>
      <c r="R51" t="s">
        <v>37</v>
      </c>
      <c r="S51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VUT_Ctrl_Trns_TrqCnvCl_Cmd : 1@1+ (1,0) [0|0] "enum" Vector__XXX</v>
      </c>
      <c r="U51" t="s">
        <v>38</v>
      </c>
      <c r="V51" t="s">
        <v>39</v>
      </c>
      <c r="W51">
        <v>1</v>
      </c>
      <c r="X51">
        <v>0</v>
      </c>
      <c r="Y51">
        <v>1</v>
      </c>
      <c r="Z51">
        <v>0</v>
      </c>
      <c r="AA51">
        <f>IF(ObjectList2[[#This Row],[Value Type]]="Signed",(-(2^ObjectList2[[#This Row],[Length '[Bit']]])/2*ObjectList2[[#This Row],[Factor]]+ObjectList2[[#This Row],[Offset]]),(ObjectList2[[#This Row],[Offset]]))</f>
        <v>0</v>
      </c>
      <c r="AB51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1</v>
      </c>
    </row>
    <row r="52" spans="1:30" x14ac:dyDescent="0.25">
      <c r="A52">
        <f>LEN(ObjectList2[[#This Row],[Name]])</f>
        <v>27</v>
      </c>
      <c r="E52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VUT_Ctrl_Trns_TrqCnvCl_Actv</v>
      </c>
      <c r="F52" t="s">
        <v>143</v>
      </c>
      <c r="G52" t="s">
        <v>30</v>
      </c>
      <c r="H52" t="s">
        <v>149</v>
      </c>
      <c r="J52" t="s">
        <v>169</v>
      </c>
      <c r="K52" t="s">
        <v>139</v>
      </c>
      <c r="L52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control - transmission active</v>
      </c>
      <c r="M52" t="s">
        <v>32</v>
      </c>
      <c r="N52" t="s">
        <v>151</v>
      </c>
      <c r="O52" t="s">
        <v>34</v>
      </c>
      <c r="P52" t="s">
        <v>154</v>
      </c>
      <c r="Q52" t="s">
        <v>172</v>
      </c>
      <c r="R52" t="s">
        <v>37</v>
      </c>
      <c r="S52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VUT_Ctrl_Trns_TrqCnvCl_Actv : 1@1+ (1,0) [0|0] "bool" Vector__XXX</v>
      </c>
      <c r="U52" t="s">
        <v>38</v>
      </c>
      <c r="V52" t="s">
        <v>39</v>
      </c>
      <c r="W52">
        <v>1</v>
      </c>
      <c r="X52">
        <v>0</v>
      </c>
      <c r="Y52">
        <v>1</v>
      </c>
      <c r="Z52">
        <v>0</v>
      </c>
      <c r="AA52">
        <f>IF(ObjectList2[[#This Row],[Value Type]]="Signed",(-(2^ObjectList2[[#This Row],[Length '[Bit']]])/2*ObjectList2[[#This Row],[Factor]]+ObjectList2[[#This Row],[Offset]]),(ObjectList2[[#This Row],[Offset]]))</f>
        <v>0</v>
      </c>
      <c r="AB52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1</v>
      </c>
    </row>
    <row r="53" spans="1:30" x14ac:dyDescent="0.25">
      <c r="A53">
        <f>LEN(ObjectList2[[#This Row],[Name]])</f>
        <v>18</v>
      </c>
      <c r="E53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VUT_Data_Veh_Grade</v>
      </c>
      <c r="F53" t="s">
        <v>143</v>
      </c>
      <c r="G53" t="s">
        <v>67</v>
      </c>
      <c r="H53" t="s">
        <v>191</v>
      </c>
      <c r="J53" t="s">
        <v>62</v>
      </c>
      <c r="L53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data - vehicle grade</v>
      </c>
      <c r="M53" t="s">
        <v>143</v>
      </c>
      <c r="N53" t="s">
        <v>187</v>
      </c>
      <c r="O53" t="s">
        <v>63</v>
      </c>
      <c r="Q53" t="s">
        <v>192</v>
      </c>
      <c r="R53" t="s">
        <v>37</v>
      </c>
      <c r="S53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VUT_Data_Veh_Grade : 10@1- (0.1,0) [0|0] "%" Vector__XXX</v>
      </c>
      <c r="T53" t="s">
        <v>385</v>
      </c>
      <c r="U53" t="s">
        <v>38</v>
      </c>
      <c r="V53" t="s">
        <v>57</v>
      </c>
      <c r="W53">
        <v>10</v>
      </c>
      <c r="X53">
        <v>0</v>
      </c>
      <c r="Y53">
        <v>0.1</v>
      </c>
      <c r="Z53">
        <v>0</v>
      </c>
      <c r="AA53">
        <f>IF(ObjectList2[[#This Row],[Value Type]]="Signed",(-(2^ObjectList2[[#This Row],[Length '[Bit']]])/2*ObjectList2[[#This Row],[Factor]]+ObjectList2[[#This Row],[Offset]]),(ObjectList2[[#This Row],[Offset]]))</f>
        <v>-51.2</v>
      </c>
      <c r="AB53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51.1</v>
      </c>
      <c r="AC53" t="s">
        <v>65</v>
      </c>
      <c r="AD53" t="s">
        <v>193</v>
      </c>
    </row>
    <row r="54" spans="1:30" x14ac:dyDescent="0.25">
      <c r="A54">
        <f>LEN(ObjectList2[[#This Row],[Name]])</f>
        <v>18</v>
      </c>
      <c r="E54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VUT_Data_Trns_Engd</v>
      </c>
      <c r="F54" t="s">
        <v>143</v>
      </c>
      <c r="G54" t="s">
        <v>67</v>
      </c>
      <c r="H54" t="s">
        <v>149</v>
      </c>
      <c r="J54" t="s">
        <v>198</v>
      </c>
      <c r="L54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data - transmission engaged</v>
      </c>
      <c r="M54" t="s">
        <v>143</v>
      </c>
      <c r="N54" t="s">
        <v>176</v>
      </c>
      <c r="O54" t="s">
        <v>34</v>
      </c>
      <c r="P54" t="s">
        <v>199</v>
      </c>
      <c r="Q54" t="s">
        <v>200</v>
      </c>
      <c r="R54" t="s">
        <v>37</v>
      </c>
      <c r="S54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VUT_Data_Trns_Engd : 1@1+ (1,0) [0|0] "bool" Vector__XXX</v>
      </c>
      <c r="T54" t="s">
        <v>34</v>
      </c>
      <c r="U54" t="s">
        <v>38</v>
      </c>
      <c r="V54" t="s">
        <v>39</v>
      </c>
      <c r="W54">
        <v>1</v>
      </c>
      <c r="X54">
        <v>0</v>
      </c>
      <c r="Y54">
        <v>1</v>
      </c>
      <c r="Z54">
        <v>0</v>
      </c>
      <c r="AA54">
        <f>IF(ObjectList2[[#This Row],[Value Type]]="Signed",(-(2^ObjectList2[[#This Row],[Length '[Bit']]])/2*ObjectList2[[#This Row],[Factor]]+ObjectList2[[#This Row],[Offset]]),(ObjectList2[[#This Row],[Offset]]))</f>
        <v>0</v>
      </c>
      <c r="AB54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1</v>
      </c>
      <c r="AC54" t="s">
        <v>65</v>
      </c>
      <c r="AD54" t="s">
        <v>193</v>
      </c>
    </row>
    <row r="55" spans="1:30" x14ac:dyDescent="0.25">
      <c r="A55">
        <f>LEN(ObjectList2[[#This Row],[Name]])</f>
        <v>18</v>
      </c>
      <c r="E55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VUT_Data_Trns_Gear</v>
      </c>
      <c r="F55" t="s">
        <v>143</v>
      </c>
      <c r="G55" t="s">
        <v>67</v>
      </c>
      <c r="H55" t="s">
        <v>149</v>
      </c>
      <c r="J55" t="s">
        <v>150</v>
      </c>
      <c r="L55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data - transmission gear</v>
      </c>
      <c r="M55" t="s">
        <v>143</v>
      </c>
      <c r="N55" t="s">
        <v>151</v>
      </c>
      <c r="O55" t="s">
        <v>102</v>
      </c>
      <c r="Q55" t="s">
        <v>201</v>
      </c>
      <c r="R55" t="s">
        <v>37</v>
      </c>
      <c r="S55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VUT_Data_Trns_Gear : 4@1+ (1,0) [0|0] "int" Vector__XXX</v>
      </c>
      <c r="T55" t="s">
        <v>386</v>
      </c>
      <c r="U55" t="s">
        <v>38</v>
      </c>
      <c r="V55" t="s">
        <v>39</v>
      </c>
      <c r="W55">
        <v>4</v>
      </c>
      <c r="X55">
        <v>0</v>
      </c>
      <c r="Y55">
        <v>1</v>
      </c>
      <c r="Z55">
        <v>0</v>
      </c>
      <c r="AA55">
        <f>IF(ObjectList2[[#This Row],[Value Type]]="Signed",(-(2^ObjectList2[[#This Row],[Length '[Bit']]])/2*ObjectList2[[#This Row],[Factor]]+ObjectList2[[#This Row],[Offset]]),(ObjectList2[[#This Row],[Offset]]))</f>
        <v>0</v>
      </c>
      <c r="AB55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15</v>
      </c>
      <c r="AC55" t="s">
        <v>65</v>
      </c>
      <c r="AD55" t="s">
        <v>193</v>
      </c>
    </row>
    <row r="56" spans="1:30" x14ac:dyDescent="0.25">
      <c r="A56">
        <f>LEN(ObjectList2[[#This Row],[Name]])</f>
        <v>18</v>
      </c>
      <c r="E56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VUT_Resp_Veh_Accel</v>
      </c>
      <c r="F56" t="s">
        <v>143</v>
      </c>
      <c r="G56" t="s">
        <v>50</v>
      </c>
      <c r="H56" t="s">
        <v>191</v>
      </c>
      <c r="J56" t="s">
        <v>145</v>
      </c>
      <c r="L56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response - vehicle acceleration</v>
      </c>
      <c r="M56" t="s">
        <v>143</v>
      </c>
      <c r="N56" t="s">
        <v>146</v>
      </c>
      <c r="O56" t="s">
        <v>147</v>
      </c>
      <c r="Q56" t="s">
        <v>246</v>
      </c>
      <c r="R56" t="s">
        <v>37</v>
      </c>
      <c r="S56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VUT_Resp_Veh_Accel : 12@1- (0.01,0) [0|0] "m/s^2" Vector__XXX</v>
      </c>
      <c r="T56" t="s">
        <v>385</v>
      </c>
      <c r="U56" t="s">
        <v>38</v>
      </c>
      <c r="V56" t="s">
        <v>57</v>
      </c>
      <c r="W56">
        <v>12</v>
      </c>
      <c r="X56">
        <v>0</v>
      </c>
      <c r="Y56">
        <v>0.01</v>
      </c>
      <c r="Z56">
        <v>0</v>
      </c>
      <c r="AA56">
        <f>IF(ObjectList2[[#This Row],[Value Type]]="Signed",(-(2^ObjectList2[[#This Row],[Length '[Bit']]])/2*ObjectList2[[#This Row],[Factor]]+ObjectList2[[#This Row],[Offset]]),(ObjectList2[[#This Row],[Offset]]))</f>
        <v>-20.48</v>
      </c>
      <c r="AB56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20.47</v>
      </c>
      <c r="AC56" t="s">
        <v>65</v>
      </c>
      <c r="AD56" t="s">
        <v>193</v>
      </c>
    </row>
    <row r="57" spans="1:30" x14ac:dyDescent="0.25">
      <c r="A57">
        <f>LEN(ObjectList2[[#This Row],[Name]])</f>
        <v>29</v>
      </c>
      <c r="E57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VUT_Resp_ACC_BrkDecel_CmdEcho</v>
      </c>
      <c r="F57" t="s">
        <v>143</v>
      </c>
      <c r="G57" t="s">
        <v>50</v>
      </c>
      <c r="H57" t="s">
        <v>144</v>
      </c>
      <c r="J57" t="s">
        <v>166</v>
      </c>
      <c r="K57" t="s">
        <v>95</v>
      </c>
      <c r="L57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response - ACC brake deceleration command echo</v>
      </c>
      <c r="M57" t="s">
        <v>143</v>
      </c>
      <c r="N57" t="s">
        <v>96</v>
      </c>
      <c r="O57" t="s">
        <v>147</v>
      </c>
      <c r="Q57" t="s">
        <v>263</v>
      </c>
      <c r="R57" t="s">
        <v>37</v>
      </c>
      <c r="S57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VUT_Resp_ACC_BrkDecel_CmdEcho : 12@1- (0.01,0) [0|0] "m/s^2" Vector__XXX</v>
      </c>
      <c r="T57" t="s">
        <v>385</v>
      </c>
      <c r="U57" t="s">
        <v>38</v>
      </c>
      <c r="V57" t="s">
        <v>57</v>
      </c>
      <c r="W57">
        <v>12</v>
      </c>
      <c r="X57">
        <v>0</v>
      </c>
      <c r="Y57">
        <v>0.01</v>
      </c>
      <c r="Z57">
        <v>0</v>
      </c>
      <c r="AA57">
        <f>IF(ObjectList2[[#This Row],[Value Type]]="Signed",(-(2^ObjectList2[[#This Row],[Length '[Bit']]])/2*ObjectList2[[#This Row],[Factor]]+ObjectList2[[#This Row],[Offset]]),(ObjectList2[[#This Row],[Offset]]))</f>
        <v>-20.48</v>
      </c>
      <c r="AB57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20.47</v>
      </c>
      <c r="AC57" t="s">
        <v>65</v>
      </c>
      <c r="AD57" t="s">
        <v>193</v>
      </c>
    </row>
    <row r="58" spans="1:30" x14ac:dyDescent="0.25">
      <c r="A58">
        <f>LEN(ObjectList2[[#This Row],[Name]])</f>
        <v>16</v>
      </c>
      <c r="E58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VUT_Resp_Veh_Spd</v>
      </c>
      <c r="F58" t="s">
        <v>143</v>
      </c>
      <c r="G58" t="s">
        <v>50</v>
      </c>
      <c r="H58" t="s">
        <v>191</v>
      </c>
      <c r="J58" t="s">
        <v>75</v>
      </c>
      <c r="L58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response - vehicle speed</v>
      </c>
      <c r="M58" t="s">
        <v>143</v>
      </c>
      <c r="N58" t="s">
        <v>146</v>
      </c>
      <c r="O58" t="s">
        <v>76</v>
      </c>
      <c r="Q58" t="s">
        <v>244</v>
      </c>
      <c r="R58" t="s">
        <v>37</v>
      </c>
      <c r="S58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VUT_Resp_Veh_Spd : 16@1- (0.01,0) [0|0] "km/h" Vector__XXX</v>
      </c>
      <c r="T58" t="s">
        <v>385</v>
      </c>
      <c r="U58" t="s">
        <v>38</v>
      </c>
      <c r="V58" t="s">
        <v>57</v>
      </c>
      <c r="W58">
        <v>16</v>
      </c>
      <c r="X58">
        <v>0</v>
      </c>
      <c r="Y58">
        <v>0.01</v>
      </c>
      <c r="Z58">
        <v>0</v>
      </c>
      <c r="AA58">
        <f>IF(ObjectList2[[#This Row],[Value Type]]="Signed",(-(2^ObjectList2[[#This Row],[Length '[Bit']]])/2*ObjectList2[[#This Row],[Factor]]+ObjectList2[[#This Row],[Offset]]),(ObjectList2[[#This Row],[Offset]]))</f>
        <v>-327.68</v>
      </c>
      <c r="AB58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327.67</v>
      </c>
      <c r="AC58" t="s">
        <v>65</v>
      </c>
      <c r="AD58" t="s">
        <v>245</v>
      </c>
    </row>
    <row r="59" spans="1:30" x14ac:dyDescent="0.25">
      <c r="A59">
        <f>LEN(ObjectList2[[#This Row],[Name]])</f>
        <v>24</v>
      </c>
      <c r="E59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VUT_Resp_ACC_AxlTrq_Meas</v>
      </c>
      <c r="F59" t="s">
        <v>143</v>
      </c>
      <c r="G59" t="s">
        <v>50</v>
      </c>
      <c r="H59" t="s">
        <v>144</v>
      </c>
      <c r="J59" t="s">
        <v>156</v>
      </c>
      <c r="K59" t="s">
        <v>258</v>
      </c>
      <c r="L59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response - ACC axle torque measured</v>
      </c>
      <c r="M59" t="s">
        <v>143</v>
      </c>
      <c r="N59" t="s">
        <v>146</v>
      </c>
      <c r="O59" t="s">
        <v>157</v>
      </c>
      <c r="Q59" t="s">
        <v>259</v>
      </c>
      <c r="R59" t="s">
        <v>37</v>
      </c>
      <c r="S59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VUT_Resp_ACC_AxlTrq_Meas : 16@1- (0.5,0) [0|0] "Nm" Vector__XXX</v>
      </c>
      <c r="T59" t="s">
        <v>385</v>
      </c>
      <c r="U59" t="s">
        <v>38</v>
      </c>
      <c r="V59" t="s">
        <v>57</v>
      </c>
      <c r="W59">
        <v>16</v>
      </c>
      <c r="X59">
        <v>0</v>
      </c>
      <c r="Y59">
        <v>0.5</v>
      </c>
      <c r="Z59">
        <v>0</v>
      </c>
      <c r="AA59">
        <f>IF(ObjectList2[[#This Row],[Value Type]]="Signed",(-(2^ObjectList2[[#This Row],[Length '[Bit']]])/2*ObjectList2[[#This Row],[Factor]]+ObjectList2[[#This Row],[Offset]]),(ObjectList2[[#This Row],[Offset]]))</f>
        <v>-16384</v>
      </c>
      <c r="AB59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16383.5</v>
      </c>
      <c r="AC59" t="s">
        <v>65</v>
      </c>
      <c r="AD59" t="s">
        <v>245</v>
      </c>
    </row>
    <row r="60" spans="1:30" x14ac:dyDescent="0.25">
      <c r="A60">
        <f>LEN(ObjectList2[[#This Row],[Name]])</f>
        <v>27</v>
      </c>
      <c r="E60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VUT_Resp_ACC_AxlTrq_CmdEcho</v>
      </c>
      <c r="F60" t="s">
        <v>143</v>
      </c>
      <c r="G60" t="s">
        <v>50</v>
      </c>
      <c r="H60" t="s">
        <v>144</v>
      </c>
      <c r="J60" t="s">
        <v>156</v>
      </c>
      <c r="K60" t="s">
        <v>95</v>
      </c>
      <c r="L60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response - ACC axle torque command echo</v>
      </c>
      <c r="M60" t="s">
        <v>143</v>
      </c>
      <c r="N60" t="s">
        <v>96</v>
      </c>
      <c r="O60" t="s">
        <v>157</v>
      </c>
      <c r="Q60" t="s">
        <v>262</v>
      </c>
      <c r="R60" t="s">
        <v>37</v>
      </c>
      <c r="S60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VUT_Resp_ACC_AxlTrq_CmdEcho : 16@1- (0.5,0) [0|0] "Nm" Vector__XXX</v>
      </c>
      <c r="T60" t="s">
        <v>385</v>
      </c>
      <c r="U60" t="s">
        <v>38</v>
      </c>
      <c r="V60" t="s">
        <v>57</v>
      </c>
      <c r="W60">
        <v>16</v>
      </c>
      <c r="X60">
        <v>0</v>
      </c>
      <c r="Y60">
        <v>0.5</v>
      </c>
      <c r="Z60">
        <v>0</v>
      </c>
      <c r="AA60">
        <f>IF(ObjectList2[[#This Row],[Value Type]]="Signed",(-(2^ObjectList2[[#This Row],[Length '[Bit']]])/2*ObjectList2[[#This Row],[Factor]]+ObjectList2[[#This Row],[Offset]]),(ObjectList2[[#This Row],[Offset]]))</f>
        <v>-16384</v>
      </c>
      <c r="AB60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16383.5</v>
      </c>
      <c r="AC60" t="s">
        <v>65</v>
      </c>
      <c r="AD60" t="s">
        <v>245</v>
      </c>
    </row>
    <row r="61" spans="1:30" x14ac:dyDescent="0.25">
      <c r="A61">
        <f>LEN(ObjectList2[[#This Row],[Name]])</f>
        <v>23</v>
      </c>
      <c r="E61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VUT_Resp_ACC_AxlTrq_Max</v>
      </c>
      <c r="F61" t="s">
        <v>143</v>
      </c>
      <c r="G61" t="s">
        <v>50</v>
      </c>
      <c r="H61" t="s">
        <v>144</v>
      </c>
      <c r="J61" t="s">
        <v>156</v>
      </c>
      <c r="K61" t="s">
        <v>51</v>
      </c>
      <c r="L61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response - ACC axle torque maximum</v>
      </c>
      <c r="M61" t="s">
        <v>143</v>
      </c>
      <c r="N61" t="s">
        <v>146</v>
      </c>
      <c r="O61" t="s">
        <v>157</v>
      </c>
      <c r="Q61" t="s">
        <v>254</v>
      </c>
      <c r="R61" t="s">
        <v>37</v>
      </c>
      <c r="S61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VUT_Resp_ACC_AxlTrq_Max : 14@1- (3,0) [0|0] "Nm" Vector__XXX</v>
      </c>
      <c r="T61" t="s">
        <v>385</v>
      </c>
      <c r="U61" t="s">
        <v>38</v>
      </c>
      <c r="V61" t="s">
        <v>57</v>
      </c>
      <c r="W61">
        <v>14</v>
      </c>
      <c r="X61">
        <v>0</v>
      </c>
      <c r="Y61">
        <v>3</v>
      </c>
      <c r="Z61">
        <v>0</v>
      </c>
      <c r="AA61">
        <f>IF(ObjectList2[[#This Row],[Value Type]]="Signed",(-(2^ObjectList2[[#This Row],[Length '[Bit']]])/2*ObjectList2[[#This Row],[Factor]]+ObjectList2[[#This Row],[Offset]]),(ObjectList2[[#This Row],[Offset]]))</f>
        <v>-24576</v>
      </c>
      <c r="AB61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24573</v>
      </c>
      <c r="AC61" t="s">
        <v>65</v>
      </c>
      <c r="AD61" t="s">
        <v>255</v>
      </c>
    </row>
    <row r="62" spans="1:30" x14ac:dyDescent="0.25">
      <c r="A62">
        <f>LEN(ObjectList2[[#This Row],[Name]])</f>
        <v>23</v>
      </c>
      <c r="E62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VUT_Resp_ACC_AxlTrq_Min</v>
      </c>
      <c r="F62" t="s">
        <v>143</v>
      </c>
      <c r="G62" t="s">
        <v>50</v>
      </c>
      <c r="H62" t="s">
        <v>144</v>
      </c>
      <c r="J62" t="s">
        <v>156</v>
      </c>
      <c r="K62" t="s">
        <v>54</v>
      </c>
      <c r="L62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response - ACC axle torque minimum</v>
      </c>
      <c r="M62" t="s">
        <v>143</v>
      </c>
      <c r="N62" t="s">
        <v>146</v>
      </c>
      <c r="O62" t="s">
        <v>157</v>
      </c>
      <c r="Q62" t="s">
        <v>256</v>
      </c>
      <c r="R62" t="s">
        <v>37</v>
      </c>
      <c r="S62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VUT_Resp_ACC_AxlTrq_Min : 14@1- (3,0) [0|0] "Nm" Vector__XXX</v>
      </c>
      <c r="T62" t="s">
        <v>385</v>
      </c>
      <c r="U62" t="s">
        <v>38</v>
      </c>
      <c r="V62" t="s">
        <v>57</v>
      </c>
      <c r="W62">
        <v>14</v>
      </c>
      <c r="X62">
        <v>0</v>
      </c>
      <c r="Y62">
        <v>3</v>
      </c>
      <c r="Z62">
        <v>0</v>
      </c>
      <c r="AA62">
        <f>IF(ObjectList2[[#This Row],[Value Type]]="Signed",(-(2^ObjectList2[[#This Row],[Length '[Bit']]])/2*ObjectList2[[#This Row],[Factor]]+ObjectList2[[#This Row],[Offset]]),(ObjectList2[[#This Row],[Offset]]))</f>
        <v>-24576</v>
      </c>
      <c r="AB62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24573</v>
      </c>
      <c r="AC62" t="s">
        <v>65</v>
      </c>
      <c r="AD62" t="s">
        <v>255</v>
      </c>
    </row>
    <row r="63" spans="1:30" x14ac:dyDescent="0.25">
      <c r="A63">
        <f>LEN(ObjectList2[[#This Row],[Name]])</f>
        <v>25</v>
      </c>
      <c r="E63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VUT_Resp_ACC_BrkDecel_Max</v>
      </c>
      <c r="F63" t="s">
        <v>143</v>
      </c>
      <c r="G63" t="s">
        <v>50</v>
      </c>
      <c r="H63" t="s">
        <v>144</v>
      </c>
      <c r="J63" t="s">
        <v>166</v>
      </c>
      <c r="K63" t="s">
        <v>51</v>
      </c>
      <c r="L63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response - ACC brake deceleration maximum</v>
      </c>
      <c r="M63" t="s">
        <v>143</v>
      </c>
      <c r="N63" t="s">
        <v>146</v>
      </c>
      <c r="O63" t="s">
        <v>147</v>
      </c>
      <c r="Q63" t="s">
        <v>260</v>
      </c>
      <c r="R63" t="s">
        <v>37</v>
      </c>
      <c r="S63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VUT_Resp_ACC_BrkDecel_Max : 12@1- (0.01,0) [0|0] "m/s^2" Vector__XXX</v>
      </c>
      <c r="T63" t="s">
        <v>385</v>
      </c>
      <c r="U63" t="s">
        <v>38</v>
      </c>
      <c r="V63" t="s">
        <v>57</v>
      </c>
      <c r="W63">
        <v>12</v>
      </c>
      <c r="X63">
        <v>0</v>
      </c>
      <c r="Y63">
        <v>0.01</v>
      </c>
      <c r="Z63">
        <v>0</v>
      </c>
      <c r="AA63">
        <f>IF(ObjectList2[[#This Row],[Value Type]]="Signed",(-(2^ObjectList2[[#This Row],[Length '[Bit']]])/2*ObjectList2[[#This Row],[Factor]]+ObjectList2[[#This Row],[Offset]]),(ObjectList2[[#This Row],[Offset]]))</f>
        <v>-20.48</v>
      </c>
      <c r="AB63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20.47</v>
      </c>
      <c r="AC63" t="s">
        <v>65</v>
      </c>
      <c r="AD63" t="s">
        <v>255</v>
      </c>
    </row>
    <row r="64" spans="1:30" x14ac:dyDescent="0.25">
      <c r="A64">
        <f>LEN(ObjectList2[[#This Row],[Name]])</f>
        <v>25</v>
      </c>
      <c r="E64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VUT_Resp_ACC_BrkDecel_Min</v>
      </c>
      <c r="F64" t="s">
        <v>143</v>
      </c>
      <c r="G64" t="s">
        <v>50</v>
      </c>
      <c r="H64" t="s">
        <v>144</v>
      </c>
      <c r="J64" t="s">
        <v>166</v>
      </c>
      <c r="K64" t="s">
        <v>54</v>
      </c>
      <c r="L64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response - ACC brake deceleration minimum</v>
      </c>
      <c r="M64" t="s">
        <v>143</v>
      </c>
      <c r="N64" t="s">
        <v>146</v>
      </c>
      <c r="O64" t="s">
        <v>147</v>
      </c>
      <c r="Q64" t="s">
        <v>261</v>
      </c>
      <c r="R64" t="s">
        <v>37</v>
      </c>
      <c r="S64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VUT_Resp_ACC_BrkDecel_Min : 12@1- (0.01,0) [0|0] "m/s^2" Vector__XXX</v>
      </c>
      <c r="T64" t="s">
        <v>385</v>
      </c>
      <c r="U64" t="s">
        <v>38</v>
      </c>
      <c r="V64" t="s">
        <v>57</v>
      </c>
      <c r="W64">
        <v>12</v>
      </c>
      <c r="X64">
        <v>0</v>
      </c>
      <c r="Y64">
        <v>0.01</v>
      </c>
      <c r="Z64">
        <v>0</v>
      </c>
      <c r="AA64">
        <f>IF(ObjectList2[[#This Row],[Value Type]]="Signed",(-(2^ObjectList2[[#This Row],[Length '[Bit']]])/2*ObjectList2[[#This Row],[Factor]]+ObjectList2[[#This Row],[Offset]]),(ObjectList2[[#This Row],[Offset]]))</f>
        <v>-20.48</v>
      </c>
      <c r="AB64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20.47</v>
      </c>
      <c r="AC64" t="s">
        <v>65</v>
      </c>
      <c r="AD64" t="s">
        <v>255</v>
      </c>
    </row>
    <row r="65" spans="1:28" x14ac:dyDescent="0.25">
      <c r="A65">
        <f>LEN(ObjectList2[[#This Row],[Name]])</f>
        <v>16</v>
      </c>
      <c r="E65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VUT_Data_APP_Pos</v>
      </c>
      <c r="F65" t="s">
        <v>143</v>
      </c>
      <c r="G65" t="s">
        <v>67</v>
      </c>
      <c r="H65" t="s">
        <v>134</v>
      </c>
      <c r="J65" t="s">
        <v>135</v>
      </c>
      <c r="L65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data - accelerator pedal position position</v>
      </c>
      <c r="M65" t="s">
        <v>143</v>
      </c>
      <c r="N65" t="s">
        <v>146</v>
      </c>
      <c r="O65" t="s">
        <v>63</v>
      </c>
      <c r="Q65" t="s">
        <v>173</v>
      </c>
      <c r="R65" t="s">
        <v>37</v>
      </c>
      <c r="S65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VUT_Data_APP_Pos : 10@1+ (0.1,0) [0|0] "%" Vector__XXX</v>
      </c>
      <c r="U65" t="s">
        <v>38</v>
      </c>
      <c r="V65" t="s">
        <v>39</v>
      </c>
      <c r="W65">
        <v>10</v>
      </c>
      <c r="X65">
        <v>0</v>
      </c>
      <c r="Y65">
        <v>0.1</v>
      </c>
      <c r="Z65">
        <v>0</v>
      </c>
      <c r="AA65">
        <f>IF(ObjectList2[[#This Row],[Value Type]]="Signed",(-(2^ObjectList2[[#This Row],[Length '[Bit']]])/2*ObjectList2[[#This Row],[Factor]]+ObjectList2[[#This Row],[Offset]]),(ObjectList2[[#This Row],[Offset]]))</f>
        <v>0</v>
      </c>
      <c r="AB65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102.30000000000001</v>
      </c>
    </row>
    <row r="66" spans="1:28" x14ac:dyDescent="0.25">
      <c r="A66">
        <f>LEN(ObjectList2[[#This Row],[Name]])</f>
        <v>16</v>
      </c>
      <c r="E66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VUT_Data_BPP_Pos</v>
      </c>
      <c r="F66" t="s">
        <v>143</v>
      </c>
      <c r="G66" t="s">
        <v>67</v>
      </c>
      <c r="H66" t="s">
        <v>137</v>
      </c>
      <c r="J66" t="s">
        <v>135</v>
      </c>
      <c r="L66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data - brake pedal position position</v>
      </c>
      <c r="M66" t="s">
        <v>143</v>
      </c>
      <c r="N66" t="s">
        <v>146</v>
      </c>
      <c r="O66" t="s">
        <v>63</v>
      </c>
      <c r="Q66" t="s">
        <v>173</v>
      </c>
      <c r="R66" t="s">
        <v>37</v>
      </c>
      <c r="S66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VUT_Data_BPP_Pos : 10@1+ (0.1,0) [0|0] "%" Vector__XXX</v>
      </c>
      <c r="U66" t="s">
        <v>38</v>
      </c>
      <c r="V66" t="s">
        <v>39</v>
      </c>
      <c r="W66">
        <v>10</v>
      </c>
      <c r="X66">
        <v>0</v>
      </c>
      <c r="Y66">
        <v>0.1</v>
      </c>
      <c r="Z66">
        <v>0</v>
      </c>
      <c r="AA66">
        <f>IF(ObjectList2[[#This Row],[Value Type]]="Signed",(-(2^ObjectList2[[#This Row],[Length '[Bit']]])/2*ObjectList2[[#This Row],[Factor]]+ObjectList2[[#This Row],[Offset]]),(ObjectList2[[#This Row],[Offset]]))</f>
        <v>0</v>
      </c>
      <c r="AB66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102.30000000000001</v>
      </c>
    </row>
    <row r="67" spans="1:28" x14ac:dyDescent="0.25">
      <c r="A67">
        <f>LEN(ObjectList2[[#This Row],[Name]])</f>
        <v>16</v>
      </c>
      <c r="E67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VUT_Data_ESS_SOC</v>
      </c>
      <c r="F67" t="s">
        <v>143</v>
      </c>
      <c r="G67" t="s">
        <v>67</v>
      </c>
      <c r="H67" t="s">
        <v>174</v>
      </c>
      <c r="J67" t="s">
        <v>175</v>
      </c>
      <c r="L67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data - energy storage system state of charge</v>
      </c>
      <c r="M67" t="s">
        <v>143</v>
      </c>
      <c r="N67" t="s">
        <v>176</v>
      </c>
      <c r="O67" t="s">
        <v>63</v>
      </c>
      <c r="Q67" t="s">
        <v>177</v>
      </c>
      <c r="R67" t="s">
        <v>37</v>
      </c>
      <c r="S67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VUT_Data_ESS_SOC : 12@1+ (0.025,0) [0|0] "%" Vector__XXX</v>
      </c>
      <c r="U67" t="s">
        <v>38</v>
      </c>
      <c r="V67" t="s">
        <v>39</v>
      </c>
      <c r="W67">
        <v>12</v>
      </c>
      <c r="X67">
        <v>0</v>
      </c>
      <c r="Y67">
        <v>2.5000000000000001E-2</v>
      </c>
      <c r="Z67">
        <v>0</v>
      </c>
      <c r="AA67">
        <f>IF(ObjectList2[[#This Row],[Value Type]]="Signed",(-(2^ObjectList2[[#This Row],[Length '[Bit']]])/2*ObjectList2[[#This Row],[Factor]]+ObjectList2[[#This Row],[Offset]]),(ObjectList2[[#This Row],[Offset]]))</f>
        <v>0</v>
      </c>
      <c r="AB67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102.375</v>
      </c>
    </row>
    <row r="68" spans="1:28" x14ac:dyDescent="0.25">
      <c r="A68">
        <f>LEN(ObjectList2[[#This Row],[Name]])</f>
        <v>16</v>
      </c>
      <c r="E68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VUT_Data_Eng_Trq</v>
      </c>
      <c r="F68" t="s">
        <v>143</v>
      </c>
      <c r="G68" t="s">
        <v>67</v>
      </c>
      <c r="H68" t="s">
        <v>178</v>
      </c>
      <c r="J68" t="s">
        <v>179</v>
      </c>
      <c r="L68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data - engine torque</v>
      </c>
      <c r="M68" t="s">
        <v>143</v>
      </c>
      <c r="N68" t="s">
        <v>176</v>
      </c>
      <c r="O68" t="s">
        <v>157</v>
      </c>
      <c r="Q68" t="s">
        <v>180</v>
      </c>
      <c r="R68" t="s">
        <v>37</v>
      </c>
      <c r="S68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VUT_Data_Eng_Trq : 16@1- (0.05,0) [0|0] "Nm" Vector__XXX</v>
      </c>
      <c r="U68" t="s">
        <v>38</v>
      </c>
      <c r="V68" t="s">
        <v>57</v>
      </c>
      <c r="W68">
        <v>16</v>
      </c>
      <c r="X68">
        <v>0</v>
      </c>
      <c r="Y68">
        <v>0.05</v>
      </c>
      <c r="Z68">
        <v>0</v>
      </c>
      <c r="AA68">
        <f>IF(ObjectList2[[#This Row],[Value Type]]="Signed",(-(2^ObjectList2[[#This Row],[Length '[Bit']]])/2*ObjectList2[[#This Row],[Factor]]+ObjectList2[[#This Row],[Offset]]),(ObjectList2[[#This Row],[Offset]]))</f>
        <v>-1638.4</v>
      </c>
      <c r="AB68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1638.3500000000001</v>
      </c>
    </row>
    <row r="69" spans="1:28" x14ac:dyDescent="0.25">
      <c r="A69">
        <f>LEN(ObjectList2[[#This Row],[Name]])</f>
        <v>16</v>
      </c>
      <c r="E69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VUT_Data_Gen_Trq</v>
      </c>
      <c r="F69" t="s">
        <v>143</v>
      </c>
      <c r="G69" t="s">
        <v>67</v>
      </c>
      <c r="H69" t="s">
        <v>181</v>
      </c>
      <c r="J69" t="s">
        <v>179</v>
      </c>
      <c r="L69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data - generator torque</v>
      </c>
      <c r="M69" t="s">
        <v>143</v>
      </c>
      <c r="N69" t="s">
        <v>176</v>
      </c>
      <c r="O69" t="s">
        <v>157</v>
      </c>
      <c r="Q69" t="s">
        <v>182</v>
      </c>
      <c r="R69" t="s">
        <v>37</v>
      </c>
      <c r="S69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VUT_Data_Gen_Trq : 16@1- (0.05,0) [0|0] "Nm" Vector__XXX</v>
      </c>
      <c r="U69" t="s">
        <v>38</v>
      </c>
      <c r="V69" t="s">
        <v>57</v>
      </c>
      <c r="W69">
        <v>16</v>
      </c>
      <c r="X69">
        <v>0</v>
      </c>
      <c r="Y69">
        <v>0.05</v>
      </c>
      <c r="Z69">
        <v>0</v>
      </c>
      <c r="AA69">
        <f>IF(ObjectList2[[#This Row],[Value Type]]="Signed",(-(2^ObjectList2[[#This Row],[Length '[Bit']]])/2*ObjectList2[[#This Row],[Factor]]+ObjectList2[[#This Row],[Offset]]),(ObjectList2[[#This Row],[Offset]]))</f>
        <v>-1638.4</v>
      </c>
      <c r="AB69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1638.3500000000001</v>
      </c>
    </row>
    <row r="70" spans="1:28" x14ac:dyDescent="0.25">
      <c r="A70">
        <f>LEN(ObjectList2[[#This Row],[Name]])</f>
        <v>16</v>
      </c>
      <c r="E70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VUT_Data_Eng_Spd</v>
      </c>
      <c r="F70" t="s">
        <v>143</v>
      </c>
      <c r="G70" t="s">
        <v>67</v>
      </c>
      <c r="H70" t="s">
        <v>178</v>
      </c>
      <c r="J70" t="s">
        <v>75</v>
      </c>
      <c r="L70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data - engine speed</v>
      </c>
      <c r="M70" t="s">
        <v>143</v>
      </c>
      <c r="N70" t="s">
        <v>176</v>
      </c>
      <c r="O70" t="s">
        <v>183</v>
      </c>
      <c r="Q70" t="s">
        <v>184</v>
      </c>
      <c r="R70" t="s">
        <v>37</v>
      </c>
      <c r="S70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VUT_Data_Eng_Spd : 16@1+ (0.25,0) [0|0] "rpm" Vector__XXX</v>
      </c>
      <c r="U70" t="s">
        <v>38</v>
      </c>
      <c r="V70" t="s">
        <v>39</v>
      </c>
      <c r="W70">
        <v>16</v>
      </c>
      <c r="X70">
        <v>0</v>
      </c>
      <c r="Y70">
        <v>0.25</v>
      </c>
      <c r="Z70">
        <v>0</v>
      </c>
      <c r="AA70">
        <f>IF(ObjectList2[[#This Row],[Value Type]]="Signed",(-(2^ObjectList2[[#This Row],[Length '[Bit']]])/2*ObjectList2[[#This Row],[Factor]]+ObjectList2[[#This Row],[Offset]]),(ObjectList2[[#This Row],[Offset]]))</f>
        <v>0</v>
      </c>
      <c r="AB70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16383.75</v>
      </c>
    </row>
    <row r="71" spans="1:28" x14ac:dyDescent="0.25">
      <c r="A71">
        <f>LEN(ObjectList2[[#This Row],[Name]])</f>
        <v>16</v>
      </c>
      <c r="E71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VUT_Data_Gen_Spd</v>
      </c>
      <c r="F71" t="s">
        <v>143</v>
      </c>
      <c r="G71" t="s">
        <v>67</v>
      </c>
      <c r="H71" t="s">
        <v>181</v>
      </c>
      <c r="J71" t="s">
        <v>75</v>
      </c>
      <c r="L71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data - generator speed</v>
      </c>
      <c r="M71" t="s">
        <v>143</v>
      </c>
      <c r="N71" t="s">
        <v>176</v>
      </c>
      <c r="O71" t="s">
        <v>183</v>
      </c>
      <c r="Q71" t="s">
        <v>185</v>
      </c>
      <c r="R71" t="s">
        <v>37</v>
      </c>
      <c r="S71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VUT_Data_Gen_Spd : 16@1- (0.5,0) [0|0] "rpm" Vector__XXX</v>
      </c>
      <c r="U71" t="s">
        <v>38</v>
      </c>
      <c r="V71" t="s">
        <v>57</v>
      </c>
      <c r="W71">
        <v>16</v>
      </c>
      <c r="X71">
        <v>0</v>
      </c>
      <c r="Y71">
        <v>0.5</v>
      </c>
      <c r="Z71">
        <v>0</v>
      </c>
      <c r="AA71">
        <f>IF(ObjectList2[[#This Row],[Value Type]]="Signed",(-(2^ObjectList2[[#This Row],[Length '[Bit']]])/2*ObjectList2[[#This Row],[Factor]]+ObjectList2[[#This Row],[Offset]]),(ObjectList2[[#This Row],[Offset]]))</f>
        <v>-16384</v>
      </c>
      <c r="AB71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16383.5</v>
      </c>
    </row>
    <row r="72" spans="1:28" x14ac:dyDescent="0.25">
      <c r="A72">
        <f>LEN(ObjectList2[[#This Row],[Name]])</f>
        <v>17</v>
      </c>
      <c r="E72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VUT_Data_ESS_Curr</v>
      </c>
      <c r="F72" t="s">
        <v>143</v>
      </c>
      <c r="G72" t="s">
        <v>67</v>
      </c>
      <c r="H72" t="s">
        <v>174</v>
      </c>
      <c r="J72" t="s">
        <v>44</v>
      </c>
      <c r="L72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data - energy storage system current</v>
      </c>
      <c r="M72" t="s">
        <v>143</v>
      </c>
      <c r="N72" t="s">
        <v>176</v>
      </c>
      <c r="O72" t="s">
        <v>45</v>
      </c>
      <c r="Q72" t="s">
        <v>186</v>
      </c>
      <c r="R72" t="s">
        <v>37</v>
      </c>
      <c r="S72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VUT_Data_ESS_Curr : 16@1- (0.1,0) [0|0] "A" Vector__XXX</v>
      </c>
      <c r="U72" t="s">
        <v>38</v>
      </c>
      <c r="V72" t="s">
        <v>57</v>
      </c>
      <c r="W72">
        <v>16</v>
      </c>
      <c r="X72">
        <v>0</v>
      </c>
      <c r="Y72">
        <v>0.1</v>
      </c>
      <c r="Z72">
        <v>0</v>
      </c>
      <c r="AA72">
        <f>IF(ObjectList2[[#This Row],[Value Type]]="Signed",(-(2^ObjectList2[[#This Row],[Length '[Bit']]])/2*ObjectList2[[#This Row],[Factor]]+ObjectList2[[#This Row],[Offset]]),(ObjectList2[[#This Row],[Offset]]))</f>
        <v>-3276.8</v>
      </c>
      <c r="AB72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3276.7000000000003</v>
      </c>
    </row>
    <row r="73" spans="1:28" x14ac:dyDescent="0.25">
      <c r="A73">
        <f>LEN(ObjectList2[[#This Row],[Name]])</f>
        <v>17</v>
      </c>
      <c r="E73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VUT_Data_ESS_Temp</v>
      </c>
      <c r="F73" t="s">
        <v>143</v>
      </c>
      <c r="G73" t="s">
        <v>67</v>
      </c>
      <c r="H73" t="s">
        <v>174</v>
      </c>
      <c r="J73" t="s">
        <v>68</v>
      </c>
      <c r="L73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data - energy storage system temperature</v>
      </c>
      <c r="M73" t="s">
        <v>143</v>
      </c>
      <c r="N73" t="s">
        <v>187</v>
      </c>
      <c r="O73" t="s">
        <v>70</v>
      </c>
      <c r="Q73" t="s">
        <v>188</v>
      </c>
      <c r="R73" t="s">
        <v>37</v>
      </c>
      <c r="S73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VUT_Data_ESS_Temp : 10@1+ (0.2,-20) [0|0] "degC" Vector__XXX</v>
      </c>
      <c r="U73" t="s">
        <v>38</v>
      </c>
      <c r="V73" t="s">
        <v>39</v>
      </c>
      <c r="W73">
        <v>10</v>
      </c>
      <c r="X73">
        <v>0</v>
      </c>
      <c r="Y73">
        <v>0.2</v>
      </c>
      <c r="Z73">
        <v>-20</v>
      </c>
      <c r="AA73">
        <f>IF(ObjectList2[[#This Row],[Value Type]]="Signed",(-(2^ObjectList2[[#This Row],[Length '[Bit']]])/2*ObjectList2[[#This Row],[Factor]]+ObjectList2[[#This Row],[Offset]]),(ObjectList2[[#This Row],[Offset]]))</f>
        <v>-20</v>
      </c>
      <c r="AB73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184.60000000000002</v>
      </c>
    </row>
    <row r="74" spans="1:28" x14ac:dyDescent="0.25">
      <c r="A74">
        <f>LEN(ObjectList2[[#This Row],[Name]])</f>
        <v>17</v>
      </c>
      <c r="E74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VUT_Data_Gen_Temp</v>
      </c>
      <c r="F74" t="s">
        <v>143</v>
      </c>
      <c r="G74" t="s">
        <v>67</v>
      </c>
      <c r="H74" t="s">
        <v>181</v>
      </c>
      <c r="J74" t="s">
        <v>68</v>
      </c>
      <c r="L74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data - generator temperature</v>
      </c>
      <c r="M74" t="s">
        <v>143</v>
      </c>
      <c r="N74" t="s">
        <v>187</v>
      </c>
      <c r="O74" t="s">
        <v>70</v>
      </c>
      <c r="Q74" t="s">
        <v>189</v>
      </c>
      <c r="R74" t="s">
        <v>37</v>
      </c>
      <c r="S74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VUT_Data_Gen_Temp : 10@1+ (0.2,-20) [0|0] "degC" Vector__XXX</v>
      </c>
      <c r="U74" t="s">
        <v>38</v>
      </c>
      <c r="V74" t="s">
        <v>39</v>
      </c>
      <c r="W74">
        <v>10</v>
      </c>
      <c r="X74">
        <v>0</v>
      </c>
      <c r="Y74">
        <v>0.2</v>
      </c>
      <c r="Z74">
        <v>-20</v>
      </c>
      <c r="AA74">
        <f>IF(ObjectList2[[#This Row],[Value Type]]="Signed",(-(2^ObjectList2[[#This Row],[Length '[Bit']]])/2*ObjectList2[[#This Row],[Factor]]+ObjectList2[[#This Row],[Offset]]),(ObjectList2[[#This Row],[Offset]]))</f>
        <v>-20</v>
      </c>
      <c r="AB74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184.60000000000002</v>
      </c>
    </row>
    <row r="75" spans="1:28" x14ac:dyDescent="0.25">
      <c r="A75">
        <f>LEN(ObjectList2[[#This Row],[Name]])</f>
        <v>17</v>
      </c>
      <c r="E75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VUT_Data_ESS_Volt</v>
      </c>
      <c r="F75" t="s">
        <v>143</v>
      </c>
      <c r="G75" t="s">
        <v>67</v>
      </c>
      <c r="H75" t="s">
        <v>174</v>
      </c>
      <c r="J75" t="s">
        <v>47</v>
      </c>
      <c r="L75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data - energy storage system voltage</v>
      </c>
      <c r="M75" t="s">
        <v>143</v>
      </c>
      <c r="N75" t="s">
        <v>176</v>
      </c>
      <c r="O75" t="s">
        <v>48</v>
      </c>
      <c r="Q75" t="s">
        <v>190</v>
      </c>
      <c r="R75" t="s">
        <v>37</v>
      </c>
      <c r="S75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VUT_Data_ESS_Volt : 16@1+ (0.02,0) [0|0] "V" Vector__XXX</v>
      </c>
      <c r="U75" t="s">
        <v>38</v>
      </c>
      <c r="V75" t="s">
        <v>39</v>
      </c>
      <c r="W75">
        <v>16</v>
      </c>
      <c r="X75">
        <v>0</v>
      </c>
      <c r="Y75">
        <v>0.02</v>
      </c>
      <c r="Z75">
        <v>0</v>
      </c>
      <c r="AA75">
        <f>IF(ObjectList2[[#This Row],[Value Type]]="Signed",(-(2^ObjectList2[[#This Row],[Length '[Bit']]])/2*ObjectList2[[#This Row],[Factor]]+ObjectList2[[#This Row],[Offset]]),(ObjectList2[[#This Row],[Offset]]))</f>
        <v>0</v>
      </c>
      <c r="AB75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1310.7</v>
      </c>
    </row>
    <row r="76" spans="1:28" x14ac:dyDescent="0.25">
      <c r="A76">
        <f>LEN(ObjectList2[[#This Row],[Name]])</f>
        <v>18</v>
      </c>
      <c r="E76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VUT_Data_Chrg_Curr</v>
      </c>
      <c r="F76" t="s">
        <v>143</v>
      </c>
      <c r="G76" t="s">
        <v>67</v>
      </c>
      <c r="H76" t="s">
        <v>194</v>
      </c>
      <c r="J76" t="s">
        <v>44</v>
      </c>
      <c r="L76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data - onboard hv battery charger current</v>
      </c>
      <c r="M76" t="s">
        <v>143</v>
      </c>
      <c r="N76" t="s">
        <v>176</v>
      </c>
      <c r="O76" t="s">
        <v>45</v>
      </c>
      <c r="Q76" t="s">
        <v>195</v>
      </c>
      <c r="R76" t="s">
        <v>37</v>
      </c>
      <c r="S76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VUT_Data_Chrg_Curr : 14@1- (0.15,0) [0|0] "A" Vector__XXX</v>
      </c>
      <c r="U76" t="s">
        <v>38</v>
      </c>
      <c r="V76" t="s">
        <v>57</v>
      </c>
      <c r="W76">
        <v>14</v>
      </c>
      <c r="X76">
        <v>0</v>
      </c>
      <c r="Y76">
        <v>0.15</v>
      </c>
      <c r="Z76">
        <v>0</v>
      </c>
      <c r="AA76">
        <f>IF(ObjectList2[[#This Row],[Value Type]]="Signed",(-(2^ObjectList2[[#This Row],[Length '[Bit']]])/2*ObjectList2[[#This Row],[Factor]]+ObjectList2[[#This Row],[Offset]]),(ObjectList2[[#This Row],[Offset]]))</f>
        <v>-1228.8</v>
      </c>
      <c r="AB76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1228.6499999999999</v>
      </c>
    </row>
    <row r="77" spans="1:28" x14ac:dyDescent="0.25">
      <c r="A77">
        <f>LEN(ObjectList2[[#This Row],[Name]])</f>
        <v>18</v>
      </c>
      <c r="E77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VUT_Data_DCDC_Curr</v>
      </c>
      <c r="F77" t="s">
        <v>143</v>
      </c>
      <c r="G77" t="s">
        <v>67</v>
      </c>
      <c r="H77" t="s">
        <v>196</v>
      </c>
      <c r="J77" t="s">
        <v>44</v>
      </c>
      <c r="L77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data - dcdc converter current</v>
      </c>
      <c r="M77" t="s">
        <v>143</v>
      </c>
      <c r="N77" t="s">
        <v>187</v>
      </c>
      <c r="O77" t="s">
        <v>45</v>
      </c>
      <c r="Q77" t="s">
        <v>197</v>
      </c>
      <c r="R77" t="s">
        <v>37</v>
      </c>
      <c r="S77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VUT_Data_DCDC_Curr : 14@1- (0.15,0) [0|0] "A" Vector__XXX</v>
      </c>
      <c r="U77" t="s">
        <v>38</v>
      </c>
      <c r="V77" t="s">
        <v>57</v>
      </c>
      <c r="W77">
        <v>14</v>
      </c>
      <c r="X77">
        <v>0</v>
      </c>
      <c r="Y77">
        <v>0.15</v>
      </c>
      <c r="Z77">
        <v>0</v>
      </c>
      <c r="AA77">
        <f>IF(ObjectList2[[#This Row],[Value Type]]="Signed",(-(2^ObjectList2[[#This Row],[Length '[Bit']]])/2*ObjectList2[[#This Row],[Factor]]+ObjectList2[[#This Row],[Offset]]),(ObjectList2[[#This Row],[Offset]]))</f>
        <v>-1228.8</v>
      </c>
      <c r="AB77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1228.6499999999999</v>
      </c>
    </row>
    <row r="78" spans="1:28" x14ac:dyDescent="0.25">
      <c r="A78">
        <f>LEN(ObjectList2[[#This Row],[Name]])</f>
        <v>18</v>
      </c>
      <c r="E78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VUT_Data_Mot_1_Trq</v>
      </c>
      <c r="F78" t="s">
        <v>143</v>
      </c>
      <c r="G78" t="s">
        <v>67</v>
      </c>
      <c r="H78" t="s">
        <v>202</v>
      </c>
      <c r="I78">
        <v>1</v>
      </c>
      <c r="J78" t="s">
        <v>179</v>
      </c>
      <c r="L78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data - motor 1 torque</v>
      </c>
      <c r="M78" t="s">
        <v>143</v>
      </c>
      <c r="N78" t="s">
        <v>176</v>
      </c>
      <c r="O78" t="s">
        <v>157</v>
      </c>
      <c r="Q78" t="s">
        <v>203</v>
      </c>
      <c r="R78" t="s">
        <v>37</v>
      </c>
      <c r="S78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VUT_Data_Mot_1_Trq : 16@1- (0.05,0) [0|0] "Nm" Vector__XXX</v>
      </c>
      <c r="U78" t="s">
        <v>38</v>
      </c>
      <c r="V78" t="s">
        <v>57</v>
      </c>
      <c r="W78">
        <v>16</v>
      </c>
      <c r="X78">
        <v>0</v>
      </c>
      <c r="Y78">
        <v>0.05</v>
      </c>
      <c r="Z78">
        <v>0</v>
      </c>
      <c r="AA78">
        <f>IF(ObjectList2[[#This Row],[Value Type]]="Signed",(-(2^ObjectList2[[#This Row],[Length '[Bit']]])/2*ObjectList2[[#This Row],[Factor]]+ObjectList2[[#This Row],[Offset]]),(ObjectList2[[#This Row],[Offset]]))</f>
        <v>-1638.4</v>
      </c>
      <c r="AB78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1638.3500000000001</v>
      </c>
    </row>
    <row r="79" spans="1:28" x14ac:dyDescent="0.25">
      <c r="A79">
        <f>LEN(ObjectList2[[#This Row],[Name]])</f>
        <v>18</v>
      </c>
      <c r="E79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VUT_Data_Mot_2_Trq</v>
      </c>
      <c r="F79" t="s">
        <v>143</v>
      </c>
      <c r="G79" t="s">
        <v>67</v>
      </c>
      <c r="H79" t="s">
        <v>202</v>
      </c>
      <c r="I79">
        <v>2</v>
      </c>
      <c r="J79" t="s">
        <v>179</v>
      </c>
      <c r="L79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data - motor 2 torque</v>
      </c>
      <c r="M79" t="s">
        <v>143</v>
      </c>
      <c r="N79" t="s">
        <v>176</v>
      </c>
      <c r="O79" t="s">
        <v>157</v>
      </c>
      <c r="Q79" t="s">
        <v>204</v>
      </c>
      <c r="R79" t="s">
        <v>37</v>
      </c>
      <c r="S79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VUT_Data_Mot_2_Trq : 16@1- (0.05,0) [0|0] "Nm" Vector__XXX</v>
      </c>
      <c r="U79" t="s">
        <v>38</v>
      </c>
      <c r="V79" t="s">
        <v>57</v>
      </c>
      <c r="W79">
        <v>16</v>
      </c>
      <c r="X79">
        <v>0</v>
      </c>
      <c r="Y79">
        <v>0.05</v>
      </c>
      <c r="Z79">
        <v>0</v>
      </c>
      <c r="AA79">
        <f>IF(ObjectList2[[#This Row],[Value Type]]="Signed",(-(2^ObjectList2[[#This Row],[Length '[Bit']]])/2*ObjectList2[[#This Row],[Factor]]+ObjectList2[[#This Row],[Offset]]),(ObjectList2[[#This Row],[Offset]]))</f>
        <v>-1638.4</v>
      </c>
      <c r="AB79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1638.3500000000001</v>
      </c>
    </row>
    <row r="80" spans="1:28" x14ac:dyDescent="0.25">
      <c r="A80">
        <f>LEN(ObjectList2[[#This Row],[Name]])</f>
        <v>18</v>
      </c>
      <c r="E80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VUT_Data_Mot_3_Trq</v>
      </c>
      <c r="F80" t="s">
        <v>143</v>
      </c>
      <c r="G80" t="s">
        <v>67</v>
      </c>
      <c r="H80" t="s">
        <v>202</v>
      </c>
      <c r="I80">
        <v>3</v>
      </c>
      <c r="J80" t="s">
        <v>179</v>
      </c>
      <c r="L80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data - motor 3 torque</v>
      </c>
      <c r="M80" t="s">
        <v>143</v>
      </c>
      <c r="N80" t="s">
        <v>176</v>
      </c>
      <c r="O80" t="s">
        <v>157</v>
      </c>
      <c r="Q80" t="s">
        <v>205</v>
      </c>
      <c r="R80" t="s">
        <v>37</v>
      </c>
      <c r="S80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VUT_Data_Mot_3_Trq : 16@1- (0.05,0) [0|0] "Nm" Vector__XXX</v>
      </c>
      <c r="U80" t="s">
        <v>38</v>
      </c>
      <c r="V80" t="s">
        <v>57</v>
      </c>
      <c r="W80">
        <v>16</v>
      </c>
      <c r="X80">
        <v>0</v>
      </c>
      <c r="Y80">
        <v>0.05</v>
      </c>
      <c r="Z80">
        <v>0</v>
      </c>
      <c r="AA80">
        <f>IF(ObjectList2[[#This Row],[Value Type]]="Signed",(-(2^ObjectList2[[#This Row],[Length '[Bit']]])/2*ObjectList2[[#This Row],[Factor]]+ObjectList2[[#This Row],[Offset]]),(ObjectList2[[#This Row],[Offset]]))</f>
        <v>-1638.4</v>
      </c>
      <c r="AB80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1638.3500000000001</v>
      </c>
    </row>
    <row r="81" spans="1:28" x14ac:dyDescent="0.25">
      <c r="A81">
        <f>LEN(ObjectList2[[#This Row],[Name]])</f>
        <v>18</v>
      </c>
      <c r="E81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VUT_Data_Mot_1_Spd</v>
      </c>
      <c r="F81" t="s">
        <v>143</v>
      </c>
      <c r="G81" t="s">
        <v>67</v>
      </c>
      <c r="H81" t="s">
        <v>202</v>
      </c>
      <c r="I81">
        <v>1</v>
      </c>
      <c r="J81" t="s">
        <v>75</v>
      </c>
      <c r="L81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data - motor 1 speed</v>
      </c>
      <c r="M81" t="s">
        <v>143</v>
      </c>
      <c r="N81" t="s">
        <v>176</v>
      </c>
      <c r="O81" t="s">
        <v>183</v>
      </c>
      <c r="Q81" t="s">
        <v>206</v>
      </c>
      <c r="R81" t="s">
        <v>37</v>
      </c>
      <c r="S81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VUT_Data_Mot_1_Spd : 16@1- (0.5,0) [0|0] "rpm" Vector__XXX</v>
      </c>
      <c r="U81" t="s">
        <v>38</v>
      </c>
      <c r="V81" t="s">
        <v>57</v>
      </c>
      <c r="W81">
        <v>16</v>
      </c>
      <c r="X81">
        <v>0</v>
      </c>
      <c r="Y81">
        <v>0.5</v>
      </c>
      <c r="Z81">
        <v>0</v>
      </c>
      <c r="AA81">
        <f>IF(ObjectList2[[#This Row],[Value Type]]="Signed",(-(2^ObjectList2[[#This Row],[Length '[Bit']]])/2*ObjectList2[[#This Row],[Factor]]+ObjectList2[[#This Row],[Offset]]),(ObjectList2[[#This Row],[Offset]]))</f>
        <v>-16384</v>
      </c>
      <c r="AB81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16383.5</v>
      </c>
    </row>
    <row r="82" spans="1:28" x14ac:dyDescent="0.25">
      <c r="A82">
        <f>LEN(ObjectList2[[#This Row],[Name]])</f>
        <v>18</v>
      </c>
      <c r="E82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VUT_Data_Mot_2_Spd</v>
      </c>
      <c r="F82" t="s">
        <v>143</v>
      </c>
      <c r="G82" t="s">
        <v>67</v>
      </c>
      <c r="H82" t="s">
        <v>202</v>
      </c>
      <c r="I82">
        <v>2</v>
      </c>
      <c r="J82" t="s">
        <v>75</v>
      </c>
      <c r="L82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data - motor 2 speed</v>
      </c>
      <c r="M82" t="s">
        <v>143</v>
      </c>
      <c r="N82" t="s">
        <v>176</v>
      </c>
      <c r="O82" t="s">
        <v>183</v>
      </c>
      <c r="Q82" t="s">
        <v>207</v>
      </c>
      <c r="R82" t="s">
        <v>37</v>
      </c>
      <c r="S82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VUT_Data_Mot_2_Spd : 16@1- (0.5,0) [0|0] "rpm" Vector__XXX</v>
      </c>
      <c r="U82" t="s">
        <v>38</v>
      </c>
      <c r="V82" t="s">
        <v>57</v>
      </c>
      <c r="W82">
        <v>16</v>
      </c>
      <c r="X82">
        <v>0</v>
      </c>
      <c r="Y82">
        <v>0.5</v>
      </c>
      <c r="Z82">
        <v>0</v>
      </c>
      <c r="AA82">
        <f>IF(ObjectList2[[#This Row],[Value Type]]="Signed",(-(2^ObjectList2[[#This Row],[Length '[Bit']]])/2*ObjectList2[[#This Row],[Factor]]+ObjectList2[[#This Row],[Offset]]),(ObjectList2[[#This Row],[Offset]]))</f>
        <v>-16384</v>
      </c>
      <c r="AB82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16383.5</v>
      </c>
    </row>
    <row r="83" spans="1:28" x14ac:dyDescent="0.25">
      <c r="A83">
        <f>LEN(ObjectList2[[#This Row],[Name]])</f>
        <v>18</v>
      </c>
      <c r="E83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VUT_Data_Mot_3_Spd</v>
      </c>
      <c r="F83" t="s">
        <v>143</v>
      </c>
      <c r="G83" t="s">
        <v>67</v>
      </c>
      <c r="H83" t="s">
        <v>202</v>
      </c>
      <c r="I83">
        <v>3</v>
      </c>
      <c r="J83" t="s">
        <v>75</v>
      </c>
      <c r="L83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data - motor 3 speed</v>
      </c>
      <c r="M83" t="s">
        <v>143</v>
      </c>
      <c r="N83" t="s">
        <v>176</v>
      </c>
      <c r="O83" t="s">
        <v>183</v>
      </c>
      <c r="Q83" t="s">
        <v>208</v>
      </c>
      <c r="R83" t="s">
        <v>37</v>
      </c>
      <c r="S83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VUT_Data_Mot_3_Spd : 16@1- (0.5,0) [0|0] "rpm" Vector__XXX</v>
      </c>
      <c r="U83" t="s">
        <v>38</v>
      </c>
      <c r="V83" t="s">
        <v>57</v>
      </c>
      <c r="W83">
        <v>16</v>
      </c>
      <c r="X83">
        <v>0</v>
      </c>
      <c r="Y83">
        <v>0.5</v>
      </c>
      <c r="Z83">
        <v>0</v>
      </c>
      <c r="AA83">
        <f>IF(ObjectList2[[#This Row],[Value Type]]="Signed",(-(2^ObjectList2[[#This Row],[Length '[Bit']]])/2*ObjectList2[[#This Row],[Factor]]+ObjectList2[[#This Row],[Offset]]),(ObjectList2[[#This Row],[Offset]]))</f>
        <v>-16384</v>
      </c>
      <c r="AB83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16383.5</v>
      </c>
    </row>
    <row r="84" spans="1:28" x14ac:dyDescent="0.25">
      <c r="A84">
        <f>LEN(ObjectList2[[#This Row],[Name]])</f>
        <v>18</v>
      </c>
      <c r="E84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VUT_Data_Turbo_Spd</v>
      </c>
      <c r="F84" t="s">
        <v>143</v>
      </c>
      <c r="G84" t="s">
        <v>67</v>
      </c>
      <c r="H84" t="s">
        <v>209</v>
      </c>
      <c r="J84" t="s">
        <v>75</v>
      </c>
      <c r="L84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data - speed</v>
      </c>
      <c r="M84" t="s">
        <v>143</v>
      </c>
      <c r="N84" t="s">
        <v>187</v>
      </c>
      <c r="O84" t="s">
        <v>183</v>
      </c>
      <c r="Q84" t="s">
        <v>210</v>
      </c>
      <c r="R84" t="s">
        <v>37</v>
      </c>
      <c r="S84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VUT_Data_Turbo_Spd : 16@1- (1,0) [0|0] "rpm" Vector__XXX</v>
      </c>
      <c r="U84" t="s">
        <v>38</v>
      </c>
      <c r="V84" t="s">
        <v>57</v>
      </c>
      <c r="W84">
        <v>16</v>
      </c>
      <c r="X84">
        <v>0</v>
      </c>
      <c r="Y84">
        <v>1</v>
      </c>
      <c r="Z84">
        <v>0</v>
      </c>
      <c r="AA84">
        <f>IF(ObjectList2[[#This Row],[Value Type]]="Signed",(-(2^ObjectList2[[#This Row],[Length '[Bit']]])/2*ObjectList2[[#This Row],[Factor]]+ObjectList2[[#This Row],[Offset]]),(ObjectList2[[#This Row],[Offset]]))</f>
        <v>-32768</v>
      </c>
      <c r="AB84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32767</v>
      </c>
    </row>
    <row r="85" spans="1:28" x14ac:dyDescent="0.25">
      <c r="A85">
        <f>LEN(ObjectList2[[#This Row],[Name]])</f>
        <v>18</v>
      </c>
      <c r="E85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VUT_Data_DCDC_Volt</v>
      </c>
      <c r="F85" t="s">
        <v>143</v>
      </c>
      <c r="G85" t="s">
        <v>67</v>
      </c>
      <c r="H85" t="s">
        <v>196</v>
      </c>
      <c r="J85" t="s">
        <v>47</v>
      </c>
      <c r="L85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data - dcdc converter voltage</v>
      </c>
      <c r="M85" t="s">
        <v>143</v>
      </c>
      <c r="N85" t="s">
        <v>187</v>
      </c>
      <c r="O85" t="s">
        <v>48</v>
      </c>
      <c r="Q85" t="s">
        <v>211</v>
      </c>
      <c r="R85" t="s">
        <v>37</v>
      </c>
      <c r="S85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VUT_Data_DCDC_Volt : 12@1+ (0.01,0) [0|0] "V" Vector__XXX</v>
      </c>
      <c r="U85" t="s">
        <v>38</v>
      </c>
      <c r="V85" t="s">
        <v>39</v>
      </c>
      <c r="W85">
        <v>12</v>
      </c>
      <c r="X85">
        <v>0</v>
      </c>
      <c r="Y85">
        <v>0.01</v>
      </c>
      <c r="Z85">
        <v>0</v>
      </c>
      <c r="AA85">
        <f>IF(ObjectList2[[#This Row],[Value Type]]="Signed",(-(2^ObjectList2[[#This Row],[Length '[Bit']]])/2*ObjectList2[[#This Row],[Factor]]+ObjectList2[[#This Row],[Offset]]),(ObjectList2[[#This Row],[Offset]]))</f>
        <v>0</v>
      </c>
      <c r="AB85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40.950000000000003</v>
      </c>
    </row>
    <row r="86" spans="1:28" x14ac:dyDescent="0.25">
      <c r="A86">
        <f>LEN(ObjectList2[[#This Row],[Name]])</f>
        <v>19</v>
      </c>
      <c r="E86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VUT_Data_Mot_1_Temp</v>
      </c>
      <c r="F86" t="s">
        <v>143</v>
      </c>
      <c r="G86" t="s">
        <v>67</v>
      </c>
      <c r="H86" t="s">
        <v>202</v>
      </c>
      <c r="I86">
        <v>1</v>
      </c>
      <c r="J86" t="s">
        <v>68</v>
      </c>
      <c r="L86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data - motor 1 temperature</v>
      </c>
      <c r="M86" t="s">
        <v>143</v>
      </c>
      <c r="N86" t="s">
        <v>187</v>
      </c>
      <c r="O86" t="s">
        <v>70</v>
      </c>
      <c r="Q86" t="s">
        <v>212</v>
      </c>
      <c r="R86" t="s">
        <v>37</v>
      </c>
      <c r="S86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VUT_Data_Mot_1_Temp : 10@1+ (0.2,-20) [0|0] "degC" Vector__XXX</v>
      </c>
      <c r="U86" t="s">
        <v>38</v>
      </c>
      <c r="V86" t="s">
        <v>39</v>
      </c>
      <c r="W86">
        <v>10</v>
      </c>
      <c r="X86">
        <v>0</v>
      </c>
      <c r="Y86">
        <v>0.2</v>
      </c>
      <c r="Z86">
        <v>-20</v>
      </c>
      <c r="AA86">
        <f>IF(ObjectList2[[#This Row],[Value Type]]="Signed",(-(2^ObjectList2[[#This Row],[Length '[Bit']]])/2*ObjectList2[[#This Row],[Factor]]+ObjectList2[[#This Row],[Offset]]),(ObjectList2[[#This Row],[Offset]]))</f>
        <v>-20</v>
      </c>
      <c r="AB86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184.60000000000002</v>
      </c>
    </row>
    <row r="87" spans="1:28" x14ac:dyDescent="0.25">
      <c r="A87">
        <f>LEN(ObjectList2[[#This Row],[Name]])</f>
        <v>19</v>
      </c>
      <c r="E87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VUT_Data_Mot_2_Temp</v>
      </c>
      <c r="F87" t="s">
        <v>143</v>
      </c>
      <c r="G87" t="s">
        <v>67</v>
      </c>
      <c r="H87" t="s">
        <v>202</v>
      </c>
      <c r="I87">
        <v>2</v>
      </c>
      <c r="J87" t="s">
        <v>68</v>
      </c>
      <c r="L87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data - motor 2 temperature</v>
      </c>
      <c r="M87" t="s">
        <v>143</v>
      </c>
      <c r="N87" t="s">
        <v>187</v>
      </c>
      <c r="O87" t="s">
        <v>70</v>
      </c>
      <c r="Q87" t="s">
        <v>213</v>
      </c>
      <c r="R87" t="s">
        <v>37</v>
      </c>
      <c r="S87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VUT_Data_Mot_2_Temp : 10@1+ (0.2,-20) [0|0] "degC" Vector__XXX</v>
      </c>
      <c r="U87" t="s">
        <v>38</v>
      </c>
      <c r="V87" t="s">
        <v>39</v>
      </c>
      <c r="W87">
        <v>10</v>
      </c>
      <c r="X87">
        <v>0</v>
      </c>
      <c r="Y87">
        <v>0.2</v>
      </c>
      <c r="Z87">
        <v>-20</v>
      </c>
      <c r="AA87">
        <f>IF(ObjectList2[[#This Row],[Value Type]]="Signed",(-(2^ObjectList2[[#This Row],[Length '[Bit']]])/2*ObjectList2[[#This Row],[Factor]]+ObjectList2[[#This Row],[Offset]]),(ObjectList2[[#This Row],[Offset]]))</f>
        <v>-20</v>
      </c>
      <c r="AB87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184.60000000000002</v>
      </c>
    </row>
    <row r="88" spans="1:28" x14ac:dyDescent="0.25">
      <c r="A88">
        <f>LEN(ObjectList2[[#This Row],[Name]])</f>
        <v>19</v>
      </c>
      <c r="E88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VUT_Data_Mot_3_Temp</v>
      </c>
      <c r="F88" t="s">
        <v>143</v>
      </c>
      <c r="G88" t="s">
        <v>67</v>
      </c>
      <c r="H88" t="s">
        <v>202</v>
      </c>
      <c r="I88">
        <v>3</v>
      </c>
      <c r="J88" t="s">
        <v>68</v>
      </c>
      <c r="L88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data - motor 3 temperature</v>
      </c>
      <c r="M88" t="s">
        <v>143</v>
      </c>
      <c r="N88" t="s">
        <v>187</v>
      </c>
      <c r="O88" t="s">
        <v>70</v>
      </c>
      <c r="Q88" t="s">
        <v>214</v>
      </c>
      <c r="R88" t="s">
        <v>37</v>
      </c>
      <c r="S88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VUT_Data_Mot_3_Temp : 10@1+ (0.2,-20) [0|0] "degC" Vector__XXX</v>
      </c>
      <c r="U88" t="s">
        <v>38</v>
      </c>
      <c r="V88" t="s">
        <v>39</v>
      </c>
      <c r="W88">
        <v>10</v>
      </c>
      <c r="X88">
        <v>0</v>
      </c>
      <c r="Y88">
        <v>0.2</v>
      </c>
      <c r="Z88">
        <v>-20</v>
      </c>
      <c r="AA88">
        <f>IF(ObjectList2[[#This Row],[Value Type]]="Signed",(-(2^ObjectList2[[#This Row],[Length '[Bit']]])/2*ObjectList2[[#This Row],[Factor]]+ObjectList2[[#This Row],[Offset]]),(ObjectList2[[#This Row],[Offset]]))</f>
        <v>-20</v>
      </c>
      <c r="AB88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184.60000000000002</v>
      </c>
    </row>
    <row r="89" spans="1:28" x14ac:dyDescent="0.25">
      <c r="A89">
        <f>LEN(ObjectList2[[#This Row],[Name]])</f>
        <v>19</v>
      </c>
      <c r="E89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VUT_Data_Whl_Spd_FL</v>
      </c>
      <c r="F89" t="s">
        <v>143</v>
      </c>
      <c r="G89" t="s">
        <v>67</v>
      </c>
      <c r="H89" t="s">
        <v>215</v>
      </c>
      <c r="J89" t="s">
        <v>75</v>
      </c>
      <c r="K89" t="s">
        <v>216</v>
      </c>
      <c r="L89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data - wheel speed front left</v>
      </c>
      <c r="M89" t="s">
        <v>143</v>
      </c>
      <c r="N89" t="s">
        <v>187</v>
      </c>
      <c r="O89" t="s">
        <v>76</v>
      </c>
      <c r="Q89" t="s">
        <v>217</v>
      </c>
      <c r="R89" t="s">
        <v>37</v>
      </c>
      <c r="S89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VUT_Data_Whl_Spd_FL : 16@1- (0.01,0) [0|0] "km/h" Vector__XXX</v>
      </c>
      <c r="U89" t="s">
        <v>38</v>
      </c>
      <c r="V89" t="s">
        <v>57</v>
      </c>
      <c r="W89">
        <v>16</v>
      </c>
      <c r="X89">
        <v>0</v>
      </c>
      <c r="Y89">
        <v>0.01</v>
      </c>
      <c r="Z89">
        <v>0</v>
      </c>
      <c r="AA89">
        <f>IF(ObjectList2[[#This Row],[Value Type]]="Signed",(-(2^ObjectList2[[#This Row],[Length '[Bit']]])/2*ObjectList2[[#This Row],[Factor]]+ObjectList2[[#This Row],[Offset]]),(ObjectList2[[#This Row],[Offset]]))</f>
        <v>-327.68</v>
      </c>
      <c r="AB89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327.67</v>
      </c>
    </row>
    <row r="90" spans="1:28" x14ac:dyDescent="0.25">
      <c r="A90">
        <f>LEN(ObjectList2[[#This Row],[Name]])</f>
        <v>19</v>
      </c>
      <c r="E90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VUT_Data_Whl_Spd_FR</v>
      </c>
      <c r="F90" t="s">
        <v>143</v>
      </c>
      <c r="G90" t="s">
        <v>67</v>
      </c>
      <c r="H90" t="s">
        <v>215</v>
      </c>
      <c r="J90" t="s">
        <v>75</v>
      </c>
      <c r="K90" t="s">
        <v>218</v>
      </c>
      <c r="L90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data - wheel speed front right</v>
      </c>
      <c r="M90" t="s">
        <v>143</v>
      </c>
      <c r="N90" t="s">
        <v>187</v>
      </c>
      <c r="O90" t="s">
        <v>76</v>
      </c>
      <c r="Q90" t="s">
        <v>219</v>
      </c>
      <c r="R90" t="s">
        <v>37</v>
      </c>
      <c r="S90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VUT_Data_Whl_Spd_FR : 16@1- (0.01,0) [0|0] "km/h" Vector__XXX</v>
      </c>
      <c r="U90" t="s">
        <v>38</v>
      </c>
      <c r="V90" t="s">
        <v>57</v>
      </c>
      <c r="W90">
        <v>16</v>
      </c>
      <c r="X90">
        <v>0</v>
      </c>
      <c r="Y90">
        <v>0.01</v>
      </c>
      <c r="Z90">
        <v>0</v>
      </c>
      <c r="AA90">
        <f>IF(ObjectList2[[#This Row],[Value Type]]="Signed",(-(2^ObjectList2[[#This Row],[Length '[Bit']]])/2*ObjectList2[[#This Row],[Factor]]+ObjectList2[[#This Row],[Offset]]),(ObjectList2[[#This Row],[Offset]]))</f>
        <v>-327.68</v>
      </c>
      <c r="AB90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327.67</v>
      </c>
    </row>
    <row r="91" spans="1:28" x14ac:dyDescent="0.25">
      <c r="A91">
        <f>LEN(ObjectList2[[#This Row],[Name]])</f>
        <v>19</v>
      </c>
      <c r="E91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VUT_Data_Whl_Spd_RL</v>
      </c>
      <c r="F91" t="s">
        <v>143</v>
      </c>
      <c r="G91" t="s">
        <v>67</v>
      </c>
      <c r="H91" t="s">
        <v>215</v>
      </c>
      <c r="J91" t="s">
        <v>75</v>
      </c>
      <c r="K91" t="s">
        <v>220</v>
      </c>
      <c r="L91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data - wheel speed rear left</v>
      </c>
      <c r="M91" t="s">
        <v>143</v>
      </c>
      <c r="N91" t="s">
        <v>187</v>
      </c>
      <c r="O91" t="s">
        <v>76</v>
      </c>
      <c r="Q91" t="s">
        <v>221</v>
      </c>
      <c r="R91" t="s">
        <v>37</v>
      </c>
      <c r="S91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VUT_Data_Whl_Spd_RL : 16@1- (0.01,0) [0|0] "km/h" Vector__XXX</v>
      </c>
      <c r="U91" t="s">
        <v>38</v>
      </c>
      <c r="V91" t="s">
        <v>57</v>
      </c>
      <c r="W91">
        <v>16</v>
      </c>
      <c r="X91">
        <v>0</v>
      </c>
      <c r="Y91">
        <v>0.01</v>
      </c>
      <c r="Z91">
        <v>0</v>
      </c>
      <c r="AA91">
        <f>IF(ObjectList2[[#This Row],[Value Type]]="Signed",(-(2^ObjectList2[[#This Row],[Length '[Bit']]])/2*ObjectList2[[#This Row],[Factor]]+ObjectList2[[#This Row],[Offset]]),(ObjectList2[[#This Row],[Offset]]))</f>
        <v>-327.68</v>
      </c>
      <c r="AB91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327.67</v>
      </c>
    </row>
    <row r="92" spans="1:28" x14ac:dyDescent="0.25">
      <c r="A92">
        <f>LEN(ObjectList2[[#This Row],[Name]])</f>
        <v>19</v>
      </c>
      <c r="E92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VUT_Data_Whl_Spd_RR</v>
      </c>
      <c r="F92" t="s">
        <v>143</v>
      </c>
      <c r="G92" t="s">
        <v>67</v>
      </c>
      <c r="H92" t="s">
        <v>215</v>
      </c>
      <c r="J92" t="s">
        <v>75</v>
      </c>
      <c r="K92" t="s">
        <v>222</v>
      </c>
      <c r="L92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data - wheel speed rear right</v>
      </c>
      <c r="M92" t="s">
        <v>143</v>
      </c>
      <c r="N92" t="s">
        <v>187</v>
      </c>
      <c r="O92" t="s">
        <v>76</v>
      </c>
      <c r="Q92" t="s">
        <v>223</v>
      </c>
      <c r="R92" t="s">
        <v>37</v>
      </c>
      <c r="S92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VUT_Data_Whl_Spd_RR : 16@1- (0.01,0) [0|0] "km/h" Vector__XXX</v>
      </c>
      <c r="U92" t="s">
        <v>38</v>
      </c>
      <c r="V92" t="s">
        <v>57</v>
      </c>
      <c r="W92">
        <v>16</v>
      </c>
      <c r="X92">
        <v>0</v>
      </c>
      <c r="Y92">
        <v>0.01</v>
      </c>
      <c r="Z92">
        <v>0</v>
      </c>
      <c r="AA92">
        <f>IF(ObjectList2[[#This Row],[Value Type]]="Signed",(-(2^ObjectList2[[#This Row],[Length '[Bit']]])/2*ObjectList2[[#This Row],[Factor]]+ObjectList2[[#This Row],[Offset]]),(ObjectList2[[#This Row],[Offset]]))</f>
        <v>-327.68</v>
      </c>
      <c r="AB92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327.67</v>
      </c>
    </row>
    <row r="93" spans="1:28" x14ac:dyDescent="0.25">
      <c r="A93">
        <f>LEN(ObjectList2[[#This Row],[Name]])</f>
        <v>19</v>
      </c>
      <c r="E93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VUT_Data_Trns_Ratio</v>
      </c>
      <c r="F93" t="s">
        <v>143</v>
      </c>
      <c r="G93" t="s">
        <v>67</v>
      </c>
      <c r="H93" t="s">
        <v>149</v>
      </c>
      <c r="J93" t="s">
        <v>224</v>
      </c>
      <c r="L93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data - transmission</v>
      </c>
      <c r="M93" t="s">
        <v>143</v>
      </c>
      <c r="N93" t="s">
        <v>151</v>
      </c>
      <c r="O93" t="s">
        <v>225</v>
      </c>
      <c r="Q93" t="s">
        <v>226</v>
      </c>
      <c r="R93" t="s">
        <v>37</v>
      </c>
      <c r="S93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VUT_Data_Trns_Ratio : 14@1- (0.01,0) [0|0] "ratio" Vector__XXX</v>
      </c>
      <c r="U93" t="s">
        <v>38</v>
      </c>
      <c r="V93" t="s">
        <v>57</v>
      </c>
      <c r="W93">
        <v>14</v>
      </c>
      <c r="X93">
        <v>0</v>
      </c>
      <c r="Y93">
        <v>0.01</v>
      </c>
      <c r="Z93">
        <v>0</v>
      </c>
      <c r="AA93">
        <f>IF(ObjectList2[[#This Row],[Value Type]]="Signed",(-(2^ObjectList2[[#This Row],[Length '[Bit']]])/2*ObjectList2[[#This Row],[Factor]]+ObjectList2[[#This Row],[Offset]]),(ObjectList2[[#This Row],[Offset]]))</f>
        <v>-81.92</v>
      </c>
      <c r="AB93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81.91</v>
      </c>
    </row>
    <row r="94" spans="1:28" x14ac:dyDescent="0.25">
      <c r="A94">
        <f>LEN(ObjectList2[[#This Row],[Name]])</f>
        <v>20</v>
      </c>
      <c r="E94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VUT_Data_LVBatt_Curr</v>
      </c>
      <c r="F94" t="s">
        <v>143</v>
      </c>
      <c r="G94" t="s">
        <v>67</v>
      </c>
      <c r="H94" t="s">
        <v>227</v>
      </c>
      <c r="J94" t="s">
        <v>44</v>
      </c>
      <c r="L94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data - low voltage battery current</v>
      </c>
      <c r="M94" t="s">
        <v>143</v>
      </c>
      <c r="N94" t="s">
        <v>187</v>
      </c>
      <c r="O94" t="s">
        <v>45</v>
      </c>
      <c r="Q94" t="s">
        <v>228</v>
      </c>
      <c r="R94" t="s">
        <v>37</v>
      </c>
      <c r="S94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VUT_Data_LVBatt_Curr : 14@1- (0.2,0) [0|0] "A" Vector__XXX</v>
      </c>
      <c r="U94" t="s">
        <v>38</v>
      </c>
      <c r="V94" t="s">
        <v>57</v>
      </c>
      <c r="W94">
        <v>14</v>
      </c>
      <c r="X94">
        <v>0</v>
      </c>
      <c r="Y94">
        <v>0.2</v>
      </c>
      <c r="Z94">
        <v>0</v>
      </c>
      <c r="AA94">
        <f>IF(ObjectList2[[#This Row],[Value Type]]="Signed",(-(2^ObjectList2[[#This Row],[Length '[Bit']]])/2*ObjectList2[[#This Row],[Factor]]+ObjectList2[[#This Row],[Offset]]),(ObjectList2[[#This Row],[Offset]]))</f>
        <v>-1638.4</v>
      </c>
      <c r="AB94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1638.2</v>
      </c>
    </row>
    <row r="95" spans="1:28" x14ac:dyDescent="0.25">
      <c r="A95">
        <f>LEN(ObjectList2[[#This Row],[Name]])</f>
        <v>20</v>
      </c>
      <c r="E95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VUT_Data_LVBatt_Volt</v>
      </c>
      <c r="F95" t="s">
        <v>143</v>
      </c>
      <c r="G95" t="s">
        <v>67</v>
      </c>
      <c r="H95" t="s">
        <v>227</v>
      </c>
      <c r="J95" t="s">
        <v>47</v>
      </c>
      <c r="L95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data - low voltage battery voltage</v>
      </c>
      <c r="M95" t="s">
        <v>143</v>
      </c>
      <c r="N95" t="s">
        <v>187</v>
      </c>
      <c r="O95" t="s">
        <v>48</v>
      </c>
      <c r="Q95" t="s">
        <v>229</v>
      </c>
      <c r="R95" t="s">
        <v>37</v>
      </c>
      <c r="S95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VUT_Data_LVBatt_Volt : 12@1+ (0.01,0) [0|0] "V" Vector__XXX</v>
      </c>
      <c r="U95" t="s">
        <v>38</v>
      </c>
      <c r="V95" t="s">
        <v>39</v>
      </c>
      <c r="W95">
        <v>12</v>
      </c>
      <c r="X95">
        <v>0</v>
      </c>
      <c r="Y95">
        <v>0.01</v>
      </c>
      <c r="Z95">
        <v>0</v>
      </c>
      <c r="AA95">
        <f>IF(ObjectList2[[#This Row],[Value Type]]="Signed",(-(2^ObjectList2[[#This Row],[Length '[Bit']]])/2*ObjectList2[[#This Row],[Factor]]+ObjectList2[[#This Row],[Offset]]),(ObjectList2[[#This Row],[Offset]]))</f>
        <v>0</v>
      </c>
      <c r="AB95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40.950000000000003</v>
      </c>
    </row>
    <row r="96" spans="1:28" x14ac:dyDescent="0.25">
      <c r="A96">
        <f>LEN(ObjectList2[[#This Row],[Name]])</f>
        <v>20</v>
      </c>
      <c r="E96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VUT_Data_Chrg_VoltAC</v>
      </c>
      <c r="F96" t="s">
        <v>143</v>
      </c>
      <c r="G96" t="s">
        <v>67</v>
      </c>
      <c r="H96" t="s">
        <v>194</v>
      </c>
      <c r="J96" t="s">
        <v>230</v>
      </c>
      <c r="L96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data - onboard hv battery charger voltage AC</v>
      </c>
      <c r="M96" t="s">
        <v>143</v>
      </c>
      <c r="N96" t="s">
        <v>176</v>
      </c>
      <c r="O96" t="s">
        <v>48</v>
      </c>
      <c r="Q96" t="s">
        <v>231</v>
      </c>
      <c r="R96" t="s">
        <v>37</v>
      </c>
      <c r="S96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VUT_Data_Chrg_VoltAC : 16@1+ (0.01,0) [0|0] "V" Vector__XXX</v>
      </c>
      <c r="U96" t="s">
        <v>38</v>
      </c>
      <c r="V96" t="s">
        <v>39</v>
      </c>
      <c r="W96">
        <v>16</v>
      </c>
      <c r="X96">
        <v>0</v>
      </c>
      <c r="Y96">
        <v>0.01</v>
      </c>
      <c r="Z96">
        <v>0</v>
      </c>
      <c r="AA96">
        <f>IF(ObjectList2[[#This Row],[Value Type]]="Signed",(-(2^ObjectList2[[#This Row],[Length '[Bit']]])/2*ObjectList2[[#This Row],[Factor]]+ObjectList2[[#This Row],[Offset]]),(ObjectList2[[#This Row],[Offset]]))</f>
        <v>0</v>
      </c>
      <c r="AB96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655.35</v>
      </c>
    </row>
    <row r="97" spans="1:28" x14ac:dyDescent="0.25">
      <c r="A97">
        <f>LEN(ObjectList2[[#This Row],[Name]])</f>
        <v>21</v>
      </c>
      <c r="E97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VUT_Data_Eng_Temp_Oil</v>
      </c>
      <c r="F97" t="s">
        <v>143</v>
      </c>
      <c r="G97" t="s">
        <v>67</v>
      </c>
      <c r="H97" t="s">
        <v>178</v>
      </c>
      <c r="J97" t="s">
        <v>68</v>
      </c>
      <c r="K97" t="s">
        <v>232</v>
      </c>
      <c r="L97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data - engine temperature oil</v>
      </c>
      <c r="M97" t="s">
        <v>143</v>
      </c>
      <c r="N97" t="s">
        <v>187</v>
      </c>
      <c r="O97" t="s">
        <v>70</v>
      </c>
      <c r="Q97" t="s">
        <v>233</v>
      </c>
      <c r="R97" t="s">
        <v>37</v>
      </c>
      <c r="S97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VUT_Data_Eng_Temp_Oil : 10@1+ (0.2,-20) [0|0] "degC" Vector__XXX</v>
      </c>
      <c r="U97" t="s">
        <v>38</v>
      </c>
      <c r="V97" t="s">
        <v>39</v>
      </c>
      <c r="W97">
        <v>10</v>
      </c>
      <c r="X97">
        <v>0</v>
      </c>
      <c r="Y97">
        <v>0.2</v>
      </c>
      <c r="Z97">
        <v>-20</v>
      </c>
      <c r="AA97">
        <f>IF(ObjectList2[[#This Row],[Value Type]]="Signed",(-(2^ObjectList2[[#This Row],[Length '[Bit']]])/2*ObjectList2[[#This Row],[Factor]]+ObjectList2[[#This Row],[Offset]]),(ObjectList2[[#This Row],[Offset]]))</f>
        <v>-20</v>
      </c>
      <c r="AB97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184.60000000000002</v>
      </c>
    </row>
    <row r="98" spans="1:28" x14ac:dyDescent="0.25">
      <c r="A98">
        <f>LEN(ObjectList2[[#This Row],[Name]])</f>
        <v>21</v>
      </c>
      <c r="E98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VUT_Data_Eng_FuelFlow</v>
      </c>
      <c r="F98" t="s">
        <v>143</v>
      </c>
      <c r="G98" t="s">
        <v>67</v>
      </c>
      <c r="H98" t="s">
        <v>178</v>
      </c>
      <c r="J98" t="s">
        <v>117</v>
      </c>
      <c r="L98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data - engine fuel flow</v>
      </c>
      <c r="M98" t="s">
        <v>143</v>
      </c>
      <c r="N98" t="s">
        <v>176</v>
      </c>
      <c r="O98" t="s">
        <v>118</v>
      </c>
      <c r="Q98" t="s">
        <v>234</v>
      </c>
      <c r="R98" t="s">
        <v>37</v>
      </c>
      <c r="S98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VUT_Data_Eng_FuelFlow : 14@1- (0.015,0) [0|0] "L/hr" Vector__XXX</v>
      </c>
      <c r="U98" t="s">
        <v>38</v>
      </c>
      <c r="V98" t="s">
        <v>57</v>
      </c>
      <c r="W98">
        <v>14</v>
      </c>
      <c r="X98">
        <v>0</v>
      </c>
      <c r="Y98">
        <v>1.4999999999999999E-2</v>
      </c>
      <c r="Z98">
        <v>0</v>
      </c>
      <c r="AA98">
        <f>IF(ObjectList2[[#This Row],[Value Type]]="Signed",(-(2^ObjectList2[[#This Row],[Length '[Bit']]])/2*ObjectList2[[#This Row],[Factor]]+ObjectList2[[#This Row],[Offset]]),(ObjectList2[[#This Row],[Offset]]))</f>
        <v>-122.88</v>
      </c>
      <c r="AB98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122.86499999999999</v>
      </c>
    </row>
    <row r="99" spans="1:28" x14ac:dyDescent="0.25">
      <c r="A99">
        <f>LEN(ObjectList2[[#This Row],[Name]])</f>
        <v>23</v>
      </c>
      <c r="E99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VUT_Data_Trns_Gear_Used</v>
      </c>
      <c r="F99" t="s">
        <v>143</v>
      </c>
      <c r="G99" t="s">
        <v>67</v>
      </c>
      <c r="H99" t="s">
        <v>149</v>
      </c>
      <c r="J99" t="s">
        <v>150</v>
      </c>
      <c r="K99" t="s">
        <v>92</v>
      </c>
      <c r="L99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data - transmission gear used</v>
      </c>
      <c r="M99" t="s">
        <v>143</v>
      </c>
      <c r="N99" t="s">
        <v>151</v>
      </c>
      <c r="O99" t="s">
        <v>102</v>
      </c>
      <c r="Q99" t="s">
        <v>235</v>
      </c>
      <c r="R99" t="s">
        <v>37</v>
      </c>
      <c r="S99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VUT_Data_Trns_Gear_Used : 4@1+ (1,0) [0|0] "int" Vector__XXX</v>
      </c>
      <c r="U99" t="s">
        <v>38</v>
      </c>
      <c r="V99" t="s">
        <v>39</v>
      </c>
      <c r="W99">
        <v>4</v>
      </c>
      <c r="X99">
        <v>0</v>
      </c>
      <c r="Y99">
        <v>1</v>
      </c>
      <c r="Z99">
        <v>0</v>
      </c>
      <c r="AA99">
        <f>IF(ObjectList2[[#This Row],[Value Type]]="Signed",(-(2^ObjectList2[[#This Row],[Length '[Bit']]])/2*ObjectList2[[#This Row],[Factor]]+ObjectList2[[#This Row],[Offset]]),(ObjectList2[[#This Row],[Offset]]))</f>
        <v>0</v>
      </c>
      <c r="AB99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15</v>
      </c>
    </row>
    <row r="100" spans="1:28" x14ac:dyDescent="0.25">
      <c r="A100">
        <f>LEN(ObjectList2[[#This Row],[Name]])</f>
        <v>25</v>
      </c>
      <c r="E100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VUT_Data_Trns_GearSel_Pos</v>
      </c>
      <c r="F100" t="s">
        <v>143</v>
      </c>
      <c r="G100" t="s">
        <v>67</v>
      </c>
      <c r="H100" t="s">
        <v>149</v>
      </c>
      <c r="J100" t="s">
        <v>236</v>
      </c>
      <c r="K100" t="s">
        <v>135</v>
      </c>
      <c r="L100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data - transmission position</v>
      </c>
      <c r="M100" t="s">
        <v>143</v>
      </c>
      <c r="N100" t="s">
        <v>176</v>
      </c>
      <c r="O100" t="s">
        <v>102</v>
      </c>
      <c r="P100" t="s">
        <v>237</v>
      </c>
      <c r="Q100" t="s">
        <v>238</v>
      </c>
      <c r="R100" t="s">
        <v>37</v>
      </c>
      <c r="S100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VUT_Data_Trns_GearSel_Pos : 3@1+ (1,0) [0|0] "int" Vector__XXX</v>
      </c>
      <c r="U100" t="s">
        <v>38</v>
      </c>
      <c r="V100" t="s">
        <v>39</v>
      </c>
      <c r="W100">
        <v>3</v>
      </c>
      <c r="X100">
        <v>0</v>
      </c>
      <c r="Y100">
        <v>1</v>
      </c>
      <c r="Z100">
        <v>0</v>
      </c>
      <c r="AA100">
        <f>IF(ObjectList2[[#This Row],[Value Type]]="Signed",(-(2^ObjectList2[[#This Row],[Length '[Bit']]])/2*ObjectList2[[#This Row],[Factor]]+ObjectList2[[#This Row],[Offset]]),(ObjectList2[[#This Row],[Offset]]))</f>
        <v>0</v>
      </c>
      <c r="AB100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7</v>
      </c>
    </row>
    <row r="101" spans="1:28" x14ac:dyDescent="0.25">
      <c r="A101">
        <f>LEN(ObjectList2[[#This Row],[Name]])</f>
        <v>27</v>
      </c>
      <c r="E101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VUT_Data_Brake_Apply_Status</v>
      </c>
      <c r="F101" t="s">
        <v>143</v>
      </c>
      <c r="G101" t="s">
        <v>67</v>
      </c>
      <c r="H101" t="s">
        <v>239</v>
      </c>
      <c r="I101" t="s">
        <v>240</v>
      </c>
      <c r="J101" t="s">
        <v>87</v>
      </c>
      <c r="L101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data - brake Apply status</v>
      </c>
      <c r="M101" t="s">
        <v>143</v>
      </c>
      <c r="N101" t="s">
        <v>146</v>
      </c>
      <c r="O101" t="s">
        <v>34</v>
      </c>
      <c r="P101" t="s">
        <v>241</v>
      </c>
      <c r="Q101" t="s">
        <v>242</v>
      </c>
      <c r="R101" t="s">
        <v>37</v>
      </c>
      <c r="S101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VUT_Data_Brake_Apply_Status : 1@1+ (1,0) [0|0] "bool" Vector__XXX</v>
      </c>
      <c r="U101" t="s">
        <v>38</v>
      </c>
      <c r="V101" t="s">
        <v>39</v>
      </c>
      <c r="W101">
        <v>1</v>
      </c>
      <c r="X101">
        <v>0</v>
      </c>
      <c r="Y101">
        <v>1</v>
      </c>
      <c r="Z101">
        <v>0</v>
      </c>
      <c r="AA101">
        <f>IF(ObjectList2[[#This Row],[Value Type]]="Signed",(-(2^ObjectList2[[#This Row],[Length '[Bit']]])/2*ObjectList2[[#This Row],[Factor]]+ObjectList2[[#This Row],[Offset]]),(ObjectList2[[#This Row],[Offset]]))</f>
        <v>0</v>
      </c>
      <c r="AB101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1</v>
      </c>
    </row>
    <row r="102" spans="1:28" x14ac:dyDescent="0.25">
      <c r="A102">
        <f>LEN(ObjectList2[[#This Row],[Name]])</f>
        <v>25</v>
      </c>
      <c r="E102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VUT_Data_Veh_GPSLong_Meas</v>
      </c>
      <c r="F102" t="s">
        <v>143</v>
      </c>
      <c r="G102" t="s">
        <v>67</v>
      </c>
      <c r="H102" t="s">
        <v>191</v>
      </c>
      <c r="J102" t="s">
        <v>267</v>
      </c>
      <c r="K102" t="s">
        <v>258</v>
      </c>
      <c r="L102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data - vehicle measured</v>
      </c>
      <c r="M102" t="s">
        <v>143</v>
      </c>
      <c r="N102" t="s">
        <v>176</v>
      </c>
      <c r="O102" t="s">
        <v>268</v>
      </c>
      <c r="S102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VUT_Data_Veh_GPSLong_Meas : @1+ (,) [0|0] "deg" Vector__XXX</v>
      </c>
    </row>
    <row r="103" spans="1:28" x14ac:dyDescent="0.25">
      <c r="A103">
        <f>LEN(ObjectList2[[#This Row],[Name]])</f>
        <v>24</v>
      </c>
      <c r="E103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VUT_Data_Veh_GPSLat_Meas</v>
      </c>
      <c r="F103" t="s">
        <v>143</v>
      </c>
      <c r="G103" t="s">
        <v>67</v>
      </c>
      <c r="H103" t="s">
        <v>191</v>
      </c>
      <c r="J103" t="s">
        <v>269</v>
      </c>
      <c r="K103" t="s">
        <v>258</v>
      </c>
      <c r="L103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data - vehicle measured</v>
      </c>
      <c r="M103" t="s">
        <v>143</v>
      </c>
      <c r="N103" t="s">
        <v>176</v>
      </c>
      <c r="O103" t="s">
        <v>268</v>
      </c>
      <c r="S103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VUT_Data_Veh_GPSLat_Meas : @1+ (,) [0|0] "deg" Vector__XXX</v>
      </c>
    </row>
    <row r="104" spans="1:28" x14ac:dyDescent="0.25">
      <c r="A104">
        <f>LEN(ObjectList2[[#This Row],[Name]])</f>
        <v>15</v>
      </c>
      <c r="E104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VUT_Resp_SoftID</v>
      </c>
      <c r="F104" t="s">
        <v>143</v>
      </c>
      <c r="G104" t="s">
        <v>50</v>
      </c>
      <c r="J104" t="s">
        <v>128</v>
      </c>
      <c r="L104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response - software ID number</v>
      </c>
      <c r="M104" t="s">
        <v>143</v>
      </c>
      <c r="N104" t="s">
        <v>88</v>
      </c>
      <c r="O104" t="s">
        <v>129</v>
      </c>
      <c r="Q104" t="s">
        <v>243</v>
      </c>
      <c r="R104" t="s">
        <v>37</v>
      </c>
      <c r="S104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VUT_Resp_SoftID : 16@1+ (1,0) [0|0] "NA" Vector__XXX</v>
      </c>
      <c r="U104" t="s">
        <v>38</v>
      </c>
      <c r="V104" t="s">
        <v>39</v>
      </c>
      <c r="W104">
        <v>16</v>
      </c>
      <c r="X104">
        <v>0</v>
      </c>
      <c r="Y104">
        <v>1</v>
      </c>
      <c r="Z104">
        <v>0</v>
      </c>
      <c r="AA104">
        <f>IF(ObjectList2[[#This Row],[Value Type]]="Signed",(-(2^ObjectList2[[#This Row],[Length '[Bit']]])/2*ObjectList2[[#This Row],[Factor]]+ObjectList2[[#This Row],[Offset]]),(ObjectList2[[#This Row],[Offset]]))</f>
        <v>0</v>
      </c>
      <c r="AB104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65535</v>
      </c>
    </row>
    <row r="105" spans="1:28" x14ac:dyDescent="0.25">
      <c r="A105">
        <f>LEN(ObjectList2[[#This Row],[Name]])</f>
        <v>19</v>
      </c>
      <c r="E105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VUT_Resp_ACC_Status</v>
      </c>
      <c r="F105" t="s">
        <v>143</v>
      </c>
      <c r="G105" t="s">
        <v>50</v>
      </c>
      <c r="H105" t="s">
        <v>144</v>
      </c>
      <c r="J105" t="s">
        <v>87</v>
      </c>
      <c r="L105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response - ACC status</v>
      </c>
      <c r="M105" t="s">
        <v>143</v>
      </c>
      <c r="N105" t="s">
        <v>88</v>
      </c>
      <c r="O105" t="s">
        <v>34</v>
      </c>
      <c r="P105" t="s">
        <v>247</v>
      </c>
      <c r="Q105" t="s">
        <v>248</v>
      </c>
      <c r="R105" t="s">
        <v>37</v>
      </c>
      <c r="S105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VUT_Resp_ACC_Status : 1@1+ (1,0) [0|0] "bool" Vector__XXX</v>
      </c>
      <c r="U105" t="s">
        <v>38</v>
      </c>
      <c r="V105" t="s">
        <v>39</v>
      </c>
      <c r="W105">
        <v>1</v>
      </c>
      <c r="X105">
        <v>0</v>
      </c>
      <c r="Y105">
        <v>1</v>
      </c>
      <c r="Z105">
        <v>0</v>
      </c>
      <c r="AA105">
        <f>IF(ObjectList2[[#This Row],[Value Type]]="Signed",(-(2^ObjectList2[[#This Row],[Length '[Bit']]])/2*ObjectList2[[#This Row],[Factor]]+ObjectList2[[#This Row],[Offset]]),(ObjectList2[[#This Row],[Offset]]))</f>
        <v>0</v>
      </c>
      <c r="AB105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1</v>
      </c>
    </row>
    <row r="106" spans="1:28" x14ac:dyDescent="0.25">
      <c r="A106">
        <f>LEN(ObjectList2[[#This Row],[Name]])</f>
        <v>21</v>
      </c>
      <c r="E106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VUT_Resp_Radar_Status</v>
      </c>
      <c r="F106" t="s">
        <v>143</v>
      </c>
      <c r="G106" t="s">
        <v>50</v>
      </c>
      <c r="H106" t="s">
        <v>249</v>
      </c>
      <c r="J106" t="s">
        <v>87</v>
      </c>
      <c r="L106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response - radar status</v>
      </c>
      <c r="M106" t="s">
        <v>143</v>
      </c>
      <c r="N106" t="s">
        <v>88</v>
      </c>
      <c r="O106" t="s">
        <v>34</v>
      </c>
      <c r="P106" t="s">
        <v>247</v>
      </c>
      <c r="Q106" t="s">
        <v>250</v>
      </c>
      <c r="R106" t="s">
        <v>37</v>
      </c>
      <c r="S106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VUT_Resp_Radar_Status : 1@1+ (1,0) [0|0] "bool" Vector__XXX</v>
      </c>
      <c r="U106" t="s">
        <v>38</v>
      </c>
      <c r="V106" t="s">
        <v>39</v>
      </c>
      <c r="W106">
        <v>1</v>
      </c>
      <c r="X106">
        <v>0</v>
      </c>
      <c r="Y106">
        <v>1</v>
      </c>
      <c r="Z106">
        <v>0</v>
      </c>
      <c r="AA106">
        <f>IF(ObjectList2[[#This Row],[Value Type]]="Signed",(-(2^ObjectList2[[#This Row],[Length '[Bit']]])/2*ObjectList2[[#This Row],[Factor]]+ObjectList2[[#This Row],[Offset]]),(ObjectList2[[#This Row],[Offset]]))</f>
        <v>0</v>
      </c>
      <c r="AB106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1</v>
      </c>
    </row>
    <row r="107" spans="1:28" x14ac:dyDescent="0.25">
      <c r="A107">
        <f>LEN(ObjectList2[[#This Row],[Name]])</f>
        <v>22</v>
      </c>
      <c r="E107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VUT_Resp_RobDrv_Status</v>
      </c>
      <c r="F107" t="s">
        <v>143</v>
      </c>
      <c r="G107" t="s">
        <v>50</v>
      </c>
      <c r="H107" t="s">
        <v>133</v>
      </c>
      <c r="J107" t="s">
        <v>87</v>
      </c>
      <c r="L107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response - robot driver status</v>
      </c>
      <c r="M107" t="s">
        <v>143</v>
      </c>
      <c r="N107" t="s">
        <v>88</v>
      </c>
      <c r="O107" t="s">
        <v>34</v>
      </c>
      <c r="P107" t="s">
        <v>247</v>
      </c>
      <c r="Q107" t="s">
        <v>251</v>
      </c>
      <c r="R107" t="s">
        <v>37</v>
      </c>
      <c r="S107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VUT_Resp_RobDrv_Status : 1@1+ (1,0) [0|0] "bool" Vector__XXX</v>
      </c>
      <c r="U107" t="s">
        <v>38</v>
      </c>
      <c r="V107" t="s">
        <v>39</v>
      </c>
      <c r="W107">
        <v>1</v>
      </c>
      <c r="X107">
        <v>0</v>
      </c>
      <c r="Y107">
        <v>1</v>
      </c>
      <c r="Z107">
        <v>0</v>
      </c>
      <c r="AA107">
        <f>IF(ObjectList2[[#This Row],[Value Type]]="Signed",(-(2^ObjectList2[[#This Row],[Length '[Bit']]])/2*ObjectList2[[#This Row],[Factor]]+ObjectList2[[#This Row],[Offset]]),(ObjectList2[[#This Row],[Offset]]))</f>
        <v>0</v>
      </c>
      <c r="AB107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1</v>
      </c>
    </row>
    <row r="108" spans="1:28" x14ac:dyDescent="0.25">
      <c r="A108">
        <f>LEN(ObjectList2[[#This Row],[Name]])</f>
        <v>22</v>
      </c>
      <c r="E108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VUT_Resp_ACC_Accel_Max</v>
      </c>
      <c r="F108" t="s">
        <v>143</v>
      </c>
      <c r="G108" t="s">
        <v>50</v>
      </c>
      <c r="H108" t="s">
        <v>144</v>
      </c>
      <c r="J108" t="s">
        <v>145</v>
      </c>
      <c r="K108" t="s">
        <v>51</v>
      </c>
      <c r="L108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response - ACC acceleration maximum</v>
      </c>
      <c r="M108" t="s">
        <v>143</v>
      </c>
      <c r="N108" t="s">
        <v>146</v>
      </c>
      <c r="O108" t="s">
        <v>147</v>
      </c>
      <c r="Q108" t="s">
        <v>252</v>
      </c>
      <c r="R108" t="s">
        <v>37</v>
      </c>
      <c r="S108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VUT_Resp_ACC_Accel_Max : 12@1- (0.01,0) [0|0] "m/s^2" Vector__XXX</v>
      </c>
      <c r="U108" t="s">
        <v>38</v>
      </c>
      <c r="V108" t="s">
        <v>57</v>
      </c>
      <c r="W108">
        <v>12</v>
      </c>
      <c r="X108">
        <v>0</v>
      </c>
      <c r="Y108">
        <v>0.01</v>
      </c>
      <c r="Z108">
        <v>0</v>
      </c>
      <c r="AA108">
        <f>IF(ObjectList2[[#This Row],[Value Type]]="Signed",(-(2^ObjectList2[[#This Row],[Length '[Bit']]])/2*ObjectList2[[#This Row],[Factor]]+ObjectList2[[#This Row],[Offset]]),(ObjectList2[[#This Row],[Offset]]))</f>
        <v>-20.48</v>
      </c>
      <c r="AB108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20.47</v>
      </c>
    </row>
    <row r="109" spans="1:28" x14ac:dyDescent="0.25">
      <c r="A109">
        <f>LEN(ObjectList2[[#This Row],[Name]])</f>
        <v>22</v>
      </c>
      <c r="E109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VUT_Resp_ACC_Accel_Min</v>
      </c>
      <c r="F109" t="s">
        <v>143</v>
      </c>
      <c r="G109" t="s">
        <v>50</v>
      </c>
      <c r="H109" t="s">
        <v>144</v>
      </c>
      <c r="J109" t="s">
        <v>145</v>
      </c>
      <c r="K109" t="s">
        <v>54</v>
      </c>
      <c r="L109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response - ACC acceleration minimum</v>
      </c>
      <c r="M109" t="s">
        <v>143</v>
      </c>
      <c r="N109" t="s">
        <v>146</v>
      </c>
      <c r="O109" t="s">
        <v>147</v>
      </c>
      <c r="Q109" t="s">
        <v>253</v>
      </c>
      <c r="R109" t="s">
        <v>37</v>
      </c>
      <c r="S109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VUT_Resp_ACC_Accel_Min : 12@1- (0.01,0) [0|0] "m/s^2" Vector__XXX</v>
      </c>
      <c r="U109" t="s">
        <v>38</v>
      </c>
      <c r="V109" t="s">
        <v>57</v>
      </c>
      <c r="W109">
        <v>12</v>
      </c>
      <c r="X109">
        <v>0</v>
      </c>
      <c r="Y109">
        <v>0.01</v>
      </c>
      <c r="Z109">
        <v>0</v>
      </c>
      <c r="AA109">
        <f>IF(ObjectList2[[#This Row],[Value Type]]="Signed",(-(2^ObjectList2[[#This Row],[Length '[Bit']]])/2*ObjectList2[[#This Row],[Factor]]+ObjectList2[[#This Row],[Offset]]),(ObjectList2[[#This Row],[Offset]]))</f>
        <v>-20.48</v>
      </c>
      <c r="AB109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20.47</v>
      </c>
    </row>
    <row r="110" spans="1:28" hidden="1" x14ac:dyDescent="0.25">
      <c r="A110">
        <f>LEN(ObjectList2[[#This Row],[Name]])</f>
        <v>0</v>
      </c>
      <c r="E110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/>
      </c>
      <c r="L110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-</v>
      </c>
      <c r="S110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 : @1+ (,) [0|0] "" Vector__XXX</v>
      </c>
    </row>
    <row r="111" spans="1:28" hidden="1" x14ac:dyDescent="0.25">
      <c r="A111">
        <f>LEN(ObjectList2[[#This Row],[Name]])</f>
        <v>0</v>
      </c>
      <c r="E111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/>
      </c>
      <c r="L111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-</v>
      </c>
      <c r="S111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 : @1+ (,) [0|0] "" Vector__XXX</v>
      </c>
    </row>
    <row r="112" spans="1:28" hidden="1" x14ac:dyDescent="0.25">
      <c r="A112">
        <f>LEN(ObjectList2[[#This Row],[Name]])</f>
        <v>0</v>
      </c>
      <c r="E112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/>
      </c>
      <c r="L112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-</v>
      </c>
      <c r="S112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 : @1+ (,) [0|0] "" Vector__XXX</v>
      </c>
    </row>
    <row r="113" spans="1:28" hidden="1" x14ac:dyDescent="0.25">
      <c r="A113">
        <f>LEN(ObjectList2[[#This Row],[Name]])</f>
        <v>0</v>
      </c>
      <c r="E113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/>
      </c>
      <c r="L113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-</v>
      </c>
      <c r="S113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 : @1+ (,) [0|0] "" Vector__XXX</v>
      </c>
    </row>
    <row r="114" spans="1:28" hidden="1" x14ac:dyDescent="0.25">
      <c r="A114">
        <f>LEN(ObjectList2[[#This Row],[Name]])</f>
        <v>0</v>
      </c>
      <c r="E114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/>
      </c>
      <c r="L114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-</v>
      </c>
      <c r="S114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 : @1+ (,) [0|0] "" Vector__XXX</v>
      </c>
    </row>
    <row r="115" spans="1:28" x14ac:dyDescent="0.25">
      <c r="A115">
        <f>LEN(ObjectList2[[#This Row],[Name]])</f>
        <v>24</v>
      </c>
      <c r="E115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VUT_Resp_LongCtrl_Status</v>
      </c>
      <c r="F115" t="s">
        <v>143</v>
      </c>
      <c r="G115" t="s">
        <v>50</v>
      </c>
      <c r="H115" t="s">
        <v>163</v>
      </c>
      <c r="J115" t="s">
        <v>87</v>
      </c>
      <c r="L115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response - longitudinal control status</v>
      </c>
      <c r="M115" t="s">
        <v>143</v>
      </c>
      <c r="N115" t="s">
        <v>88</v>
      </c>
      <c r="O115" t="s">
        <v>89</v>
      </c>
      <c r="P115" t="s">
        <v>90</v>
      </c>
      <c r="Q115" t="s">
        <v>257</v>
      </c>
      <c r="R115" t="s">
        <v>37</v>
      </c>
      <c r="S115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VUT_Resp_LongCtrl_Status : 3@1+ (1,0) [0|0] "enum" Vector__XXX</v>
      </c>
      <c r="U115" t="s">
        <v>38</v>
      </c>
      <c r="V115" t="s">
        <v>39</v>
      </c>
      <c r="W115">
        <v>3</v>
      </c>
      <c r="X115">
        <v>0</v>
      </c>
      <c r="Y115">
        <v>1</v>
      </c>
      <c r="Z115">
        <v>0</v>
      </c>
      <c r="AA115">
        <f>IF(ObjectList2[[#This Row],[Value Type]]="Signed",(-(2^ObjectList2[[#This Row],[Length '[Bit']]])/2*ObjectList2[[#This Row],[Factor]]+ObjectList2[[#This Row],[Offset]]),(ObjectList2[[#This Row],[Offset]]))</f>
        <v>0</v>
      </c>
      <c r="AB115">
        <f>IF(ObjectList2[[#This Row],[Value Type]]="Signed",(((2^ObjectList2[[#This Row],[Length '[Bit']]]))/2-1)*ObjectList2[[#This Row],[Factor]]+ObjectList2[[#This Row],[Offset]],(((2^ObjectList2[[#This Row],[Length '[Bit']]])-1)*ObjectList2[[#This Row],[Factor]]+ObjectList2[[#This Row],[Offset]]))</f>
        <v>7</v>
      </c>
    </row>
    <row r="116" spans="1:28" hidden="1" x14ac:dyDescent="0.25">
      <c r="A116">
        <f>LEN(ObjectList2[[#This Row],[Name]])</f>
        <v>0</v>
      </c>
      <c r="E116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/>
      </c>
      <c r="S116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 : @1+ (,) [0|0] "" Vector__XXX</v>
      </c>
    </row>
    <row r="117" spans="1:28" x14ac:dyDescent="0.25">
      <c r="A117">
        <f>LEN(ObjectList2[[#This Row],[Name]])</f>
        <v>29</v>
      </c>
      <c r="E117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VUT_Resp_Veh_TrnsGear_CmdEcho</v>
      </c>
      <c r="F117" t="s">
        <v>143</v>
      </c>
      <c r="G117" t="s">
        <v>50</v>
      </c>
      <c r="H117" t="s">
        <v>191</v>
      </c>
      <c r="J117" t="s">
        <v>264</v>
      </c>
      <c r="K117" t="s">
        <v>95</v>
      </c>
      <c r="L117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response - vehicle command echo</v>
      </c>
      <c r="M117" t="s">
        <v>143</v>
      </c>
      <c r="N117" t="s">
        <v>96</v>
      </c>
      <c r="O117" t="s">
        <v>129</v>
      </c>
      <c r="Q117" t="s">
        <v>265</v>
      </c>
      <c r="S117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VUT_Resp_Veh_TrnsGear_CmdEcho : @1+ (,) [0|0] "NA" Vector__XXX</v>
      </c>
    </row>
    <row r="118" spans="1:28" x14ac:dyDescent="0.25">
      <c r="A118">
        <f>LEN(ObjectList2[[#This Row],[Name]])</f>
        <v>22</v>
      </c>
      <c r="E118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VUT_Resp_Veh_Status_RC</v>
      </c>
      <c r="F118" t="s">
        <v>143</v>
      </c>
      <c r="G118" t="s">
        <v>50</v>
      </c>
      <c r="H118" t="s">
        <v>191</v>
      </c>
      <c r="J118" t="s">
        <v>87</v>
      </c>
      <c r="K118" t="s">
        <v>266</v>
      </c>
      <c r="L118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response - vehicle status</v>
      </c>
      <c r="M118" t="s">
        <v>143</v>
      </c>
      <c r="N118" t="s">
        <v>96</v>
      </c>
      <c r="O118" t="s">
        <v>129</v>
      </c>
      <c r="S118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VUT_Resp_Veh_Status_RC : @1+ (,) [0|0] "NA" Vector__XXX</v>
      </c>
    </row>
    <row r="119" spans="1:28" x14ac:dyDescent="0.25">
      <c r="A119">
        <f>LEN(ObjectList2[[#This Row],[Name]])</f>
        <v>8</v>
      </c>
      <c r="E119" t="str">
        <f>_xlfn.TEXTJOIN("_",TRUE,ObjectList2[[#This Row],[System]],ObjectList2[[#This Row],[Category]],ObjectList2[[#This Row],[Subsystem]],ObjectList2[[#This Row],[Subsystem Number]],ObjectList2[[#This Row],[Type]],ObjectList2[[#This Row],[Descriptor]])</f>
        <v>VUT_Ctrl</v>
      </c>
      <c r="F119" t="s">
        <v>143</v>
      </c>
      <c r="G119" t="s">
        <v>30</v>
      </c>
      <c r="L119" t="str">
        <f>_xlfn.TEXTJOIN(" ",TRUE,ObjectList2[[#This Row],[System]],_xlfn.XLOOKUP(ObjectList2[[#This Row],[Category]],Table2[Abbreviations],Table2[Definition],""),"-",_xlfn.XLOOKUP(ObjectList2[[#This Row],[Subsystem]],Table2[Abbreviations],Table2[Definition],""),ObjectList2[[#This Row],[Subsystem Number]],_xlfn.XLOOKUP(ObjectList2[[#This Row],[Type]],Table2[Abbreviations],Table2[Definition],""),_xlfn.XLOOKUP(ObjectList2[[#This Row],[Descriptor]],Table2[Abbreviations],Table2[Definition],""))</f>
        <v>VUT control -</v>
      </c>
      <c r="S119" t="str">
        <f>_xlfn.CONCAT(" SG_ ",ObjectList2[[#This Row],[Name]]," : ",ObjectList2[[#This Row],[Length '[Bit']]],"@1",IF(ObjectList2[[#This Row],[Value Type]]="Signed","-","+")," (",ObjectList2[[#This Row],[Factor]],",",ObjectList2[[#This Row],[Offset]],") [0|0] ",CHAR(34),ObjectList2[[#This Row],[Unit]],CHAR(34), " Vector__XXX" )</f>
        <v xml:space="preserve"> SG_ VUT_Ctrl : @1+ (,) [0|0] "" Vector__XXX</v>
      </c>
    </row>
  </sheetData>
  <phoneticPr fontId="1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D4CBB-4194-450D-9EBC-C5DABCF347D9}">
  <dimension ref="A1:AC114"/>
  <sheetViews>
    <sheetView zoomScale="115" zoomScaleNormal="115" workbookViewId="0">
      <selection activeCell="J15" sqref="J15"/>
    </sheetView>
    <sheetView topLeftCell="A71" workbookViewId="1"/>
  </sheetViews>
  <sheetFormatPr defaultColWidth="9.140625" defaultRowHeight="15" x14ac:dyDescent="0.25"/>
  <cols>
    <col min="1" max="2" width="4" customWidth="1"/>
    <col min="3" max="3" width="5.140625" customWidth="1"/>
    <col min="4" max="4" width="4" customWidth="1"/>
    <col min="5" max="5" width="33.140625" bestFit="1" customWidth="1"/>
    <col min="6" max="6" width="10.140625" customWidth="1"/>
    <col min="7" max="7" width="11.140625" customWidth="1"/>
    <col min="8" max="8" width="10.28515625" customWidth="1"/>
    <col min="9" max="9" width="6.28515625" customWidth="1"/>
    <col min="10" max="10" width="9.85546875" customWidth="1"/>
    <col min="11" max="11" width="12.42578125" customWidth="1"/>
    <col min="12" max="12" width="43" customWidth="1"/>
    <col min="13" max="13" width="10.85546875" customWidth="1"/>
    <col min="14" max="14" width="19.140625" customWidth="1"/>
    <col min="15" max="15" width="7.140625" bestFit="1" customWidth="1"/>
    <col min="16" max="16" width="12" customWidth="1"/>
    <col min="17" max="17" width="60.85546875" customWidth="1"/>
    <col min="18" max="18" width="9.140625" customWidth="1"/>
    <col min="19" max="19" width="78.28515625" bestFit="1" customWidth="1"/>
    <col min="21" max="21" width="9.5703125" bestFit="1" customWidth="1"/>
    <col min="22" max="22" width="6" customWidth="1"/>
    <col min="23" max="23" width="6.140625" hidden="1" customWidth="1"/>
    <col min="24" max="24" width="6.28515625" customWidth="1"/>
    <col min="25" max="25" width="7.28515625" bestFit="1" customWidth="1"/>
    <col min="26" max="26" width="10.28515625" customWidth="1"/>
    <col min="27" max="27" width="9.5703125" customWidth="1"/>
    <col min="28" max="28" width="4.28515625" customWidth="1"/>
    <col min="29" max="29" width="26.85546875" customWidth="1"/>
    <col min="30" max="30" width="27" customWidth="1"/>
    <col min="31" max="31" width="12" customWidth="1"/>
    <col min="32" max="32" width="29" bestFit="1" customWidth="1"/>
  </cols>
  <sheetData>
    <row r="1" spans="1:29" ht="120.75" customHeight="1" x14ac:dyDescent="0.25">
      <c r="A1" s="11" t="s">
        <v>270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29" s="7" customFormat="1" ht="84.75" x14ac:dyDescent="0.25">
      <c r="A2" s="9" t="s">
        <v>0</v>
      </c>
      <c r="B2" s="9" t="s">
        <v>1</v>
      </c>
      <c r="C2" s="9" t="s">
        <v>2</v>
      </c>
      <c r="D2" s="10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9" t="s">
        <v>10</v>
      </c>
      <c r="L2" s="9" t="s">
        <v>11</v>
      </c>
      <c r="M2" s="9" t="s">
        <v>12</v>
      </c>
      <c r="N2" s="9" t="s">
        <v>13</v>
      </c>
      <c r="O2" s="9" t="s">
        <v>14</v>
      </c>
      <c r="P2" s="9" t="s">
        <v>15</v>
      </c>
      <c r="Q2" s="9" t="s">
        <v>16</v>
      </c>
      <c r="R2" s="9" t="s">
        <v>17</v>
      </c>
      <c r="S2" s="9" t="s">
        <v>18</v>
      </c>
      <c r="T2" s="9" t="s">
        <v>19</v>
      </c>
      <c r="U2" s="9" t="s">
        <v>20</v>
      </c>
      <c r="V2" s="9" t="s">
        <v>21</v>
      </c>
      <c r="W2" s="9" t="s">
        <v>22</v>
      </c>
      <c r="X2" s="9" t="s">
        <v>23</v>
      </c>
      <c r="Y2" s="9" t="s">
        <v>24</v>
      </c>
      <c r="Z2" s="9" t="s">
        <v>25</v>
      </c>
      <c r="AA2" s="9" t="s">
        <v>26</v>
      </c>
      <c r="AB2" s="9" t="s">
        <v>27</v>
      </c>
      <c r="AC2" s="9" t="s">
        <v>28</v>
      </c>
    </row>
    <row r="3" spans="1:29" x14ac:dyDescent="0.25">
      <c r="A3">
        <f>LEN(ObjectList24[[#This Row],[Name]])</f>
        <v>19</v>
      </c>
      <c r="E3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AuxLoad_Ctrl_Method</v>
      </c>
      <c r="F3" t="s">
        <v>29</v>
      </c>
      <c r="G3" t="s">
        <v>30</v>
      </c>
      <c r="J3" t="s">
        <v>31</v>
      </c>
      <c r="L3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AuxLoad control - method</v>
      </c>
      <c r="M3" t="s">
        <v>32</v>
      </c>
      <c r="N3" t="s">
        <v>33</v>
      </c>
      <c r="O3" t="s">
        <v>34</v>
      </c>
      <c r="P3" t="s">
        <v>35</v>
      </c>
      <c r="Q3" t="s">
        <v>36</v>
      </c>
      <c r="R3" t="s">
        <v>37</v>
      </c>
      <c r="S3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AuxLoad_Ctrl_Method : 2@1+ (1,0) [0|0] "bool" Vector__XXX</v>
      </c>
      <c r="T3" t="s">
        <v>38</v>
      </c>
      <c r="U3" t="s">
        <v>39</v>
      </c>
      <c r="V3">
        <v>2</v>
      </c>
      <c r="W3">
        <v>0</v>
      </c>
      <c r="X3">
        <v>1</v>
      </c>
      <c r="Y3">
        <v>0</v>
      </c>
      <c r="Z3">
        <f>IF(ObjectList24[[#This Row],[Value Type]]="Signed",(-(2^ObjectList24[[#This Row],[Length '[Bit']]])/2*ObjectList24[[#This Row],[Factor]]+ObjectList24[[#This Row],[Offset]]),(ObjectList24[[#This Row],[Offset]]))</f>
        <v>0</v>
      </c>
      <c r="AA3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3</v>
      </c>
    </row>
    <row r="4" spans="1:29" x14ac:dyDescent="0.25">
      <c r="A4">
        <f>LEN(ObjectList24[[#This Row],[Name]])</f>
        <v>20</v>
      </c>
      <c r="E4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AuxLoad_Ctrl_Pwr_Cmd</v>
      </c>
      <c r="F4" t="s">
        <v>29</v>
      </c>
      <c r="G4" t="s">
        <v>30</v>
      </c>
      <c r="J4" t="s">
        <v>40</v>
      </c>
      <c r="K4" t="s">
        <v>41</v>
      </c>
      <c r="L4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AuxLoad control - power command</v>
      </c>
      <c r="M4" t="s">
        <v>32</v>
      </c>
      <c r="N4" t="s">
        <v>33</v>
      </c>
      <c r="O4" t="s">
        <v>42</v>
      </c>
      <c r="Q4" t="s">
        <v>43</v>
      </c>
      <c r="R4" t="s">
        <v>37</v>
      </c>
      <c r="S4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AuxLoad_Ctrl_Pwr_Cmd : 12@1+ (0.001,0) [0|0] "kW" Vector__XXX</v>
      </c>
      <c r="T4" t="s">
        <v>38</v>
      </c>
      <c r="U4" t="s">
        <v>39</v>
      </c>
      <c r="V4">
        <v>12</v>
      </c>
      <c r="W4">
        <v>0</v>
      </c>
      <c r="X4">
        <v>1E-3</v>
      </c>
      <c r="Y4">
        <v>0</v>
      </c>
      <c r="Z4">
        <f>IF(ObjectList24[[#This Row],[Value Type]]="Signed",(-(2^ObjectList24[[#This Row],[Length '[Bit']]])/2*ObjectList24[[#This Row],[Factor]]+ObjectList24[[#This Row],[Offset]]),(ObjectList24[[#This Row],[Offset]]))</f>
        <v>0</v>
      </c>
      <c r="AA4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4.0949999999999998</v>
      </c>
    </row>
    <row r="5" spans="1:29" x14ac:dyDescent="0.25">
      <c r="A5">
        <f>LEN(ObjectList24[[#This Row],[Name]])</f>
        <v>20</v>
      </c>
      <c r="E5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AuxLoad_Resp_Pwr_Max</v>
      </c>
      <c r="F5" t="s">
        <v>29</v>
      </c>
      <c r="G5" t="s">
        <v>50</v>
      </c>
      <c r="J5" t="s">
        <v>40</v>
      </c>
      <c r="K5" t="s">
        <v>51</v>
      </c>
      <c r="L5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AuxLoad response - power maximum</v>
      </c>
      <c r="M5" s="3" t="s">
        <v>52</v>
      </c>
      <c r="N5" t="s">
        <v>33</v>
      </c>
      <c r="O5" t="s">
        <v>42</v>
      </c>
      <c r="Q5" t="s">
        <v>53</v>
      </c>
      <c r="R5" t="s">
        <v>37</v>
      </c>
      <c r="S5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AuxLoad_Resp_Pwr_Max : 8@1+ (0.02,0) [0|0] "kW" Vector__XXX</v>
      </c>
      <c r="T5" t="s">
        <v>38</v>
      </c>
      <c r="U5" t="s">
        <v>39</v>
      </c>
      <c r="V5">
        <v>8</v>
      </c>
      <c r="W5">
        <v>0</v>
      </c>
      <c r="X5">
        <v>0.02</v>
      </c>
      <c r="Y5">
        <v>0</v>
      </c>
      <c r="Z5">
        <f>IF(ObjectList24[[#This Row],[Value Type]]="Signed",(-(2^ObjectList24[[#This Row],[Length '[Bit']]])/2*ObjectList24[[#This Row],[Factor]]+ObjectList24[[#This Row],[Offset]]),(ObjectList24[[#This Row],[Offset]]))</f>
        <v>0</v>
      </c>
      <c r="AA5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5.1000000000000005</v>
      </c>
    </row>
    <row r="6" spans="1:29" x14ac:dyDescent="0.25">
      <c r="A6">
        <f>LEN(ObjectList24[[#This Row],[Name]])</f>
        <v>20</v>
      </c>
      <c r="E6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AuxLoad_Resp_Pwr_Min</v>
      </c>
      <c r="F6" t="s">
        <v>29</v>
      </c>
      <c r="G6" t="s">
        <v>50</v>
      </c>
      <c r="J6" t="s">
        <v>40</v>
      </c>
      <c r="K6" t="s">
        <v>54</v>
      </c>
      <c r="L6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AuxLoad response - power minimum</v>
      </c>
      <c r="M6" s="3" t="s">
        <v>52</v>
      </c>
      <c r="N6" t="s">
        <v>33</v>
      </c>
      <c r="O6" t="s">
        <v>42</v>
      </c>
      <c r="Q6" t="s">
        <v>55</v>
      </c>
      <c r="R6" t="s">
        <v>37</v>
      </c>
      <c r="S6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AuxLoad_Resp_Pwr_Min : 8@1+ (0.02,0) [0|0] "kW" Vector__XXX</v>
      </c>
      <c r="T6" t="s">
        <v>38</v>
      </c>
      <c r="U6" t="s">
        <v>39</v>
      </c>
      <c r="V6">
        <v>8</v>
      </c>
      <c r="W6">
        <v>0</v>
      </c>
      <c r="X6">
        <v>0.02</v>
      </c>
      <c r="Y6">
        <v>0</v>
      </c>
      <c r="Z6">
        <f>IF(ObjectList24[[#This Row],[Value Type]]="Signed",(-(2^ObjectList24[[#This Row],[Length '[Bit']]])/2*ObjectList24[[#This Row],[Factor]]+ObjectList24[[#This Row],[Offset]]),(ObjectList24[[#This Row],[Offset]]))</f>
        <v>0</v>
      </c>
      <c r="AA6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5.1000000000000005</v>
      </c>
    </row>
    <row r="7" spans="1:29" x14ac:dyDescent="0.25">
      <c r="A7">
        <f>LEN(ObjectList24[[#This Row],[Name]])</f>
        <v>21</v>
      </c>
      <c r="E7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AuxLoad_Ctrl_Curr_Cmd</v>
      </c>
      <c r="F7" t="s">
        <v>29</v>
      </c>
      <c r="G7" t="s">
        <v>30</v>
      </c>
      <c r="J7" t="s">
        <v>44</v>
      </c>
      <c r="K7" t="s">
        <v>41</v>
      </c>
      <c r="L7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AuxLoad control - current command</v>
      </c>
      <c r="M7" t="s">
        <v>32</v>
      </c>
      <c r="N7" t="s">
        <v>33</v>
      </c>
      <c r="O7" t="s">
        <v>45</v>
      </c>
      <c r="Q7" t="s">
        <v>46</v>
      </c>
      <c r="R7" t="s">
        <v>37</v>
      </c>
      <c r="S7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AuxLoad_Ctrl_Curr_Cmd : 12@1+ (0.075,0) [0|0] "A" Vector__XXX</v>
      </c>
      <c r="T7" t="s">
        <v>38</v>
      </c>
      <c r="U7" t="s">
        <v>39</v>
      </c>
      <c r="V7">
        <v>12</v>
      </c>
      <c r="W7">
        <v>0</v>
      </c>
      <c r="X7">
        <v>7.4999999999999997E-2</v>
      </c>
      <c r="Y7">
        <v>0</v>
      </c>
      <c r="Z7">
        <f>IF(ObjectList24[[#This Row],[Value Type]]="Signed",(-(2^ObjectList24[[#This Row],[Length '[Bit']]])/2*ObjectList24[[#This Row],[Factor]]+ObjectList24[[#This Row],[Offset]]),(ObjectList24[[#This Row],[Offset]]))</f>
        <v>0</v>
      </c>
      <c r="AA7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307.125</v>
      </c>
    </row>
    <row r="8" spans="1:29" x14ac:dyDescent="0.25">
      <c r="A8">
        <f>LEN(ObjectList24[[#This Row],[Name]])</f>
        <v>21</v>
      </c>
      <c r="E8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AuxLoad_Ctrl_Volt_Cmd</v>
      </c>
      <c r="F8" t="s">
        <v>29</v>
      </c>
      <c r="G8" t="s">
        <v>30</v>
      </c>
      <c r="J8" t="s">
        <v>47</v>
      </c>
      <c r="K8" t="s">
        <v>41</v>
      </c>
      <c r="L8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AuxLoad control - voltage command</v>
      </c>
      <c r="M8" t="s">
        <v>32</v>
      </c>
      <c r="N8" t="s">
        <v>33</v>
      </c>
      <c r="O8" t="s">
        <v>48</v>
      </c>
      <c r="Q8" t="s">
        <v>49</v>
      </c>
      <c r="R8" t="s">
        <v>37</v>
      </c>
      <c r="S8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AuxLoad_Ctrl_Volt_Cmd : 12@1+ (0.01,0) [0|0] "V" Vector__XXX</v>
      </c>
      <c r="T8" t="s">
        <v>38</v>
      </c>
      <c r="U8" t="s">
        <v>39</v>
      </c>
      <c r="V8">
        <v>12</v>
      </c>
      <c r="W8">
        <v>0</v>
      </c>
      <c r="X8">
        <v>0.01</v>
      </c>
      <c r="Y8">
        <v>0</v>
      </c>
      <c r="Z8">
        <f>IF(ObjectList24[[#This Row],[Value Type]]="Signed",(-(2^ObjectList24[[#This Row],[Length '[Bit']]])/2*ObjectList24[[#This Row],[Factor]]+ObjectList24[[#This Row],[Offset]]),(ObjectList24[[#This Row],[Offset]]))</f>
        <v>0</v>
      </c>
      <c r="AA8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40.950000000000003</v>
      </c>
    </row>
    <row r="9" spans="1:29" x14ac:dyDescent="0.25">
      <c r="A9">
        <f>LEN(ObjectList24[[#This Row],[Name]])</f>
        <v>21</v>
      </c>
      <c r="E9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AuxLoad_Resp_Curr_Max</v>
      </c>
      <c r="F9" t="s">
        <v>29</v>
      </c>
      <c r="G9" t="s">
        <v>50</v>
      </c>
      <c r="J9" t="s">
        <v>44</v>
      </c>
      <c r="K9" t="s">
        <v>51</v>
      </c>
      <c r="L9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AuxLoad response - current maximum</v>
      </c>
      <c r="M9" s="3" t="s">
        <v>52</v>
      </c>
      <c r="N9" t="s">
        <v>33</v>
      </c>
      <c r="O9" t="s">
        <v>45</v>
      </c>
      <c r="Q9" t="s">
        <v>56</v>
      </c>
      <c r="R9" t="s">
        <v>37</v>
      </c>
      <c r="S9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AuxLoad_Resp_Curr_Max : 14@1- (0.3,0) [0|0] "A" Vector__XXX</v>
      </c>
      <c r="T9" t="s">
        <v>38</v>
      </c>
      <c r="U9" t="s">
        <v>57</v>
      </c>
      <c r="V9">
        <v>14</v>
      </c>
      <c r="W9">
        <v>0</v>
      </c>
      <c r="X9">
        <v>0.3</v>
      </c>
      <c r="Y9">
        <v>0</v>
      </c>
      <c r="Z9">
        <f>IF(ObjectList24[[#This Row],[Value Type]]="Signed",(-(2^ObjectList24[[#This Row],[Length '[Bit']]])/2*ObjectList24[[#This Row],[Factor]]+ObjectList24[[#This Row],[Offset]]),(ObjectList24[[#This Row],[Offset]]))</f>
        <v>-2457.6</v>
      </c>
      <c r="AA9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2457.2999999999997</v>
      </c>
    </row>
    <row r="10" spans="1:29" x14ac:dyDescent="0.25">
      <c r="A10">
        <f>LEN(ObjectList24[[#This Row],[Name]])</f>
        <v>21</v>
      </c>
      <c r="E10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AuxLoad_Resp_Curr_Min</v>
      </c>
      <c r="F10" t="s">
        <v>29</v>
      </c>
      <c r="G10" t="s">
        <v>50</v>
      </c>
      <c r="J10" t="s">
        <v>44</v>
      </c>
      <c r="K10" t="s">
        <v>54</v>
      </c>
      <c r="L10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AuxLoad response - current minimum</v>
      </c>
      <c r="M10" s="3" t="s">
        <v>52</v>
      </c>
      <c r="N10" t="s">
        <v>33</v>
      </c>
      <c r="O10" t="s">
        <v>45</v>
      </c>
      <c r="Q10" t="s">
        <v>58</v>
      </c>
      <c r="R10" t="s">
        <v>37</v>
      </c>
      <c r="S10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AuxLoad_Resp_Curr_Min : 14@1- (0.3,0) [0|0] "A" Vector__XXX</v>
      </c>
      <c r="T10" t="s">
        <v>38</v>
      </c>
      <c r="U10" t="s">
        <v>57</v>
      </c>
      <c r="V10">
        <v>14</v>
      </c>
      <c r="W10">
        <v>0</v>
      </c>
      <c r="X10">
        <v>0.3</v>
      </c>
      <c r="Y10">
        <v>0</v>
      </c>
      <c r="Z10">
        <f>IF(ObjectList24[[#This Row],[Value Type]]="Signed",(-(2^ObjectList24[[#This Row],[Length '[Bit']]])/2*ObjectList24[[#This Row],[Factor]]+ObjectList24[[#This Row],[Offset]]),(ObjectList24[[#This Row],[Offset]]))</f>
        <v>-2457.6</v>
      </c>
      <c r="AA10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2457.2999999999997</v>
      </c>
    </row>
    <row r="11" spans="1:29" x14ac:dyDescent="0.25">
      <c r="A11">
        <f>LEN(ObjectList24[[#This Row],[Name]])</f>
        <v>21</v>
      </c>
      <c r="E11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AuxLoad_Resp_Volt_Max</v>
      </c>
      <c r="F11" t="s">
        <v>29</v>
      </c>
      <c r="G11" t="s">
        <v>50</v>
      </c>
      <c r="J11" t="s">
        <v>47</v>
      </c>
      <c r="K11" t="s">
        <v>51</v>
      </c>
      <c r="L11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AuxLoad response - voltage maximum</v>
      </c>
      <c r="M11" s="3" t="s">
        <v>52</v>
      </c>
      <c r="N11" t="s">
        <v>33</v>
      </c>
      <c r="O11" t="s">
        <v>48</v>
      </c>
      <c r="Q11" t="s">
        <v>59</v>
      </c>
      <c r="R11" t="s">
        <v>37</v>
      </c>
      <c r="S11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AuxLoad_Resp_Volt_Max : 8@1+ (0.1,0) [0|0] "V" Vector__XXX</v>
      </c>
      <c r="T11" t="s">
        <v>38</v>
      </c>
      <c r="U11" t="s">
        <v>39</v>
      </c>
      <c r="V11">
        <v>8</v>
      </c>
      <c r="W11">
        <v>0</v>
      </c>
      <c r="X11">
        <v>0.1</v>
      </c>
      <c r="Y11">
        <v>0</v>
      </c>
      <c r="Z11">
        <f>IF(ObjectList24[[#This Row],[Value Type]]="Signed",(-(2^ObjectList24[[#This Row],[Length '[Bit']]])/2*ObjectList24[[#This Row],[Factor]]+ObjectList24[[#This Row],[Offset]]),(ObjectList24[[#This Row],[Offset]]))</f>
        <v>0</v>
      </c>
      <c r="AA11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25.5</v>
      </c>
    </row>
    <row r="12" spans="1:29" x14ac:dyDescent="0.25">
      <c r="A12">
        <f>LEN(ObjectList24[[#This Row],[Name]])</f>
        <v>21</v>
      </c>
      <c r="E12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AuxLoad_Resp_Volt_Min</v>
      </c>
      <c r="F12" t="s">
        <v>29</v>
      </c>
      <c r="G12" t="s">
        <v>50</v>
      </c>
      <c r="J12" t="s">
        <v>47</v>
      </c>
      <c r="K12" t="s">
        <v>54</v>
      </c>
      <c r="L12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AuxLoad response - voltage minimum</v>
      </c>
      <c r="M12" s="3" t="s">
        <v>52</v>
      </c>
      <c r="N12" t="s">
        <v>33</v>
      </c>
      <c r="O12" t="s">
        <v>48</v>
      </c>
      <c r="Q12" t="s">
        <v>60</v>
      </c>
      <c r="R12" t="s">
        <v>37</v>
      </c>
      <c r="S12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AuxLoad_Resp_Volt_Min : 8@1+ (0.1,0) [0|0] "V" Vector__XXX</v>
      </c>
      <c r="T12" t="s">
        <v>38</v>
      </c>
      <c r="U12" t="s">
        <v>39</v>
      </c>
      <c r="V12">
        <v>8</v>
      </c>
      <c r="W12">
        <v>0</v>
      </c>
      <c r="X12">
        <v>0.1</v>
      </c>
      <c r="Y12">
        <v>0</v>
      </c>
      <c r="Z12">
        <f>IF(ObjectList24[[#This Row],[Value Type]]="Signed",(-(2^ObjectList24[[#This Row],[Length '[Bit']]])/2*ObjectList24[[#This Row],[Factor]]+ObjectList24[[#This Row],[Offset]]),(ObjectList24[[#This Row],[Offset]]))</f>
        <v>0</v>
      </c>
      <c r="AA12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25.5</v>
      </c>
    </row>
    <row r="13" spans="1:29" x14ac:dyDescent="0.25">
      <c r="A13">
        <f>LEN(ObjectList24[[#This Row],[Name]])</f>
        <v>16</v>
      </c>
      <c r="E13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Dyno_Data_Temp_1</v>
      </c>
      <c r="F13" t="s">
        <v>61</v>
      </c>
      <c r="G13" t="s">
        <v>67</v>
      </c>
      <c r="J13" t="s">
        <v>68</v>
      </c>
      <c r="K13">
        <v>1</v>
      </c>
      <c r="L13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Dyno data - temperature</v>
      </c>
      <c r="M13" s="3" t="s">
        <v>52</v>
      </c>
      <c r="N13" s="3" t="s">
        <v>69</v>
      </c>
      <c r="O13" t="s">
        <v>70</v>
      </c>
      <c r="Q13" t="s">
        <v>71</v>
      </c>
      <c r="R13" t="s">
        <v>37</v>
      </c>
      <c r="S13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Dyno_Data_Temp_1 : 10@1+ (0.2,-20) [0|0] "degC" Vector__XXX</v>
      </c>
      <c r="T13" t="s">
        <v>38</v>
      </c>
      <c r="U13" t="s">
        <v>39</v>
      </c>
      <c r="V13">
        <v>10</v>
      </c>
      <c r="W13">
        <v>0</v>
      </c>
      <c r="X13">
        <v>0.2</v>
      </c>
      <c r="Y13">
        <v>-20</v>
      </c>
      <c r="Z13">
        <f>IF(ObjectList24[[#This Row],[Value Type]]="Signed",(-(2^ObjectList24[[#This Row],[Length '[Bit']]])/2*ObjectList24[[#This Row],[Factor]]+ObjectList24[[#This Row],[Offset]]),(ObjectList24[[#This Row],[Offset]]))</f>
        <v>-20</v>
      </c>
      <c r="AA13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184.60000000000002</v>
      </c>
      <c r="AB13" t="s">
        <v>72</v>
      </c>
    </row>
    <row r="14" spans="1:29" x14ac:dyDescent="0.25">
      <c r="A14">
        <f>LEN(ObjectList24[[#This Row],[Name]])</f>
        <v>16</v>
      </c>
      <c r="E14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Dyno_Data_Temp_2</v>
      </c>
      <c r="F14" t="s">
        <v>61</v>
      </c>
      <c r="G14" t="s">
        <v>67</v>
      </c>
      <c r="J14" t="s">
        <v>68</v>
      </c>
      <c r="K14">
        <v>2</v>
      </c>
      <c r="L14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Dyno data - temperature</v>
      </c>
      <c r="M14" s="3" t="s">
        <v>52</v>
      </c>
      <c r="N14" s="3" t="s">
        <v>69</v>
      </c>
      <c r="O14" t="s">
        <v>70</v>
      </c>
      <c r="Q14" t="s">
        <v>73</v>
      </c>
      <c r="R14" t="s">
        <v>37</v>
      </c>
      <c r="S14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Dyno_Data_Temp_2 : 10@1+ (0.2,-20) [0|0] "degC" Vector__XXX</v>
      </c>
      <c r="T14" t="s">
        <v>38</v>
      </c>
      <c r="U14" t="s">
        <v>39</v>
      </c>
      <c r="V14">
        <v>10</v>
      </c>
      <c r="W14">
        <v>0</v>
      </c>
      <c r="X14">
        <v>0.2</v>
      </c>
      <c r="Y14">
        <v>-20</v>
      </c>
      <c r="Z14">
        <f>IF(ObjectList24[[#This Row],[Value Type]]="Signed",(-(2^ObjectList24[[#This Row],[Length '[Bit']]])/2*ObjectList24[[#This Row],[Factor]]+ObjectList24[[#This Row],[Offset]]),(ObjectList24[[#This Row],[Offset]]))</f>
        <v>-20</v>
      </c>
      <c r="AA14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184.60000000000002</v>
      </c>
      <c r="AB14" t="s">
        <v>72</v>
      </c>
    </row>
    <row r="15" spans="1:29" x14ac:dyDescent="0.25">
      <c r="A15">
        <f>LEN(ObjectList24[[#This Row],[Name]])</f>
        <v>16</v>
      </c>
      <c r="E15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Dyno_Resp_Status</v>
      </c>
      <c r="F15" t="s">
        <v>61</v>
      </c>
      <c r="G15" t="s">
        <v>50</v>
      </c>
      <c r="J15" t="s">
        <v>87</v>
      </c>
      <c r="L15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Dyno response - status</v>
      </c>
      <c r="M15" t="s">
        <v>52</v>
      </c>
      <c r="N15" t="s">
        <v>88</v>
      </c>
      <c r="O15" t="s">
        <v>89</v>
      </c>
      <c r="P15" t="s">
        <v>90</v>
      </c>
      <c r="Q15" t="s">
        <v>91</v>
      </c>
      <c r="R15" t="s">
        <v>37</v>
      </c>
      <c r="S15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Dyno_Resp_Status : 3@1+ (1,0) [0|0] "enum" Vector__XXX</v>
      </c>
      <c r="T15" t="s">
        <v>38</v>
      </c>
      <c r="U15" t="s">
        <v>39</v>
      </c>
      <c r="V15">
        <v>3</v>
      </c>
      <c r="W15">
        <v>0</v>
      </c>
      <c r="X15">
        <v>1</v>
      </c>
      <c r="Y15">
        <v>0</v>
      </c>
      <c r="Z15">
        <f>IF(ObjectList24[[#This Row],[Value Type]]="Signed",(-(2^ObjectList24[[#This Row],[Length '[Bit']]])/2*ObjectList24[[#This Row],[Factor]]+ObjectList24[[#This Row],[Offset]]),(ObjectList24[[#This Row],[Offset]]))</f>
        <v>0</v>
      </c>
      <c r="AA15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7</v>
      </c>
      <c r="AB15" t="s">
        <v>72</v>
      </c>
    </row>
    <row r="16" spans="1:29" x14ac:dyDescent="0.25">
      <c r="A16">
        <f>LEN(ObjectList24[[#This Row],[Name]])</f>
        <v>17</v>
      </c>
      <c r="E16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Dyno_Data_Fan_Spd</v>
      </c>
      <c r="F16" t="s">
        <v>61</v>
      </c>
      <c r="G16" t="s">
        <v>67</v>
      </c>
      <c r="H16" t="s">
        <v>74</v>
      </c>
      <c r="J16" t="s">
        <v>75</v>
      </c>
      <c r="L16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Dyno data - fan speed</v>
      </c>
      <c r="M16" s="3" t="s">
        <v>52</v>
      </c>
      <c r="N16" s="3" t="s">
        <v>69</v>
      </c>
      <c r="O16" t="s">
        <v>76</v>
      </c>
      <c r="Q16" t="s">
        <v>77</v>
      </c>
      <c r="R16" t="s">
        <v>37</v>
      </c>
      <c r="S16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Dyno_Data_Fan_Spd : 16@1- (0.01,0) [0|0] "km/h" Vector__XXX</v>
      </c>
      <c r="T16" t="s">
        <v>38</v>
      </c>
      <c r="U16" t="s">
        <v>57</v>
      </c>
      <c r="V16">
        <v>16</v>
      </c>
      <c r="W16">
        <v>0</v>
      </c>
      <c r="X16">
        <v>0.01</v>
      </c>
      <c r="Y16">
        <v>0</v>
      </c>
      <c r="Z16">
        <f>IF(ObjectList24[[#This Row],[Value Type]]="Signed",(-(2^ObjectList24[[#This Row],[Length '[Bit']]])/2*ObjectList24[[#This Row],[Factor]]+ObjectList24[[#This Row],[Offset]]),(ObjectList24[[#This Row],[Offset]]))</f>
        <v>-327.68</v>
      </c>
      <c r="AA16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327.67</v>
      </c>
      <c r="AB16" t="s">
        <v>72</v>
      </c>
    </row>
    <row r="17" spans="1:29" x14ac:dyDescent="0.25">
      <c r="A17">
        <f>LEN(ObjectList24[[#This Row],[Name]])</f>
        <v>19</v>
      </c>
      <c r="E17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Dyno_Ctrl_Grade_Cmd</v>
      </c>
      <c r="F17" t="s">
        <v>61</v>
      </c>
      <c r="G17" t="s">
        <v>30</v>
      </c>
      <c r="J17" t="s">
        <v>62</v>
      </c>
      <c r="K17" t="s">
        <v>41</v>
      </c>
      <c r="L17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Dyno control - grade command</v>
      </c>
      <c r="M17" t="s">
        <v>32</v>
      </c>
      <c r="N17" t="s">
        <v>33</v>
      </c>
      <c r="O17" t="s">
        <v>63</v>
      </c>
      <c r="Q17" t="s">
        <v>64</v>
      </c>
      <c r="R17" t="s">
        <v>37</v>
      </c>
      <c r="S17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Dyno_Ctrl_Grade_Cmd : 10@1- (0.1,0) [0|0] "%" Vector__XXX</v>
      </c>
      <c r="T17" t="s">
        <v>38</v>
      </c>
      <c r="U17" t="s">
        <v>57</v>
      </c>
      <c r="V17">
        <v>10</v>
      </c>
      <c r="W17">
        <v>0</v>
      </c>
      <c r="X17">
        <v>0.1</v>
      </c>
      <c r="Y17">
        <v>0</v>
      </c>
      <c r="Z17">
        <f>IF(ObjectList24[[#This Row],[Value Type]]="Signed",(-(2^ObjectList24[[#This Row],[Length '[Bit']]])/2*ObjectList24[[#This Row],[Factor]]+ObjectList24[[#This Row],[Offset]]),(ObjectList24[[#This Row],[Offset]]))</f>
        <v>-51.2</v>
      </c>
      <c r="AA17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51.1</v>
      </c>
      <c r="AB17" t="s">
        <v>65</v>
      </c>
      <c r="AC17" t="s">
        <v>66</v>
      </c>
    </row>
    <row r="18" spans="1:29" x14ac:dyDescent="0.25">
      <c r="A18">
        <f>LEN(ObjectList24[[#This Row],[Name]])</f>
        <v>19</v>
      </c>
      <c r="E18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Dyno_Data_Cycle_Spd</v>
      </c>
      <c r="F18" t="s">
        <v>61</v>
      </c>
      <c r="G18" t="s">
        <v>67</v>
      </c>
      <c r="H18" t="s">
        <v>271</v>
      </c>
      <c r="J18" t="s">
        <v>75</v>
      </c>
      <c r="L18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Dyno data - cycle speed</v>
      </c>
      <c r="M18" s="3" t="s">
        <v>52</v>
      </c>
      <c r="N18" s="3" t="s">
        <v>69</v>
      </c>
      <c r="O18" t="s">
        <v>76</v>
      </c>
      <c r="Q18" t="s">
        <v>79</v>
      </c>
      <c r="R18" t="s">
        <v>37</v>
      </c>
      <c r="S18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Dyno_Data_Cycle_Spd : 16@1- (0.01,0) [0|0] "km/h" Vector__XXX</v>
      </c>
      <c r="T18" t="s">
        <v>38</v>
      </c>
      <c r="U18" t="s">
        <v>57</v>
      </c>
      <c r="V18">
        <v>16</v>
      </c>
      <c r="W18">
        <v>0</v>
      </c>
      <c r="X18">
        <v>0.01</v>
      </c>
      <c r="Y18">
        <v>0</v>
      </c>
      <c r="Z18">
        <f>IF(ObjectList24[[#This Row],[Value Type]]="Signed",(-(2^ObjectList24[[#This Row],[Length '[Bit']]])/2*ObjectList24[[#This Row],[Factor]]+ObjectList24[[#This Row],[Offset]]),(ObjectList24[[#This Row],[Offset]]))</f>
        <v>-327.68</v>
      </c>
      <c r="AA18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327.67</v>
      </c>
      <c r="AB18" t="s">
        <v>72</v>
      </c>
    </row>
    <row r="19" spans="1:29" x14ac:dyDescent="0.25">
      <c r="A19">
        <f>LEN(ObjectList24[[#This Row],[Name]])</f>
        <v>20</v>
      </c>
      <c r="E19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Dyno_Resp_Grade_Used</v>
      </c>
      <c r="F19" t="s">
        <v>61</v>
      </c>
      <c r="G19" t="s">
        <v>50</v>
      </c>
      <c r="J19" t="s">
        <v>62</v>
      </c>
      <c r="K19" t="s">
        <v>92</v>
      </c>
      <c r="L19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Dyno response - grade used</v>
      </c>
      <c r="M19" t="s">
        <v>52</v>
      </c>
      <c r="N19" s="3" t="s">
        <v>93</v>
      </c>
      <c r="O19" t="s">
        <v>63</v>
      </c>
      <c r="Q19" t="s">
        <v>94</v>
      </c>
      <c r="R19" t="s">
        <v>37</v>
      </c>
      <c r="S19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Dyno_Resp_Grade_Used : 10@1- (0.1,0) [0|0] "%" Vector__XXX</v>
      </c>
      <c r="T19" t="s">
        <v>38</v>
      </c>
      <c r="U19" t="s">
        <v>57</v>
      </c>
      <c r="V19">
        <v>10</v>
      </c>
      <c r="W19">
        <v>0</v>
      </c>
      <c r="X19">
        <v>0.1</v>
      </c>
      <c r="Y19">
        <v>0</v>
      </c>
      <c r="Z19">
        <f>IF(ObjectList24[[#This Row],[Value Type]]="Signed",(-(2^ObjectList24[[#This Row],[Length '[Bit']]])/2*ObjectList24[[#This Row],[Factor]]+ObjectList24[[#This Row],[Offset]]),(ObjectList24[[#This Row],[Offset]]))</f>
        <v>-51.2</v>
      </c>
      <c r="AA19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51.1</v>
      </c>
      <c r="AB19" t="s">
        <v>72</v>
      </c>
    </row>
    <row r="20" spans="1:29" x14ac:dyDescent="0.25">
      <c r="A20">
        <f>LEN(ObjectList24[[#This Row],[Name]])</f>
        <v>21</v>
      </c>
      <c r="E20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Dyno_Data_Cycle_Grade</v>
      </c>
      <c r="F20" t="s">
        <v>61</v>
      </c>
      <c r="G20" t="s">
        <v>67</v>
      </c>
      <c r="H20" t="s">
        <v>271</v>
      </c>
      <c r="J20" t="s">
        <v>62</v>
      </c>
      <c r="L20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Dyno data - cycle grade</v>
      </c>
      <c r="M20" s="3" t="s">
        <v>52</v>
      </c>
      <c r="N20" s="3" t="s">
        <v>69</v>
      </c>
      <c r="O20" t="s">
        <v>80</v>
      </c>
      <c r="Q20" t="s">
        <v>81</v>
      </c>
      <c r="R20" t="s">
        <v>37</v>
      </c>
      <c r="S20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Dyno_Data_Cycle_Grade : 10@1- (0.1,0) [0|0] "% " Vector__XXX</v>
      </c>
      <c r="T20" t="s">
        <v>38</v>
      </c>
      <c r="U20" t="s">
        <v>57</v>
      </c>
      <c r="V20">
        <v>10</v>
      </c>
      <c r="W20">
        <v>0</v>
      </c>
      <c r="X20">
        <v>0.1</v>
      </c>
      <c r="Y20">
        <v>0</v>
      </c>
      <c r="Z20">
        <f>IF(ObjectList24[[#This Row],[Value Type]]="Signed",(-(2^ObjectList24[[#This Row],[Length '[Bit']]])/2*ObjectList24[[#This Row],[Factor]]+ObjectList24[[#This Row],[Offset]]),(ObjectList24[[#This Row],[Offset]]))</f>
        <v>-51.2</v>
      </c>
      <c r="AA20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51.1</v>
      </c>
      <c r="AB20" t="s">
        <v>72</v>
      </c>
      <c r="AC20" t="s">
        <v>82</v>
      </c>
    </row>
    <row r="21" spans="1:29" x14ac:dyDescent="0.25">
      <c r="A21">
        <f>LEN(ObjectList24[[#This Row],[Name]])</f>
        <v>22</v>
      </c>
      <c r="E21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Dyno_Data_FrntRoll_Spd</v>
      </c>
      <c r="F21" t="s">
        <v>61</v>
      </c>
      <c r="G21" t="s">
        <v>67</v>
      </c>
      <c r="H21" t="s">
        <v>83</v>
      </c>
      <c r="J21" t="s">
        <v>75</v>
      </c>
      <c r="L21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Dyno data - front roll speed</v>
      </c>
      <c r="M21" s="3" t="s">
        <v>52</v>
      </c>
      <c r="N21" s="3" t="s">
        <v>69</v>
      </c>
      <c r="O21" t="s">
        <v>76</v>
      </c>
      <c r="Q21" t="s">
        <v>84</v>
      </c>
      <c r="R21" t="s">
        <v>37</v>
      </c>
      <c r="S21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Dyno_Data_FrntRoll_Spd : 16@1- (0.01,0) [0|0] "km/h" Vector__XXX</v>
      </c>
      <c r="T21" t="s">
        <v>38</v>
      </c>
      <c r="U21" t="s">
        <v>57</v>
      </c>
      <c r="V21">
        <v>16</v>
      </c>
      <c r="W21">
        <v>0</v>
      </c>
      <c r="X21">
        <v>0.01</v>
      </c>
      <c r="Y21">
        <v>0</v>
      </c>
      <c r="Z21">
        <f>IF(ObjectList24[[#This Row],[Value Type]]="Signed",(-(2^ObjectList24[[#This Row],[Length '[Bit']]])/2*ObjectList24[[#This Row],[Factor]]+ObjectList24[[#This Row],[Offset]]),(ObjectList24[[#This Row],[Offset]]))</f>
        <v>-327.68</v>
      </c>
      <c r="AA21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327.67</v>
      </c>
      <c r="AB21" t="s">
        <v>72</v>
      </c>
    </row>
    <row r="22" spans="1:29" x14ac:dyDescent="0.25">
      <c r="A22">
        <f>LEN(ObjectList24[[#This Row],[Name]])</f>
        <v>22</v>
      </c>
      <c r="E22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Dyno_Data_RearRoll_Spd</v>
      </c>
      <c r="F22" t="s">
        <v>61</v>
      </c>
      <c r="G22" t="s">
        <v>67</v>
      </c>
      <c r="H22" t="s">
        <v>85</v>
      </c>
      <c r="J22" t="s">
        <v>75</v>
      </c>
      <c r="L22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Dyno data - rear roll speed</v>
      </c>
      <c r="M22" s="3" t="s">
        <v>52</v>
      </c>
      <c r="N22" s="3" t="s">
        <v>69</v>
      </c>
      <c r="O22" t="s">
        <v>76</v>
      </c>
      <c r="Q22" t="s">
        <v>86</v>
      </c>
      <c r="R22" t="s">
        <v>37</v>
      </c>
      <c r="S22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Dyno_Data_RearRoll_Spd : 16@1- (0.01,0) [0|0] "km/h" Vector__XXX</v>
      </c>
      <c r="T22" t="s">
        <v>38</v>
      </c>
      <c r="U22" t="s">
        <v>57</v>
      </c>
      <c r="V22">
        <v>16</v>
      </c>
      <c r="W22">
        <v>0</v>
      </c>
      <c r="X22">
        <v>0.01</v>
      </c>
      <c r="Y22">
        <v>0</v>
      </c>
      <c r="Z22">
        <f>IF(ObjectList24[[#This Row],[Value Type]]="Signed",(-(2^ObjectList24[[#This Row],[Length '[Bit']]])/2*ObjectList24[[#This Row],[Factor]]+ObjectList24[[#This Row],[Offset]]),(ObjectList24[[#This Row],[Offset]]))</f>
        <v>-327.68</v>
      </c>
      <c r="AA22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327.67</v>
      </c>
      <c r="AB22" t="s">
        <v>72</v>
      </c>
    </row>
    <row r="23" spans="1:29" x14ac:dyDescent="0.25">
      <c r="A23">
        <f>LEN(ObjectList24[[#This Row],[Name]])</f>
        <v>23</v>
      </c>
      <c r="E23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Dyno_Resp_Grade_CmdEcho</v>
      </c>
      <c r="F23" t="s">
        <v>61</v>
      </c>
      <c r="G23" t="s">
        <v>50</v>
      </c>
      <c r="J23" t="s">
        <v>62</v>
      </c>
      <c r="K23" t="s">
        <v>95</v>
      </c>
      <c r="L23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Dyno response - grade command echo</v>
      </c>
      <c r="M23" t="s">
        <v>52</v>
      </c>
      <c r="N23" t="s">
        <v>96</v>
      </c>
      <c r="O23" t="s">
        <v>63</v>
      </c>
      <c r="Q23" t="s">
        <v>97</v>
      </c>
      <c r="R23" t="s">
        <v>37</v>
      </c>
      <c r="S23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Dyno_Resp_Grade_CmdEcho : 10@1- (0.1,0) [0|0] "%" Vector__XXX</v>
      </c>
      <c r="T23" t="s">
        <v>38</v>
      </c>
      <c r="U23" t="s">
        <v>57</v>
      </c>
      <c r="V23">
        <v>10</v>
      </c>
      <c r="W23">
        <v>0</v>
      </c>
      <c r="X23">
        <v>0.1</v>
      </c>
      <c r="Y23">
        <v>0</v>
      </c>
      <c r="Z23">
        <f>IF(ObjectList24[[#This Row],[Value Type]]="Signed",(-(2^ObjectList24[[#This Row],[Length '[Bit']]])/2*ObjectList24[[#This Row],[Factor]]+ObjectList24[[#This Row],[Offset]]),(ObjectList24[[#This Row],[Offset]]))</f>
        <v>-51.2</v>
      </c>
      <c r="AA23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51.1</v>
      </c>
      <c r="AB23" t="s">
        <v>72</v>
      </c>
    </row>
    <row r="24" spans="1:29" x14ac:dyDescent="0.25">
      <c r="A24">
        <f>LEN(ObjectList24[[#This Row],[Name]])</f>
        <v>18</v>
      </c>
      <c r="E24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Facil_Data_Test_ID</v>
      </c>
      <c r="F24" t="s">
        <v>98</v>
      </c>
      <c r="G24" t="s">
        <v>67</v>
      </c>
      <c r="H24" t="s">
        <v>100</v>
      </c>
      <c r="J24" t="s">
        <v>101</v>
      </c>
      <c r="L24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Facil data - test identification number</v>
      </c>
      <c r="M24" t="s">
        <v>52</v>
      </c>
      <c r="N24" t="s">
        <v>88</v>
      </c>
      <c r="O24" t="s">
        <v>102</v>
      </c>
      <c r="Q24" t="s">
        <v>103</v>
      </c>
      <c r="R24" t="s">
        <v>37</v>
      </c>
      <c r="S24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Facil_Data_Test_ID : 16@1+ (1,0) [0|0] "int" Vector__XXX</v>
      </c>
      <c r="T24" t="s">
        <v>38</v>
      </c>
      <c r="U24" t="s">
        <v>39</v>
      </c>
      <c r="V24">
        <v>16</v>
      </c>
      <c r="W24">
        <v>0</v>
      </c>
      <c r="X24">
        <v>1</v>
      </c>
      <c r="Y24">
        <v>0</v>
      </c>
      <c r="Z24">
        <f>IF(ObjectList24[[#This Row],[Value Type]]="Signed",(-(2^ObjectList24[[#This Row],[Length '[Bit']]])/2*ObjectList24[[#This Row],[Factor]]+ObjectList24[[#This Row],[Offset]]),(ObjectList24[[#This Row],[Offset]]))</f>
        <v>0</v>
      </c>
      <c r="AA24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65535</v>
      </c>
    </row>
    <row r="25" spans="1:29" x14ac:dyDescent="0.25">
      <c r="A25">
        <f>LEN(ObjectList24[[#This Row],[Name]])</f>
        <v>19</v>
      </c>
      <c r="E25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Facil_Data_Time_DAQ</v>
      </c>
      <c r="F25" t="s">
        <v>98</v>
      </c>
      <c r="G25" t="s">
        <v>67</v>
      </c>
      <c r="J25" t="s">
        <v>104</v>
      </c>
      <c r="K25" t="s">
        <v>105</v>
      </c>
      <c r="L25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Facil data - time data acquisition system</v>
      </c>
      <c r="M25" t="s">
        <v>52</v>
      </c>
      <c r="N25" t="s">
        <v>88</v>
      </c>
      <c r="O25" t="s">
        <v>106</v>
      </c>
      <c r="Q25" t="s">
        <v>107</v>
      </c>
      <c r="R25" t="s">
        <v>37</v>
      </c>
      <c r="S25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Facil_Data_Time_DAQ : 32@1+ (0.001,0) [0|0] "s " Vector__XXX</v>
      </c>
      <c r="T25" t="s">
        <v>38</v>
      </c>
      <c r="U25" t="s">
        <v>39</v>
      </c>
      <c r="V25">
        <v>32</v>
      </c>
      <c r="W25">
        <v>0</v>
      </c>
      <c r="X25">
        <v>1E-3</v>
      </c>
      <c r="Y25">
        <v>0</v>
      </c>
      <c r="Z25">
        <f>IF(ObjectList24[[#This Row],[Value Type]]="Signed",(-(2^ObjectList24[[#This Row],[Length '[Bit']]])/2*ObjectList24[[#This Row],[Factor]]+ObjectList24[[#This Row],[Offset]]),(ObjectList24[[#This Row],[Offset]]))</f>
        <v>0</v>
      </c>
      <c r="AA25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4294967.2949999999</v>
      </c>
    </row>
    <row r="26" spans="1:29" x14ac:dyDescent="0.25">
      <c r="A26">
        <f>LEN(ObjectList24[[#This Row],[Name]])</f>
        <v>20</v>
      </c>
      <c r="E26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Facil_Data_Time_Sync</v>
      </c>
      <c r="F26" t="s">
        <v>98</v>
      </c>
      <c r="G26" t="s">
        <v>67</v>
      </c>
      <c r="J26" t="s">
        <v>104</v>
      </c>
      <c r="K26" t="s">
        <v>108</v>
      </c>
      <c r="L26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Facil data - time synchronization</v>
      </c>
      <c r="M26" t="s">
        <v>52</v>
      </c>
      <c r="N26" t="s">
        <v>88</v>
      </c>
      <c r="O26" t="s">
        <v>109</v>
      </c>
      <c r="Q26" t="s">
        <v>110</v>
      </c>
      <c r="R26" t="s">
        <v>37</v>
      </c>
      <c r="S26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Facil_Data_Time_Sync : 32@1+ (0.001,0) [0|0] "s" Vector__XXX</v>
      </c>
      <c r="T26" t="s">
        <v>38</v>
      </c>
      <c r="U26" t="s">
        <v>39</v>
      </c>
      <c r="V26">
        <v>32</v>
      </c>
      <c r="W26">
        <v>0</v>
      </c>
      <c r="X26">
        <v>1E-3</v>
      </c>
      <c r="Y26">
        <v>0</v>
      </c>
      <c r="Z26">
        <f>IF(ObjectList24[[#This Row],[Value Type]]="Signed",(-(2^ObjectList24[[#This Row],[Length '[Bit']]])/2*ObjectList24[[#This Row],[Factor]]+ObjectList24[[#This Row],[Offset]]),(ObjectList24[[#This Row],[Offset]]))</f>
        <v>0</v>
      </c>
      <c r="AA26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4294967.2949999999</v>
      </c>
    </row>
    <row r="27" spans="1:29" x14ac:dyDescent="0.25">
      <c r="A27">
        <f>LEN(ObjectList24[[#This Row],[Name]])</f>
        <v>21</v>
      </c>
      <c r="E27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Facil_Data_Time_Start</v>
      </c>
      <c r="F27" t="s">
        <v>98</v>
      </c>
      <c r="G27" t="s">
        <v>67</v>
      </c>
      <c r="J27" t="s">
        <v>104</v>
      </c>
      <c r="K27" t="s">
        <v>111</v>
      </c>
      <c r="L27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Facil data - time start</v>
      </c>
      <c r="M27" t="s">
        <v>52</v>
      </c>
      <c r="N27" t="s">
        <v>88</v>
      </c>
      <c r="O27" t="s">
        <v>106</v>
      </c>
      <c r="Q27" t="s">
        <v>112</v>
      </c>
      <c r="R27" t="s">
        <v>37</v>
      </c>
      <c r="S27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Facil_Data_Time_Start : 32@1+ (0.001,0) [0|0] "s " Vector__XXX</v>
      </c>
      <c r="T27" t="s">
        <v>38</v>
      </c>
      <c r="U27" t="s">
        <v>39</v>
      </c>
      <c r="V27">
        <v>32</v>
      </c>
      <c r="W27">
        <v>0</v>
      </c>
      <c r="X27">
        <v>1E-3</v>
      </c>
      <c r="Y27">
        <v>0</v>
      </c>
      <c r="Z27">
        <f>IF(ObjectList24[[#This Row],[Value Type]]="Signed",(-(2^ObjectList24[[#This Row],[Length '[Bit']]])/2*ObjectList24[[#This Row],[Factor]]+ObjectList24[[#This Row],[Offset]]),(ObjectList24[[#This Row],[Offset]]))</f>
        <v>0</v>
      </c>
      <c r="AA27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4294967.2949999999</v>
      </c>
    </row>
    <row r="28" spans="1:29" x14ac:dyDescent="0.25">
      <c r="A28">
        <f>LEN(ObjectList24[[#This Row],[Name]])</f>
        <v>22</v>
      </c>
      <c r="E28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Facil_Data_Test_Status</v>
      </c>
      <c r="F28" t="s">
        <v>98</v>
      </c>
      <c r="G28" t="s">
        <v>67</v>
      </c>
      <c r="H28" t="s">
        <v>100</v>
      </c>
      <c r="J28" t="s">
        <v>87</v>
      </c>
      <c r="L28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Facil data - test status</v>
      </c>
      <c r="M28" t="s">
        <v>52</v>
      </c>
      <c r="N28" t="s">
        <v>88</v>
      </c>
      <c r="O28" t="s">
        <v>89</v>
      </c>
      <c r="P28" t="s">
        <v>90</v>
      </c>
      <c r="Q28" t="s">
        <v>113</v>
      </c>
      <c r="R28" t="s">
        <v>37</v>
      </c>
      <c r="S28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Facil_Data_Test_Status : 3@1+ (1,0) [0|0] "enum" Vector__XXX</v>
      </c>
      <c r="T28" t="s">
        <v>38</v>
      </c>
      <c r="U28" t="s">
        <v>39</v>
      </c>
      <c r="V28">
        <v>3</v>
      </c>
      <c r="W28">
        <v>0</v>
      </c>
      <c r="X28">
        <v>1</v>
      </c>
      <c r="Y28">
        <v>0</v>
      </c>
      <c r="Z28">
        <f>IF(ObjectList24[[#This Row],[Value Type]]="Signed",(-(2^ObjectList24[[#This Row],[Length '[Bit']]])/2*ObjectList24[[#This Row],[Factor]]+ObjectList24[[#This Row],[Offset]]),(ObjectList24[[#This Row],[Offset]]))</f>
        <v>0</v>
      </c>
      <c r="AA28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7</v>
      </c>
    </row>
    <row r="29" spans="1:29" x14ac:dyDescent="0.25">
      <c r="A29">
        <f>LEN(ObjectList24[[#This Row],[Name]])</f>
        <v>24</v>
      </c>
      <c r="E29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Facil_Data_Time_Greyware</v>
      </c>
      <c r="F29" t="s">
        <v>98</v>
      </c>
      <c r="G29" t="s">
        <v>67</v>
      </c>
      <c r="J29" t="s">
        <v>104</v>
      </c>
      <c r="K29" t="s">
        <v>114</v>
      </c>
      <c r="L29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Facil data - time greyware</v>
      </c>
      <c r="M29" t="s">
        <v>52</v>
      </c>
      <c r="N29" t="s">
        <v>88</v>
      </c>
      <c r="O29" t="s">
        <v>106</v>
      </c>
      <c r="Q29" t="s">
        <v>115</v>
      </c>
      <c r="R29" t="s">
        <v>37</v>
      </c>
      <c r="S29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Facil_Data_Time_Greyware : 32@1+ (0.001,0) [0|0] "s " Vector__XXX</v>
      </c>
      <c r="T29" t="s">
        <v>38</v>
      </c>
      <c r="U29" t="s">
        <v>39</v>
      </c>
      <c r="V29">
        <v>32</v>
      </c>
      <c r="W29">
        <v>0</v>
      </c>
      <c r="X29">
        <v>1E-3</v>
      </c>
      <c r="Y29">
        <v>0</v>
      </c>
      <c r="Z29">
        <f>IF(ObjectList24[[#This Row],[Value Type]]="Signed",(-(2^ObjectList24[[#This Row],[Length '[Bit']]])/2*ObjectList24[[#This Row],[Factor]]+ObjectList24[[#This Row],[Offset]]),(ObjectList24[[#This Row],[Offset]]))</f>
        <v>0</v>
      </c>
      <c r="AA29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4294967.2949999999</v>
      </c>
    </row>
    <row r="30" spans="1:29" x14ac:dyDescent="0.25">
      <c r="A30">
        <f>LEN(ObjectList24[[#This Row],[Name]])</f>
        <v>23</v>
      </c>
      <c r="E30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FuelMetr1_Data_FuelFlow</v>
      </c>
      <c r="F30" t="s">
        <v>116</v>
      </c>
      <c r="G30" t="s">
        <v>67</v>
      </c>
      <c r="J30" t="s">
        <v>117</v>
      </c>
      <c r="L30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FuelMetr1 data - fuel flow</v>
      </c>
      <c r="M30" s="3" t="s">
        <v>52</v>
      </c>
      <c r="N30" s="3" t="s">
        <v>69</v>
      </c>
      <c r="O30" t="s">
        <v>118</v>
      </c>
      <c r="Q30" t="s">
        <v>119</v>
      </c>
      <c r="R30" t="s">
        <v>37</v>
      </c>
      <c r="S30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FuelMetr1_Data_FuelFlow : 14@1- (0.015,0) [0|0] "L/hr" Vector__XXX</v>
      </c>
      <c r="T30" t="s">
        <v>38</v>
      </c>
      <c r="U30" t="s">
        <v>57</v>
      </c>
      <c r="V30">
        <v>14</v>
      </c>
      <c r="W30">
        <v>0</v>
      </c>
      <c r="X30">
        <v>1.4999999999999999E-2</v>
      </c>
      <c r="Y30">
        <v>0</v>
      </c>
      <c r="Z30">
        <f>IF(ObjectList24[[#This Row],[Value Type]]="Signed",(-(2^ObjectList24[[#This Row],[Length '[Bit']]])/2*ObjectList24[[#This Row],[Factor]]+ObjectList24[[#This Row],[Offset]]),(ObjectList24[[#This Row],[Offset]]))</f>
        <v>-122.88</v>
      </c>
      <c r="AA30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122.86499999999999</v>
      </c>
    </row>
    <row r="31" spans="1:29" x14ac:dyDescent="0.25">
      <c r="A31">
        <f>LEN(ObjectList24[[#This Row],[Name]])</f>
        <v>23</v>
      </c>
      <c r="E31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FuelMetr2_Data_FuelFlow</v>
      </c>
      <c r="F31" t="s">
        <v>120</v>
      </c>
      <c r="G31" t="s">
        <v>67</v>
      </c>
      <c r="J31" t="s">
        <v>117</v>
      </c>
      <c r="L31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FuelMetr2 data - fuel flow</v>
      </c>
      <c r="M31" s="3" t="s">
        <v>52</v>
      </c>
      <c r="N31" s="3" t="s">
        <v>69</v>
      </c>
      <c r="O31" t="s">
        <v>118</v>
      </c>
      <c r="Q31" t="s">
        <v>121</v>
      </c>
      <c r="R31" t="s">
        <v>37</v>
      </c>
      <c r="S31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FuelMetr2_Data_FuelFlow : 14@1- (0.015,0) [0|0] "L/hr" Vector__XXX</v>
      </c>
      <c r="T31" t="s">
        <v>38</v>
      </c>
      <c r="U31" t="s">
        <v>57</v>
      </c>
      <c r="V31">
        <v>14</v>
      </c>
      <c r="W31">
        <v>0</v>
      </c>
      <c r="X31">
        <v>1.4999999999999999E-2</v>
      </c>
      <c r="Y31">
        <v>0</v>
      </c>
      <c r="Z31">
        <f>IF(ObjectList24[[#This Row],[Value Type]]="Signed",(-(2^ObjectList24[[#This Row],[Length '[Bit']]])/2*ObjectList24[[#This Row],[Factor]]+ObjectList24[[#This Row],[Offset]]),(ObjectList24[[#This Row],[Offset]]))</f>
        <v>-122.88</v>
      </c>
      <c r="AA31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122.86499999999999</v>
      </c>
    </row>
    <row r="32" spans="1:29" x14ac:dyDescent="0.25">
      <c r="A32">
        <f>LEN(ObjectList24[[#This Row],[Name]])</f>
        <v>23</v>
      </c>
      <c r="E32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FuelMetr3_Data_FuelIntg</v>
      </c>
      <c r="F32" t="s">
        <v>122</v>
      </c>
      <c r="G32" t="s">
        <v>67</v>
      </c>
      <c r="J32" t="s">
        <v>123</v>
      </c>
      <c r="L32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FuelMetr3 data - fuel integrated</v>
      </c>
      <c r="M32" s="3" t="s">
        <v>52</v>
      </c>
      <c r="N32" s="3" t="s">
        <v>69</v>
      </c>
      <c r="O32" t="s">
        <v>124</v>
      </c>
      <c r="Q32" t="s">
        <v>125</v>
      </c>
      <c r="R32" t="s">
        <v>37</v>
      </c>
      <c r="S32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FuelMetr3_Data_FuelIntg : 14@1+ (0.001,0) [0|0] "L" Vector__XXX</v>
      </c>
      <c r="T32" t="s">
        <v>38</v>
      </c>
      <c r="U32" t="s">
        <v>39</v>
      </c>
      <c r="V32">
        <v>14</v>
      </c>
      <c r="W32">
        <v>0</v>
      </c>
      <c r="X32">
        <v>1E-3</v>
      </c>
      <c r="Y32">
        <v>0</v>
      </c>
      <c r="Z32">
        <f>IF(ObjectList24[[#This Row],[Value Type]]="Signed",(-(2^ObjectList24[[#This Row],[Length '[Bit']]])/2*ObjectList24[[#This Row],[Factor]]+ObjectList24[[#This Row],[Offset]]),(ObjectList24[[#This Row],[Offset]]))</f>
        <v>0</v>
      </c>
      <c r="AA32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16.382999999999999</v>
      </c>
    </row>
    <row r="33" spans="1:27" x14ac:dyDescent="0.25">
      <c r="A33">
        <f>LEN(ObjectList24[[#This Row],[Name]])</f>
        <v>23</v>
      </c>
      <c r="E33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FuelMetr3_Data_FuelFlow</v>
      </c>
      <c r="F33" t="s">
        <v>122</v>
      </c>
      <c r="G33" t="s">
        <v>67</v>
      </c>
      <c r="J33" t="s">
        <v>117</v>
      </c>
      <c r="L33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FuelMetr3 data - fuel flow</v>
      </c>
      <c r="M33" s="3" t="s">
        <v>52</v>
      </c>
      <c r="N33" s="3" t="s">
        <v>69</v>
      </c>
      <c r="O33" t="s">
        <v>118</v>
      </c>
      <c r="Q33" t="s">
        <v>121</v>
      </c>
      <c r="R33" t="s">
        <v>37</v>
      </c>
      <c r="S33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FuelMetr3_Data_FuelFlow : 14@1- (0.015,0) [0|0] "L/hr" Vector__XXX</v>
      </c>
      <c r="T33" t="s">
        <v>38</v>
      </c>
      <c r="U33" t="s">
        <v>57</v>
      </c>
      <c r="V33">
        <v>14</v>
      </c>
      <c r="W33">
        <v>0</v>
      </c>
      <c r="X33">
        <v>1.4999999999999999E-2</v>
      </c>
      <c r="Y33">
        <v>0</v>
      </c>
      <c r="Z33">
        <f>IF(ObjectList24[[#This Row],[Value Type]]="Signed",(-(2^ObjectList24[[#This Row],[Length '[Bit']]])/2*ObjectList24[[#This Row],[Factor]]+ObjectList24[[#This Row],[Offset]]),(ObjectList24[[#This Row],[Offset]]))</f>
        <v>-122.88</v>
      </c>
      <c r="AA33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122.86499999999999</v>
      </c>
    </row>
    <row r="34" spans="1:27" x14ac:dyDescent="0.25">
      <c r="A34">
        <f>LEN(ObjectList24[[#This Row],[Name]])</f>
        <v>18</v>
      </c>
      <c r="E34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Master_Resp_SoftID</v>
      </c>
      <c r="F34" t="s">
        <v>32</v>
      </c>
      <c r="G34" t="s">
        <v>50</v>
      </c>
      <c r="J34" t="s">
        <v>128</v>
      </c>
      <c r="L34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Master response - software ID number</v>
      </c>
      <c r="M34" t="s">
        <v>32</v>
      </c>
      <c r="N34" t="s">
        <v>88</v>
      </c>
      <c r="O34" t="s">
        <v>129</v>
      </c>
      <c r="Q34" t="s">
        <v>130</v>
      </c>
      <c r="R34" t="s">
        <v>37</v>
      </c>
      <c r="S34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Master_Resp_SoftID : 16@1+ (1,0) [0|0] "NA" Vector__XXX</v>
      </c>
      <c r="T34" t="s">
        <v>38</v>
      </c>
      <c r="U34" t="s">
        <v>39</v>
      </c>
      <c r="V34">
        <v>16</v>
      </c>
      <c r="W34">
        <v>0</v>
      </c>
      <c r="X34">
        <v>1</v>
      </c>
      <c r="Y34">
        <v>0</v>
      </c>
      <c r="Z34">
        <f>IF(ObjectList24[[#This Row],[Value Type]]="Signed",(-(2^ObjectList24[[#This Row],[Length '[Bit']]])/2*ObjectList24[[#This Row],[Factor]]+ObjectList24[[#This Row],[Offset]]),(ObjectList24[[#This Row],[Offset]]))</f>
        <v>0</v>
      </c>
      <c r="AA34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65535</v>
      </c>
    </row>
    <row r="35" spans="1:27" x14ac:dyDescent="0.25">
      <c r="A35">
        <f>LEN(ObjectList24[[#This Row],[Name]])</f>
        <v>20</v>
      </c>
      <c r="E35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Master_Ctrl_Test_Cmd</v>
      </c>
      <c r="F35" t="s">
        <v>32</v>
      </c>
      <c r="G35" t="s">
        <v>30</v>
      </c>
      <c r="J35" t="s">
        <v>100</v>
      </c>
      <c r="K35" t="s">
        <v>41</v>
      </c>
      <c r="L35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Master control - test command</v>
      </c>
      <c r="M35" t="s">
        <v>32</v>
      </c>
      <c r="N35" t="s">
        <v>88</v>
      </c>
      <c r="O35" t="s">
        <v>89</v>
      </c>
      <c r="P35" t="s">
        <v>126</v>
      </c>
      <c r="Q35" t="s">
        <v>127</v>
      </c>
      <c r="R35" t="s">
        <v>37</v>
      </c>
      <c r="S35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Master_Ctrl_Test_Cmd : 3@1+ (1,0) [0|0] "enum" Vector__XXX</v>
      </c>
      <c r="T35" t="s">
        <v>38</v>
      </c>
      <c r="U35" t="s">
        <v>39</v>
      </c>
      <c r="V35">
        <v>3</v>
      </c>
      <c r="W35">
        <v>0</v>
      </c>
      <c r="X35">
        <v>1</v>
      </c>
      <c r="Y35">
        <v>0</v>
      </c>
      <c r="Z35">
        <f>IF(ObjectList24[[#This Row],[Value Type]]="Signed",(-(2^ObjectList24[[#This Row],[Length '[Bit']]])/2*ObjectList24[[#This Row],[Factor]]+ObjectList24[[#This Row],[Offset]]),(ObjectList24[[#This Row],[Offset]]))</f>
        <v>0</v>
      </c>
      <c r="AA35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7</v>
      </c>
    </row>
    <row r="36" spans="1:27" x14ac:dyDescent="0.25">
      <c r="A36">
        <f>LEN(ObjectList24[[#This Row],[Name]])</f>
        <v>22</v>
      </c>
      <c r="E36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Master_Resp_Sys_Status</v>
      </c>
      <c r="F36" t="s">
        <v>32</v>
      </c>
      <c r="G36" t="s">
        <v>50</v>
      </c>
      <c r="H36" t="s">
        <v>131</v>
      </c>
      <c r="J36" t="s">
        <v>87</v>
      </c>
      <c r="L36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Master response - system status</v>
      </c>
      <c r="M36" t="s">
        <v>32</v>
      </c>
      <c r="N36" t="s">
        <v>88</v>
      </c>
      <c r="O36" t="s">
        <v>89</v>
      </c>
      <c r="P36" t="s">
        <v>90</v>
      </c>
      <c r="Q36" t="s">
        <v>132</v>
      </c>
      <c r="R36" t="s">
        <v>37</v>
      </c>
      <c r="S36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Master_Resp_Sys_Status : 3@1+ (1,0) [0|0] "enum" Vector__XXX</v>
      </c>
      <c r="T36" t="s">
        <v>38</v>
      </c>
      <c r="U36" t="s">
        <v>39</v>
      </c>
      <c r="V36">
        <v>3</v>
      </c>
      <c r="W36">
        <v>0</v>
      </c>
      <c r="X36">
        <v>1</v>
      </c>
      <c r="Y36">
        <v>0</v>
      </c>
      <c r="Z36">
        <f>IF(ObjectList24[[#This Row],[Value Type]]="Signed",(-(2^ObjectList24[[#This Row],[Length '[Bit']]])/2*ObjectList24[[#This Row],[Factor]]+ObjectList24[[#This Row],[Offset]]),(ObjectList24[[#This Row],[Offset]]))</f>
        <v>0</v>
      </c>
      <c r="AA36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7</v>
      </c>
    </row>
    <row r="37" spans="1:27" x14ac:dyDescent="0.25">
      <c r="A37">
        <f>LEN(ObjectList24[[#This Row],[Name]])</f>
        <v>23</v>
      </c>
      <c r="E37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RobDrv_Ctrl_APP_Pos_Cmd</v>
      </c>
      <c r="F37" t="s">
        <v>133</v>
      </c>
      <c r="G37" t="s">
        <v>30</v>
      </c>
      <c r="H37" t="s">
        <v>134</v>
      </c>
      <c r="J37" t="s">
        <v>135</v>
      </c>
      <c r="K37" t="s">
        <v>41</v>
      </c>
      <c r="L37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RobDrv control - accelerator pedal position position command</v>
      </c>
      <c r="M37" t="s">
        <v>32</v>
      </c>
      <c r="N37" t="s">
        <v>33</v>
      </c>
      <c r="O37" t="s">
        <v>63</v>
      </c>
      <c r="Q37" t="s">
        <v>136</v>
      </c>
      <c r="R37" t="s">
        <v>37</v>
      </c>
      <c r="S37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RobDrv_Ctrl_APP_Pos_Cmd : 10@1+ (0.1,0) [0|0] "%" Vector__XXX</v>
      </c>
      <c r="T37" t="s">
        <v>38</v>
      </c>
      <c r="U37" t="s">
        <v>39</v>
      </c>
      <c r="V37">
        <v>10</v>
      </c>
      <c r="W37">
        <v>0</v>
      </c>
      <c r="X37">
        <v>0.1</v>
      </c>
      <c r="Y37">
        <v>0</v>
      </c>
      <c r="Z37">
        <f>IF(ObjectList24[[#This Row],[Value Type]]="Signed",(-(2^ObjectList24[[#This Row],[Length '[Bit']]])/2*ObjectList24[[#This Row],[Factor]]+ObjectList24[[#This Row],[Offset]]),(ObjectList24[[#This Row],[Offset]]))</f>
        <v>0</v>
      </c>
      <c r="AA37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102.30000000000001</v>
      </c>
    </row>
    <row r="38" spans="1:27" x14ac:dyDescent="0.25">
      <c r="A38">
        <f>LEN(ObjectList24[[#This Row],[Name]])</f>
        <v>23</v>
      </c>
      <c r="E38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RobDrv_Ctrl_BPP_Pos_Cmd</v>
      </c>
      <c r="F38" t="s">
        <v>133</v>
      </c>
      <c r="G38" t="s">
        <v>30</v>
      </c>
      <c r="H38" t="s">
        <v>137</v>
      </c>
      <c r="J38" t="s">
        <v>135</v>
      </c>
      <c r="K38" t="s">
        <v>41</v>
      </c>
      <c r="L38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RobDrv control - brake pedal position position command</v>
      </c>
      <c r="M38" t="s">
        <v>32</v>
      </c>
      <c r="N38" t="s">
        <v>33</v>
      </c>
      <c r="O38" t="s">
        <v>63</v>
      </c>
      <c r="Q38" t="s">
        <v>138</v>
      </c>
      <c r="R38" t="s">
        <v>37</v>
      </c>
      <c r="S38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RobDrv_Ctrl_BPP_Pos_Cmd : 10@1+ (0.1,0) [0|0] "%" Vector__XXX</v>
      </c>
      <c r="T38" t="s">
        <v>38</v>
      </c>
      <c r="U38" t="s">
        <v>39</v>
      </c>
      <c r="V38">
        <v>10</v>
      </c>
      <c r="W38">
        <v>0</v>
      </c>
      <c r="X38">
        <v>0.1</v>
      </c>
      <c r="Y38">
        <v>0</v>
      </c>
      <c r="Z38">
        <f>IF(ObjectList24[[#This Row],[Value Type]]="Signed",(-(2^ObjectList24[[#This Row],[Length '[Bit']]])/2*ObjectList24[[#This Row],[Factor]]+ObjectList24[[#This Row],[Offset]]),(ObjectList24[[#This Row],[Offset]]))</f>
        <v>0</v>
      </c>
      <c r="AA38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102.30000000000001</v>
      </c>
    </row>
    <row r="39" spans="1:27" x14ac:dyDescent="0.25">
      <c r="A39">
        <f>LEN(ObjectList24[[#This Row],[Name]])</f>
        <v>24</v>
      </c>
      <c r="E39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RobDrv_Ctrl_APP_Pos_Actv</v>
      </c>
      <c r="F39" t="s">
        <v>133</v>
      </c>
      <c r="G39" t="s">
        <v>30</v>
      </c>
      <c r="H39" t="s">
        <v>134</v>
      </c>
      <c r="J39" t="s">
        <v>135</v>
      </c>
      <c r="K39" t="s">
        <v>139</v>
      </c>
      <c r="L39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RobDrv control - accelerator pedal position position active</v>
      </c>
      <c r="M39" t="s">
        <v>32</v>
      </c>
      <c r="N39" t="s">
        <v>33</v>
      </c>
      <c r="O39" t="s">
        <v>34</v>
      </c>
      <c r="Q39" t="s">
        <v>140</v>
      </c>
      <c r="R39" t="s">
        <v>37</v>
      </c>
      <c r="S39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RobDrv_Ctrl_APP_Pos_Actv : 1@1+ (1,0) [0|0] "bool" Vector__XXX</v>
      </c>
      <c r="T39" t="s">
        <v>38</v>
      </c>
      <c r="U39" t="s">
        <v>39</v>
      </c>
      <c r="V39">
        <v>1</v>
      </c>
      <c r="W39">
        <v>0</v>
      </c>
      <c r="X39">
        <v>1</v>
      </c>
      <c r="Y39">
        <v>0</v>
      </c>
      <c r="Z39">
        <f>IF(ObjectList24[[#This Row],[Value Type]]="Signed",(-(2^ObjectList24[[#This Row],[Length '[Bit']]])/2*ObjectList24[[#This Row],[Factor]]+ObjectList24[[#This Row],[Offset]]),(ObjectList24[[#This Row],[Offset]]))</f>
        <v>0</v>
      </c>
      <c r="AA39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1</v>
      </c>
    </row>
    <row r="40" spans="1:27" x14ac:dyDescent="0.25">
      <c r="A40">
        <f>LEN(ObjectList24[[#This Row],[Name]])</f>
        <v>24</v>
      </c>
      <c r="E40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RobDrv_Ctrl_BPP_Pos_Actv</v>
      </c>
      <c r="F40" t="s">
        <v>133</v>
      </c>
      <c r="G40" t="s">
        <v>30</v>
      </c>
      <c r="H40" t="s">
        <v>137</v>
      </c>
      <c r="J40" t="s">
        <v>135</v>
      </c>
      <c r="K40" t="s">
        <v>139</v>
      </c>
      <c r="L40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RobDrv control - brake pedal position position active</v>
      </c>
      <c r="M40" t="s">
        <v>32</v>
      </c>
      <c r="N40" t="s">
        <v>33</v>
      </c>
      <c r="O40" t="s">
        <v>34</v>
      </c>
      <c r="Q40" t="s">
        <v>141</v>
      </c>
      <c r="R40" t="s">
        <v>37</v>
      </c>
      <c r="S40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RobDrv_Ctrl_BPP_Pos_Actv : 1@1+ (1,0) [0|0] "bool" Vector__XXX</v>
      </c>
      <c r="T40" t="s">
        <v>38</v>
      </c>
      <c r="U40" t="s">
        <v>39</v>
      </c>
      <c r="V40">
        <v>1</v>
      </c>
      <c r="X40">
        <v>1</v>
      </c>
      <c r="Y40">
        <v>0</v>
      </c>
      <c r="Z40">
        <f>IF(ObjectList24[[#This Row],[Value Type]]="Signed",(-(2^ObjectList24[[#This Row],[Length '[Bit']]])/2*ObjectList24[[#This Row],[Factor]]+ObjectList24[[#This Row],[Offset]]),(ObjectList24[[#This Row],[Offset]]))</f>
        <v>0</v>
      </c>
      <c r="AA40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1</v>
      </c>
    </row>
    <row r="41" spans="1:27" x14ac:dyDescent="0.25">
      <c r="A41">
        <f>LEN(ObjectList24[[#This Row],[Name]])</f>
        <v>27</v>
      </c>
      <c r="E41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RobDrv_Resp_APP_Pos_CmdEcho</v>
      </c>
      <c r="F41" t="s">
        <v>133</v>
      </c>
      <c r="G41" t="s">
        <v>50</v>
      </c>
      <c r="H41" t="s">
        <v>134</v>
      </c>
      <c r="J41" t="s">
        <v>135</v>
      </c>
      <c r="K41" t="s">
        <v>95</v>
      </c>
      <c r="L41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RobDrv response - accelerator pedal position position command echo</v>
      </c>
      <c r="M41" s="3" t="s">
        <v>52</v>
      </c>
      <c r="N41" t="s">
        <v>96</v>
      </c>
      <c r="O41" t="s">
        <v>63</v>
      </c>
      <c r="Q41" t="s">
        <v>142</v>
      </c>
      <c r="R41" t="s">
        <v>37</v>
      </c>
      <c r="S41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RobDrv_Resp_APP_Pos_CmdEcho : 10@1+ (0.1,0) [0|0] "%" Vector__XXX</v>
      </c>
      <c r="T41" t="s">
        <v>38</v>
      </c>
      <c r="U41" t="s">
        <v>39</v>
      </c>
      <c r="V41">
        <v>10</v>
      </c>
      <c r="W41">
        <v>0</v>
      </c>
      <c r="X41">
        <v>0.1</v>
      </c>
      <c r="Y41">
        <v>0</v>
      </c>
      <c r="Z41">
        <f>IF(ObjectList24[[#This Row],[Value Type]]="Signed",(-(2^ObjectList24[[#This Row],[Length '[Bit']]])/2*ObjectList24[[#This Row],[Factor]]+ObjectList24[[#This Row],[Offset]]),(ObjectList24[[#This Row],[Offset]]))</f>
        <v>0</v>
      </c>
      <c r="AA41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102.30000000000001</v>
      </c>
    </row>
    <row r="42" spans="1:27" x14ac:dyDescent="0.25">
      <c r="A42">
        <f>LEN(ObjectList24[[#This Row],[Name]])</f>
        <v>27</v>
      </c>
      <c r="E42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RobDrv_Resp_BPP_Pos_CmdEcho</v>
      </c>
      <c r="F42" t="s">
        <v>133</v>
      </c>
      <c r="G42" t="s">
        <v>50</v>
      </c>
      <c r="H42" t="s">
        <v>137</v>
      </c>
      <c r="J42" t="s">
        <v>135</v>
      </c>
      <c r="K42" t="s">
        <v>95</v>
      </c>
      <c r="L42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RobDrv response - brake pedal position position command echo</v>
      </c>
      <c r="M42" s="3" t="s">
        <v>52</v>
      </c>
      <c r="N42" t="s">
        <v>96</v>
      </c>
      <c r="O42" t="s">
        <v>63</v>
      </c>
      <c r="Q42" t="s">
        <v>142</v>
      </c>
      <c r="R42" t="s">
        <v>37</v>
      </c>
      <c r="S42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RobDrv_Resp_BPP_Pos_CmdEcho : 10@1+ (0.1,0) [0|0] "%" Vector__XXX</v>
      </c>
      <c r="T42" t="s">
        <v>38</v>
      </c>
      <c r="U42" t="s">
        <v>39</v>
      </c>
      <c r="V42">
        <v>10</v>
      </c>
      <c r="W42">
        <v>0</v>
      </c>
      <c r="X42">
        <v>0.1</v>
      </c>
      <c r="Y42">
        <v>0</v>
      </c>
      <c r="Z42">
        <f>IF(ObjectList24[[#This Row],[Value Type]]="Signed",(-(2^ObjectList24[[#This Row],[Length '[Bit']]])/2*ObjectList24[[#This Row],[Factor]]+ObjectList24[[#This Row],[Offset]]),(ObjectList24[[#This Row],[Offset]]))</f>
        <v>0</v>
      </c>
      <c r="AA42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102.30000000000001</v>
      </c>
    </row>
    <row r="43" spans="1:27" x14ac:dyDescent="0.25">
      <c r="A43">
        <f>LEN(ObjectList24[[#This Row],[Name]])</f>
        <v>15</v>
      </c>
      <c r="E43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VUT_Resp_SoftID</v>
      </c>
      <c r="F43" t="s">
        <v>143</v>
      </c>
      <c r="G43" t="s">
        <v>50</v>
      </c>
      <c r="J43" t="s">
        <v>128</v>
      </c>
      <c r="L43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VUT response - software ID number</v>
      </c>
      <c r="M43" t="s">
        <v>143</v>
      </c>
      <c r="N43" t="s">
        <v>88</v>
      </c>
      <c r="O43" t="s">
        <v>129</v>
      </c>
      <c r="Q43" t="s">
        <v>243</v>
      </c>
      <c r="R43" t="s">
        <v>37</v>
      </c>
      <c r="S43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VUT_Resp_SoftID : 16@1+ (1,0) [0|0] "NA" Vector__XXX</v>
      </c>
      <c r="T43" t="s">
        <v>38</v>
      </c>
      <c r="U43" t="s">
        <v>39</v>
      </c>
      <c r="V43">
        <v>16</v>
      </c>
      <c r="W43">
        <v>0</v>
      </c>
      <c r="X43">
        <v>1</v>
      </c>
      <c r="Y43">
        <v>0</v>
      </c>
      <c r="Z43">
        <f>IF(ObjectList24[[#This Row],[Value Type]]="Signed",(-(2^ObjectList24[[#This Row],[Length '[Bit']]])/2*ObjectList24[[#This Row],[Factor]]+ObjectList24[[#This Row],[Offset]]),(ObjectList24[[#This Row],[Offset]]))</f>
        <v>0</v>
      </c>
      <c r="AA43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65535</v>
      </c>
    </row>
    <row r="44" spans="1:27" x14ac:dyDescent="0.25">
      <c r="A44">
        <f>LEN(ObjectList24[[#This Row],[Name]])</f>
        <v>16</v>
      </c>
      <c r="E44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VUT_Data_APP_Pos</v>
      </c>
      <c r="F44" t="s">
        <v>143</v>
      </c>
      <c r="G44" t="s">
        <v>67</v>
      </c>
      <c r="H44" t="s">
        <v>134</v>
      </c>
      <c r="J44" t="s">
        <v>135</v>
      </c>
      <c r="L44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VUT data - accelerator pedal position position</v>
      </c>
      <c r="M44" t="s">
        <v>143</v>
      </c>
      <c r="N44" t="s">
        <v>146</v>
      </c>
      <c r="O44" t="s">
        <v>63</v>
      </c>
      <c r="Q44" t="s">
        <v>173</v>
      </c>
      <c r="R44" t="s">
        <v>37</v>
      </c>
      <c r="S44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VUT_Data_APP_Pos : 10@1+ (0.1,0) [0|0] "%" Vector__XXX</v>
      </c>
      <c r="T44" t="s">
        <v>38</v>
      </c>
      <c r="U44" t="s">
        <v>39</v>
      </c>
      <c r="V44">
        <v>10</v>
      </c>
      <c r="W44">
        <v>0</v>
      </c>
      <c r="X44">
        <v>0.1</v>
      </c>
      <c r="Y44">
        <v>0</v>
      </c>
      <c r="Z44">
        <f>IF(ObjectList24[[#This Row],[Value Type]]="Signed",(-(2^ObjectList24[[#This Row],[Length '[Bit']]])/2*ObjectList24[[#This Row],[Factor]]+ObjectList24[[#This Row],[Offset]]),(ObjectList24[[#This Row],[Offset]]))</f>
        <v>0</v>
      </c>
      <c r="AA44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102.30000000000001</v>
      </c>
    </row>
    <row r="45" spans="1:27" x14ac:dyDescent="0.25">
      <c r="A45">
        <f>LEN(ObjectList24[[#This Row],[Name]])</f>
        <v>16</v>
      </c>
      <c r="E45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VUT_Data_BPP_Pos</v>
      </c>
      <c r="F45" t="s">
        <v>143</v>
      </c>
      <c r="G45" t="s">
        <v>67</v>
      </c>
      <c r="H45" t="s">
        <v>137</v>
      </c>
      <c r="J45" t="s">
        <v>135</v>
      </c>
      <c r="L45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VUT data - brake pedal position position</v>
      </c>
      <c r="M45" t="s">
        <v>143</v>
      </c>
      <c r="N45" t="s">
        <v>146</v>
      </c>
      <c r="O45" t="s">
        <v>63</v>
      </c>
      <c r="Q45" t="s">
        <v>173</v>
      </c>
      <c r="R45" t="s">
        <v>37</v>
      </c>
      <c r="S45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VUT_Data_BPP_Pos : 10@1+ (0.1,0) [0|0] "%" Vector__XXX</v>
      </c>
      <c r="T45" t="s">
        <v>38</v>
      </c>
      <c r="U45" t="s">
        <v>39</v>
      </c>
      <c r="V45">
        <v>10</v>
      </c>
      <c r="W45">
        <v>0</v>
      </c>
      <c r="X45">
        <v>0.1</v>
      </c>
      <c r="Y45">
        <v>0</v>
      </c>
      <c r="Z45">
        <f>IF(ObjectList24[[#This Row],[Value Type]]="Signed",(-(2^ObjectList24[[#This Row],[Length '[Bit']]])/2*ObjectList24[[#This Row],[Factor]]+ObjectList24[[#This Row],[Offset]]),(ObjectList24[[#This Row],[Offset]]))</f>
        <v>0</v>
      </c>
      <c r="AA45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102.30000000000001</v>
      </c>
    </row>
    <row r="46" spans="1:27" x14ac:dyDescent="0.25">
      <c r="A46">
        <f>LEN(ObjectList24[[#This Row],[Name]])</f>
        <v>16</v>
      </c>
      <c r="E46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VUT_Data_ESS_SOC</v>
      </c>
      <c r="F46" t="s">
        <v>143</v>
      </c>
      <c r="G46" t="s">
        <v>67</v>
      </c>
      <c r="H46" t="s">
        <v>174</v>
      </c>
      <c r="J46" t="s">
        <v>175</v>
      </c>
      <c r="L46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VUT data - energy storage system state of charge</v>
      </c>
      <c r="M46" t="s">
        <v>143</v>
      </c>
      <c r="N46" t="s">
        <v>176</v>
      </c>
      <c r="O46" t="s">
        <v>63</v>
      </c>
      <c r="Q46" t="s">
        <v>177</v>
      </c>
      <c r="R46" t="s">
        <v>37</v>
      </c>
      <c r="S46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VUT_Data_ESS_SOC : 12@1+ (0.025,0) [0|0] "%" Vector__XXX</v>
      </c>
      <c r="T46" t="s">
        <v>38</v>
      </c>
      <c r="U46" t="s">
        <v>39</v>
      </c>
      <c r="V46">
        <v>12</v>
      </c>
      <c r="W46">
        <v>0</v>
      </c>
      <c r="X46">
        <v>2.5000000000000001E-2</v>
      </c>
      <c r="Y46">
        <v>0</v>
      </c>
      <c r="Z46">
        <f>IF(ObjectList24[[#This Row],[Value Type]]="Signed",(-(2^ObjectList24[[#This Row],[Length '[Bit']]])/2*ObjectList24[[#This Row],[Factor]]+ObjectList24[[#This Row],[Offset]]),(ObjectList24[[#This Row],[Offset]]))</f>
        <v>0</v>
      </c>
      <c r="AA46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102.375</v>
      </c>
    </row>
    <row r="47" spans="1:27" x14ac:dyDescent="0.25">
      <c r="A47">
        <f>LEN(ObjectList24[[#This Row],[Name]])</f>
        <v>16</v>
      </c>
      <c r="E47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VUT_Data_Eng_Trq</v>
      </c>
      <c r="F47" t="s">
        <v>143</v>
      </c>
      <c r="G47" t="s">
        <v>67</v>
      </c>
      <c r="H47" t="s">
        <v>178</v>
      </c>
      <c r="J47" t="s">
        <v>179</v>
      </c>
      <c r="L47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VUT data - engine torque</v>
      </c>
      <c r="M47" t="s">
        <v>143</v>
      </c>
      <c r="N47" t="s">
        <v>176</v>
      </c>
      <c r="O47" t="s">
        <v>157</v>
      </c>
      <c r="Q47" t="s">
        <v>180</v>
      </c>
      <c r="R47" t="s">
        <v>37</v>
      </c>
      <c r="S47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VUT_Data_Eng_Trq : 16@1- (0.05,0) [0|0] "Nm" Vector__XXX</v>
      </c>
      <c r="T47" t="s">
        <v>38</v>
      </c>
      <c r="U47" t="s">
        <v>57</v>
      </c>
      <c r="V47">
        <v>16</v>
      </c>
      <c r="W47">
        <v>0</v>
      </c>
      <c r="X47">
        <v>0.05</v>
      </c>
      <c r="Y47">
        <v>0</v>
      </c>
      <c r="Z47">
        <f>IF(ObjectList24[[#This Row],[Value Type]]="Signed",(-(2^ObjectList24[[#This Row],[Length '[Bit']]])/2*ObjectList24[[#This Row],[Factor]]+ObjectList24[[#This Row],[Offset]]),(ObjectList24[[#This Row],[Offset]]))</f>
        <v>-1638.4</v>
      </c>
      <c r="AA47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1638.3500000000001</v>
      </c>
    </row>
    <row r="48" spans="1:27" x14ac:dyDescent="0.25">
      <c r="A48">
        <f>LEN(ObjectList24[[#This Row],[Name]])</f>
        <v>16</v>
      </c>
      <c r="E48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VUT_Data_Gen_Trq</v>
      </c>
      <c r="F48" t="s">
        <v>143</v>
      </c>
      <c r="G48" t="s">
        <v>67</v>
      </c>
      <c r="H48" t="s">
        <v>181</v>
      </c>
      <c r="J48" t="s">
        <v>179</v>
      </c>
      <c r="L48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VUT data - generator torque</v>
      </c>
      <c r="M48" t="s">
        <v>143</v>
      </c>
      <c r="N48" t="s">
        <v>176</v>
      </c>
      <c r="O48" t="s">
        <v>157</v>
      </c>
      <c r="Q48" t="s">
        <v>182</v>
      </c>
      <c r="R48" t="s">
        <v>37</v>
      </c>
      <c r="S48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VUT_Data_Gen_Trq : 16@1- (0.05,0) [0|0] "Nm" Vector__XXX</v>
      </c>
      <c r="T48" t="s">
        <v>38</v>
      </c>
      <c r="U48" t="s">
        <v>57</v>
      </c>
      <c r="V48">
        <v>16</v>
      </c>
      <c r="W48">
        <v>0</v>
      </c>
      <c r="X48">
        <v>0.05</v>
      </c>
      <c r="Y48">
        <v>0</v>
      </c>
      <c r="Z48">
        <f>IF(ObjectList24[[#This Row],[Value Type]]="Signed",(-(2^ObjectList24[[#This Row],[Length '[Bit']]])/2*ObjectList24[[#This Row],[Factor]]+ObjectList24[[#This Row],[Offset]]),(ObjectList24[[#This Row],[Offset]]))</f>
        <v>-1638.4</v>
      </c>
      <c r="AA48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1638.3500000000001</v>
      </c>
    </row>
    <row r="49" spans="1:29" x14ac:dyDescent="0.25">
      <c r="A49">
        <f>LEN(ObjectList24[[#This Row],[Name]])</f>
        <v>16</v>
      </c>
      <c r="E49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VUT_Data_Eng_Spd</v>
      </c>
      <c r="F49" t="s">
        <v>143</v>
      </c>
      <c r="G49" t="s">
        <v>67</v>
      </c>
      <c r="H49" t="s">
        <v>178</v>
      </c>
      <c r="J49" t="s">
        <v>75</v>
      </c>
      <c r="L49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VUT data - engine speed</v>
      </c>
      <c r="M49" t="s">
        <v>143</v>
      </c>
      <c r="N49" t="s">
        <v>176</v>
      </c>
      <c r="O49" t="s">
        <v>183</v>
      </c>
      <c r="Q49" t="s">
        <v>184</v>
      </c>
      <c r="R49" t="s">
        <v>37</v>
      </c>
      <c r="S49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VUT_Data_Eng_Spd : 16@1+ (0.25,0) [0|0] "rpm" Vector__XXX</v>
      </c>
      <c r="T49" t="s">
        <v>38</v>
      </c>
      <c r="U49" t="s">
        <v>39</v>
      </c>
      <c r="V49">
        <v>16</v>
      </c>
      <c r="W49">
        <v>0</v>
      </c>
      <c r="X49">
        <v>0.25</v>
      </c>
      <c r="Y49">
        <v>0</v>
      </c>
      <c r="Z49">
        <f>IF(ObjectList24[[#This Row],[Value Type]]="Signed",(-(2^ObjectList24[[#This Row],[Length '[Bit']]])/2*ObjectList24[[#This Row],[Factor]]+ObjectList24[[#This Row],[Offset]]),(ObjectList24[[#This Row],[Offset]]))</f>
        <v>0</v>
      </c>
      <c r="AA49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16383.75</v>
      </c>
    </row>
    <row r="50" spans="1:29" x14ac:dyDescent="0.25">
      <c r="A50">
        <f>LEN(ObjectList24[[#This Row],[Name]])</f>
        <v>16</v>
      </c>
      <c r="E50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VUT_Data_Gen_Spd</v>
      </c>
      <c r="F50" t="s">
        <v>143</v>
      </c>
      <c r="G50" t="s">
        <v>67</v>
      </c>
      <c r="H50" t="s">
        <v>181</v>
      </c>
      <c r="J50" t="s">
        <v>75</v>
      </c>
      <c r="L50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VUT data - generator speed</v>
      </c>
      <c r="M50" t="s">
        <v>143</v>
      </c>
      <c r="N50" t="s">
        <v>176</v>
      </c>
      <c r="O50" t="s">
        <v>183</v>
      </c>
      <c r="Q50" t="s">
        <v>185</v>
      </c>
      <c r="R50" t="s">
        <v>37</v>
      </c>
      <c r="S50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VUT_Data_Gen_Spd : 16@1- (0.5,0) [0|0] "rpm" Vector__XXX</v>
      </c>
      <c r="T50" t="s">
        <v>38</v>
      </c>
      <c r="U50" t="s">
        <v>57</v>
      </c>
      <c r="V50">
        <v>16</v>
      </c>
      <c r="W50">
        <v>0</v>
      </c>
      <c r="X50">
        <v>0.5</v>
      </c>
      <c r="Y50">
        <v>0</v>
      </c>
      <c r="Z50">
        <f>IF(ObjectList24[[#This Row],[Value Type]]="Signed",(-(2^ObjectList24[[#This Row],[Length '[Bit']]])/2*ObjectList24[[#This Row],[Factor]]+ObjectList24[[#This Row],[Offset]]),(ObjectList24[[#This Row],[Offset]]))</f>
        <v>-16384</v>
      </c>
      <c r="AA50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16383.5</v>
      </c>
    </row>
    <row r="51" spans="1:29" x14ac:dyDescent="0.25">
      <c r="A51">
        <f>LEN(ObjectList24[[#This Row],[Name]])</f>
        <v>16</v>
      </c>
      <c r="E51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VUT_Resp_Veh_Spd</v>
      </c>
      <c r="F51" t="s">
        <v>143</v>
      </c>
      <c r="G51" t="s">
        <v>50</v>
      </c>
      <c r="H51" t="s">
        <v>191</v>
      </c>
      <c r="J51" t="s">
        <v>75</v>
      </c>
      <c r="L51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VUT response - vehicle speed</v>
      </c>
      <c r="M51" t="s">
        <v>143</v>
      </c>
      <c r="N51" t="s">
        <v>146</v>
      </c>
      <c r="O51" t="s">
        <v>76</v>
      </c>
      <c r="Q51" t="s">
        <v>244</v>
      </c>
      <c r="R51" t="s">
        <v>37</v>
      </c>
      <c r="S51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VUT_Resp_Veh_Spd : 16@1- (0.01,0) [0|0] "km/h" Vector__XXX</v>
      </c>
      <c r="T51" t="s">
        <v>38</v>
      </c>
      <c r="U51" t="s">
        <v>57</v>
      </c>
      <c r="V51">
        <v>16</v>
      </c>
      <c r="W51">
        <v>0</v>
      </c>
      <c r="X51">
        <v>0.01</v>
      </c>
      <c r="Y51">
        <v>0</v>
      </c>
      <c r="Z51">
        <f>IF(ObjectList24[[#This Row],[Value Type]]="Signed",(-(2^ObjectList24[[#This Row],[Length '[Bit']]])/2*ObjectList24[[#This Row],[Factor]]+ObjectList24[[#This Row],[Offset]]),(ObjectList24[[#This Row],[Offset]]))</f>
        <v>-327.68</v>
      </c>
      <c r="AA51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327.67</v>
      </c>
      <c r="AB51" t="s">
        <v>65</v>
      </c>
      <c r="AC51" t="s">
        <v>245</v>
      </c>
    </row>
    <row r="52" spans="1:29" x14ac:dyDescent="0.25">
      <c r="A52">
        <f>LEN(ObjectList24[[#This Row],[Name]])</f>
        <v>17</v>
      </c>
      <c r="E52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VUT_Data_ESS_Curr</v>
      </c>
      <c r="F52" t="s">
        <v>143</v>
      </c>
      <c r="G52" t="s">
        <v>67</v>
      </c>
      <c r="H52" t="s">
        <v>174</v>
      </c>
      <c r="J52" t="s">
        <v>44</v>
      </c>
      <c r="L52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VUT data - energy storage system current</v>
      </c>
      <c r="M52" t="s">
        <v>143</v>
      </c>
      <c r="N52" t="s">
        <v>176</v>
      </c>
      <c r="O52" t="s">
        <v>45</v>
      </c>
      <c r="Q52" t="s">
        <v>186</v>
      </c>
      <c r="R52" t="s">
        <v>37</v>
      </c>
      <c r="S52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VUT_Data_ESS_Curr : 16@1- (0.1,0) [0|0] "A" Vector__XXX</v>
      </c>
      <c r="T52" t="s">
        <v>38</v>
      </c>
      <c r="U52" t="s">
        <v>57</v>
      </c>
      <c r="V52">
        <v>16</v>
      </c>
      <c r="W52">
        <v>0</v>
      </c>
      <c r="X52">
        <v>0.1</v>
      </c>
      <c r="Y52">
        <v>0</v>
      </c>
      <c r="Z52">
        <f>IF(ObjectList24[[#This Row],[Value Type]]="Signed",(-(2^ObjectList24[[#This Row],[Length '[Bit']]])/2*ObjectList24[[#This Row],[Factor]]+ObjectList24[[#This Row],[Offset]]),(ObjectList24[[#This Row],[Offset]]))</f>
        <v>-3276.8</v>
      </c>
      <c r="AA52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3276.7000000000003</v>
      </c>
    </row>
    <row r="53" spans="1:29" x14ac:dyDescent="0.25">
      <c r="A53">
        <f>LEN(ObjectList24[[#This Row],[Name]])</f>
        <v>17</v>
      </c>
      <c r="E53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VUT_Data_ESS_Temp</v>
      </c>
      <c r="F53" t="s">
        <v>143</v>
      </c>
      <c r="G53" t="s">
        <v>67</v>
      </c>
      <c r="H53" t="s">
        <v>174</v>
      </c>
      <c r="J53" t="s">
        <v>68</v>
      </c>
      <c r="L53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VUT data - energy storage system temperature</v>
      </c>
      <c r="M53" t="s">
        <v>143</v>
      </c>
      <c r="N53" t="s">
        <v>187</v>
      </c>
      <c r="O53" t="s">
        <v>70</v>
      </c>
      <c r="Q53" t="s">
        <v>188</v>
      </c>
      <c r="R53" t="s">
        <v>37</v>
      </c>
      <c r="S53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VUT_Data_ESS_Temp : 10@1+ (0.2,-20) [0|0] "degC" Vector__XXX</v>
      </c>
      <c r="T53" t="s">
        <v>38</v>
      </c>
      <c r="U53" t="s">
        <v>39</v>
      </c>
      <c r="V53">
        <v>10</v>
      </c>
      <c r="W53">
        <v>0</v>
      </c>
      <c r="X53">
        <v>0.2</v>
      </c>
      <c r="Y53">
        <v>-20</v>
      </c>
      <c r="Z53">
        <f>IF(ObjectList24[[#This Row],[Value Type]]="Signed",(-(2^ObjectList24[[#This Row],[Length '[Bit']]])/2*ObjectList24[[#This Row],[Factor]]+ObjectList24[[#This Row],[Offset]]),(ObjectList24[[#This Row],[Offset]]))</f>
        <v>-20</v>
      </c>
      <c r="AA53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184.60000000000002</v>
      </c>
    </row>
    <row r="54" spans="1:29" x14ac:dyDescent="0.25">
      <c r="A54">
        <f>LEN(ObjectList24[[#This Row],[Name]])</f>
        <v>17</v>
      </c>
      <c r="E54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VUT_Data_Gen_Temp</v>
      </c>
      <c r="F54" t="s">
        <v>143</v>
      </c>
      <c r="G54" t="s">
        <v>67</v>
      </c>
      <c r="H54" t="s">
        <v>181</v>
      </c>
      <c r="J54" t="s">
        <v>68</v>
      </c>
      <c r="L54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VUT data - generator temperature</v>
      </c>
      <c r="M54" t="s">
        <v>143</v>
      </c>
      <c r="N54" t="s">
        <v>187</v>
      </c>
      <c r="O54" t="s">
        <v>70</v>
      </c>
      <c r="Q54" t="s">
        <v>189</v>
      </c>
      <c r="R54" t="s">
        <v>37</v>
      </c>
      <c r="S54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VUT_Data_Gen_Temp : 10@1+ (0.2,-20) [0|0] "degC" Vector__XXX</v>
      </c>
      <c r="T54" t="s">
        <v>38</v>
      </c>
      <c r="U54" t="s">
        <v>39</v>
      </c>
      <c r="V54">
        <v>10</v>
      </c>
      <c r="W54">
        <v>0</v>
      </c>
      <c r="X54">
        <v>0.2</v>
      </c>
      <c r="Y54">
        <v>-20</v>
      </c>
      <c r="Z54">
        <f>IF(ObjectList24[[#This Row],[Value Type]]="Signed",(-(2^ObjectList24[[#This Row],[Length '[Bit']]])/2*ObjectList24[[#This Row],[Factor]]+ObjectList24[[#This Row],[Offset]]),(ObjectList24[[#This Row],[Offset]]))</f>
        <v>-20</v>
      </c>
      <c r="AA54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184.60000000000002</v>
      </c>
    </row>
    <row r="55" spans="1:29" x14ac:dyDescent="0.25">
      <c r="A55">
        <f>LEN(ObjectList24[[#This Row],[Name]])</f>
        <v>17</v>
      </c>
      <c r="E55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VUT_Data_ESS_Volt</v>
      </c>
      <c r="F55" t="s">
        <v>143</v>
      </c>
      <c r="G55" t="s">
        <v>67</v>
      </c>
      <c r="H55" t="s">
        <v>174</v>
      </c>
      <c r="J55" t="s">
        <v>47</v>
      </c>
      <c r="L55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VUT data - energy storage system voltage</v>
      </c>
      <c r="M55" t="s">
        <v>143</v>
      </c>
      <c r="N55" t="s">
        <v>176</v>
      </c>
      <c r="O55" t="s">
        <v>48</v>
      </c>
      <c r="Q55" t="s">
        <v>190</v>
      </c>
      <c r="R55" t="s">
        <v>37</v>
      </c>
      <c r="S55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VUT_Data_ESS_Volt : 16@1+ (0.02,0) [0|0] "V" Vector__XXX</v>
      </c>
      <c r="T55" t="s">
        <v>38</v>
      </c>
      <c r="U55" t="s">
        <v>39</v>
      </c>
      <c r="V55">
        <v>16</v>
      </c>
      <c r="W55">
        <v>0</v>
      </c>
      <c r="X55">
        <v>0.02</v>
      </c>
      <c r="Y55">
        <v>0</v>
      </c>
      <c r="Z55">
        <f>IF(ObjectList24[[#This Row],[Value Type]]="Signed",(-(2^ObjectList24[[#This Row],[Length '[Bit']]])/2*ObjectList24[[#This Row],[Factor]]+ObjectList24[[#This Row],[Offset]]),(ObjectList24[[#This Row],[Offset]]))</f>
        <v>0</v>
      </c>
      <c r="AA55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1310.7</v>
      </c>
    </row>
    <row r="56" spans="1:29" x14ac:dyDescent="0.25">
      <c r="A56">
        <f>LEN(ObjectList24[[#This Row],[Name]])</f>
        <v>18</v>
      </c>
      <c r="E56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VUT_Data_Veh_Grade</v>
      </c>
      <c r="F56" t="s">
        <v>143</v>
      </c>
      <c r="G56" t="s">
        <v>67</v>
      </c>
      <c r="H56" t="s">
        <v>191</v>
      </c>
      <c r="J56" t="s">
        <v>62</v>
      </c>
      <c r="L56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VUT data - vehicle grade</v>
      </c>
      <c r="M56" t="s">
        <v>143</v>
      </c>
      <c r="N56" t="s">
        <v>187</v>
      </c>
      <c r="O56" t="s">
        <v>63</v>
      </c>
      <c r="Q56" t="s">
        <v>192</v>
      </c>
      <c r="R56" t="s">
        <v>37</v>
      </c>
      <c r="S56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VUT_Data_Veh_Grade : 10@1- (0.1,0) [0|0] "%" Vector__XXX</v>
      </c>
      <c r="T56" t="s">
        <v>38</v>
      </c>
      <c r="U56" t="s">
        <v>57</v>
      </c>
      <c r="V56">
        <v>10</v>
      </c>
      <c r="W56">
        <v>0</v>
      </c>
      <c r="X56">
        <v>0.1</v>
      </c>
      <c r="Y56">
        <v>0</v>
      </c>
      <c r="Z56">
        <f>IF(ObjectList24[[#This Row],[Value Type]]="Signed",(-(2^ObjectList24[[#This Row],[Length '[Bit']]])/2*ObjectList24[[#This Row],[Factor]]+ObjectList24[[#This Row],[Offset]]),(ObjectList24[[#This Row],[Offset]]))</f>
        <v>-51.2</v>
      </c>
      <c r="AA56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51.1</v>
      </c>
      <c r="AB56" t="s">
        <v>65</v>
      </c>
      <c r="AC56" t="s">
        <v>193</v>
      </c>
    </row>
    <row r="57" spans="1:29" x14ac:dyDescent="0.25">
      <c r="A57">
        <f>LEN(ObjectList24[[#This Row],[Name]])</f>
        <v>18</v>
      </c>
      <c r="E57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VUT_Data_Chrg_Curr</v>
      </c>
      <c r="F57" t="s">
        <v>143</v>
      </c>
      <c r="G57" t="s">
        <v>67</v>
      </c>
      <c r="H57" t="s">
        <v>194</v>
      </c>
      <c r="J57" t="s">
        <v>44</v>
      </c>
      <c r="L57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VUT data - onboard hv battery charger current</v>
      </c>
      <c r="M57" t="s">
        <v>143</v>
      </c>
      <c r="N57" t="s">
        <v>176</v>
      </c>
      <c r="O57" t="s">
        <v>45</v>
      </c>
      <c r="Q57" t="s">
        <v>195</v>
      </c>
      <c r="R57" t="s">
        <v>37</v>
      </c>
      <c r="S57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VUT_Data_Chrg_Curr : 14@1- (0.15,0) [0|0] "A" Vector__XXX</v>
      </c>
      <c r="T57" t="s">
        <v>38</v>
      </c>
      <c r="U57" t="s">
        <v>57</v>
      </c>
      <c r="V57">
        <v>14</v>
      </c>
      <c r="W57">
        <v>0</v>
      </c>
      <c r="X57">
        <v>0.15</v>
      </c>
      <c r="Y57">
        <v>0</v>
      </c>
      <c r="Z57">
        <f>IF(ObjectList24[[#This Row],[Value Type]]="Signed",(-(2^ObjectList24[[#This Row],[Length '[Bit']]])/2*ObjectList24[[#This Row],[Factor]]+ObjectList24[[#This Row],[Offset]]),(ObjectList24[[#This Row],[Offset]]))</f>
        <v>-1228.8</v>
      </c>
      <c r="AA57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1228.6499999999999</v>
      </c>
    </row>
    <row r="58" spans="1:29" x14ac:dyDescent="0.25">
      <c r="A58">
        <f>LEN(ObjectList24[[#This Row],[Name]])</f>
        <v>18</v>
      </c>
      <c r="E58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VUT_Data_DCDC_Curr</v>
      </c>
      <c r="F58" t="s">
        <v>143</v>
      </c>
      <c r="G58" t="s">
        <v>67</v>
      </c>
      <c r="H58" t="s">
        <v>196</v>
      </c>
      <c r="J58" t="s">
        <v>44</v>
      </c>
      <c r="L58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VUT data - dcdc converter current</v>
      </c>
      <c r="M58" t="s">
        <v>143</v>
      </c>
      <c r="N58" t="s">
        <v>187</v>
      </c>
      <c r="O58" t="s">
        <v>45</v>
      </c>
      <c r="Q58" t="s">
        <v>197</v>
      </c>
      <c r="R58" t="s">
        <v>37</v>
      </c>
      <c r="S58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VUT_Data_DCDC_Curr : 14@1- (0.15,0) [0|0] "A" Vector__XXX</v>
      </c>
      <c r="T58" t="s">
        <v>38</v>
      </c>
      <c r="U58" t="s">
        <v>57</v>
      </c>
      <c r="V58">
        <v>14</v>
      </c>
      <c r="W58">
        <v>0</v>
      </c>
      <c r="X58">
        <v>0.15</v>
      </c>
      <c r="Y58">
        <v>0</v>
      </c>
      <c r="Z58">
        <f>IF(ObjectList24[[#This Row],[Value Type]]="Signed",(-(2^ObjectList24[[#This Row],[Length '[Bit']]])/2*ObjectList24[[#This Row],[Factor]]+ObjectList24[[#This Row],[Offset]]),(ObjectList24[[#This Row],[Offset]]))</f>
        <v>-1228.8</v>
      </c>
      <c r="AA58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1228.6499999999999</v>
      </c>
    </row>
    <row r="59" spans="1:29" x14ac:dyDescent="0.25">
      <c r="A59">
        <f>LEN(ObjectList24[[#This Row],[Name]])</f>
        <v>18</v>
      </c>
      <c r="E59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VUT_Data_Trns_Engd</v>
      </c>
      <c r="F59" t="s">
        <v>143</v>
      </c>
      <c r="G59" t="s">
        <v>67</v>
      </c>
      <c r="H59" t="s">
        <v>149</v>
      </c>
      <c r="J59" t="s">
        <v>198</v>
      </c>
      <c r="L59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VUT data - transmission engaged</v>
      </c>
      <c r="M59" t="s">
        <v>143</v>
      </c>
      <c r="N59" t="s">
        <v>176</v>
      </c>
      <c r="O59" t="s">
        <v>34</v>
      </c>
      <c r="P59" t="s">
        <v>199</v>
      </c>
      <c r="Q59" t="s">
        <v>200</v>
      </c>
      <c r="R59" t="s">
        <v>37</v>
      </c>
      <c r="S59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VUT_Data_Trns_Engd : 1@1+ (1,0) [0|0] "bool" Vector__XXX</v>
      </c>
      <c r="T59" t="s">
        <v>38</v>
      </c>
      <c r="U59" t="s">
        <v>39</v>
      </c>
      <c r="V59">
        <v>1</v>
      </c>
      <c r="W59">
        <v>0</v>
      </c>
      <c r="X59">
        <v>1</v>
      </c>
      <c r="Y59">
        <v>0</v>
      </c>
      <c r="Z59">
        <f>IF(ObjectList24[[#This Row],[Value Type]]="Signed",(-(2^ObjectList24[[#This Row],[Length '[Bit']]])/2*ObjectList24[[#This Row],[Factor]]+ObjectList24[[#This Row],[Offset]]),(ObjectList24[[#This Row],[Offset]]))</f>
        <v>0</v>
      </c>
      <c r="AA59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1</v>
      </c>
      <c r="AB59" t="s">
        <v>65</v>
      </c>
      <c r="AC59" t="s">
        <v>193</v>
      </c>
    </row>
    <row r="60" spans="1:29" x14ac:dyDescent="0.25">
      <c r="A60">
        <f>LEN(ObjectList24[[#This Row],[Name]])</f>
        <v>18</v>
      </c>
      <c r="E60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VUT_Data_Trns_Gear</v>
      </c>
      <c r="F60" t="s">
        <v>143</v>
      </c>
      <c r="G60" t="s">
        <v>67</v>
      </c>
      <c r="H60" t="s">
        <v>149</v>
      </c>
      <c r="J60" t="s">
        <v>150</v>
      </c>
      <c r="L60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VUT data - transmission gear</v>
      </c>
      <c r="M60" t="s">
        <v>143</v>
      </c>
      <c r="N60" t="s">
        <v>151</v>
      </c>
      <c r="O60" t="s">
        <v>102</v>
      </c>
      <c r="Q60" t="s">
        <v>201</v>
      </c>
      <c r="R60" t="s">
        <v>37</v>
      </c>
      <c r="S60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VUT_Data_Trns_Gear : 4@1+ (1,0) [0|0] "int" Vector__XXX</v>
      </c>
      <c r="T60" t="s">
        <v>38</v>
      </c>
      <c r="U60" t="s">
        <v>39</v>
      </c>
      <c r="V60">
        <v>4</v>
      </c>
      <c r="W60">
        <v>0</v>
      </c>
      <c r="X60">
        <v>1</v>
      </c>
      <c r="Y60">
        <v>0</v>
      </c>
      <c r="Z60">
        <f>IF(ObjectList24[[#This Row],[Value Type]]="Signed",(-(2^ObjectList24[[#This Row],[Length '[Bit']]])/2*ObjectList24[[#This Row],[Factor]]+ObjectList24[[#This Row],[Offset]]),(ObjectList24[[#This Row],[Offset]]))</f>
        <v>0</v>
      </c>
      <c r="AA60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15</v>
      </c>
      <c r="AB60" t="s">
        <v>65</v>
      </c>
      <c r="AC60" t="s">
        <v>193</v>
      </c>
    </row>
    <row r="61" spans="1:29" x14ac:dyDescent="0.25">
      <c r="A61">
        <f>LEN(ObjectList24[[#This Row],[Name]])</f>
        <v>18</v>
      </c>
      <c r="E61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VUT_Data_Mot_1_Trq</v>
      </c>
      <c r="F61" t="s">
        <v>143</v>
      </c>
      <c r="G61" t="s">
        <v>67</v>
      </c>
      <c r="H61" t="s">
        <v>202</v>
      </c>
      <c r="I61">
        <v>1</v>
      </c>
      <c r="J61" t="s">
        <v>179</v>
      </c>
      <c r="L61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VUT data - motor 1 torque</v>
      </c>
      <c r="M61" t="s">
        <v>143</v>
      </c>
      <c r="N61" t="s">
        <v>176</v>
      </c>
      <c r="O61" t="s">
        <v>157</v>
      </c>
      <c r="Q61" t="s">
        <v>203</v>
      </c>
      <c r="R61" t="s">
        <v>37</v>
      </c>
      <c r="S61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VUT_Data_Mot_1_Trq : 16@1- (0.05,0) [0|0] "Nm" Vector__XXX</v>
      </c>
      <c r="T61" t="s">
        <v>38</v>
      </c>
      <c r="U61" t="s">
        <v>57</v>
      </c>
      <c r="V61">
        <v>16</v>
      </c>
      <c r="W61">
        <v>0</v>
      </c>
      <c r="X61">
        <v>0.05</v>
      </c>
      <c r="Y61">
        <v>0</v>
      </c>
      <c r="Z61">
        <f>IF(ObjectList24[[#This Row],[Value Type]]="Signed",(-(2^ObjectList24[[#This Row],[Length '[Bit']]])/2*ObjectList24[[#This Row],[Factor]]+ObjectList24[[#This Row],[Offset]]),(ObjectList24[[#This Row],[Offset]]))</f>
        <v>-1638.4</v>
      </c>
      <c r="AA61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1638.3500000000001</v>
      </c>
    </row>
    <row r="62" spans="1:29" x14ac:dyDescent="0.25">
      <c r="A62">
        <f>LEN(ObjectList24[[#This Row],[Name]])</f>
        <v>18</v>
      </c>
      <c r="E62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VUT_Data_Mot_2_Trq</v>
      </c>
      <c r="F62" t="s">
        <v>143</v>
      </c>
      <c r="G62" t="s">
        <v>67</v>
      </c>
      <c r="H62" t="s">
        <v>202</v>
      </c>
      <c r="I62">
        <v>2</v>
      </c>
      <c r="J62" t="s">
        <v>179</v>
      </c>
      <c r="L62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VUT data - motor 2 torque</v>
      </c>
      <c r="M62" t="s">
        <v>143</v>
      </c>
      <c r="N62" t="s">
        <v>176</v>
      </c>
      <c r="O62" t="s">
        <v>157</v>
      </c>
      <c r="Q62" t="s">
        <v>204</v>
      </c>
      <c r="R62" t="s">
        <v>37</v>
      </c>
      <c r="S62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VUT_Data_Mot_2_Trq : 16@1- (0.05,0) [0|0] "Nm" Vector__XXX</v>
      </c>
      <c r="T62" t="s">
        <v>38</v>
      </c>
      <c r="U62" t="s">
        <v>57</v>
      </c>
      <c r="V62">
        <v>16</v>
      </c>
      <c r="W62">
        <v>0</v>
      </c>
      <c r="X62">
        <v>0.05</v>
      </c>
      <c r="Y62">
        <v>0</v>
      </c>
      <c r="Z62">
        <f>IF(ObjectList24[[#This Row],[Value Type]]="Signed",(-(2^ObjectList24[[#This Row],[Length '[Bit']]])/2*ObjectList24[[#This Row],[Factor]]+ObjectList24[[#This Row],[Offset]]),(ObjectList24[[#This Row],[Offset]]))</f>
        <v>-1638.4</v>
      </c>
      <c r="AA62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1638.3500000000001</v>
      </c>
    </row>
    <row r="63" spans="1:29" x14ac:dyDescent="0.25">
      <c r="A63">
        <f>LEN(ObjectList24[[#This Row],[Name]])</f>
        <v>18</v>
      </c>
      <c r="E63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VUT_Data_Mot_3_Trq</v>
      </c>
      <c r="F63" t="s">
        <v>143</v>
      </c>
      <c r="G63" t="s">
        <v>67</v>
      </c>
      <c r="H63" t="s">
        <v>202</v>
      </c>
      <c r="I63">
        <v>3</v>
      </c>
      <c r="J63" t="s">
        <v>179</v>
      </c>
      <c r="L63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VUT data - motor 3 torque</v>
      </c>
      <c r="M63" t="s">
        <v>143</v>
      </c>
      <c r="N63" t="s">
        <v>176</v>
      </c>
      <c r="O63" t="s">
        <v>157</v>
      </c>
      <c r="Q63" t="s">
        <v>205</v>
      </c>
      <c r="R63" t="s">
        <v>37</v>
      </c>
      <c r="S63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VUT_Data_Mot_3_Trq : 16@1- (0.05,0) [0|0] "Nm" Vector__XXX</v>
      </c>
      <c r="T63" t="s">
        <v>38</v>
      </c>
      <c r="U63" t="s">
        <v>57</v>
      </c>
      <c r="V63">
        <v>16</v>
      </c>
      <c r="W63">
        <v>0</v>
      </c>
      <c r="X63">
        <v>0.05</v>
      </c>
      <c r="Y63">
        <v>0</v>
      </c>
      <c r="Z63">
        <f>IF(ObjectList24[[#This Row],[Value Type]]="Signed",(-(2^ObjectList24[[#This Row],[Length '[Bit']]])/2*ObjectList24[[#This Row],[Factor]]+ObjectList24[[#This Row],[Offset]]),(ObjectList24[[#This Row],[Offset]]))</f>
        <v>-1638.4</v>
      </c>
      <c r="AA63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1638.3500000000001</v>
      </c>
    </row>
    <row r="64" spans="1:29" x14ac:dyDescent="0.25">
      <c r="A64">
        <f>LEN(ObjectList24[[#This Row],[Name]])</f>
        <v>18</v>
      </c>
      <c r="E64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VUT_Data_Mot_1_Spd</v>
      </c>
      <c r="F64" t="s">
        <v>143</v>
      </c>
      <c r="G64" t="s">
        <v>67</v>
      </c>
      <c r="H64" t="s">
        <v>202</v>
      </c>
      <c r="I64">
        <v>1</v>
      </c>
      <c r="J64" t="s">
        <v>75</v>
      </c>
      <c r="L64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VUT data - motor 1 speed</v>
      </c>
      <c r="M64" t="s">
        <v>143</v>
      </c>
      <c r="N64" t="s">
        <v>176</v>
      </c>
      <c r="O64" t="s">
        <v>183</v>
      </c>
      <c r="Q64" t="s">
        <v>206</v>
      </c>
      <c r="R64" t="s">
        <v>37</v>
      </c>
      <c r="S64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VUT_Data_Mot_1_Spd : 16@1- (0.5,0) [0|0] "rpm" Vector__XXX</v>
      </c>
      <c r="T64" t="s">
        <v>38</v>
      </c>
      <c r="U64" t="s">
        <v>57</v>
      </c>
      <c r="V64">
        <v>16</v>
      </c>
      <c r="W64">
        <v>0</v>
      </c>
      <c r="X64">
        <v>0.5</v>
      </c>
      <c r="Y64">
        <v>0</v>
      </c>
      <c r="Z64">
        <f>IF(ObjectList24[[#This Row],[Value Type]]="Signed",(-(2^ObjectList24[[#This Row],[Length '[Bit']]])/2*ObjectList24[[#This Row],[Factor]]+ObjectList24[[#This Row],[Offset]]),(ObjectList24[[#This Row],[Offset]]))</f>
        <v>-16384</v>
      </c>
      <c r="AA64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16383.5</v>
      </c>
    </row>
    <row r="65" spans="1:29" x14ac:dyDescent="0.25">
      <c r="A65">
        <f>LEN(ObjectList24[[#This Row],[Name]])</f>
        <v>18</v>
      </c>
      <c r="E65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VUT_Data_Mot_2_Spd</v>
      </c>
      <c r="F65" t="s">
        <v>143</v>
      </c>
      <c r="G65" t="s">
        <v>67</v>
      </c>
      <c r="H65" t="s">
        <v>202</v>
      </c>
      <c r="I65">
        <v>2</v>
      </c>
      <c r="J65" t="s">
        <v>75</v>
      </c>
      <c r="L65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VUT data - motor 2 speed</v>
      </c>
      <c r="M65" t="s">
        <v>143</v>
      </c>
      <c r="N65" t="s">
        <v>176</v>
      </c>
      <c r="O65" t="s">
        <v>183</v>
      </c>
      <c r="Q65" t="s">
        <v>207</v>
      </c>
      <c r="R65" t="s">
        <v>37</v>
      </c>
      <c r="S65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VUT_Data_Mot_2_Spd : 16@1- (0.5,0) [0|0] "rpm" Vector__XXX</v>
      </c>
      <c r="T65" t="s">
        <v>38</v>
      </c>
      <c r="U65" t="s">
        <v>57</v>
      </c>
      <c r="V65">
        <v>16</v>
      </c>
      <c r="W65">
        <v>0</v>
      </c>
      <c r="X65">
        <v>0.5</v>
      </c>
      <c r="Y65">
        <v>0</v>
      </c>
      <c r="Z65">
        <f>IF(ObjectList24[[#This Row],[Value Type]]="Signed",(-(2^ObjectList24[[#This Row],[Length '[Bit']]])/2*ObjectList24[[#This Row],[Factor]]+ObjectList24[[#This Row],[Offset]]),(ObjectList24[[#This Row],[Offset]]))</f>
        <v>-16384</v>
      </c>
      <c r="AA65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16383.5</v>
      </c>
    </row>
    <row r="66" spans="1:29" x14ac:dyDescent="0.25">
      <c r="A66">
        <f>LEN(ObjectList24[[#This Row],[Name]])</f>
        <v>18</v>
      </c>
      <c r="E66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VUT_Data_Mot_3_Spd</v>
      </c>
      <c r="F66" t="s">
        <v>143</v>
      </c>
      <c r="G66" t="s">
        <v>67</v>
      </c>
      <c r="H66" t="s">
        <v>202</v>
      </c>
      <c r="I66">
        <v>3</v>
      </c>
      <c r="J66" t="s">
        <v>75</v>
      </c>
      <c r="L66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VUT data - motor 3 speed</v>
      </c>
      <c r="M66" t="s">
        <v>143</v>
      </c>
      <c r="N66" t="s">
        <v>176</v>
      </c>
      <c r="O66" t="s">
        <v>183</v>
      </c>
      <c r="Q66" t="s">
        <v>208</v>
      </c>
      <c r="R66" t="s">
        <v>37</v>
      </c>
      <c r="S66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VUT_Data_Mot_3_Spd : 16@1- (0.5,0) [0|0] "rpm" Vector__XXX</v>
      </c>
      <c r="T66" t="s">
        <v>38</v>
      </c>
      <c r="U66" t="s">
        <v>57</v>
      </c>
      <c r="V66">
        <v>16</v>
      </c>
      <c r="W66">
        <v>0</v>
      </c>
      <c r="X66">
        <v>0.5</v>
      </c>
      <c r="Y66">
        <v>0</v>
      </c>
      <c r="Z66">
        <f>IF(ObjectList24[[#This Row],[Value Type]]="Signed",(-(2^ObjectList24[[#This Row],[Length '[Bit']]])/2*ObjectList24[[#This Row],[Factor]]+ObjectList24[[#This Row],[Offset]]),(ObjectList24[[#This Row],[Offset]]))</f>
        <v>-16384</v>
      </c>
      <c r="AA66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16383.5</v>
      </c>
    </row>
    <row r="67" spans="1:29" x14ac:dyDescent="0.25">
      <c r="A67">
        <f>LEN(ObjectList24[[#This Row],[Name]])</f>
        <v>18</v>
      </c>
      <c r="E67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VUT_Data_Turbo_Spd</v>
      </c>
      <c r="F67" t="s">
        <v>143</v>
      </c>
      <c r="G67" t="s">
        <v>67</v>
      </c>
      <c r="H67" t="s">
        <v>209</v>
      </c>
      <c r="J67" t="s">
        <v>75</v>
      </c>
      <c r="L67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VUT data - speed</v>
      </c>
      <c r="M67" t="s">
        <v>143</v>
      </c>
      <c r="N67" t="s">
        <v>187</v>
      </c>
      <c r="O67" t="s">
        <v>183</v>
      </c>
      <c r="Q67" t="s">
        <v>210</v>
      </c>
      <c r="R67" t="s">
        <v>37</v>
      </c>
      <c r="S67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VUT_Data_Turbo_Spd : 16@1- (1,0) [0|0] "rpm" Vector__XXX</v>
      </c>
      <c r="T67" t="s">
        <v>38</v>
      </c>
      <c r="U67" t="s">
        <v>57</v>
      </c>
      <c r="V67">
        <v>16</v>
      </c>
      <c r="W67">
        <v>0</v>
      </c>
      <c r="X67">
        <v>1</v>
      </c>
      <c r="Y67">
        <v>0</v>
      </c>
      <c r="Z67">
        <f>IF(ObjectList24[[#This Row],[Value Type]]="Signed",(-(2^ObjectList24[[#This Row],[Length '[Bit']]])/2*ObjectList24[[#This Row],[Factor]]+ObjectList24[[#This Row],[Offset]]),(ObjectList24[[#This Row],[Offset]]))</f>
        <v>-32768</v>
      </c>
      <c r="AA67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32767</v>
      </c>
    </row>
    <row r="68" spans="1:29" x14ac:dyDescent="0.25">
      <c r="A68">
        <f>LEN(ObjectList24[[#This Row],[Name]])</f>
        <v>18</v>
      </c>
      <c r="E68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VUT_Data_DCDC_Volt</v>
      </c>
      <c r="F68" t="s">
        <v>143</v>
      </c>
      <c r="G68" t="s">
        <v>67</v>
      </c>
      <c r="H68" t="s">
        <v>196</v>
      </c>
      <c r="J68" t="s">
        <v>47</v>
      </c>
      <c r="L68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VUT data - dcdc converter voltage</v>
      </c>
      <c r="M68" t="s">
        <v>143</v>
      </c>
      <c r="N68" t="s">
        <v>187</v>
      </c>
      <c r="O68" t="s">
        <v>48</v>
      </c>
      <c r="Q68" t="s">
        <v>211</v>
      </c>
      <c r="R68" t="s">
        <v>37</v>
      </c>
      <c r="S68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VUT_Data_DCDC_Volt : 12@1+ (0.01,0) [0|0] "V" Vector__XXX</v>
      </c>
      <c r="T68" t="s">
        <v>38</v>
      </c>
      <c r="U68" t="s">
        <v>39</v>
      </c>
      <c r="V68">
        <v>12</v>
      </c>
      <c r="W68">
        <v>0</v>
      </c>
      <c r="X68">
        <v>0.01</v>
      </c>
      <c r="Y68">
        <v>0</v>
      </c>
      <c r="Z68">
        <f>IF(ObjectList24[[#This Row],[Value Type]]="Signed",(-(2^ObjectList24[[#This Row],[Length '[Bit']]])/2*ObjectList24[[#This Row],[Factor]]+ObjectList24[[#This Row],[Offset]]),(ObjectList24[[#This Row],[Offset]]))</f>
        <v>0</v>
      </c>
      <c r="AA68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40.950000000000003</v>
      </c>
    </row>
    <row r="69" spans="1:29" x14ac:dyDescent="0.25">
      <c r="A69">
        <f>LEN(ObjectList24[[#This Row],[Name]])</f>
        <v>18</v>
      </c>
      <c r="E69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VUT_Resp_Veh_Accel</v>
      </c>
      <c r="F69" t="s">
        <v>143</v>
      </c>
      <c r="G69" t="s">
        <v>50</v>
      </c>
      <c r="H69" t="s">
        <v>191</v>
      </c>
      <c r="J69" t="s">
        <v>145</v>
      </c>
      <c r="L69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VUT response - vehicle acceleration</v>
      </c>
      <c r="M69" t="s">
        <v>143</v>
      </c>
      <c r="N69" t="s">
        <v>146</v>
      </c>
      <c r="O69" t="s">
        <v>147</v>
      </c>
      <c r="Q69" t="s">
        <v>246</v>
      </c>
      <c r="R69" t="s">
        <v>37</v>
      </c>
      <c r="S69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VUT_Resp_Veh_Accel : 12@1- (0.01,0) [0|0] "m/s^2" Vector__XXX</v>
      </c>
      <c r="T69" t="s">
        <v>38</v>
      </c>
      <c r="U69" t="s">
        <v>57</v>
      </c>
      <c r="V69">
        <v>12</v>
      </c>
      <c r="W69">
        <v>0</v>
      </c>
      <c r="X69">
        <v>0.01</v>
      </c>
      <c r="Y69">
        <v>0</v>
      </c>
      <c r="Z69">
        <f>IF(ObjectList24[[#This Row],[Value Type]]="Signed",(-(2^ObjectList24[[#This Row],[Length '[Bit']]])/2*ObjectList24[[#This Row],[Factor]]+ObjectList24[[#This Row],[Offset]]),(ObjectList24[[#This Row],[Offset]]))</f>
        <v>-20.48</v>
      </c>
      <c r="AA69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20.47</v>
      </c>
      <c r="AB69" t="s">
        <v>65</v>
      </c>
      <c r="AC69" t="s">
        <v>193</v>
      </c>
    </row>
    <row r="70" spans="1:29" x14ac:dyDescent="0.25">
      <c r="A70">
        <f>LEN(ObjectList24[[#This Row],[Name]])</f>
        <v>19</v>
      </c>
      <c r="E70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VUT_Data_Mot_1_Temp</v>
      </c>
      <c r="F70" t="s">
        <v>143</v>
      </c>
      <c r="G70" t="s">
        <v>67</v>
      </c>
      <c r="H70" t="s">
        <v>202</v>
      </c>
      <c r="I70">
        <v>1</v>
      </c>
      <c r="J70" t="s">
        <v>68</v>
      </c>
      <c r="L70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VUT data - motor 1 temperature</v>
      </c>
      <c r="M70" t="s">
        <v>143</v>
      </c>
      <c r="N70" t="s">
        <v>187</v>
      </c>
      <c r="O70" t="s">
        <v>70</v>
      </c>
      <c r="Q70" t="s">
        <v>212</v>
      </c>
      <c r="R70" t="s">
        <v>37</v>
      </c>
      <c r="S70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VUT_Data_Mot_1_Temp : 10@1+ (0.2,-20) [0|0] "degC" Vector__XXX</v>
      </c>
      <c r="T70" t="s">
        <v>38</v>
      </c>
      <c r="U70" t="s">
        <v>39</v>
      </c>
      <c r="V70">
        <v>10</v>
      </c>
      <c r="W70">
        <v>0</v>
      </c>
      <c r="X70">
        <v>0.2</v>
      </c>
      <c r="Y70">
        <v>-20</v>
      </c>
      <c r="Z70">
        <f>IF(ObjectList24[[#This Row],[Value Type]]="Signed",(-(2^ObjectList24[[#This Row],[Length '[Bit']]])/2*ObjectList24[[#This Row],[Factor]]+ObjectList24[[#This Row],[Offset]]),(ObjectList24[[#This Row],[Offset]]))</f>
        <v>-20</v>
      </c>
      <c r="AA70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184.60000000000002</v>
      </c>
    </row>
    <row r="71" spans="1:29" x14ac:dyDescent="0.25">
      <c r="A71">
        <f>LEN(ObjectList24[[#This Row],[Name]])</f>
        <v>19</v>
      </c>
      <c r="E71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VUT_Data_Mot_2_Temp</v>
      </c>
      <c r="F71" t="s">
        <v>143</v>
      </c>
      <c r="G71" t="s">
        <v>67</v>
      </c>
      <c r="H71" t="s">
        <v>202</v>
      </c>
      <c r="I71">
        <v>2</v>
      </c>
      <c r="J71" t="s">
        <v>68</v>
      </c>
      <c r="L71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VUT data - motor 2 temperature</v>
      </c>
      <c r="M71" t="s">
        <v>143</v>
      </c>
      <c r="N71" t="s">
        <v>187</v>
      </c>
      <c r="O71" t="s">
        <v>70</v>
      </c>
      <c r="Q71" t="s">
        <v>213</v>
      </c>
      <c r="R71" t="s">
        <v>37</v>
      </c>
      <c r="S71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VUT_Data_Mot_2_Temp : 10@1+ (0.2,-20) [0|0] "degC" Vector__XXX</v>
      </c>
      <c r="T71" t="s">
        <v>38</v>
      </c>
      <c r="U71" t="s">
        <v>39</v>
      </c>
      <c r="V71">
        <v>10</v>
      </c>
      <c r="W71">
        <v>0</v>
      </c>
      <c r="X71">
        <v>0.2</v>
      </c>
      <c r="Y71">
        <v>-20</v>
      </c>
      <c r="Z71">
        <f>IF(ObjectList24[[#This Row],[Value Type]]="Signed",(-(2^ObjectList24[[#This Row],[Length '[Bit']]])/2*ObjectList24[[#This Row],[Factor]]+ObjectList24[[#This Row],[Offset]]),(ObjectList24[[#This Row],[Offset]]))</f>
        <v>-20</v>
      </c>
      <c r="AA71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184.60000000000002</v>
      </c>
    </row>
    <row r="72" spans="1:29" x14ac:dyDescent="0.25">
      <c r="A72">
        <f>LEN(ObjectList24[[#This Row],[Name]])</f>
        <v>19</v>
      </c>
      <c r="E72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VUT_Data_Mot_3_Temp</v>
      </c>
      <c r="F72" t="s">
        <v>143</v>
      </c>
      <c r="G72" t="s">
        <v>67</v>
      </c>
      <c r="H72" t="s">
        <v>202</v>
      </c>
      <c r="I72">
        <v>3</v>
      </c>
      <c r="J72" t="s">
        <v>68</v>
      </c>
      <c r="L72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VUT data - motor 3 temperature</v>
      </c>
      <c r="M72" t="s">
        <v>143</v>
      </c>
      <c r="N72" t="s">
        <v>187</v>
      </c>
      <c r="O72" t="s">
        <v>70</v>
      </c>
      <c r="Q72" t="s">
        <v>214</v>
      </c>
      <c r="R72" t="s">
        <v>37</v>
      </c>
      <c r="S72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VUT_Data_Mot_3_Temp : 10@1+ (0.2,-20) [0|0] "degC" Vector__XXX</v>
      </c>
      <c r="T72" t="s">
        <v>38</v>
      </c>
      <c r="U72" t="s">
        <v>39</v>
      </c>
      <c r="V72">
        <v>10</v>
      </c>
      <c r="W72">
        <v>0</v>
      </c>
      <c r="X72">
        <v>0.2</v>
      </c>
      <c r="Y72">
        <v>-20</v>
      </c>
      <c r="Z72">
        <f>IF(ObjectList24[[#This Row],[Value Type]]="Signed",(-(2^ObjectList24[[#This Row],[Length '[Bit']]])/2*ObjectList24[[#This Row],[Factor]]+ObjectList24[[#This Row],[Offset]]),(ObjectList24[[#This Row],[Offset]]))</f>
        <v>-20</v>
      </c>
      <c r="AA72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184.60000000000002</v>
      </c>
    </row>
    <row r="73" spans="1:29" x14ac:dyDescent="0.25">
      <c r="A73">
        <f>LEN(ObjectList24[[#This Row],[Name]])</f>
        <v>19</v>
      </c>
      <c r="E73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VUT_Data_Whl_Spd_FL</v>
      </c>
      <c r="F73" t="s">
        <v>143</v>
      </c>
      <c r="G73" t="s">
        <v>67</v>
      </c>
      <c r="H73" t="s">
        <v>215</v>
      </c>
      <c r="J73" t="s">
        <v>75</v>
      </c>
      <c r="K73" t="s">
        <v>216</v>
      </c>
      <c r="L73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VUT data - wheel speed front left</v>
      </c>
      <c r="M73" t="s">
        <v>143</v>
      </c>
      <c r="N73" t="s">
        <v>187</v>
      </c>
      <c r="O73" t="s">
        <v>76</v>
      </c>
      <c r="Q73" t="s">
        <v>217</v>
      </c>
      <c r="R73" t="s">
        <v>37</v>
      </c>
      <c r="S73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VUT_Data_Whl_Spd_FL : 16@1- (0.01,0) [0|0] "km/h" Vector__XXX</v>
      </c>
      <c r="T73" t="s">
        <v>38</v>
      </c>
      <c r="U73" t="s">
        <v>57</v>
      </c>
      <c r="V73">
        <v>16</v>
      </c>
      <c r="W73">
        <v>0</v>
      </c>
      <c r="X73">
        <v>0.01</v>
      </c>
      <c r="Y73">
        <v>0</v>
      </c>
      <c r="Z73">
        <f>IF(ObjectList24[[#This Row],[Value Type]]="Signed",(-(2^ObjectList24[[#This Row],[Length '[Bit']]])/2*ObjectList24[[#This Row],[Factor]]+ObjectList24[[#This Row],[Offset]]),(ObjectList24[[#This Row],[Offset]]))</f>
        <v>-327.68</v>
      </c>
      <c r="AA73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327.67</v>
      </c>
    </row>
    <row r="74" spans="1:29" x14ac:dyDescent="0.25">
      <c r="A74">
        <f>LEN(ObjectList24[[#This Row],[Name]])</f>
        <v>19</v>
      </c>
      <c r="E74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VUT_Data_Whl_Spd_FR</v>
      </c>
      <c r="F74" t="s">
        <v>143</v>
      </c>
      <c r="G74" t="s">
        <v>67</v>
      </c>
      <c r="H74" t="s">
        <v>215</v>
      </c>
      <c r="J74" t="s">
        <v>75</v>
      </c>
      <c r="K74" t="s">
        <v>218</v>
      </c>
      <c r="L74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VUT data - wheel speed front right</v>
      </c>
      <c r="M74" t="s">
        <v>143</v>
      </c>
      <c r="N74" t="s">
        <v>187</v>
      </c>
      <c r="O74" t="s">
        <v>76</v>
      </c>
      <c r="Q74" t="s">
        <v>219</v>
      </c>
      <c r="R74" t="s">
        <v>37</v>
      </c>
      <c r="S74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VUT_Data_Whl_Spd_FR : 16@1- (0.01,0) [0|0] "km/h" Vector__XXX</v>
      </c>
      <c r="T74" t="s">
        <v>38</v>
      </c>
      <c r="U74" t="s">
        <v>57</v>
      </c>
      <c r="V74">
        <v>16</v>
      </c>
      <c r="W74">
        <v>0</v>
      </c>
      <c r="X74">
        <v>0.01</v>
      </c>
      <c r="Y74">
        <v>0</v>
      </c>
      <c r="Z74">
        <f>IF(ObjectList24[[#This Row],[Value Type]]="Signed",(-(2^ObjectList24[[#This Row],[Length '[Bit']]])/2*ObjectList24[[#This Row],[Factor]]+ObjectList24[[#This Row],[Offset]]),(ObjectList24[[#This Row],[Offset]]))</f>
        <v>-327.68</v>
      </c>
      <c r="AA74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327.67</v>
      </c>
    </row>
    <row r="75" spans="1:29" x14ac:dyDescent="0.25">
      <c r="A75">
        <f>LEN(ObjectList24[[#This Row],[Name]])</f>
        <v>19</v>
      </c>
      <c r="E75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VUT_Data_Whl_Spd_RL</v>
      </c>
      <c r="F75" t="s">
        <v>143</v>
      </c>
      <c r="G75" t="s">
        <v>67</v>
      </c>
      <c r="H75" t="s">
        <v>215</v>
      </c>
      <c r="J75" t="s">
        <v>75</v>
      </c>
      <c r="K75" t="s">
        <v>220</v>
      </c>
      <c r="L75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VUT data - wheel speed rear left</v>
      </c>
      <c r="M75" t="s">
        <v>143</v>
      </c>
      <c r="N75" t="s">
        <v>187</v>
      </c>
      <c r="O75" t="s">
        <v>76</v>
      </c>
      <c r="Q75" t="s">
        <v>221</v>
      </c>
      <c r="R75" t="s">
        <v>37</v>
      </c>
      <c r="S75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VUT_Data_Whl_Spd_RL : 16@1- (0.01,0) [0|0] "km/h" Vector__XXX</v>
      </c>
      <c r="T75" t="s">
        <v>38</v>
      </c>
      <c r="U75" t="s">
        <v>57</v>
      </c>
      <c r="V75">
        <v>16</v>
      </c>
      <c r="W75">
        <v>0</v>
      </c>
      <c r="X75">
        <v>0.01</v>
      </c>
      <c r="Y75">
        <v>0</v>
      </c>
      <c r="Z75">
        <f>IF(ObjectList24[[#This Row],[Value Type]]="Signed",(-(2^ObjectList24[[#This Row],[Length '[Bit']]])/2*ObjectList24[[#This Row],[Factor]]+ObjectList24[[#This Row],[Offset]]),(ObjectList24[[#This Row],[Offset]]))</f>
        <v>-327.68</v>
      </c>
      <c r="AA75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327.67</v>
      </c>
    </row>
    <row r="76" spans="1:29" x14ac:dyDescent="0.25">
      <c r="A76">
        <f>LEN(ObjectList24[[#This Row],[Name]])</f>
        <v>19</v>
      </c>
      <c r="E76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VUT_Data_Whl_Spd_RR</v>
      </c>
      <c r="F76" t="s">
        <v>143</v>
      </c>
      <c r="G76" t="s">
        <v>67</v>
      </c>
      <c r="H76" t="s">
        <v>215</v>
      </c>
      <c r="J76" t="s">
        <v>75</v>
      </c>
      <c r="K76" t="s">
        <v>222</v>
      </c>
      <c r="L76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VUT data - wheel speed rear right</v>
      </c>
      <c r="M76" t="s">
        <v>143</v>
      </c>
      <c r="N76" t="s">
        <v>187</v>
      </c>
      <c r="O76" t="s">
        <v>76</v>
      </c>
      <c r="Q76" t="s">
        <v>223</v>
      </c>
      <c r="R76" t="s">
        <v>37</v>
      </c>
      <c r="S76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VUT_Data_Whl_Spd_RR : 16@1- (0.01,0) [0|0] "km/h" Vector__XXX</v>
      </c>
      <c r="T76" t="s">
        <v>38</v>
      </c>
      <c r="U76" t="s">
        <v>57</v>
      </c>
      <c r="V76">
        <v>16</v>
      </c>
      <c r="W76">
        <v>0</v>
      </c>
      <c r="X76">
        <v>0.01</v>
      </c>
      <c r="Y76">
        <v>0</v>
      </c>
      <c r="Z76">
        <f>IF(ObjectList24[[#This Row],[Value Type]]="Signed",(-(2^ObjectList24[[#This Row],[Length '[Bit']]])/2*ObjectList24[[#This Row],[Factor]]+ObjectList24[[#This Row],[Offset]]),(ObjectList24[[#This Row],[Offset]]))</f>
        <v>-327.68</v>
      </c>
      <c r="AA76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327.67</v>
      </c>
    </row>
    <row r="77" spans="1:29" x14ac:dyDescent="0.25">
      <c r="A77">
        <f>LEN(ObjectList24[[#This Row],[Name]])</f>
        <v>19</v>
      </c>
      <c r="E77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VUT_Data_Trns_Ratio</v>
      </c>
      <c r="F77" t="s">
        <v>143</v>
      </c>
      <c r="G77" t="s">
        <v>67</v>
      </c>
      <c r="H77" t="s">
        <v>149</v>
      </c>
      <c r="J77" t="s">
        <v>224</v>
      </c>
      <c r="L77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VUT data - transmission</v>
      </c>
      <c r="M77" t="s">
        <v>143</v>
      </c>
      <c r="N77" t="s">
        <v>151</v>
      </c>
      <c r="O77" t="s">
        <v>225</v>
      </c>
      <c r="Q77" t="s">
        <v>226</v>
      </c>
      <c r="R77" t="s">
        <v>37</v>
      </c>
      <c r="S77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VUT_Data_Trns_Ratio : 14@1- (0.01,0) [0|0] "ratio" Vector__XXX</v>
      </c>
      <c r="T77" t="s">
        <v>38</v>
      </c>
      <c r="U77" t="s">
        <v>57</v>
      </c>
      <c r="V77">
        <v>14</v>
      </c>
      <c r="W77">
        <v>0</v>
      </c>
      <c r="X77">
        <v>0.01</v>
      </c>
      <c r="Y77">
        <v>0</v>
      </c>
      <c r="Z77">
        <f>IF(ObjectList24[[#This Row],[Value Type]]="Signed",(-(2^ObjectList24[[#This Row],[Length '[Bit']]])/2*ObjectList24[[#This Row],[Factor]]+ObjectList24[[#This Row],[Offset]]),(ObjectList24[[#This Row],[Offset]]))</f>
        <v>-81.92</v>
      </c>
      <c r="AA77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81.91</v>
      </c>
    </row>
    <row r="78" spans="1:29" x14ac:dyDescent="0.25">
      <c r="A78">
        <f>LEN(ObjectList24[[#This Row],[Name]])</f>
        <v>19</v>
      </c>
      <c r="E78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VUT_Resp_ACC_Status</v>
      </c>
      <c r="F78" t="s">
        <v>143</v>
      </c>
      <c r="G78" t="s">
        <v>50</v>
      </c>
      <c r="H78" t="s">
        <v>144</v>
      </c>
      <c r="J78" t="s">
        <v>87</v>
      </c>
      <c r="L78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VUT response - ACC status</v>
      </c>
      <c r="M78" t="s">
        <v>143</v>
      </c>
      <c r="N78" t="s">
        <v>88</v>
      </c>
      <c r="O78" t="s">
        <v>34</v>
      </c>
      <c r="P78" t="s">
        <v>247</v>
      </c>
      <c r="Q78" t="s">
        <v>248</v>
      </c>
      <c r="R78" t="s">
        <v>37</v>
      </c>
      <c r="S78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VUT_Resp_ACC_Status : 1@1+ (1,0) [0|0] "bool" Vector__XXX</v>
      </c>
      <c r="T78" t="s">
        <v>38</v>
      </c>
      <c r="U78" t="s">
        <v>39</v>
      </c>
      <c r="V78">
        <v>1</v>
      </c>
      <c r="W78">
        <v>0</v>
      </c>
      <c r="X78">
        <v>1</v>
      </c>
      <c r="Y78">
        <v>0</v>
      </c>
      <c r="Z78">
        <f>IF(ObjectList24[[#This Row],[Value Type]]="Signed",(-(2^ObjectList24[[#This Row],[Length '[Bit']]])/2*ObjectList24[[#This Row],[Factor]]+ObjectList24[[#This Row],[Offset]]),(ObjectList24[[#This Row],[Offset]]))</f>
        <v>0</v>
      </c>
      <c r="AA78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1</v>
      </c>
    </row>
    <row r="79" spans="1:29" x14ac:dyDescent="0.25">
      <c r="A79">
        <f>LEN(ObjectList24[[#This Row],[Name]])</f>
        <v>20</v>
      </c>
      <c r="E79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VUT_Data_LVBatt_Curr</v>
      </c>
      <c r="F79" t="s">
        <v>143</v>
      </c>
      <c r="G79" t="s">
        <v>67</v>
      </c>
      <c r="H79" t="s">
        <v>227</v>
      </c>
      <c r="J79" t="s">
        <v>44</v>
      </c>
      <c r="L79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VUT data - low voltage battery current</v>
      </c>
      <c r="M79" t="s">
        <v>143</v>
      </c>
      <c r="N79" t="s">
        <v>187</v>
      </c>
      <c r="O79" t="s">
        <v>45</v>
      </c>
      <c r="Q79" t="s">
        <v>228</v>
      </c>
      <c r="R79" t="s">
        <v>37</v>
      </c>
      <c r="S79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VUT_Data_LVBatt_Curr : 14@1- (0.2,0) [0|0] "A" Vector__XXX</v>
      </c>
      <c r="T79" t="s">
        <v>38</v>
      </c>
      <c r="U79" t="s">
        <v>57</v>
      </c>
      <c r="V79">
        <v>14</v>
      </c>
      <c r="W79">
        <v>0</v>
      </c>
      <c r="X79">
        <v>0.2</v>
      </c>
      <c r="Y79">
        <v>0</v>
      </c>
      <c r="Z79">
        <f>IF(ObjectList24[[#This Row],[Value Type]]="Signed",(-(2^ObjectList24[[#This Row],[Length '[Bit']]])/2*ObjectList24[[#This Row],[Factor]]+ObjectList24[[#This Row],[Offset]]),(ObjectList24[[#This Row],[Offset]]))</f>
        <v>-1638.4</v>
      </c>
      <c r="AA79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1638.2</v>
      </c>
    </row>
    <row r="80" spans="1:29" x14ac:dyDescent="0.25">
      <c r="A80">
        <f>LEN(ObjectList24[[#This Row],[Name]])</f>
        <v>20</v>
      </c>
      <c r="E80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VUT_Data_LVBatt_Volt</v>
      </c>
      <c r="F80" t="s">
        <v>143</v>
      </c>
      <c r="G80" t="s">
        <v>67</v>
      </c>
      <c r="H80" t="s">
        <v>227</v>
      </c>
      <c r="J80" t="s">
        <v>47</v>
      </c>
      <c r="L80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VUT data - low voltage battery voltage</v>
      </c>
      <c r="M80" t="s">
        <v>143</v>
      </c>
      <c r="N80" t="s">
        <v>187</v>
      </c>
      <c r="O80" t="s">
        <v>48</v>
      </c>
      <c r="Q80" t="s">
        <v>229</v>
      </c>
      <c r="R80" t="s">
        <v>37</v>
      </c>
      <c r="S80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VUT_Data_LVBatt_Volt : 12@1+ (0.01,0) [0|0] "V" Vector__XXX</v>
      </c>
      <c r="T80" t="s">
        <v>38</v>
      </c>
      <c r="U80" t="s">
        <v>39</v>
      </c>
      <c r="V80">
        <v>12</v>
      </c>
      <c r="W80">
        <v>0</v>
      </c>
      <c r="X80">
        <v>0.01</v>
      </c>
      <c r="Y80">
        <v>0</v>
      </c>
      <c r="Z80">
        <f>IF(ObjectList24[[#This Row],[Value Type]]="Signed",(-(2^ObjectList24[[#This Row],[Length '[Bit']]])/2*ObjectList24[[#This Row],[Factor]]+ObjectList24[[#This Row],[Offset]]),(ObjectList24[[#This Row],[Offset]]))</f>
        <v>0</v>
      </c>
      <c r="AA80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40.950000000000003</v>
      </c>
    </row>
    <row r="81" spans="1:29" x14ac:dyDescent="0.25">
      <c r="A81">
        <f>LEN(ObjectList24[[#This Row],[Name]])</f>
        <v>20</v>
      </c>
      <c r="E81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VUT_Data_Chrg_VoltAC</v>
      </c>
      <c r="F81" t="s">
        <v>143</v>
      </c>
      <c r="G81" t="s">
        <v>67</v>
      </c>
      <c r="H81" t="s">
        <v>194</v>
      </c>
      <c r="J81" t="s">
        <v>230</v>
      </c>
      <c r="L81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VUT data - onboard hv battery charger voltage AC</v>
      </c>
      <c r="M81" t="s">
        <v>143</v>
      </c>
      <c r="N81" t="s">
        <v>176</v>
      </c>
      <c r="O81" t="s">
        <v>48</v>
      </c>
      <c r="Q81" t="s">
        <v>231</v>
      </c>
      <c r="R81" t="s">
        <v>37</v>
      </c>
      <c r="S81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VUT_Data_Chrg_VoltAC : 16@1+ (0.01,0) [0|0] "V" Vector__XXX</v>
      </c>
      <c r="T81" t="s">
        <v>38</v>
      </c>
      <c r="U81" t="s">
        <v>39</v>
      </c>
      <c r="V81">
        <v>16</v>
      </c>
      <c r="W81">
        <v>0</v>
      </c>
      <c r="X81">
        <v>0.01</v>
      </c>
      <c r="Y81">
        <v>0</v>
      </c>
      <c r="Z81">
        <f>IF(ObjectList24[[#This Row],[Value Type]]="Signed",(-(2^ObjectList24[[#This Row],[Length '[Bit']]])/2*ObjectList24[[#This Row],[Factor]]+ObjectList24[[#This Row],[Offset]]),(ObjectList24[[#This Row],[Offset]]))</f>
        <v>0</v>
      </c>
      <c r="AA81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655.35</v>
      </c>
    </row>
    <row r="82" spans="1:29" x14ac:dyDescent="0.25">
      <c r="A82">
        <f>LEN(ObjectList24[[#This Row],[Name]])</f>
        <v>21</v>
      </c>
      <c r="E82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VUT_Data_Eng_Temp_Oil</v>
      </c>
      <c r="F82" t="s">
        <v>143</v>
      </c>
      <c r="G82" t="s">
        <v>67</v>
      </c>
      <c r="H82" t="s">
        <v>178</v>
      </c>
      <c r="J82" t="s">
        <v>68</v>
      </c>
      <c r="K82" t="s">
        <v>232</v>
      </c>
      <c r="L82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VUT data - engine temperature oil</v>
      </c>
      <c r="M82" t="s">
        <v>143</v>
      </c>
      <c r="N82" t="s">
        <v>187</v>
      </c>
      <c r="O82" t="s">
        <v>70</v>
      </c>
      <c r="Q82" t="s">
        <v>233</v>
      </c>
      <c r="R82" t="s">
        <v>37</v>
      </c>
      <c r="S82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VUT_Data_Eng_Temp_Oil : 10@1+ (0.2,-20) [0|0] "degC" Vector__XXX</v>
      </c>
      <c r="T82" t="s">
        <v>38</v>
      </c>
      <c r="U82" t="s">
        <v>39</v>
      </c>
      <c r="V82">
        <v>10</v>
      </c>
      <c r="W82">
        <v>0</v>
      </c>
      <c r="X82">
        <v>0.2</v>
      </c>
      <c r="Y82">
        <v>-20</v>
      </c>
      <c r="Z82">
        <f>IF(ObjectList24[[#This Row],[Value Type]]="Signed",(-(2^ObjectList24[[#This Row],[Length '[Bit']]])/2*ObjectList24[[#This Row],[Factor]]+ObjectList24[[#This Row],[Offset]]),(ObjectList24[[#This Row],[Offset]]))</f>
        <v>-20</v>
      </c>
      <c r="AA82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184.60000000000002</v>
      </c>
    </row>
    <row r="83" spans="1:29" x14ac:dyDescent="0.25">
      <c r="A83">
        <f>LEN(ObjectList24[[#This Row],[Name]])</f>
        <v>21</v>
      </c>
      <c r="E83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VUT_Data_Eng_FuelFlow</v>
      </c>
      <c r="F83" t="s">
        <v>143</v>
      </c>
      <c r="G83" t="s">
        <v>67</v>
      </c>
      <c r="H83" t="s">
        <v>178</v>
      </c>
      <c r="J83" t="s">
        <v>117</v>
      </c>
      <c r="L83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VUT data - engine fuel flow</v>
      </c>
      <c r="M83" t="s">
        <v>143</v>
      </c>
      <c r="N83" t="s">
        <v>176</v>
      </c>
      <c r="O83" t="s">
        <v>118</v>
      </c>
      <c r="Q83" t="s">
        <v>234</v>
      </c>
      <c r="R83" t="s">
        <v>37</v>
      </c>
      <c r="S83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VUT_Data_Eng_FuelFlow : 14@1- (0.015,0) [0|0] "L/hr" Vector__XXX</v>
      </c>
      <c r="T83" t="s">
        <v>38</v>
      </c>
      <c r="U83" t="s">
        <v>57</v>
      </c>
      <c r="V83">
        <v>14</v>
      </c>
      <c r="W83">
        <v>0</v>
      </c>
      <c r="X83">
        <v>1.4999999999999999E-2</v>
      </c>
      <c r="Y83">
        <v>0</v>
      </c>
      <c r="Z83">
        <f>IF(ObjectList24[[#This Row],[Value Type]]="Signed",(-(2^ObjectList24[[#This Row],[Length '[Bit']]])/2*ObjectList24[[#This Row],[Factor]]+ObjectList24[[#This Row],[Offset]]),(ObjectList24[[#This Row],[Offset]]))</f>
        <v>-122.88</v>
      </c>
      <c r="AA83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122.86499999999999</v>
      </c>
    </row>
    <row r="84" spans="1:29" x14ac:dyDescent="0.25">
      <c r="A84">
        <f>LEN(ObjectList24[[#This Row],[Name]])</f>
        <v>21</v>
      </c>
      <c r="E84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VUT_Resp_Radar_Status</v>
      </c>
      <c r="F84" t="s">
        <v>143</v>
      </c>
      <c r="G84" t="s">
        <v>50</v>
      </c>
      <c r="H84" t="s">
        <v>249</v>
      </c>
      <c r="J84" t="s">
        <v>87</v>
      </c>
      <c r="L84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VUT response - radar status</v>
      </c>
      <c r="M84" t="s">
        <v>143</v>
      </c>
      <c r="N84" t="s">
        <v>88</v>
      </c>
      <c r="O84" t="s">
        <v>34</v>
      </c>
      <c r="P84" t="s">
        <v>247</v>
      </c>
      <c r="Q84" t="s">
        <v>250</v>
      </c>
      <c r="R84" t="s">
        <v>37</v>
      </c>
      <c r="S84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VUT_Resp_Radar_Status : 1@1+ (1,0) [0|0] "bool" Vector__XXX</v>
      </c>
      <c r="T84" t="s">
        <v>38</v>
      </c>
      <c r="U84" t="s">
        <v>39</v>
      </c>
      <c r="V84">
        <v>1</v>
      </c>
      <c r="W84">
        <v>0</v>
      </c>
      <c r="X84">
        <v>1</v>
      </c>
      <c r="Y84">
        <v>0</v>
      </c>
      <c r="Z84">
        <f>IF(ObjectList24[[#This Row],[Value Type]]="Signed",(-(2^ObjectList24[[#This Row],[Length '[Bit']]])/2*ObjectList24[[#This Row],[Factor]]+ObjectList24[[#This Row],[Offset]]),(ObjectList24[[#This Row],[Offset]]))</f>
        <v>0</v>
      </c>
      <c r="AA84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1</v>
      </c>
    </row>
    <row r="85" spans="1:29" x14ac:dyDescent="0.25">
      <c r="A85">
        <f>LEN(ObjectList24[[#This Row],[Name]])</f>
        <v>22</v>
      </c>
      <c r="E85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VUT_Ctrl_ACC_Accel_Cmd</v>
      </c>
      <c r="F85" t="s">
        <v>143</v>
      </c>
      <c r="G85" t="s">
        <v>30</v>
      </c>
      <c r="H85" t="s">
        <v>144</v>
      </c>
      <c r="J85" t="s">
        <v>145</v>
      </c>
      <c r="K85" t="s">
        <v>41</v>
      </c>
      <c r="L85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VUT control - ACC acceleration command</v>
      </c>
      <c r="M85" t="s">
        <v>32</v>
      </c>
      <c r="N85" t="s">
        <v>146</v>
      </c>
      <c r="O85" t="s">
        <v>147</v>
      </c>
      <c r="Q85" t="s">
        <v>148</v>
      </c>
      <c r="R85" t="s">
        <v>37</v>
      </c>
      <c r="S85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VUT_Ctrl_ACC_Accel_Cmd : 12@1- (0.01,0) [0|0] "m/s^2" Vector__XXX</v>
      </c>
      <c r="T85" t="s">
        <v>38</v>
      </c>
      <c r="U85" t="s">
        <v>57</v>
      </c>
      <c r="V85">
        <v>12</v>
      </c>
      <c r="W85">
        <v>0</v>
      </c>
      <c r="X85">
        <v>0.01</v>
      </c>
      <c r="Y85">
        <v>0</v>
      </c>
      <c r="Z85">
        <f>IF(ObjectList24[[#This Row],[Value Type]]="Signed",(-(2^ObjectList24[[#This Row],[Length '[Bit']]])/2*ObjectList24[[#This Row],[Factor]]+ObjectList24[[#This Row],[Offset]]),(ObjectList24[[#This Row],[Offset]]))</f>
        <v>-20.48</v>
      </c>
      <c r="AA85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20.47</v>
      </c>
    </row>
    <row r="86" spans="1:29" x14ac:dyDescent="0.25">
      <c r="A86">
        <f>LEN(ObjectList24[[#This Row],[Name]])</f>
        <v>22</v>
      </c>
      <c r="E86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VUT_Ctrl_Trns_Gear_Cmd</v>
      </c>
      <c r="F86" t="s">
        <v>143</v>
      </c>
      <c r="G86" t="s">
        <v>30</v>
      </c>
      <c r="H86" t="s">
        <v>149</v>
      </c>
      <c r="J86" t="s">
        <v>150</v>
      </c>
      <c r="K86" t="s">
        <v>41</v>
      </c>
      <c r="L86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VUT control - transmission gear command</v>
      </c>
      <c r="M86" t="s">
        <v>32</v>
      </c>
      <c r="N86" t="s">
        <v>151</v>
      </c>
      <c r="O86" t="s">
        <v>102</v>
      </c>
      <c r="Q86" t="s">
        <v>152</v>
      </c>
      <c r="R86" t="s">
        <v>37</v>
      </c>
      <c r="S86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VUT_Ctrl_Trns_Gear_Cmd : 4@1+ (1,0) [0|0] "int" Vector__XXX</v>
      </c>
      <c r="T86" t="s">
        <v>38</v>
      </c>
      <c r="U86" t="s">
        <v>39</v>
      </c>
      <c r="V86">
        <v>4</v>
      </c>
      <c r="W86">
        <v>0</v>
      </c>
      <c r="X86">
        <v>1</v>
      </c>
      <c r="Y86">
        <v>0</v>
      </c>
      <c r="Z86">
        <f>IF(ObjectList24[[#This Row],[Value Type]]="Signed",(-(2^ObjectList24[[#This Row],[Length '[Bit']]])/2*ObjectList24[[#This Row],[Factor]]+ObjectList24[[#This Row],[Offset]]),(ObjectList24[[#This Row],[Offset]]))</f>
        <v>0</v>
      </c>
      <c r="AA86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15</v>
      </c>
      <c r="AB86" t="s">
        <v>65</v>
      </c>
      <c r="AC86" t="s">
        <v>153</v>
      </c>
    </row>
    <row r="87" spans="1:29" x14ac:dyDescent="0.25">
      <c r="A87">
        <f>LEN(ObjectList24[[#This Row],[Name]])</f>
        <v>22</v>
      </c>
      <c r="E87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VUT_Resp_RobDrv_Status</v>
      </c>
      <c r="F87" t="s">
        <v>143</v>
      </c>
      <c r="G87" t="s">
        <v>50</v>
      </c>
      <c r="H87" t="s">
        <v>133</v>
      </c>
      <c r="J87" t="s">
        <v>87</v>
      </c>
      <c r="L87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VUT response - robot driver status</v>
      </c>
      <c r="M87" t="s">
        <v>143</v>
      </c>
      <c r="N87" t="s">
        <v>88</v>
      </c>
      <c r="O87" t="s">
        <v>34</v>
      </c>
      <c r="P87" t="s">
        <v>247</v>
      </c>
      <c r="Q87" t="s">
        <v>251</v>
      </c>
      <c r="R87" t="s">
        <v>37</v>
      </c>
      <c r="S87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VUT_Resp_RobDrv_Status : 1@1+ (1,0) [0|0] "bool" Vector__XXX</v>
      </c>
      <c r="T87" t="s">
        <v>38</v>
      </c>
      <c r="U87" t="s">
        <v>39</v>
      </c>
      <c r="V87">
        <v>1</v>
      </c>
      <c r="W87">
        <v>0</v>
      </c>
      <c r="X87">
        <v>1</v>
      </c>
      <c r="Y87">
        <v>0</v>
      </c>
      <c r="Z87">
        <f>IF(ObjectList24[[#This Row],[Value Type]]="Signed",(-(2^ObjectList24[[#This Row],[Length '[Bit']]])/2*ObjectList24[[#This Row],[Factor]]+ObjectList24[[#This Row],[Offset]]),(ObjectList24[[#This Row],[Offset]]))</f>
        <v>0</v>
      </c>
      <c r="AA87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1</v>
      </c>
    </row>
    <row r="88" spans="1:29" x14ac:dyDescent="0.25">
      <c r="A88">
        <f>LEN(ObjectList24[[#This Row],[Name]])</f>
        <v>22</v>
      </c>
      <c r="E88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VUT_Resp_ACC_Accel_Max</v>
      </c>
      <c r="F88" t="s">
        <v>143</v>
      </c>
      <c r="G88" t="s">
        <v>50</v>
      </c>
      <c r="H88" t="s">
        <v>144</v>
      </c>
      <c r="J88" t="s">
        <v>145</v>
      </c>
      <c r="K88" t="s">
        <v>51</v>
      </c>
      <c r="L88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VUT response - ACC acceleration maximum</v>
      </c>
      <c r="M88" t="s">
        <v>143</v>
      </c>
      <c r="N88" t="s">
        <v>146</v>
      </c>
      <c r="O88" t="s">
        <v>147</v>
      </c>
      <c r="Q88" t="s">
        <v>252</v>
      </c>
      <c r="R88" t="s">
        <v>37</v>
      </c>
      <c r="S88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VUT_Resp_ACC_Accel_Max : 12@1- (0.01,0) [0|0] "m/s^2" Vector__XXX</v>
      </c>
      <c r="T88" t="s">
        <v>38</v>
      </c>
      <c r="U88" t="s">
        <v>57</v>
      </c>
      <c r="V88">
        <v>12</v>
      </c>
      <c r="W88">
        <v>0</v>
      </c>
      <c r="X88">
        <v>0.01</v>
      </c>
      <c r="Y88">
        <v>0</v>
      </c>
      <c r="Z88">
        <f>IF(ObjectList24[[#This Row],[Value Type]]="Signed",(-(2^ObjectList24[[#This Row],[Length '[Bit']]])/2*ObjectList24[[#This Row],[Factor]]+ObjectList24[[#This Row],[Offset]]),(ObjectList24[[#This Row],[Offset]]))</f>
        <v>-20.48</v>
      </c>
      <c r="AA88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20.47</v>
      </c>
    </row>
    <row r="89" spans="1:29" x14ac:dyDescent="0.25">
      <c r="A89">
        <f>LEN(ObjectList24[[#This Row],[Name]])</f>
        <v>22</v>
      </c>
      <c r="E89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VUT_Resp_ACC_Accel_Min</v>
      </c>
      <c r="F89" t="s">
        <v>143</v>
      </c>
      <c r="G89" t="s">
        <v>50</v>
      </c>
      <c r="H89" t="s">
        <v>144</v>
      </c>
      <c r="J89" t="s">
        <v>145</v>
      </c>
      <c r="K89" t="s">
        <v>54</v>
      </c>
      <c r="L89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VUT response - ACC acceleration minimum</v>
      </c>
      <c r="M89" t="s">
        <v>143</v>
      </c>
      <c r="N89" t="s">
        <v>146</v>
      </c>
      <c r="O89" t="s">
        <v>147</v>
      </c>
      <c r="Q89" t="s">
        <v>253</v>
      </c>
      <c r="R89" t="s">
        <v>37</v>
      </c>
      <c r="S89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VUT_Resp_ACC_Accel_Min : 12@1- (0.01,0) [0|0] "m/s^2" Vector__XXX</v>
      </c>
      <c r="T89" t="s">
        <v>38</v>
      </c>
      <c r="U89" t="s">
        <v>57</v>
      </c>
      <c r="V89">
        <v>12</v>
      </c>
      <c r="W89">
        <v>0</v>
      </c>
      <c r="X89">
        <v>0.01</v>
      </c>
      <c r="Y89">
        <v>0</v>
      </c>
      <c r="Z89">
        <f>IF(ObjectList24[[#This Row],[Value Type]]="Signed",(-(2^ObjectList24[[#This Row],[Length '[Bit']]])/2*ObjectList24[[#This Row],[Factor]]+ObjectList24[[#This Row],[Offset]]),(ObjectList24[[#This Row],[Offset]]))</f>
        <v>-20.48</v>
      </c>
      <c r="AA89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20.47</v>
      </c>
    </row>
    <row r="90" spans="1:29" x14ac:dyDescent="0.25">
      <c r="A90">
        <f>LEN(ObjectList24[[#This Row],[Name]])</f>
        <v>23</v>
      </c>
      <c r="E90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VUT_Ctrl_ACC_Accel_Actv</v>
      </c>
      <c r="F90" t="s">
        <v>143</v>
      </c>
      <c r="G90" t="s">
        <v>30</v>
      </c>
      <c r="H90" t="s">
        <v>144</v>
      </c>
      <c r="J90" t="s">
        <v>145</v>
      </c>
      <c r="K90" t="s">
        <v>139</v>
      </c>
      <c r="L90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VUT control - ACC acceleration active</v>
      </c>
      <c r="M90" t="s">
        <v>32</v>
      </c>
      <c r="N90" t="s">
        <v>146</v>
      </c>
      <c r="O90" t="s">
        <v>34</v>
      </c>
      <c r="P90" t="s">
        <v>154</v>
      </c>
      <c r="Q90" t="s">
        <v>155</v>
      </c>
      <c r="R90" t="s">
        <v>37</v>
      </c>
      <c r="S90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VUT_Ctrl_ACC_Accel_Actv : 1@1+ (1,0) [0|0] "bool" Vector__XXX</v>
      </c>
      <c r="T90" t="s">
        <v>38</v>
      </c>
      <c r="U90" t="s">
        <v>39</v>
      </c>
      <c r="V90">
        <v>1</v>
      </c>
      <c r="W90">
        <v>0</v>
      </c>
      <c r="X90">
        <v>1</v>
      </c>
      <c r="Y90">
        <v>0</v>
      </c>
      <c r="Z90">
        <f>IF(ObjectList24[[#This Row],[Value Type]]="Signed",(-(2^ObjectList24[[#This Row],[Length '[Bit']]])/2*ObjectList24[[#This Row],[Factor]]+ObjectList24[[#This Row],[Offset]]),(ObjectList24[[#This Row],[Offset]]))</f>
        <v>0</v>
      </c>
      <c r="AA90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1</v>
      </c>
    </row>
    <row r="91" spans="1:29" x14ac:dyDescent="0.25">
      <c r="A91">
        <f>LEN(ObjectList24[[#This Row],[Name]])</f>
        <v>23</v>
      </c>
      <c r="E91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VUT_Ctrl_ACC_AxlTrq_Cmd</v>
      </c>
      <c r="F91" t="s">
        <v>143</v>
      </c>
      <c r="G91" t="s">
        <v>30</v>
      </c>
      <c r="H91" t="s">
        <v>144</v>
      </c>
      <c r="J91" t="s">
        <v>156</v>
      </c>
      <c r="K91" t="s">
        <v>41</v>
      </c>
      <c r="L91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VUT control - ACC axle torque command</v>
      </c>
      <c r="M91" t="s">
        <v>32</v>
      </c>
      <c r="N91" t="s">
        <v>146</v>
      </c>
      <c r="O91" t="s">
        <v>157</v>
      </c>
      <c r="Q91" t="s">
        <v>158</v>
      </c>
      <c r="R91" t="s">
        <v>37</v>
      </c>
      <c r="S91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VUT_Ctrl_ACC_AxlTrq_Cmd : 16@1- (0.5,0) [0|0] "Nm" Vector__XXX</v>
      </c>
      <c r="T91" t="s">
        <v>38</v>
      </c>
      <c r="U91" t="s">
        <v>57</v>
      </c>
      <c r="V91">
        <v>16</v>
      </c>
      <c r="W91">
        <v>0</v>
      </c>
      <c r="X91">
        <v>0.5</v>
      </c>
      <c r="Y91">
        <v>0</v>
      </c>
      <c r="Z91">
        <f>IF(ObjectList24[[#This Row],[Value Type]]="Signed",(-(2^ObjectList24[[#This Row],[Length '[Bit']]])/2*ObjectList24[[#This Row],[Factor]]+ObjectList24[[#This Row],[Offset]]),(ObjectList24[[#This Row],[Offset]]))</f>
        <v>-16384</v>
      </c>
      <c r="AA91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16383.5</v>
      </c>
      <c r="AB91" t="s">
        <v>65</v>
      </c>
      <c r="AC91" t="s">
        <v>159</v>
      </c>
    </row>
    <row r="92" spans="1:29" x14ac:dyDescent="0.25">
      <c r="A92">
        <f>LEN(ObjectList24[[#This Row],[Name]])</f>
        <v>23</v>
      </c>
      <c r="E92" t="s">
        <v>160</v>
      </c>
      <c r="F92" t="s">
        <v>143</v>
      </c>
      <c r="G92" t="s">
        <v>30</v>
      </c>
      <c r="H92" t="s">
        <v>149</v>
      </c>
      <c r="J92" t="s">
        <v>150</v>
      </c>
      <c r="K92" t="s">
        <v>139</v>
      </c>
      <c r="L92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VUT control - transmission gear active</v>
      </c>
      <c r="M92" t="s">
        <v>32</v>
      </c>
      <c r="N92" t="s">
        <v>151</v>
      </c>
      <c r="O92" t="s">
        <v>34</v>
      </c>
      <c r="P92" t="s">
        <v>154</v>
      </c>
      <c r="Q92" t="s">
        <v>161</v>
      </c>
      <c r="R92" t="s">
        <v>37</v>
      </c>
      <c r="S92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VUT_Ctrl_Trns_Gear_Actv : 1@1+ (1,0) [0|0] "bool" Vector__XXX</v>
      </c>
      <c r="T92" t="s">
        <v>38</v>
      </c>
      <c r="U92" t="s">
        <v>39</v>
      </c>
      <c r="V92">
        <v>1</v>
      </c>
      <c r="W92">
        <v>0</v>
      </c>
      <c r="X92">
        <v>1</v>
      </c>
      <c r="Y92">
        <v>0</v>
      </c>
      <c r="Z92">
        <f>IF(ObjectList24[[#This Row],[Value Type]]="Signed",(-(2^ObjectList24[[#This Row],[Length '[Bit']]])/2*ObjectList24[[#This Row],[Factor]]+ObjectList24[[#This Row],[Offset]]),(ObjectList24[[#This Row],[Offset]]))</f>
        <v>0</v>
      </c>
      <c r="AA92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1</v>
      </c>
    </row>
    <row r="93" spans="1:29" x14ac:dyDescent="0.25">
      <c r="A93">
        <f>LEN(ObjectList24[[#This Row],[Name]])</f>
        <v>23</v>
      </c>
      <c r="E93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VUT_Data_Trns_Gear_Used</v>
      </c>
      <c r="F93" t="s">
        <v>143</v>
      </c>
      <c r="G93" t="s">
        <v>67</v>
      </c>
      <c r="H93" t="s">
        <v>149</v>
      </c>
      <c r="J93" t="s">
        <v>150</v>
      </c>
      <c r="K93" t="s">
        <v>92</v>
      </c>
      <c r="L93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VUT data - transmission gear used</v>
      </c>
      <c r="M93" t="s">
        <v>143</v>
      </c>
      <c r="N93" t="s">
        <v>151</v>
      </c>
      <c r="O93" t="s">
        <v>102</v>
      </c>
      <c r="Q93" t="s">
        <v>235</v>
      </c>
      <c r="R93" t="s">
        <v>37</v>
      </c>
      <c r="S93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VUT_Data_Trns_Gear_Used : 4@1+ (1,0) [0|0] "int" Vector__XXX</v>
      </c>
      <c r="T93" t="s">
        <v>38</v>
      </c>
      <c r="U93" t="s">
        <v>39</v>
      </c>
      <c r="V93">
        <v>4</v>
      </c>
      <c r="W93">
        <v>0</v>
      </c>
      <c r="X93">
        <v>1</v>
      </c>
      <c r="Y93">
        <v>0</v>
      </c>
      <c r="Z93">
        <f>IF(ObjectList24[[#This Row],[Value Type]]="Signed",(-(2^ObjectList24[[#This Row],[Length '[Bit']]])/2*ObjectList24[[#This Row],[Factor]]+ObjectList24[[#This Row],[Offset]]),(ObjectList24[[#This Row],[Offset]]))</f>
        <v>0</v>
      </c>
      <c r="AA93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15</v>
      </c>
    </row>
    <row r="94" spans="1:29" x14ac:dyDescent="0.25">
      <c r="A94">
        <f>LEN(ObjectList24[[#This Row],[Name]])</f>
        <v>23</v>
      </c>
      <c r="E94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VUT_Resp_ACC_AxlTrq_Max</v>
      </c>
      <c r="F94" t="s">
        <v>143</v>
      </c>
      <c r="G94" t="s">
        <v>50</v>
      </c>
      <c r="H94" t="s">
        <v>144</v>
      </c>
      <c r="J94" t="s">
        <v>156</v>
      </c>
      <c r="K94" t="s">
        <v>51</v>
      </c>
      <c r="L94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VUT response - ACC axle torque maximum</v>
      </c>
      <c r="M94" t="s">
        <v>143</v>
      </c>
      <c r="N94" t="s">
        <v>146</v>
      </c>
      <c r="O94" t="s">
        <v>157</v>
      </c>
      <c r="Q94" t="s">
        <v>254</v>
      </c>
      <c r="R94" t="s">
        <v>37</v>
      </c>
      <c r="S94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VUT_Resp_ACC_AxlTrq_Max : 14@1- (3,0) [0|0] "Nm" Vector__XXX</v>
      </c>
      <c r="T94" t="s">
        <v>38</v>
      </c>
      <c r="U94" t="s">
        <v>57</v>
      </c>
      <c r="V94">
        <v>14</v>
      </c>
      <c r="W94">
        <v>0</v>
      </c>
      <c r="X94">
        <v>3</v>
      </c>
      <c r="Y94">
        <v>0</v>
      </c>
      <c r="Z94">
        <f>IF(ObjectList24[[#This Row],[Value Type]]="Signed",(-(2^ObjectList24[[#This Row],[Length '[Bit']]])/2*ObjectList24[[#This Row],[Factor]]+ObjectList24[[#This Row],[Offset]]),(ObjectList24[[#This Row],[Offset]]))</f>
        <v>-24576</v>
      </c>
      <c r="AA94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24573</v>
      </c>
      <c r="AB94" t="s">
        <v>65</v>
      </c>
      <c r="AC94" t="s">
        <v>255</v>
      </c>
    </row>
    <row r="95" spans="1:29" x14ac:dyDescent="0.25">
      <c r="A95">
        <f>LEN(ObjectList24[[#This Row],[Name]])</f>
        <v>23</v>
      </c>
      <c r="E95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VUT_Resp_ACC_AxlTrq_Min</v>
      </c>
      <c r="F95" t="s">
        <v>143</v>
      </c>
      <c r="G95" t="s">
        <v>50</v>
      </c>
      <c r="H95" t="s">
        <v>144</v>
      </c>
      <c r="J95" t="s">
        <v>156</v>
      </c>
      <c r="K95" t="s">
        <v>54</v>
      </c>
      <c r="L95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VUT response - ACC axle torque minimum</v>
      </c>
      <c r="M95" t="s">
        <v>143</v>
      </c>
      <c r="N95" t="s">
        <v>146</v>
      </c>
      <c r="O95" t="s">
        <v>157</v>
      </c>
      <c r="Q95" t="s">
        <v>256</v>
      </c>
      <c r="R95" t="s">
        <v>37</v>
      </c>
      <c r="S95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VUT_Resp_ACC_AxlTrq_Min : 14@1- (3,0) [0|0] "Nm" Vector__XXX</v>
      </c>
      <c r="T95" t="s">
        <v>38</v>
      </c>
      <c r="U95" t="s">
        <v>57</v>
      </c>
      <c r="V95">
        <v>14</v>
      </c>
      <c r="W95">
        <v>0</v>
      </c>
      <c r="X95">
        <v>3</v>
      </c>
      <c r="Y95">
        <v>0</v>
      </c>
      <c r="Z95">
        <f>IF(ObjectList24[[#This Row],[Value Type]]="Signed",(-(2^ObjectList24[[#This Row],[Length '[Bit']]])/2*ObjectList24[[#This Row],[Factor]]+ObjectList24[[#This Row],[Offset]]),(ObjectList24[[#This Row],[Offset]]))</f>
        <v>-24576</v>
      </c>
      <c r="AA95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24573</v>
      </c>
      <c r="AB95" t="s">
        <v>65</v>
      </c>
      <c r="AC95" t="s">
        <v>255</v>
      </c>
    </row>
    <row r="96" spans="1:29" x14ac:dyDescent="0.25">
      <c r="A96">
        <f>LEN(ObjectList24[[#This Row],[Name]])</f>
        <v>24</v>
      </c>
      <c r="E96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VUT_Ctrl_ACC_AxlTrq_Actv</v>
      </c>
      <c r="F96" t="s">
        <v>143</v>
      </c>
      <c r="G96" t="s">
        <v>30</v>
      </c>
      <c r="H96" t="s">
        <v>144</v>
      </c>
      <c r="J96" t="s">
        <v>156</v>
      </c>
      <c r="K96" t="s">
        <v>139</v>
      </c>
      <c r="L96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VUT control - ACC axle torque active</v>
      </c>
      <c r="M96" t="s">
        <v>32</v>
      </c>
      <c r="N96" t="s">
        <v>146</v>
      </c>
      <c r="O96" t="s">
        <v>34</v>
      </c>
      <c r="P96" t="s">
        <v>154</v>
      </c>
      <c r="Q96" t="s">
        <v>162</v>
      </c>
      <c r="R96" t="s">
        <v>37</v>
      </c>
      <c r="S96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VUT_Ctrl_ACC_AxlTrq_Actv : 1@1+ (1,0) [0|0] "bool" Vector__XXX</v>
      </c>
      <c r="T96" t="s">
        <v>38</v>
      </c>
      <c r="U96" t="s">
        <v>39</v>
      </c>
      <c r="V96">
        <v>1</v>
      </c>
      <c r="W96">
        <v>0</v>
      </c>
      <c r="X96">
        <v>1</v>
      </c>
      <c r="Y96">
        <v>0</v>
      </c>
      <c r="Z96">
        <f>IF(ObjectList24[[#This Row],[Value Type]]="Signed",(-(2^ObjectList24[[#This Row],[Length '[Bit']]])/2*ObjectList24[[#This Row],[Factor]]+ObjectList24[[#This Row],[Offset]]),(ObjectList24[[#This Row],[Offset]]))</f>
        <v>0</v>
      </c>
      <c r="AA96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1</v>
      </c>
    </row>
    <row r="97" spans="1:29" x14ac:dyDescent="0.25">
      <c r="A97">
        <f>LEN(ObjectList24[[#This Row],[Name]])</f>
        <v>24</v>
      </c>
      <c r="E97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VUT_Ctrl_LongCtrl_Method</v>
      </c>
      <c r="F97" t="s">
        <v>143</v>
      </c>
      <c r="G97" t="s">
        <v>30</v>
      </c>
      <c r="H97" t="s">
        <v>163</v>
      </c>
      <c r="J97" t="s">
        <v>31</v>
      </c>
      <c r="L97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VUT control - longitudinal control method</v>
      </c>
      <c r="M97" t="s">
        <v>32</v>
      </c>
      <c r="N97" t="s">
        <v>88</v>
      </c>
      <c r="O97" t="s">
        <v>89</v>
      </c>
      <c r="P97" t="s">
        <v>164</v>
      </c>
      <c r="Q97" t="s">
        <v>165</v>
      </c>
      <c r="R97" t="s">
        <v>37</v>
      </c>
      <c r="S97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VUT_Ctrl_LongCtrl_Method : 3@1+ (1,0) [0|0] "enum" Vector__XXX</v>
      </c>
      <c r="T97" t="s">
        <v>38</v>
      </c>
      <c r="U97" t="s">
        <v>39</v>
      </c>
      <c r="V97">
        <v>3</v>
      </c>
      <c r="W97">
        <v>0</v>
      </c>
      <c r="X97">
        <v>1</v>
      </c>
      <c r="Y97">
        <v>0</v>
      </c>
      <c r="Z97">
        <f>IF(ObjectList24[[#This Row],[Value Type]]="Signed",(-(2^ObjectList24[[#This Row],[Length '[Bit']]])/2*ObjectList24[[#This Row],[Factor]]+ObjectList24[[#This Row],[Offset]]),(ObjectList24[[#This Row],[Offset]]))</f>
        <v>0</v>
      </c>
      <c r="AA97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7</v>
      </c>
    </row>
    <row r="98" spans="1:29" x14ac:dyDescent="0.25">
      <c r="A98">
        <f>LEN(ObjectList24[[#This Row],[Name]])</f>
        <v>24</v>
      </c>
      <c r="E98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VUT_Resp_LongCtrl_Status</v>
      </c>
      <c r="F98" t="s">
        <v>143</v>
      </c>
      <c r="G98" t="s">
        <v>50</v>
      </c>
      <c r="H98" t="s">
        <v>163</v>
      </c>
      <c r="J98" t="s">
        <v>87</v>
      </c>
      <c r="L98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VUT response - longitudinal control status</v>
      </c>
      <c r="M98" t="s">
        <v>143</v>
      </c>
      <c r="N98" t="s">
        <v>88</v>
      </c>
      <c r="O98" t="s">
        <v>89</v>
      </c>
      <c r="P98" t="s">
        <v>90</v>
      </c>
      <c r="Q98" t="s">
        <v>257</v>
      </c>
      <c r="R98" t="s">
        <v>37</v>
      </c>
      <c r="S98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VUT_Resp_LongCtrl_Status : 3@1+ (1,0) [0|0] "enum" Vector__XXX</v>
      </c>
      <c r="T98" t="s">
        <v>38</v>
      </c>
      <c r="U98" t="s">
        <v>39</v>
      </c>
      <c r="V98">
        <v>3</v>
      </c>
      <c r="W98">
        <v>0</v>
      </c>
      <c r="X98">
        <v>1</v>
      </c>
      <c r="Y98">
        <v>0</v>
      </c>
      <c r="Z98">
        <f>IF(ObjectList24[[#This Row],[Value Type]]="Signed",(-(2^ObjectList24[[#This Row],[Length '[Bit']]])/2*ObjectList24[[#This Row],[Factor]]+ObjectList24[[#This Row],[Offset]]),(ObjectList24[[#This Row],[Offset]]))</f>
        <v>0</v>
      </c>
      <c r="AA98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7</v>
      </c>
    </row>
    <row r="99" spans="1:29" x14ac:dyDescent="0.25">
      <c r="A99">
        <f>LEN(ObjectList24[[#This Row],[Name]])</f>
        <v>24</v>
      </c>
      <c r="E99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VUT_Resp_ACC_AxlTrq_Meas</v>
      </c>
      <c r="F99" t="s">
        <v>143</v>
      </c>
      <c r="G99" t="s">
        <v>50</v>
      </c>
      <c r="H99" t="s">
        <v>144</v>
      </c>
      <c r="J99" t="s">
        <v>156</v>
      </c>
      <c r="K99" t="s">
        <v>258</v>
      </c>
      <c r="L99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VUT response - ACC axle torque measured</v>
      </c>
      <c r="M99" t="s">
        <v>143</v>
      </c>
      <c r="N99" t="s">
        <v>146</v>
      </c>
      <c r="O99" t="s">
        <v>157</v>
      </c>
      <c r="Q99" t="s">
        <v>259</v>
      </c>
      <c r="R99" t="s">
        <v>37</v>
      </c>
      <c r="S99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VUT_Resp_ACC_AxlTrq_Meas : 16@1- (0.5,0) [0|0] "Nm" Vector__XXX</v>
      </c>
      <c r="T99" t="s">
        <v>38</v>
      </c>
      <c r="U99" t="s">
        <v>57</v>
      </c>
      <c r="V99">
        <v>16</v>
      </c>
      <c r="W99">
        <v>0</v>
      </c>
      <c r="X99">
        <v>0.5</v>
      </c>
      <c r="Y99">
        <v>0</v>
      </c>
      <c r="Z99">
        <f>IF(ObjectList24[[#This Row],[Value Type]]="Signed",(-(2^ObjectList24[[#This Row],[Length '[Bit']]])/2*ObjectList24[[#This Row],[Factor]]+ObjectList24[[#This Row],[Offset]]),(ObjectList24[[#This Row],[Offset]]))</f>
        <v>-16384</v>
      </c>
      <c r="AA99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16383.5</v>
      </c>
      <c r="AB99" t="s">
        <v>65</v>
      </c>
      <c r="AC99" t="s">
        <v>245</v>
      </c>
    </row>
    <row r="100" spans="1:29" x14ac:dyDescent="0.25">
      <c r="A100">
        <f>LEN(ObjectList24[[#This Row],[Name]])</f>
        <v>25</v>
      </c>
      <c r="E100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VUT_Ctrl_ACC_BrkDecel_Cmd</v>
      </c>
      <c r="F100" t="s">
        <v>143</v>
      </c>
      <c r="G100" t="s">
        <v>30</v>
      </c>
      <c r="H100" t="s">
        <v>144</v>
      </c>
      <c r="J100" t="s">
        <v>166</v>
      </c>
      <c r="K100" t="s">
        <v>41</v>
      </c>
      <c r="L100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VUT control - ACC brake deceleration command</v>
      </c>
      <c r="M100" t="s">
        <v>32</v>
      </c>
      <c r="N100" t="s">
        <v>146</v>
      </c>
      <c r="O100" t="s">
        <v>147</v>
      </c>
      <c r="Q100" t="s">
        <v>167</v>
      </c>
      <c r="R100" t="s">
        <v>37</v>
      </c>
      <c r="S100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VUT_Ctrl_ACC_BrkDecel_Cmd : 12@1- (0.01,0) [0|0] "m/s^2" Vector__XXX</v>
      </c>
      <c r="T100" t="s">
        <v>38</v>
      </c>
      <c r="U100" t="s">
        <v>57</v>
      </c>
      <c r="V100">
        <v>12</v>
      </c>
      <c r="W100">
        <v>0</v>
      </c>
      <c r="X100">
        <v>0.01</v>
      </c>
      <c r="Y100">
        <v>0</v>
      </c>
      <c r="Z100">
        <f>IF(ObjectList24[[#This Row],[Value Type]]="Signed",(-(2^ObjectList24[[#This Row],[Length '[Bit']]])/2*ObjectList24[[#This Row],[Factor]]+ObjectList24[[#This Row],[Offset]]),(ObjectList24[[#This Row],[Offset]]))</f>
        <v>-20.48</v>
      </c>
      <c r="AA100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20.47</v>
      </c>
      <c r="AB100" t="s">
        <v>65</v>
      </c>
      <c r="AC100" t="s">
        <v>159</v>
      </c>
    </row>
    <row r="101" spans="1:29" x14ac:dyDescent="0.25">
      <c r="A101">
        <f>LEN(ObjectList24[[#This Row],[Name]])</f>
        <v>25</v>
      </c>
      <c r="E101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VUT_Data_Trns_GearSel_Pos</v>
      </c>
      <c r="F101" t="s">
        <v>143</v>
      </c>
      <c r="G101" t="s">
        <v>67</v>
      </c>
      <c r="H101" t="s">
        <v>149</v>
      </c>
      <c r="J101" t="s">
        <v>236</v>
      </c>
      <c r="K101" t="s">
        <v>135</v>
      </c>
      <c r="L101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VUT data - transmission position</v>
      </c>
      <c r="M101" t="s">
        <v>143</v>
      </c>
      <c r="N101" t="s">
        <v>176</v>
      </c>
      <c r="O101" t="s">
        <v>102</v>
      </c>
      <c r="P101" t="s">
        <v>237</v>
      </c>
      <c r="Q101" t="s">
        <v>238</v>
      </c>
      <c r="R101" t="s">
        <v>37</v>
      </c>
      <c r="S101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VUT_Data_Trns_GearSel_Pos : 3@1+ (1,0) [0|0] "int" Vector__XXX</v>
      </c>
      <c r="T101" t="s">
        <v>38</v>
      </c>
      <c r="U101" t="s">
        <v>39</v>
      </c>
      <c r="V101">
        <v>3</v>
      </c>
      <c r="W101">
        <v>0</v>
      </c>
      <c r="X101">
        <v>1</v>
      </c>
      <c r="Y101">
        <v>0</v>
      </c>
      <c r="Z101">
        <f>IF(ObjectList24[[#This Row],[Value Type]]="Signed",(-(2^ObjectList24[[#This Row],[Length '[Bit']]])/2*ObjectList24[[#This Row],[Factor]]+ObjectList24[[#This Row],[Offset]]),(ObjectList24[[#This Row],[Offset]]))</f>
        <v>0</v>
      </c>
      <c r="AA101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7</v>
      </c>
    </row>
    <row r="102" spans="1:29" x14ac:dyDescent="0.25">
      <c r="A102">
        <f>LEN(ObjectList24[[#This Row],[Name]])</f>
        <v>25</v>
      </c>
      <c r="E102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VUT_Resp_ACC_BrkDecel_Max</v>
      </c>
      <c r="F102" t="s">
        <v>143</v>
      </c>
      <c r="G102" t="s">
        <v>50</v>
      </c>
      <c r="H102" t="s">
        <v>144</v>
      </c>
      <c r="J102" t="s">
        <v>166</v>
      </c>
      <c r="K102" t="s">
        <v>51</v>
      </c>
      <c r="L102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VUT response - ACC brake deceleration maximum</v>
      </c>
      <c r="M102" t="s">
        <v>143</v>
      </c>
      <c r="N102" t="s">
        <v>146</v>
      </c>
      <c r="O102" t="s">
        <v>147</v>
      </c>
      <c r="Q102" t="s">
        <v>260</v>
      </c>
      <c r="R102" t="s">
        <v>37</v>
      </c>
      <c r="S102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VUT_Resp_ACC_BrkDecel_Max : 12@1- (0.01,0) [0|0] "m/s^2" Vector__XXX</v>
      </c>
      <c r="T102" t="s">
        <v>38</v>
      </c>
      <c r="U102" t="s">
        <v>57</v>
      </c>
      <c r="V102">
        <v>12</v>
      </c>
      <c r="W102">
        <v>0</v>
      </c>
      <c r="X102">
        <v>0.01</v>
      </c>
      <c r="Y102">
        <v>0</v>
      </c>
      <c r="Z102">
        <f>IF(ObjectList24[[#This Row],[Value Type]]="Signed",(-(2^ObjectList24[[#This Row],[Length '[Bit']]])/2*ObjectList24[[#This Row],[Factor]]+ObjectList24[[#This Row],[Offset]]),(ObjectList24[[#This Row],[Offset]]))</f>
        <v>-20.48</v>
      </c>
      <c r="AA102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20.47</v>
      </c>
      <c r="AB102" t="s">
        <v>65</v>
      </c>
      <c r="AC102" t="s">
        <v>255</v>
      </c>
    </row>
    <row r="103" spans="1:29" x14ac:dyDescent="0.25">
      <c r="A103">
        <f>LEN(ObjectList24[[#This Row],[Name]])</f>
        <v>25</v>
      </c>
      <c r="E103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VUT_Resp_ACC_BrkDecel_Min</v>
      </c>
      <c r="F103" t="s">
        <v>143</v>
      </c>
      <c r="G103" t="s">
        <v>50</v>
      </c>
      <c r="H103" t="s">
        <v>144</v>
      </c>
      <c r="J103" t="s">
        <v>166</v>
      </c>
      <c r="K103" t="s">
        <v>54</v>
      </c>
      <c r="L103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VUT response - ACC brake deceleration minimum</v>
      </c>
      <c r="M103" t="s">
        <v>143</v>
      </c>
      <c r="N103" t="s">
        <v>146</v>
      </c>
      <c r="O103" t="s">
        <v>147</v>
      </c>
      <c r="Q103" t="s">
        <v>261</v>
      </c>
      <c r="R103" t="s">
        <v>37</v>
      </c>
      <c r="S103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VUT_Resp_ACC_BrkDecel_Min : 12@1- (0.01,0) [0|0] "m/s^2" Vector__XXX</v>
      </c>
      <c r="T103" t="s">
        <v>38</v>
      </c>
      <c r="U103" t="s">
        <v>57</v>
      </c>
      <c r="V103">
        <v>12</v>
      </c>
      <c r="W103">
        <v>0</v>
      </c>
      <c r="X103">
        <v>0.01</v>
      </c>
      <c r="Y103">
        <v>0</v>
      </c>
      <c r="Z103">
        <f>IF(ObjectList24[[#This Row],[Value Type]]="Signed",(-(2^ObjectList24[[#This Row],[Length '[Bit']]])/2*ObjectList24[[#This Row],[Factor]]+ObjectList24[[#This Row],[Offset]]),(ObjectList24[[#This Row],[Offset]]))</f>
        <v>-20.48</v>
      </c>
      <c r="AA103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20.47</v>
      </c>
      <c r="AB103" t="s">
        <v>65</v>
      </c>
      <c r="AC103" t="s">
        <v>255</v>
      </c>
    </row>
    <row r="104" spans="1:29" x14ac:dyDescent="0.25">
      <c r="A104">
        <f>LEN(ObjectList24[[#This Row],[Name]])</f>
        <v>26</v>
      </c>
      <c r="E104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VUT_Ctrl_ACC_BrkDecel_Actv</v>
      </c>
      <c r="F104" t="s">
        <v>143</v>
      </c>
      <c r="G104" t="s">
        <v>30</v>
      </c>
      <c r="H104" t="s">
        <v>144</v>
      </c>
      <c r="J104" t="s">
        <v>166</v>
      </c>
      <c r="K104" t="s">
        <v>139</v>
      </c>
      <c r="L104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VUT control - ACC brake deceleration active</v>
      </c>
      <c r="M104" t="s">
        <v>32</v>
      </c>
      <c r="N104" t="s">
        <v>146</v>
      </c>
      <c r="O104" t="s">
        <v>34</v>
      </c>
      <c r="P104" t="s">
        <v>154</v>
      </c>
      <c r="Q104" t="s">
        <v>168</v>
      </c>
      <c r="R104" t="s">
        <v>37</v>
      </c>
      <c r="S104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VUT_Ctrl_ACC_BrkDecel_Actv : 1@1+ (1,0) [0|0] "bool" Vector__XXX</v>
      </c>
      <c r="T104" t="s">
        <v>38</v>
      </c>
      <c r="U104" t="s">
        <v>39</v>
      </c>
      <c r="V104">
        <v>1</v>
      </c>
      <c r="W104">
        <v>0</v>
      </c>
      <c r="X104">
        <v>1</v>
      </c>
      <c r="Y104">
        <v>0</v>
      </c>
      <c r="Z104">
        <f>IF(ObjectList24[[#This Row],[Value Type]]="Signed",(-(2^ObjectList24[[#This Row],[Length '[Bit']]])/2*ObjectList24[[#This Row],[Factor]]+ObjectList24[[#This Row],[Offset]]),(ObjectList24[[#This Row],[Offset]]))</f>
        <v>0</v>
      </c>
      <c r="AA104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1</v>
      </c>
    </row>
    <row r="105" spans="1:29" x14ac:dyDescent="0.25">
      <c r="A105">
        <f>LEN(ObjectList24[[#This Row],[Name]])</f>
        <v>26</v>
      </c>
      <c r="E105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VUT_Ctrl_Trns_TrqCnvCl_Cmd</v>
      </c>
      <c r="F105" t="s">
        <v>143</v>
      </c>
      <c r="G105" t="s">
        <v>30</v>
      </c>
      <c r="H105" t="s">
        <v>149</v>
      </c>
      <c r="J105" t="s">
        <v>169</v>
      </c>
      <c r="K105" t="s">
        <v>41</v>
      </c>
      <c r="L105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VUT control - transmission command</v>
      </c>
      <c r="M105" t="s">
        <v>32</v>
      </c>
      <c r="N105" t="s">
        <v>151</v>
      </c>
      <c r="O105" t="s">
        <v>89</v>
      </c>
      <c r="P105" t="s">
        <v>170</v>
      </c>
      <c r="Q105" t="s">
        <v>171</v>
      </c>
      <c r="R105" t="s">
        <v>37</v>
      </c>
      <c r="S105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VUT_Ctrl_Trns_TrqCnvCl_Cmd : 1@1+ (1,0) [0|0] "enum" Vector__XXX</v>
      </c>
      <c r="T105" t="s">
        <v>38</v>
      </c>
      <c r="U105" t="s">
        <v>39</v>
      </c>
      <c r="V105">
        <v>1</v>
      </c>
      <c r="W105">
        <v>0</v>
      </c>
      <c r="X105">
        <v>1</v>
      </c>
      <c r="Y105">
        <v>0</v>
      </c>
      <c r="Z105">
        <f>IF(ObjectList24[[#This Row],[Value Type]]="Signed",(-(2^ObjectList24[[#This Row],[Length '[Bit']]])/2*ObjectList24[[#This Row],[Factor]]+ObjectList24[[#This Row],[Offset]]),(ObjectList24[[#This Row],[Offset]]))</f>
        <v>0</v>
      </c>
      <c r="AA105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1</v>
      </c>
    </row>
    <row r="106" spans="1:29" x14ac:dyDescent="0.25">
      <c r="A106">
        <f>LEN(ObjectList24[[#This Row],[Name]])</f>
        <v>27</v>
      </c>
      <c r="E106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VUT_Ctrl_Trns_TrqCnvCl_Actv</v>
      </c>
      <c r="F106" t="s">
        <v>143</v>
      </c>
      <c r="G106" t="s">
        <v>30</v>
      </c>
      <c r="H106" t="s">
        <v>149</v>
      </c>
      <c r="J106" t="s">
        <v>169</v>
      </c>
      <c r="K106" t="s">
        <v>139</v>
      </c>
      <c r="L106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VUT control - transmission active</v>
      </c>
      <c r="M106" t="s">
        <v>32</v>
      </c>
      <c r="N106" t="s">
        <v>151</v>
      </c>
      <c r="O106" t="s">
        <v>34</v>
      </c>
      <c r="P106" t="s">
        <v>154</v>
      </c>
      <c r="Q106" t="s">
        <v>172</v>
      </c>
      <c r="R106" t="s">
        <v>37</v>
      </c>
      <c r="S106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VUT_Ctrl_Trns_TrqCnvCl_Actv : 1@1+ (1,0) [0|0] "bool" Vector__XXX</v>
      </c>
      <c r="T106" t="s">
        <v>38</v>
      </c>
      <c r="U106" t="s">
        <v>39</v>
      </c>
      <c r="V106">
        <v>1</v>
      </c>
      <c r="W106">
        <v>0</v>
      </c>
      <c r="X106">
        <v>1</v>
      </c>
      <c r="Y106">
        <v>0</v>
      </c>
      <c r="Z106">
        <f>IF(ObjectList24[[#This Row],[Value Type]]="Signed",(-(2^ObjectList24[[#This Row],[Length '[Bit']]])/2*ObjectList24[[#This Row],[Factor]]+ObjectList24[[#This Row],[Offset]]),(ObjectList24[[#This Row],[Offset]]))</f>
        <v>0</v>
      </c>
      <c r="AA106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1</v>
      </c>
    </row>
    <row r="107" spans="1:29" x14ac:dyDescent="0.25">
      <c r="A107">
        <f>LEN(ObjectList24[[#This Row],[Name]])</f>
        <v>27</v>
      </c>
      <c r="E107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VUT_Data_Brake_Apply_Status</v>
      </c>
      <c r="F107" t="s">
        <v>143</v>
      </c>
      <c r="G107" t="s">
        <v>67</v>
      </c>
      <c r="H107" t="s">
        <v>239</v>
      </c>
      <c r="I107" t="s">
        <v>240</v>
      </c>
      <c r="J107" t="s">
        <v>87</v>
      </c>
      <c r="L107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VUT data - brake Apply status</v>
      </c>
      <c r="M107" t="s">
        <v>143</v>
      </c>
      <c r="N107" t="s">
        <v>146</v>
      </c>
      <c r="O107" t="s">
        <v>34</v>
      </c>
      <c r="P107" t="s">
        <v>241</v>
      </c>
      <c r="Q107" t="s">
        <v>242</v>
      </c>
      <c r="R107" t="s">
        <v>37</v>
      </c>
      <c r="S107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VUT_Data_Brake_Apply_Status : 1@1+ (1,0) [0|0] "bool" Vector__XXX</v>
      </c>
      <c r="T107" t="s">
        <v>38</v>
      </c>
      <c r="U107" t="s">
        <v>39</v>
      </c>
      <c r="V107">
        <v>1</v>
      </c>
      <c r="W107">
        <v>0</v>
      </c>
      <c r="X107">
        <v>1</v>
      </c>
      <c r="Y107">
        <v>0</v>
      </c>
      <c r="Z107">
        <f>IF(ObjectList24[[#This Row],[Value Type]]="Signed",(-(2^ObjectList24[[#This Row],[Length '[Bit']]])/2*ObjectList24[[#This Row],[Factor]]+ObjectList24[[#This Row],[Offset]]),(ObjectList24[[#This Row],[Offset]]))</f>
        <v>0</v>
      </c>
      <c r="AA107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1</v>
      </c>
    </row>
    <row r="108" spans="1:29" x14ac:dyDescent="0.25">
      <c r="A108">
        <f>LEN(ObjectList24[[#This Row],[Name]])</f>
        <v>27</v>
      </c>
      <c r="E108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VUT_Resp_ACC_AxlTrq_CmdEcho</v>
      </c>
      <c r="F108" t="s">
        <v>143</v>
      </c>
      <c r="G108" t="s">
        <v>50</v>
      </c>
      <c r="H108" t="s">
        <v>144</v>
      </c>
      <c r="J108" t="s">
        <v>156</v>
      </c>
      <c r="K108" t="s">
        <v>95</v>
      </c>
      <c r="L108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VUT response - ACC axle torque command echo</v>
      </c>
      <c r="M108" t="s">
        <v>143</v>
      </c>
      <c r="N108" t="s">
        <v>96</v>
      </c>
      <c r="O108" t="s">
        <v>157</v>
      </c>
      <c r="Q108" t="s">
        <v>262</v>
      </c>
      <c r="R108" t="s">
        <v>37</v>
      </c>
      <c r="S108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VUT_Resp_ACC_AxlTrq_CmdEcho : 16@1- (0.5,0) [0|0] "Nm" Vector__XXX</v>
      </c>
      <c r="T108" t="s">
        <v>38</v>
      </c>
      <c r="U108" t="s">
        <v>57</v>
      </c>
      <c r="V108">
        <v>16</v>
      </c>
      <c r="W108">
        <v>0</v>
      </c>
      <c r="X108">
        <v>0.5</v>
      </c>
      <c r="Y108">
        <v>0</v>
      </c>
      <c r="Z108">
        <f>IF(ObjectList24[[#This Row],[Value Type]]="Signed",(-(2^ObjectList24[[#This Row],[Length '[Bit']]])/2*ObjectList24[[#This Row],[Factor]]+ObjectList24[[#This Row],[Offset]]),(ObjectList24[[#This Row],[Offset]]))</f>
        <v>-16384</v>
      </c>
      <c r="AA108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16383.5</v>
      </c>
      <c r="AB108" t="s">
        <v>65</v>
      </c>
      <c r="AC108" t="s">
        <v>245</v>
      </c>
    </row>
    <row r="109" spans="1:29" x14ac:dyDescent="0.25">
      <c r="A109">
        <f>LEN(ObjectList24[[#This Row],[Name]])</f>
        <v>29</v>
      </c>
      <c r="E109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>VUT_Resp_ACC_BrkDecel_CmdEcho</v>
      </c>
      <c r="F109" t="s">
        <v>143</v>
      </c>
      <c r="G109" t="s">
        <v>50</v>
      </c>
      <c r="H109" t="s">
        <v>144</v>
      </c>
      <c r="J109" t="s">
        <v>166</v>
      </c>
      <c r="K109" t="s">
        <v>95</v>
      </c>
      <c r="L109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VUT response - ACC brake deceleration command echo</v>
      </c>
      <c r="M109" t="s">
        <v>143</v>
      </c>
      <c r="N109" t="s">
        <v>96</v>
      </c>
      <c r="O109" t="s">
        <v>147</v>
      </c>
      <c r="Q109" t="s">
        <v>263</v>
      </c>
      <c r="R109" t="s">
        <v>37</v>
      </c>
      <c r="S109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VUT_Resp_ACC_BrkDecel_CmdEcho : 12@1- (0.01,0) [0|0] "m/s^2" Vector__XXX</v>
      </c>
      <c r="T109" t="s">
        <v>38</v>
      </c>
      <c r="U109" t="s">
        <v>57</v>
      </c>
      <c r="V109">
        <v>12</v>
      </c>
      <c r="W109">
        <v>0</v>
      </c>
      <c r="X109">
        <v>0.01</v>
      </c>
      <c r="Y109">
        <v>0</v>
      </c>
      <c r="Z109">
        <f>IF(ObjectList24[[#This Row],[Value Type]]="Signed",(-(2^ObjectList24[[#This Row],[Length '[Bit']]])/2*ObjectList24[[#This Row],[Factor]]+ObjectList24[[#This Row],[Offset]]),(ObjectList24[[#This Row],[Offset]]))</f>
        <v>-20.48</v>
      </c>
      <c r="AA109">
        <f>IF(ObjectList24[[#This Row],[Value Type]]="Signed",(((2^ObjectList24[[#This Row],[Length '[Bit']]]))/2-1)*ObjectList24[[#This Row],[Factor]]+ObjectList24[[#This Row],[Offset]],(((2^ObjectList24[[#This Row],[Length '[Bit']]])-1)*ObjectList24[[#This Row],[Factor]]+ObjectList24[[#This Row],[Offset]]))</f>
        <v>20.47</v>
      </c>
      <c r="AB109" t="s">
        <v>65</v>
      </c>
      <c r="AC109" t="s">
        <v>193</v>
      </c>
    </row>
    <row r="110" spans="1:29" x14ac:dyDescent="0.25">
      <c r="A110">
        <f>LEN(ObjectList24[[#This Row],[Name]])</f>
        <v>0</v>
      </c>
      <c r="E110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/>
      </c>
      <c r="L110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-</v>
      </c>
      <c r="S110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 : @1+ (,) [0|0] "" Vector__XXX</v>
      </c>
    </row>
    <row r="111" spans="1:29" x14ac:dyDescent="0.25">
      <c r="A111">
        <f>LEN(ObjectList24[[#This Row],[Name]])</f>
        <v>0</v>
      </c>
      <c r="E111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/>
      </c>
      <c r="L111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-</v>
      </c>
      <c r="S111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 : @1+ (,) [0|0] "" Vector__XXX</v>
      </c>
    </row>
    <row r="112" spans="1:29" x14ac:dyDescent="0.25">
      <c r="A112">
        <f>LEN(ObjectList24[[#This Row],[Name]])</f>
        <v>0</v>
      </c>
      <c r="E112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/>
      </c>
      <c r="L112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-</v>
      </c>
      <c r="S112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 : @1+ (,) [0|0] "" Vector__XXX</v>
      </c>
    </row>
    <row r="113" spans="1:19" x14ac:dyDescent="0.25">
      <c r="A113">
        <f>LEN(ObjectList24[[#This Row],[Name]])</f>
        <v>0</v>
      </c>
      <c r="E113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/>
      </c>
      <c r="L113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-</v>
      </c>
      <c r="S113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 : @1+ (,) [0|0] "" Vector__XXX</v>
      </c>
    </row>
    <row r="114" spans="1:19" x14ac:dyDescent="0.25">
      <c r="A114">
        <f>LEN(ObjectList24[[#This Row],[Name]])</f>
        <v>0</v>
      </c>
      <c r="E114" t="str">
        <f>_xlfn.TEXTJOIN("_",TRUE,ObjectList24[[#This Row],[System]],ObjectList24[[#This Row],[Category]],ObjectList24[[#This Row],[Subsystem]],ObjectList24[[#This Row],[Subsystem Number]],ObjectList24[[#This Row],[Type]],ObjectList24[[#This Row],[Descriptor]])</f>
        <v/>
      </c>
      <c r="L114" t="str">
        <f>_xlfn.TEXTJOIN(" ",TRUE,ObjectList24[[#This Row],[System]],_xlfn.XLOOKUP(ObjectList24[[#This Row],[Category]],Table2[Abbreviations],Table2[Definition],""),"-",_xlfn.XLOOKUP(ObjectList24[[#This Row],[Subsystem]],Table2[Abbreviations],Table2[Definition],""),ObjectList24[[#This Row],[Subsystem Number]],_xlfn.XLOOKUP(ObjectList24[[#This Row],[Type]],Table2[Abbreviations],Table2[Definition],""),_xlfn.XLOOKUP(ObjectList24[[#This Row],[Descriptor]],Table2[Abbreviations],Table2[Definition],""))</f>
        <v>-</v>
      </c>
      <c r="S114" t="str">
        <f>_xlfn.CONCAT(" SG_ ",ObjectList24[[#This Row],[Name]]," : ",ObjectList24[[#This Row],[Length '[Bit']]],"@1",IF(ObjectList24[[#This Row],[Value Type]]="Signed","-","+")," (",ObjectList24[[#This Row],[Factor]],",",ObjectList24[[#This Row],[Offset]],") [0|0] ",CHAR(34),ObjectList24[[#This Row],[Unit]],CHAR(34), " Vector__XXX" )</f>
        <v xml:space="preserve"> SG_  : @1+ (,) [0|0] "" Vector__XXX</v>
      </c>
    </row>
  </sheetData>
  <mergeCells count="1">
    <mergeCell ref="A1:K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4221A-8092-4147-BCCB-A56BC1B302FF}">
  <dimension ref="B3:F101"/>
  <sheetViews>
    <sheetView topLeftCell="A53" workbookViewId="0">
      <selection activeCell="B89" sqref="B89"/>
    </sheetView>
    <sheetView workbookViewId="1">
      <selection activeCell="D10" sqref="D10"/>
    </sheetView>
  </sheetViews>
  <sheetFormatPr defaultRowHeight="15" x14ac:dyDescent="0.25"/>
  <cols>
    <col min="1" max="1" width="3.28515625" customWidth="1"/>
    <col min="2" max="2" width="15.5703125" customWidth="1"/>
    <col min="3" max="3" width="48.85546875" bestFit="1" customWidth="1"/>
    <col min="4" max="4" width="18" customWidth="1"/>
    <col min="5" max="5" width="22.28515625" bestFit="1" customWidth="1"/>
    <col min="6" max="6" width="66.42578125" customWidth="1"/>
    <col min="8" max="8" width="13.5703125" bestFit="1" customWidth="1"/>
  </cols>
  <sheetData>
    <row r="3" spans="2:6" x14ac:dyDescent="0.25">
      <c r="B3" s="6" t="s">
        <v>272</v>
      </c>
      <c r="C3" s="6" t="s">
        <v>273</v>
      </c>
      <c r="E3" s="1" t="s">
        <v>96</v>
      </c>
      <c r="F3" s="3" t="s">
        <v>274</v>
      </c>
    </row>
    <row r="4" spans="2:6" x14ac:dyDescent="0.25">
      <c r="B4" s="2" t="s">
        <v>144</v>
      </c>
      <c r="C4" t="s">
        <v>144</v>
      </c>
      <c r="E4" s="1" t="s">
        <v>33</v>
      </c>
      <c r="F4" t="s">
        <v>275</v>
      </c>
    </row>
    <row r="5" spans="2:6" x14ac:dyDescent="0.25">
      <c r="B5" s="2" t="s">
        <v>145</v>
      </c>
      <c r="C5" t="s">
        <v>276</v>
      </c>
      <c r="E5" s="5" t="s">
        <v>277</v>
      </c>
      <c r="F5" t="s">
        <v>278</v>
      </c>
    </row>
    <row r="6" spans="2:6" x14ac:dyDescent="0.25">
      <c r="B6" s="2" t="s">
        <v>139</v>
      </c>
      <c r="C6" t="s">
        <v>279</v>
      </c>
      <c r="E6" s="1" t="s">
        <v>88</v>
      </c>
      <c r="F6" t="s">
        <v>280</v>
      </c>
    </row>
    <row r="7" spans="2:6" x14ac:dyDescent="0.25">
      <c r="B7" s="2" t="s">
        <v>134</v>
      </c>
      <c r="C7" t="s">
        <v>281</v>
      </c>
      <c r="E7" s="1" t="s">
        <v>176</v>
      </c>
      <c r="F7" t="s">
        <v>282</v>
      </c>
    </row>
    <row r="8" spans="2:6" x14ac:dyDescent="0.25">
      <c r="B8" s="2" t="s">
        <v>29</v>
      </c>
      <c r="C8" t="s">
        <v>283</v>
      </c>
      <c r="E8" s="1" t="s">
        <v>146</v>
      </c>
      <c r="F8" t="s">
        <v>284</v>
      </c>
    </row>
    <row r="9" spans="2:6" x14ac:dyDescent="0.25">
      <c r="B9" s="2" t="s">
        <v>285</v>
      </c>
      <c r="C9" t="s">
        <v>286</v>
      </c>
      <c r="E9" s="1" t="s">
        <v>151</v>
      </c>
      <c r="F9" t="s">
        <v>287</v>
      </c>
    </row>
    <row r="10" spans="2:6" x14ac:dyDescent="0.25">
      <c r="B10" t="s">
        <v>156</v>
      </c>
      <c r="C10" t="s">
        <v>288</v>
      </c>
      <c r="E10" s="2"/>
    </row>
    <row r="11" spans="2:6" x14ac:dyDescent="0.25">
      <c r="B11" t="s">
        <v>137</v>
      </c>
      <c r="C11" t="s">
        <v>289</v>
      </c>
      <c r="E11" t="s">
        <v>50</v>
      </c>
      <c r="F11" t="s">
        <v>290</v>
      </c>
    </row>
    <row r="12" spans="2:6" x14ac:dyDescent="0.25">
      <c r="B12" t="s">
        <v>239</v>
      </c>
      <c r="C12" t="s">
        <v>291</v>
      </c>
      <c r="E12" s="2" t="s">
        <v>30</v>
      </c>
      <c r="F12" t="s">
        <v>292</v>
      </c>
    </row>
    <row r="13" spans="2:6" x14ac:dyDescent="0.25">
      <c r="B13" t="s">
        <v>293</v>
      </c>
      <c r="C13" t="s">
        <v>291</v>
      </c>
      <c r="E13" s="1" t="s">
        <v>99</v>
      </c>
    </row>
    <row r="14" spans="2:6" x14ac:dyDescent="0.25">
      <c r="B14" t="s">
        <v>166</v>
      </c>
      <c r="C14" t="s">
        <v>294</v>
      </c>
      <c r="E14" s="2" t="s">
        <v>32</v>
      </c>
      <c r="F14" t="s">
        <v>295</v>
      </c>
    </row>
    <row r="15" spans="2:6" x14ac:dyDescent="0.25">
      <c r="B15" t="s">
        <v>296</v>
      </c>
      <c r="C15" t="s">
        <v>297</v>
      </c>
      <c r="E15" s="1" t="s">
        <v>67</v>
      </c>
      <c r="F15" t="s">
        <v>298</v>
      </c>
    </row>
    <row r="16" spans="2:6" x14ac:dyDescent="0.25">
      <c r="B16" t="s">
        <v>194</v>
      </c>
      <c r="C16" t="s">
        <v>299</v>
      </c>
      <c r="E16" s="2"/>
    </row>
    <row r="17" spans="2:5" x14ac:dyDescent="0.25">
      <c r="B17" t="s">
        <v>300</v>
      </c>
      <c r="C17" t="s">
        <v>301</v>
      </c>
      <c r="E17" s="1"/>
    </row>
    <row r="18" spans="2:5" x14ac:dyDescent="0.25">
      <c r="B18" t="s">
        <v>41</v>
      </c>
      <c r="C18" t="s">
        <v>302</v>
      </c>
      <c r="E18" s="2"/>
    </row>
    <row r="19" spans="2:5" x14ac:dyDescent="0.25">
      <c r="B19" t="s">
        <v>95</v>
      </c>
      <c r="C19" t="s">
        <v>303</v>
      </c>
    </row>
    <row r="20" spans="2:5" x14ac:dyDescent="0.25">
      <c r="B20" t="s">
        <v>30</v>
      </c>
      <c r="C20" t="s">
        <v>304</v>
      </c>
      <c r="E20" s="4"/>
    </row>
    <row r="21" spans="2:5" x14ac:dyDescent="0.25">
      <c r="B21" t="s">
        <v>44</v>
      </c>
      <c r="C21" t="s">
        <v>305</v>
      </c>
      <c r="E21" s="5"/>
    </row>
    <row r="22" spans="2:5" x14ac:dyDescent="0.25">
      <c r="B22" t="s">
        <v>271</v>
      </c>
      <c r="C22" t="s">
        <v>306</v>
      </c>
      <c r="E22" s="4"/>
    </row>
    <row r="23" spans="2:5" x14ac:dyDescent="0.25">
      <c r="B23" t="s">
        <v>105</v>
      </c>
      <c r="C23" t="s">
        <v>307</v>
      </c>
      <c r="E23" s="5"/>
    </row>
    <row r="24" spans="2:5" x14ac:dyDescent="0.25">
      <c r="B24" t="s">
        <v>67</v>
      </c>
      <c r="C24" t="s">
        <v>308</v>
      </c>
      <c r="E24" s="4"/>
    </row>
    <row r="25" spans="2:5" x14ac:dyDescent="0.25">
      <c r="B25" t="s">
        <v>196</v>
      </c>
      <c r="C25" t="s">
        <v>309</v>
      </c>
      <c r="E25" s="5"/>
    </row>
    <row r="26" spans="2:5" x14ac:dyDescent="0.25">
      <c r="B26" t="s">
        <v>310</v>
      </c>
      <c r="C26" t="s">
        <v>311</v>
      </c>
      <c r="E26" s="4"/>
    </row>
    <row r="27" spans="2:5" x14ac:dyDescent="0.25">
      <c r="B27" t="s">
        <v>61</v>
      </c>
      <c r="C27" t="s">
        <v>312</v>
      </c>
    </row>
    <row r="28" spans="2:5" x14ac:dyDescent="0.25">
      <c r="B28" t="s">
        <v>178</v>
      </c>
      <c r="C28" t="s">
        <v>313</v>
      </c>
      <c r="E28" s="2"/>
    </row>
    <row r="29" spans="2:5" x14ac:dyDescent="0.25">
      <c r="B29" t="s">
        <v>198</v>
      </c>
      <c r="C29" t="s">
        <v>314</v>
      </c>
      <c r="E29" s="1"/>
    </row>
    <row r="30" spans="2:5" x14ac:dyDescent="0.25">
      <c r="B30" t="s">
        <v>174</v>
      </c>
      <c r="C30" t="s">
        <v>315</v>
      </c>
      <c r="E30" s="2"/>
    </row>
    <row r="31" spans="2:5" x14ac:dyDescent="0.25">
      <c r="B31" t="s">
        <v>98</v>
      </c>
      <c r="C31" t="s">
        <v>316</v>
      </c>
      <c r="E31" s="1"/>
    </row>
    <row r="32" spans="2:5" x14ac:dyDescent="0.25">
      <c r="B32" t="s">
        <v>216</v>
      </c>
      <c r="C32" t="s">
        <v>317</v>
      </c>
      <c r="E32" s="2"/>
    </row>
    <row r="33" spans="2:5" x14ac:dyDescent="0.25">
      <c r="B33" t="s">
        <v>218</v>
      </c>
      <c r="C33" t="s">
        <v>318</v>
      </c>
      <c r="E33" s="1"/>
    </row>
    <row r="34" spans="2:5" x14ac:dyDescent="0.25">
      <c r="B34" t="s">
        <v>319</v>
      </c>
      <c r="C34" t="s">
        <v>320</v>
      </c>
      <c r="E34" s="2"/>
    </row>
    <row r="35" spans="2:5" x14ac:dyDescent="0.25">
      <c r="B35" t="s">
        <v>117</v>
      </c>
      <c r="C35" t="s">
        <v>321</v>
      </c>
      <c r="E35" s="1"/>
    </row>
    <row r="36" spans="2:5" x14ac:dyDescent="0.25">
      <c r="B36" t="s">
        <v>123</v>
      </c>
      <c r="C36" t="s">
        <v>322</v>
      </c>
      <c r="E36" s="2"/>
    </row>
    <row r="37" spans="2:5" x14ac:dyDescent="0.25">
      <c r="B37" t="s">
        <v>323</v>
      </c>
      <c r="C37" t="s">
        <v>324</v>
      </c>
      <c r="E37" s="1"/>
    </row>
    <row r="38" spans="2:5" x14ac:dyDescent="0.25">
      <c r="B38" t="s">
        <v>116</v>
      </c>
      <c r="C38" t="s">
        <v>325</v>
      </c>
      <c r="E38" s="2"/>
    </row>
    <row r="39" spans="2:5" x14ac:dyDescent="0.25">
      <c r="B39" t="s">
        <v>120</v>
      </c>
      <c r="C39" t="s">
        <v>326</v>
      </c>
      <c r="E39" s="1"/>
    </row>
    <row r="40" spans="2:5" x14ac:dyDescent="0.25">
      <c r="B40" t="s">
        <v>122</v>
      </c>
      <c r="C40" t="s">
        <v>327</v>
      </c>
      <c r="E40" s="2"/>
    </row>
    <row r="41" spans="2:5" x14ac:dyDescent="0.25">
      <c r="B41" t="s">
        <v>150</v>
      </c>
      <c r="C41" t="s">
        <v>328</v>
      </c>
    </row>
    <row r="42" spans="2:5" x14ac:dyDescent="0.25">
      <c r="B42" t="s">
        <v>181</v>
      </c>
      <c r="C42" t="s">
        <v>329</v>
      </c>
      <c r="E42" s="2"/>
    </row>
    <row r="43" spans="2:5" x14ac:dyDescent="0.25">
      <c r="B43" t="s">
        <v>62</v>
      </c>
      <c r="C43" t="s">
        <v>330</v>
      </c>
      <c r="E43" s="2"/>
    </row>
    <row r="44" spans="2:5" x14ac:dyDescent="0.25">
      <c r="B44" t="s">
        <v>114</v>
      </c>
      <c r="C44" t="s">
        <v>331</v>
      </c>
      <c r="E44" s="1"/>
    </row>
    <row r="45" spans="2:5" x14ac:dyDescent="0.25">
      <c r="B45" t="s">
        <v>101</v>
      </c>
      <c r="C45" t="s">
        <v>332</v>
      </c>
      <c r="E45" s="2"/>
    </row>
    <row r="46" spans="2:5" x14ac:dyDescent="0.25">
      <c r="B46" t="s">
        <v>333</v>
      </c>
      <c r="C46" t="s">
        <v>334</v>
      </c>
      <c r="E46" s="1"/>
    </row>
    <row r="47" spans="2:5" x14ac:dyDescent="0.25">
      <c r="B47" t="s">
        <v>163</v>
      </c>
      <c r="C47" t="s">
        <v>335</v>
      </c>
      <c r="E47" s="2"/>
    </row>
    <row r="48" spans="2:5" x14ac:dyDescent="0.25">
      <c r="B48" t="s">
        <v>227</v>
      </c>
      <c r="C48" t="s">
        <v>336</v>
      </c>
      <c r="E48" s="1"/>
    </row>
    <row r="49" spans="2:5" x14ac:dyDescent="0.25">
      <c r="B49" t="s">
        <v>32</v>
      </c>
      <c r="C49" t="s">
        <v>337</v>
      </c>
      <c r="E49" s="2"/>
    </row>
    <row r="50" spans="2:5" x14ac:dyDescent="0.25">
      <c r="B50" t="s">
        <v>51</v>
      </c>
      <c r="C50" t="s">
        <v>338</v>
      </c>
      <c r="E50" s="1"/>
    </row>
    <row r="51" spans="2:5" x14ac:dyDescent="0.25">
      <c r="B51" t="s">
        <v>258</v>
      </c>
      <c r="C51" t="s">
        <v>339</v>
      </c>
      <c r="E51" s="2"/>
    </row>
    <row r="52" spans="2:5" x14ac:dyDescent="0.25">
      <c r="B52" t="s">
        <v>31</v>
      </c>
      <c r="C52" t="s">
        <v>340</v>
      </c>
      <c r="E52" s="1"/>
    </row>
    <row r="53" spans="2:5" x14ac:dyDescent="0.25">
      <c r="B53" t="s">
        <v>54</v>
      </c>
      <c r="C53" t="s">
        <v>341</v>
      </c>
      <c r="E53" s="2"/>
    </row>
    <row r="54" spans="2:5" x14ac:dyDescent="0.25">
      <c r="B54" t="s">
        <v>202</v>
      </c>
      <c r="C54" t="s">
        <v>342</v>
      </c>
      <c r="E54" s="1"/>
    </row>
    <row r="55" spans="2:5" x14ac:dyDescent="0.25">
      <c r="B55" t="s">
        <v>232</v>
      </c>
      <c r="C55" t="s">
        <v>343</v>
      </c>
      <c r="E55" s="2"/>
    </row>
    <row r="56" spans="2:5" x14ac:dyDescent="0.25">
      <c r="B56" t="s">
        <v>135</v>
      </c>
      <c r="C56" t="s">
        <v>344</v>
      </c>
      <c r="E56" s="1"/>
    </row>
    <row r="57" spans="2:5" x14ac:dyDescent="0.25">
      <c r="B57" t="s">
        <v>40</v>
      </c>
      <c r="C57" t="s">
        <v>345</v>
      </c>
      <c r="E57" s="2"/>
    </row>
    <row r="58" spans="2:5" x14ac:dyDescent="0.25">
      <c r="B58" t="s">
        <v>249</v>
      </c>
      <c r="C58" t="s">
        <v>346</v>
      </c>
      <c r="E58" s="1"/>
    </row>
    <row r="59" spans="2:5" x14ac:dyDescent="0.25">
      <c r="B59" t="s">
        <v>50</v>
      </c>
      <c r="C59" t="s">
        <v>347</v>
      </c>
      <c r="E59" s="2"/>
    </row>
    <row r="60" spans="2:5" x14ac:dyDescent="0.25">
      <c r="B60" t="s">
        <v>220</v>
      </c>
      <c r="C60" t="s">
        <v>348</v>
      </c>
      <c r="E60" s="1"/>
    </row>
    <row r="61" spans="2:5" x14ac:dyDescent="0.25">
      <c r="B61" t="s">
        <v>133</v>
      </c>
      <c r="C61" t="s">
        <v>349</v>
      </c>
      <c r="E61" s="2"/>
    </row>
    <row r="62" spans="2:5" x14ac:dyDescent="0.25">
      <c r="B62" t="s">
        <v>222</v>
      </c>
      <c r="C62" t="s">
        <v>350</v>
      </c>
      <c r="E62" s="1"/>
    </row>
    <row r="63" spans="2:5" x14ac:dyDescent="0.25">
      <c r="B63" t="s">
        <v>351</v>
      </c>
      <c r="C63" t="s">
        <v>352</v>
      </c>
      <c r="E63" s="2"/>
    </row>
    <row r="64" spans="2:5" x14ac:dyDescent="0.25">
      <c r="B64" t="s">
        <v>175</v>
      </c>
      <c r="C64" t="s">
        <v>353</v>
      </c>
      <c r="E64" s="1"/>
    </row>
    <row r="65" spans="2:5" x14ac:dyDescent="0.25">
      <c r="B65" t="s">
        <v>354</v>
      </c>
      <c r="C65" t="s">
        <v>355</v>
      </c>
      <c r="E65" s="2"/>
    </row>
    <row r="66" spans="2:5" x14ac:dyDescent="0.25">
      <c r="B66" t="s">
        <v>128</v>
      </c>
      <c r="C66" t="s">
        <v>356</v>
      </c>
      <c r="E66" s="1"/>
    </row>
    <row r="67" spans="2:5" x14ac:dyDescent="0.25">
      <c r="B67" t="s">
        <v>75</v>
      </c>
      <c r="C67" t="s">
        <v>357</v>
      </c>
      <c r="E67" s="2"/>
    </row>
    <row r="68" spans="2:5" x14ac:dyDescent="0.25">
      <c r="B68" t="s">
        <v>111</v>
      </c>
      <c r="C68" t="s">
        <v>358</v>
      </c>
      <c r="E68" s="1"/>
    </row>
    <row r="69" spans="2:5" x14ac:dyDescent="0.25">
      <c r="B69" t="s">
        <v>359</v>
      </c>
      <c r="C69" t="s">
        <v>360</v>
      </c>
      <c r="E69" s="2"/>
    </row>
    <row r="70" spans="2:5" x14ac:dyDescent="0.25">
      <c r="B70" t="s">
        <v>87</v>
      </c>
      <c r="C70" t="s">
        <v>361</v>
      </c>
      <c r="E70" s="1"/>
    </row>
    <row r="71" spans="2:5" x14ac:dyDescent="0.25">
      <c r="B71" t="s">
        <v>108</v>
      </c>
      <c r="C71" t="s">
        <v>362</v>
      </c>
      <c r="E71" s="2"/>
    </row>
    <row r="72" spans="2:5" x14ac:dyDescent="0.25">
      <c r="B72" t="s">
        <v>131</v>
      </c>
      <c r="C72" t="s">
        <v>363</v>
      </c>
      <c r="E72" s="1"/>
    </row>
    <row r="73" spans="2:5" x14ac:dyDescent="0.25">
      <c r="B73" t="s">
        <v>68</v>
      </c>
      <c r="C73" t="s">
        <v>364</v>
      </c>
      <c r="E73" s="2"/>
    </row>
    <row r="74" spans="2:5" x14ac:dyDescent="0.25">
      <c r="B74" t="s">
        <v>100</v>
      </c>
      <c r="C74" t="s">
        <v>365</v>
      </c>
    </row>
    <row r="75" spans="2:5" x14ac:dyDescent="0.25">
      <c r="B75" t="s">
        <v>104</v>
      </c>
      <c r="C75" t="s">
        <v>366</v>
      </c>
      <c r="E75" s="2"/>
    </row>
    <row r="76" spans="2:5" x14ac:dyDescent="0.25">
      <c r="B76" t="s">
        <v>149</v>
      </c>
      <c r="C76" t="s">
        <v>367</v>
      </c>
      <c r="E76" s="1"/>
    </row>
    <row r="77" spans="2:5" x14ac:dyDescent="0.25">
      <c r="B77" t="s">
        <v>179</v>
      </c>
      <c r="C77" t="s">
        <v>368</v>
      </c>
      <c r="E77" s="2"/>
    </row>
    <row r="78" spans="2:5" x14ac:dyDescent="0.25">
      <c r="B78" t="s">
        <v>369</v>
      </c>
      <c r="C78" t="s">
        <v>370</v>
      </c>
      <c r="E78" s="1"/>
    </row>
    <row r="79" spans="2:5" x14ac:dyDescent="0.25">
      <c r="B79" t="s">
        <v>9</v>
      </c>
      <c r="C79" t="s">
        <v>371</v>
      </c>
      <c r="E79" s="2"/>
    </row>
    <row r="80" spans="2:5" x14ac:dyDescent="0.25">
      <c r="B80" t="s">
        <v>92</v>
      </c>
      <c r="C80" t="s">
        <v>372</v>
      </c>
      <c r="E80" s="1"/>
    </row>
    <row r="81" spans="2:5" x14ac:dyDescent="0.25">
      <c r="B81" t="s">
        <v>191</v>
      </c>
      <c r="C81" t="s">
        <v>373</v>
      </c>
      <c r="E81" s="2"/>
    </row>
    <row r="82" spans="2:5" x14ac:dyDescent="0.25">
      <c r="B82" t="s">
        <v>47</v>
      </c>
      <c r="C82" t="s">
        <v>374</v>
      </c>
      <c r="E82" s="1"/>
    </row>
    <row r="83" spans="2:5" x14ac:dyDescent="0.25">
      <c r="B83" t="s">
        <v>230</v>
      </c>
      <c r="C83" t="s">
        <v>375</v>
      </c>
      <c r="E83" s="2"/>
    </row>
    <row r="84" spans="2:5" x14ac:dyDescent="0.25">
      <c r="B84" t="s">
        <v>143</v>
      </c>
      <c r="C84" t="s">
        <v>376</v>
      </c>
      <c r="E84" s="1"/>
    </row>
    <row r="85" spans="2:5" x14ac:dyDescent="0.25">
      <c r="B85" t="s">
        <v>215</v>
      </c>
      <c r="C85" t="s">
        <v>377</v>
      </c>
      <c r="E85" s="2"/>
    </row>
    <row r="86" spans="2:5" x14ac:dyDescent="0.25">
      <c r="B86" t="s">
        <v>83</v>
      </c>
      <c r="C86" t="s">
        <v>378</v>
      </c>
      <c r="E86" s="2"/>
    </row>
    <row r="87" spans="2:5" x14ac:dyDescent="0.25">
      <c r="B87" t="s">
        <v>85</v>
      </c>
      <c r="C87" t="s">
        <v>379</v>
      </c>
      <c r="E87" s="1"/>
    </row>
    <row r="88" spans="2:5" x14ac:dyDescent="0.25">
      <c r="B88" t="s">
        <v>99</v>
      </c>
      <c r="C88" t="s">
        <v>380</v>
      </c>
      <c r="E88" s="1"/>
    </row>
    <row r="89" spans="2:5" x14ac:dyDescent="0.25">
      <c r="B89" t="s">
        <v>78</v>
      </c>
      <c r="C89" t="s">
        <v>381</v>
      </c>
      <c r="E89" s="1"/>
    </row>
    <row r="90" spans="2:5" x14ac:dyDescent="0.25">
      <c r="B90" t="s">
        <v>74</v>
      </c>
      <c r="C90" t="s">
        <v>382</v>
      </c>
      <c r="E90" s="2"/>
    </row>
    <row r="91" spans="2:5" x14ac:dyDescent="0.25">
      <c r="E91" s="1"/>
    </row>
    <row r="92" spans="2:5" x14ac:dyDescent="0.25">
      <c r="E92" s="2"/>
    </row>
    <row r="93" spans="2:5" x14ac:dyDescent="0.25">
      <c r="E93" s="1"/>
    </row>
    <row r="94" spans="2:5" x14ac:dyDescent="0.25">
      <c r="E94" s="2"/>
    </row>
    <row r="96" spans="2:5" x14ac:dyDescent="0.25">
      <c r="E96" s="2"/>
    </row>
    <row r="97" spans="5:5" x14ac:dyDescent="0.25">
      <c r="E97" s="1"/>
    </row>
    <row r="98" spans="5:5" x14ac:dyDescent="0.25">
      <c r="E98" s="2"/>
    </row>
    <row r="99" spans="5:5" x14ac:dyDescent="0.25">
      <c r="E99" s="1"/>
    </row>
    <row r="100" spans="5:5" x14ac:dyDescent="0.25">
      <c r="E100" s="2"/>
    </row>
    <row r="101" spans="5:5" x14ac:dyDescent="0.25">
      <c r="E101" s="1"/>
    </row>
  </sheetData>
  <phoneticPr fontId="18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ACDAAC-7C58-4E31-8286-CF6F5C51E1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FlexIL UDP Signals</vt:lpstr>
      <vt:lpstr>FlexIL CAN Signals</vt:lpstr>
      <vt:lpstr>Terminology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Crain, Trevor Alexander</dc:creator>
  <cp:keywords/>
  <dc:description/>
  <cp:lastModifiedBy>Crain, Trevor Alexander</cp:lastModifiedBy>
  <cp:revision/>
  <dcterms:created xsi:type="dcterms:W3CDTF">2021-11-02T16:29:11Z</dcterms:created>
  <dcterms:modified xsi:type="dcterms:W3CDTF">2023-09-08T12:55:00Z</dcterms:modified>
  <cp:category/>
  <cp:contentStatus/>
</cp:coreProperties>
</file>