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6.xml" ContentType="application/vnd.openxmlformats-officedocument.drawing+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51196F13-6AD0-C1B8-E2B4-A1F9AE17003E}"/>
  <workbookPr codeName="ThisWorkbook" defaultThemeVersion="124226"/>
  <mc:AlternateContent xmlns:mc="http://schemas.openxmlformats.org/markup-compatibility/2006">
    <mc:Choice Requires="x15">
      <x15ac:absPath xmlns:x15ac="http://schemas.microsoft.com/office/spreadsheetml/2010/11/ac" url="\\ascend.egs.anl.gov\groups\aptf_docs\vehicles\2003 - 2019 Nissan Leaf E+ (NHTSA)\2-Instrumentation_and_Test_Plan\"/>
    </mc:Choice>
  </mc:AlternateContent>
  <xr:revisionPtr revIDLastSave="0" documentId="8_{55BDB16B-EA5D-4613-A77F-80F1846E4D8F}" xr6:coauthVersionLast="47" xr6:coauthVersionMax="47" xr10:uidLastSave="{00000000-0000-0000-0000-000000000000}"/>
  <bookViews>
    <workbookView xWindow="-120" yWindow="-120" windowWidth="29040" windowHeight="15990" activeTab="2" xr2:uid="{00000000-000D-0000-FFFF-FFFF00000000}"/>
  </bookViews>
  <sheets>
    <sheet name="TestPlan" sheetId="51" r:id="rId1"/>
    <sheet name="TestSummary" sheetId="49" r:id="rId2"/>
    <sheet name="J1634 Calcs" sheetId="74" r:id="rId3"/>
    <sheet name="J1634 Calcs no precondition" sheetId="75" r:id="rId4"/>
    <sheet name="AVTEReporting" sheetId="50" r:id="rId5"/>
    <sheet name="TestInfoInstru" sheetId="52" r:id="rId6"/>
    <sheet name="EPA Test Data" sheetId="71" r:id="rId7"/>
    <sheet name="J1634ShortcutWorksheet" sheetId="32" r:id="rId8"/>
    <sheet name="Vehicle Distance" sheetId="36" r:id="rId9"/>
    <sheet name="Accessory Load" sheetId="34" r:id="rId10"/>
    <sheet name="Charge Summary" sheetId="70" r:id="rId11"/>
  </sheets>
  <externalReferences>
    <externalReference r:id="rId12"/>
  </externalReferences>
  <definedNames>
    <definedName name="A" localSheetId="2">[1]SpdtoABCcalcFocus!$Q$2</definedName>
    <definedName name="A" localSheetId="3">[1]SpdtoABCcalcFocus!$Q$2</definedName>
    <definedName name="A" localSheetId="5">[1]SpdtoABCcalcFocus!$Q$2</definedName>
    <definedName name="A" localSheetId="0">[1]SpdtoABCcalcFocus!$Q$2</definedName>
    <definedName name="A">[1]SpdtoABCcalcFocus!$Q$2</definedName>
    <definedName name="Acold" localSheetId="2">[1]SpdtoABCcalcFocus!$Q$3</definedName>
    <definedName name="Acold" localSheetId="3">[1]SpdtoABCcalcFocus!$Q$3</definedName>
    <definedName name="Acold" localSheetId="5">[1]SpdtoABCcalcFocus!$Q$3</definedName>
    <definedName name="Acold" localSheetId="0">[1]SpdtoABCcalcFocus!$Q$3</definedName>
    <definedName name="Acold">[1]SpdtoABCcalcFocus!$Q$3</definedName>
    <definedName name="B" localSheetId="2">[1]SpdtoABCcalcFocus!$R$2</definedName>
    <definedName name="B" localSheetId="3">[1]SpdtoABCcalcFocus!$R$2</definedName>
    <definedName name="B" localSheetId="5">[1]SpdtoABCcalcFocus!$R$2</definedName>
    <definedName name="B" localSheetId="0">[1]SpdtoABCcalcFocus!$R$2</definedName>
    <definedName name="B">[1]SpdtoABCcalcFocus!$R$2</definedName>
    <definedName name="Bcold" localSheetId="2">[1]SpdtoABCcalcFocus!$R$3</definedName>
    <definedName name="Bcold" localSheetId="3">[1]SpdtoABCcalcFocus!$R$3</definedName>
    <definedName name="Bcold" localSheetId="5">[1]SpdtoABCcalcFocus!$R$3</definedName>
    <definedName name="Bcold" localSheetId="0">[1]SpdtoABCcalcFocus!$R$3</definedName>
    <definedName name="Bcold">[1]SpdtoABCcalcFocus!$R$3</definedName>
    <definedName name="Ccoef" localSheetId="2">[1]SpdtoABCcalcFocus!$S$2</definedName>
    <definedName name="Ccoef" localSheetId="3">[1]SpdtoABCcalcFocus!$S$2</definedName>
    <definedName name="Ccoef" localSheetId="5">[1]SpdtoABCcalcFocus!$S$2</definedName>
    <definedName name="Ccoef" localSheetId="0">[1]SpdtoABCcalcFocus!$S$2</definedName>
    <definedName name="Ccoef">[1]SpdtoABCcalcFocus!$S$2</definedName>
    <definedName name="Ccold" localSheetId="2">[1]SpdtoABCcalcFocus!$S$3</definedName>
    <definedName name="Ccold" localSheetId="3">[1]SpdtoABCcalcFocus!$S$3</definedName>
    <definedName name="Ccold" localSheetId="5">[1]SpdtoABCcalcFocus!$S$3</definedName>
    <definedName name="Ccold" localSheetId="0">[1]SpdtoABCcalcFocus!$S$3</definedName>
    <definedName name="Ccold">[1]SpdtoABCcalcFocus!$S$3</definedName>
    <definedName name="m" localSheetId="2">[1]SpdtoABCcalcFocus!$P$2</definedName>
    <definedName name="m" localSheetId="3">[1]SpdtoABCcalcFocus!$P$2</definedName>
    <definedName name="m" localSheetId="5">[1]SpdtoABCcalcFocus!$P$2</definedName>
    <definedName name="m" localSheetId="0">[1]SpdtoABCcalcFocus!$P$2</definedName>
    <definedName name="m">[1]SpdtoABCcalcFocus!$P$2</definedName>
    <definedName name="_xlnm.Print_Area" localSheetId="9">'Accessory Load'!$A$1:$B$77</definedName>
    <definedName name="_xlnm.Print_Area" localSheetId="0">TestPlan!$A$1:$P$42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1" i="74" l="1"/>
  <c r="AP75" i="75"/>
  <c r="AO75" i="75"/>
  <c r="AY74" i="75"/>
  <c r="AU74" i="75"/>
  <c r="AS74" i="75"/>
  <c r="AQ74" i="75"/>
  <c r="AM74" i="75"/>
  <c r="AY73" i="75"/>
  <c r="AU73" i="75"/>
  <c r="AS73" i="75"/>
  <c r="AQ73" i="75"/>
  <c r="AM73" i="75"/>
  <c r="T65" i="75"/>
  <c r="T64" i="75"/>
  <c r="A62" i="75"/>
  <c r="I62" i="75" s="1"/>
  <c r="E61" i="75"/>
  <c r="D61" i="75"/>
  <c r="C61" i="75"/>
  <c r="AQ58" i="75"/>
  <c r="AM58" i="75"/>
  <c r="AQ57" i="75"/>
  <c r="AM57" i="75"/>
  <c r="T57" i="75"/>
  <c r="AQ56" i="75"/>
  <c r="AM56" i="75"/>
  <c r="T56" i="75"/>
  <c r="E56" i="75"/>
  <c r="D56" i="75"/>
  <c r="C56" i="75"/>
  <c r="B56" i="75"/>
  <c r="AQ55" i="75"/>
  <c r="AM55" i="75"/>
  <c r="O55" i="75"/>
  <c r="E55" i="75"/>
  <c r="D55" i="75"/>
  <c r="C55" i="75"/>
  <c r="B55" i="75"/>
  <c r="AQ54" i="75"/>
  <c r="AM54" i="75"/>
  <c r="J54" i="75"/>
  <c r="I54" i="75"/>
  <c r="H54" i="75"/>
  <c r="F54" i="75"/>
  <c r="E54" i="75"/>
  <c r="D54" i="75"/>
  <c r="C54" i="75"/>
  <c r="B54" i="75"/>
  <c r="AQ53" i="75"/>
  <c r="AM53" i="75"/>
  <c r="E53" i="75"/>
  <c r="D53" i="75"/>
  <c r="C53" i="75"/>
  <c r="B53" i="75"/>
  <c r="T45" i="75"/>
  <c r="O45" i="75"/>
  <c r="T44" i="75"/>
  <c r="O43" i="75"/>
  <c r="A43" i="75"/>
  <c r="I43" i="75" s="1"/>
  <c r="AW57" i="75" s="1"/>
  <c r="AF42" i="75"/>
  <c r="E42" i="75"/>
  <c r="D42" i="75"/>
  <c r="C42" i="75"/>
  <c r="AF41" i="75"/>
  <c r="AO37" i="75"/>
  <c r="AK37" i="75"/>
  <c r="T35" i="75"/>
  <c r="O35" i="75"/>
  <c r="P35" i="75" s="1"/>
  <c r="T34" i="75"/>
  <c r="O33" i="75"/>
  <c r="P45" i="75" s="1"/>
  <c r="A33" i="75"/>
  <c r="E32" i="75"/>
  <c r="D32" i="75"/>
  <c r="C32" i="75"/>
  <c r="T28" i="75"/>
  <c r="T27" i="75"/>
  <c r="A25" i="75"/>
  <c r="J25" i="75" s="1"/>
  <c r="E24" i="75"/>
  <c r="D24" i="75"/>
  <c r="C24" i="75"/>
  <c r="B24" i="75"/>
  <c r="T20" i="75"/>
  <c r="T19" i="75"/>
  <c r="P18" i="75"/>
  <c r="O18" i="75"/>
  <c r="O26" i="75" s="1"/>
  <c r="A18" i="75"/>
  <c r="I18" i="75" s="1"/>
  <c r="E17" i="75"/>
  <c r="D17" i="75"/>
  <c r="C17" i="75"/>
  <c r="T13" i="75"/>
  <c r="T12" i="75"/>
  <c r="P11" i="75"/>
  <c r="O11" i="75"/>
  <c r="A11" i="75"/>
  <c r="J11" i="75" s="1"/>
  <c r="E10" i="75"/>
  <c r="D10" i="75"/>
  <c r="C10" i="75"/>
  <c r="B10" i="75"/>
  <c r="L6" i="75"/>
  <c r="K6" i="75"/>
  <c r="J6" i="75"/>
  <c r="I6" i="75"/>
  <c r="H6" i="75"/>
  <c r="G6" i="75"/>
  <c r="F6" i="75"/>
  <c r="E6" i="75"/>
  <c r="D6" i="75"/>
  <c r="C6" i="75"/>
  <c r="B6" i="75"/>
  <c r="C11" i="75" l="1"/>
  <c r="D43" i="75"/>
  <c r="J43" i="75"/>
  <c r="AX57" i="75" s="1"/>
  <c r="AY57" i="75" s="1"/>
  <c r="J18" i="75"/>
  <c r="D18" i="75"/>
  <c r="F43" i="75"/>
  <c r="A19" i="75"/>
  <c r="E19" i="75" s="1"/>
  <c r="C25" i="75"/>
  <c r="F18" i="75"/>
  <c r="A26" i="75"/>
  <c r="P26" i="75"/>
  <c r="P33" i="75"/>
  <c r="C18" i="75"/>
  <c r="H18" i="75"/>
  <c r="C43" i="75"/>
  <c r="H43" i="75"/>
  <c r="A44" i="75"/>
  <c r="E62" i="75"/>
  <c r="C26" i="75"/>
  <c r="B26" i="75"/>
  <c r="H33" i="75"/>
  <c r="D33" i="75"/>
  <c r="D11" i="75"/>
  <c r="H11" i="75"/>
  <c r="A12" i="75"/>
  <c r="E18" i="75"/>
  <c r="D25" i="75"/>
  <c r="H25" i="75"/>
  <c r="O63" i="75"/>
  <c r="E11" i="75"/>
  <c r="I11" i="75"/>
  <c r="E25" i="75"/>
  <c r="I25" i="75"/>
  <c r="C33" i="75"/>
  <c r="I33" i="75"/>
  <c r="AS57" i="75" s="1"/>
  <c r="F33" i="75"/>
  <c r="B11" i="75"/>
  <c r="F11" i="75"/>
  <c r="B25" i="75"/>
  <c r="F25" i="75"/>
  <c r="E33" i="75"/>
  <c r="J33" i="75"/>
  <c r="AT57" i="75" s="1"/>
  <c r="A34" i="75"/>
  <c r="H62" i="75"/>
  <c r="D62" i="75"/>
  <c r="C62" i="75"/>
  <c r="A63" i="75"/>
  <c r="J62" i="75"/>
  <c r="F62" i="75"/>
  <c r="E43" i="75"/>
  <c r="P43" i="75"/>
  <c r="P55" i="75"/>
  <c r="P63" i="75"/>
  <c r="D44" i="75"/>
  <c r="E44" i="75"/>
  <c r="E26" i="75" l="1"/>
  <c r="A45" i="75"/>
  <c r="A27" i="75"/>
  <c r="A20" i="75"/>
  <c r="C19" i="75"/>
  <c r="D19" i="75"/>
  <c r="C44" i="75"/>
  <c r="D26" i="75"/>
  <c r="C12" i="75"/>
  <c r="B12" i="75"/>
  <c r="A13" i="75"/>
  <c r="E12" i="75"/>
  <c r="D12" i="75"/>
  <c r="AU57" i="75"/>
  <c r="A64" i="75"/>
  <c r="C63" i="75"/>
  <c r="E63" i="75"/>
  <c r="D63" i="75"/>
  <c r="D34" i="75"/>
  <c r="E34" i="75"/>
  <c r="C34" i="75"/>
  <c r="A35" i="75"/>
  <c r="B27" i="75" l="1"/>
  <c r="E45" i="75"/>
  <c r="A46" i="75"/>
  <c r="D27" i="75"/>
  <c r="C45" i="75"/>
  <c r="E27" i="75"/>
  <c r="D45" i="75"/>
  <c r="C27" i="75"/>
  <c r="D20" i="75"/>
  <c r="E20" i="75"/>
  <c r="C20" i="75"/>
  <c r="D35" i="75"/>
  <c r="C35" i="75"/>
  <c r="A36" i="75"/>
  <c r="E35" i="75"/>
  <c r="E64" i="75"/>
  <c r="D64" i="75"/>
  <c r="C64" i="75"/>
  <c r="C13" i="75"/>
  <c r="B13" i="75"/>
  <c r="E13" i="75"/>
  <c r="D13" i="75"/>
  <c r="A47" i="75"/>
  <c r="E46" i="75"/>
  <c r="D46" i="75"/>
  <c r="C46" i="75"/>
  <c r="BD57" i="75"/>
  <c r="BC57" i="75"/>
  <c r="F279" i="49"/>
  <c r="F280" i="49"/>
  <c r="F281" i="49"/>
  <c r="F282" i="49"/>
  <c r="F283" i="49"/>
  <c r="F284" i="49"/>
  <c r="F285" i="49"/>
  <c r="F286" i="49"/>
  <c r="F287" i="49"/>
  <c r="F288" i="49"/>
  <c r="F289" i="49"/>
  <c r="F290" i="49"/>
  <c r="F278" i="49"/>
  <c r="AU292" i="49"/>
  <c r="AR292" i="49"/>
  <c r="AN292" i="49"/>
  <c r="AO292" i="49" s="1"/>
  <c r="AK292" i="49"/>
  <c r="AJ292" i="49"/>
  <c r="AF292" i="49"/>
  <c r="AG292" i="49" s="1"/>
  <c r="AB292" i="49"/>
  <c r="AC292" i="49" s="1"/>
  <c r="X292" i="49"/>
  <c r="Y292" i="49" s="1"/>
  <c r="S292" i="49"/>
  <c r="AU290" i="49"/>
  <c r="AR290" i="49"/>
  <c r="AN290" i="49"/>
  <c r="AO290" i="49" s="1"/>
  <c r="AJ290" i="49"/>
  <c r="AK290" i="49" s="1"/>
  <c r="AF290" i="49"/>
  <c r="AG290" i="49" s="1"/>
  <c r="AB290" i="49"/>
  <c r="AC290" i="49" s="1"/>
  <c r="X290" i="49"/>
  <c r="Y290" i="49" s="1"/>
  <c r="S290" i="49"/>
  <c r="AU289" i="49"/>
  <c r="AR289" i="49"/>
  <c r="AN289" i="49"/>
  <c r="AO289" i="49" s="1"/>
  <c r="AJ289" i="49"/>
  <c r="AK289" i="49" s="1"/>
  <c r="AF289" i="49"/>
  <c r="AG289" i="49" s="1"/>
  <c r="AB289" i="49"/>
  <c r="AC289" i="49" s="1"/>
  <c r="X289" i="49"/>
  <c r="Y289" i="49" s="1"/>
  <c r="S289" i="49"/>
  <c r="AU288" i="49"/>
  <c r="AR288" i="49"/>
  <c r="AN288" i="49"/>
  <c r="AO288" i="49" s="1"/>
  <c r="AJ288" i="49"/>
  <c r="AK288" i="49" s="1"/>
  <c r="AF288" i="49"/>
  <c r="AG288" i="49" s="1"/>
  <c r="AB288" i="49"/>
  <c r="AC288" i="49" s="1"/>
  <c r="X288" i="49"/>
  <c r="Y288" i="49" s="1"/>
  <c r="AT287" i="49"/>
  <c r="AS287" i="49"/>
  <c r="AM287" i="49"/>
  <c r="AL287" i="49"/>
  <c r="AI287" i="49"/>
  <c r="AH287" i="49"/>
  <c r="AE287" i="49"/>
  <c r="AD287" i="49"/>
  <c r="AA287" i="49"/>
  <c r="Z287" i="49"/>
  <c r="W287" i="49"/>
  <c r="V287" i="49"/>
  <c r="U287" i="49"/>
  <c r="T287" i="49"/>
  <c r="R287" i="49"/>
  <c r="S288" i="49" s="1"/>
  <c r="M287" i="49"/>
  <c r="L287" i="49"/>
  <c r="K287" i="49"/>
  <c r="J287" i="49"/>
  <c r="AU286" i="49"/>
  <c r="AU285" i="49" s="1"/>
  <c r="AU287" i="49" s="1"/>
  <c r="AR286" i="49"/>
  <c r="AR285" i="49" s="1"/>
  <c r="AR287" i="49" s="1"/>
  <c r="AN286" i="49"/>
  <c r="AO286" i="49" s="1"/>
  <c r="AJ286" i="49"/>
  <c r="AK286" i="49" s="1"/>
  <c r="AF286" i="49"/>
  <c r="AG286" i="49" s="1"/>
  <c r="AB286" i="49"/>
  <c r="AC286" i="49" s="1"/>
  <c r="X286" i="49"/>
  <c r="Y286" i="49" s="1"/>
  <c r="S286" i="49"/>
  <c r="S287" i="49" s="1"/>
  <c r="AT284" i="49"/>
  <c r="AS284" i="49"/>
  <c r="AM284" i="49"/>
  <c r="AL284" i="49"/>
  <c r="AI284" i="49"/>
  <c r="AH284" i="49"/>
  <c r="AE284" i="49"/>
  <c r="AD284" i="49"/>
  <c r="AA284" i="49"/>
  <c r="Z284" i="49"/>
  <c r="W284" i="49"/>
  <c r="V284" i="49"/>
  <c r="U284" i="49"/>
  <c r="T284" i="49"/>
  <c r="R284" i="49"/>
  <c r="S285" i="49" s="1"/>
  <c r="M284" i="49"/>
  <c r="L284" i="49"/>
  <c r="K284" i="49"/>
  <c r="J284" i="49"/>
  <c r="AU283" i="49"/>
  <c r="AR283" i="49"/>
  <c r="AN283" i="49"/>
  <c r="AO283" i="49" s="1"/>
  <c r="AJ283" i="49"/>
  <c r="AK283" i="49" s="1"/>
  <c r="AF283" i="49"/>
  <c r="AG283" i="49" s="1"/>
  <c r="AB283" i="49"/>
  <c r="AC283" i="49" s="1"/>
  <c r="X283" i="49"/>
  <c r="Y283" i="49" s="1"/>
  <c r="S283" i="49"/>
  <c r="S284" i="49" s="1"/>
  <c r="AU282" i="49"/>
  <c r="AR282" i="49"/>
  <c r="AN282" i="49"/>
  <c r="AO282" i="49" s="1"/>
  <c r="AJ282" i="49"/>
  <c r="AK282" i="49" s="1"/>
  <c r="AF282" i="49"/>
  <c r="AB282" i="49"/>
  <c r="X282" i="49"/>
  <c r="Y282" i="49" s="1"/>
  <c r="S282" i="49"/>
  <c r="AU281" i="49"/>
  <c r="AR281" i="49"/>
  <c r="AN281" i="49"/>
  <c r="AO281" i="49" s="1"/>
  <c r="AJ281" i="49"/>
  <c r="AK281" i="49" s="1"/>
  <c r="AF281" i="49"/>
  <c r="AG281" i="49" s="1"/>
  <c r="AB281" i="49"/>
  <c r="AC281" i="49" s="1"/>
  <c r="X281" i="49"/>
  <c r="Y281" i="49" s="1"/>
  <c r="AT280" i="49"/>
  <c r="AS280" i="49"/>
  <c r="AM280" i="49"/>
  <c r="AL280" i="49"/>
  <c r="AI280" i="49"/>
  <c r="AH280" i="49"/>
  <c r="AE280" i="49"/>
  <c r="AD280" i="49"/>
  <c r="AA280" i="49"/>
  <c r="Z280" i="49"/>
  <c r="W280" i="49"/>
  <c r="V280" i="49"/>
  <c r="U280" i="49"/>
  <c r="T280" i="49"/>
  <c r="R280" i="49"/>
  <c r="S281" i="49" s="1"/>
  <c r="M280" i="49"/>
  <c r="L280" i="49"/>
  <c r="K280" i="49"/>
  <c r="J280" i="49"/>
  <c r="AU279" i="49"/>
  <c r="AR279" i="49"/>
  <c r="AN279" i="49"/>
  <c r="AO279" i="49" s="1"/>
  <c r="AJ279" i="49"/>
  <c r="AK279" i="49" s="1"/>
  <c r="AF279" i="49"/>
  <c r="AG279" i="49" s="1"/>
  <c r="AB279" i="49"/>
  <c r="AC279" i="49" s="1"/>
  <c r="X279" i="49"/>
  <c r="Y279" i="49" s="1"/>
  <c r="S279" i="49"/>
  <c r="S280" i="49" s="1"/>
  <c r="A279" i="49"/>
  <c r="A280" i="49" s="1"/>
  <c r="A281" i="49" s="1"/>
  <c r="A282" i="49" s="1"/>
  <c r="A283" i="49" s="1"/>
  <c r="A284" i="49" s="1"/>
  <c r="A285" i="49" s="1"/>
  <c r="A286" i="49" s="1"/>
  <c r="A287" i="49" s="1"/>
  <c r="AU278" i="49"/>
  <c r="AR278" i="49"/>
  <c r="AN278" i="49"/>
  <c r="AJ278" i="49"/>
  <c r="AF278" i="49"/>
  <c r="AB278" i="49"/>
  <c r="X278" i="49"/>
  <c r="S278" i="49"/>
  <c r="AF284" i="49" l="1"/>
  <c r="C36" i="75"/>
  <c r="D36" i="75"/>
  <c r="A37" i="75"/>
  <c r="E36" i="75"/>
  <c r="E47" i="75"/>
  <c r="A48" i="75"/>
  <c r="D47" i="75"/>
  <c r="C47" i="75"/>
  <c r="AU284" i="49"/>
  <c r="AR284" i="49"/>
  <c r="AB284" i="49"/>
  <c r="AC284" i="49" s="1"/>
  <c r="AN284" i="49"/>
  <c r="AO284" i="49" s="1"/>
  <c r="AJ284" i="49"/>
  <c r="AK284" i="49" s="1"/>
  <c r="AG282" i="49"/>
  <c r="AC282" i="49"/>
  <c r="X284" i="49"/>
  <c r="Y284" i="49" s="1"/>
  <c r="AG284" i="49"/>
  <c r="AU280" i="49"/>
  <c r="AR280" i="49"/>
  <c r="AN280" i="49"/>
  <c r="AO280" i="49" s="1"/>
  <c r="AJ280" i="49"/>
  <c r="AK280" i="49" s="1"/>
  <c r="AF280" i="49"/>
  <c r="AG280" i="49" s="1"/>
  <c r="AB280" i="49"/>
  <c r="AC280" i="49" s="1"/>
  <c r="X280" i="49"/>
  <c r="Y280" i="49" s="1"/>
  <c r="Y278" i="49"/>
  <c r="AG278" i="49"/>
  <c r="AO278" i="49"/>
  <c r="AB285" i="49"/>
  <c r="AJ285" i="49"/>
  <c r="AC278" i="49"/>
  <c r="AK278" i="49"/>
  <c r="X285" i="49"/>
  <c r="AF285" i="49"/>
  <c r="AN285" i="49"/>
  <c r="J48" i="75" l="1"/>
  <c r="F48" i="75"/>
  <c r="I48" i="75"/>
  <c r="E48" i="75"/>
  <c r="A49" i="75"/>
  <c r="H48" i="75"/>
  <c r="D48" i="75"/>
  <c r="C48" i="75"/>
  <c r="D37" i="75"/>
  <c r="C37" i="75"/>
  <c r="A38" i="75"/>
  <c r="E37" i="75"/>
  <c r="X287" i="49"/>
  <c r="Y287" i="49" s="1"/>
  <c r="Y285" i="49"/>
  <c r="AN287" i="49"/>
  <c r="AO287" i="49" s="1"/>
  <c r="AO285" i="49"/>
  <c r="AB287" i="49"/>
  <c r="AC287" i="49" s="1"/>
  <c r="AC285" i="49"/>
  <c r="AF287" i="49"/>
  <c r="AG287" i="49" s="1"/>
  <c r="AG285" i="49"/>
  <c r="AJ287" i="49"/>
  <c r="AK287" i="49" s="1"/>
  <c r="AK285" i="49"/>
  <c r="C38" i="75" l="1"/>
  <c r="A39" i="75"/>
  <c r="J38" i="75"/>
  <c r="AT58" i="75" s="1"/>
  <c r="F38" i="75"/>
  <c r="I38" i="75"/>
  <c r="AS58" i="75" s="1"/>
  <c r="E38" i="75"/>
  <c r="D38" i="75"/>
  <c r="H38" i="75"/>
  <c r="C49" i="75"/>
  <c r="E49" i="75"/>
  <c r="D49" i="75"/>
  <c r="O55" i="74"/>
  <c r="O63" i="74" s="1"/>
  <c r="O43" i="74"/>
  <c r="O35" i="74"/>
  <c r="O33" i="74"/>
  <c r="O18" i="74"/>
  <c r="AU58" i="75" l="1"/>
  <c r="BD58" i="75" s="1"/>
  <c r="E39" i="75"/>
  <c r="D39" i="75"/>
  <c r="C39" i="75"/>
  <c r="F269" i="49"/>
  <c r="F270" i="49"/>
  <c r="F271" i="49"/>
  <c r="F272" i="49"/>
  <c r="F273" i="49"/>
  <c r="F274" i="49"/>
  <c r="F275" i="49"/>
  <c r="F276" i="49"/>
  <c r="F255" i="49"/>
  <c r="F256" i="49"/>
  <c r="F257" i="49"/>
  <c r="F258" i="49"/>
  <c r="F259" i="49"/>
  <c r="F260" i="49"/>
  <c r="F261" i="49"/>
  <c r="F262" i="49"/>
  <c r="F263" i="49"/>
  <c r="F264" i="49"/>
  <c r="F265" i="49"/>
  <c r="F266" i="49"/>
  <c r="F267" i="49"/>
  <c r="F268" i="49"/>
  <c r="F254" i="49"/>
  <c r="F241" i="49"/>
  <c r="F246" i="49"/>
  <c r="AU276" i="49"/>
  <c r="O10" i="75" s="1"/>
  <c r="T14" i="75" s="1"/>
  <c r="AD74" i="75" s="1"/>
  <c r="AR276" i="49"/>
  <c r="AN276" i="49"/>
  <c r="AO276" i="49" s="1"/>
  <c r="AJ276" i="49"/>
  <c r="AK276" i="49" s="1"/>
  <c r="AF276" i="49"/>
  <c r="AG276" i="49" s="1"/>
  <c r="AB276" i="49"/>
  <c r="AC276" i="49" s="1"/>
  <c r="X276" i="49"/>
  <c r="Y276" i="49" s="1"/>
  <c r="S276" i="49"/>
  <c r="AU275" i="49"/>
  <c r="AR275" i="49"/>
  <c r="AN275" i="49"/>
  <c r="AO275" i="49" s="1"/>
  <c r="AJ275" i="49"/>
  <c r="AK275" i="49" s="1"/>
  <c r="AF275" i="49"/>
  <c r="AG275" i="49" s="1"/>
  <c r="AB275" i="49"/>
  <c r="AC275" i="49" s="1"/>
  <c r="X275" i="49"/>
  <c r="Y275" i="49" s="1"/>
  <c r="AT274" i="49"/>
  <c r="AS274" i="49"/>
  <c r="AM274" i="49"/>
  <c r="AL274" i="49"/>
  <c r="AI274" i="49"/>
  <c r="AH274" i="49"/>
  <c r="AE274" i="49"/>
  <c r="AD274" i="49"/>
  <c r="AA274" i="49"/>
  <c r="Z274" i="49"/>
  <c r="W274" i="49"/>
  <c r="V274" i="49"/>
  <c r="U274" i="49"/>
  <c r="T274" i="49"/>
  <c r="R274" i="49"/>
  <c r="S275" i="49" s="1"/>
  <c r="M274" i="49"/>
  <c r="L274" i="49"/>
  <c r="K274" i="49"/>
  <c r="J274" i="49"/>
  <c r="AU273" i="49"/>
  <c r="AR273" i="49"/>
  <c r="AN273" i="49"/>
  <c r="AO273" i="49" s="1"/>
  <c r="AJ273" i="49"/>
  <c r="AK273" i="49" s="1"/>
  <c r="AF273" i="49"/>
  <c r="AG273" i="49" s="1"/>
  <c r="AB273" i="49"/>
  <c r="AC273" i="49" s="1"/>
  <c r="X273" i="49"/>
  <c r="Y273" i="49" s="1"/>
  <c r="S273" i="49"/>
  <c r="S274" i="49" s="1"/>
  <c r="AU272" i="49"/>
  <c r="AR272" i="49"/>
  <c r="AN272" i="49"/>
  <c r="AO272" i="49" s="1"/>
  <c r="AJ272" i="49"/>
  <c r="AK272" i="49" s="1"/>
  <c r="AF272" i="49"/>
  <c r="AG272" i="49" s="1"/>
  <c r="AB272" i="49"/>
  <c r="AC272" i="49" s="1"/>
  <c r="X272" i="49"/>
  <c r="Y272" i="49" s="1"/>
  <c r="S272" i="49"/>
  <c r="AU271" i="49"/>
  <c r="AR271" i="49"/>
  <c r="AN271" i="49"/>
  <c r="AO271" i="49" s="1"/>
  <c r="AJ271" i="49"/>
  <c r="AK271" i="49" s="1"/>
  <c r="AF271" i="49"/>
  <c r="AG271" i="49" s="1"/>
  <c r="AB271" i="49"/>
  <c r="AC271" i="49" s="1"/>
  <c r="X271" i="49"/>
  <c r="Y271" i="49" s="1"/>
  <c r="AT270" i="49"/>
  <c r="AS270" i="49"/>
  <c r="AM270" i="49"/>
  <c r="AL270" i="49"/>
  <c r="AI270" i="49"/>
  <c r="AH270" i="49"/>
  <c r="AE270" i="49"/>
  <c r="AD270" i="49"/>
  <c r="AA270" i="49"/>
  <c r="Z270" i="49"/>
  <c r="W270" i="49"/>
  <c r="V270" i="49"/>
  <c r="U270" i="49"/>
  <c r="T270" i="49"/>
  <c r="R270" i="49"/>
  <c r="S271" i="49" s="1"/>
  <c r="M270" i="49"/>
  <c r="L270" i="49"/>
  <c r="K270" i="49"/>
  <c r="J270" i="49"/>
  <c r="AU269" i="49"/>
  <c r="AR269" i="49"/>
  <c r="AN269" i="49"/>
  <c r="AO269" i="49" s="1"/>
  <c r="AJ269" i="49"/>
  <c r="AK269" i="49" s="1"/>
  <c r="AF269" i="49"/>
  <c r="AG269" i="49" s="1"/>
  <c r="AB269" i="49"/>
  <c r="AC269" i="49" s="1"/>
  <c r="X269" i="49"/>
  <c r="Y269" i="49" s="1"/>
  <c r="S269" i="49"/>
  <c r="S270" i="49" s="1"/>
  <c r="AU268" i="49"/>
  <c r="AR268" i="49"/>
  <c r="AN268" i="49"/>
  <c r="AO268" i="49" s="1"/>
  <c r="AJ268" i="49"/>
  <c r="AK268" i="49" s="1"/>
  <c r="AF268" i="49"/>
  <c r="AG268" i="49" s="1"/>
  <c r="AB268" i="49"/>
  <c r="AC268" i="49" s="1"/>
  <c r="X268" i="49"/>
  <c r="Y268" i="49" s="1"/>
  <c r="AT267" i="49"/>
  <c r="AS267" i="49"/>
  <c r="AM267" i="49"/>
  <c r="AL267" i="49"/>
  <c r="AI267" i="49"/>
  <c r="AH267" i="49"/>
  <c r="AE267" i="49"/>
  <c r="AD267" i="49"/>
  <c r="AA267" i="49"/>
  <c r="Z267" i="49"/>
  <c r="W267" i="49"/>
  <c r="V267" i="49"/>
  <c r="U267" i="49"/>
  <c r="T267" i="49"/>
  <c r="R267" i="49"/>
  <c r="S268" i="49" s="1"/>
  <c r="M267" i="49"/>
  <c r="L267" i="49"/>
  <c r="K267" i="49"/>
  <c r="J267" i="49"/>
  <c r="AU266" i="49"/>
  <c r="AU265" i="49" s="1"/>
  <c r="AU267" i="49" s="1"/>
  <c r="AR266" i="49"/>
  <c r="AR265" i="49" s="1"/>
  <c r="AR267" i="49" s="1"/>
  <c r="AN266" i="49"/>
  <c r="AN265" i="49" s="1"/>
  <c r="AO265" i="49" s="1"/>
  <c r="AJ266" i="49"/>
  <c r="AK266" i="49" s="1"/>
  <c r="AF266" i="49"/>
  <c r="AG266" i="49" s="1"/>
  <c r="AB266" i="49"/>
  <c r="AC266" i="49" s="1"/>
  <c r="X266" i="49"/>
  <c r="X265" i="49" s="1"/>
  <c r="Y265" i="49" s="1"/>
  <c r="S266" i="49"/>
  <c r="S267" i="49" s="1"/>
  <c r="S265" i="49"/>
  <c r="AU264" i="49"/>
  <c r="AR264" i="49"/>
  <c r="AN264" i="49"/>
  <c r="AO264" i="49" s="1"/>
  <c r="AJ264" i="49"/>
  <c r="AK264" i="49" s="1"/>
  <c r="AF264" i="49"/>
  <c r="AG264" i="49" s="1"/>
  <c r="AB264" i="49"/>
  <c r="AC264" i="49" s="1"/>
  <c r="X264" i="49"/>
  <c r="Y264" i="49" s="1"/>
  <c r="AT263" i="49"/>
  <c r="AS263" i="49"/>
  <c r="AM263" i="49"/>
  <c r="AL263" i="49"/>
  <c r="AI263" i="49"/>
  <c r="AH263" i="49"/>
  <c r="AE263" i="49"/>
  <c r="AD263" i="49"/>
  <c r="AA263" i="49"/>
  <c r="Z263" i="49"/>
  <c r="W263" i="49"/>
  <c r="I13" i="75" s="1"/>
  <c r="V263" i="49"/>
  <c r="H13" i="75" s="1"/>
  <c r="U263" i="49"/>
  <c r="J13" i="75" s="1"/>
  <c r="T263" i="49"/>
  <c r="R263" i="49"/>
  <c r="S264" i="49" s="1"/>
  <c r="M263" i="49"/>
  <c r="L263" i="49"/>
  <c r="K263" i="49"/>
  <c r="J263" i="49"/>
  <c r="F13" i="75" s="1"/>
  <c r="AU262" i="49"/>
  <c r="AU261" i="49" s="1"/>
  <c r="AU263" i="49" s="1"/>
  <c r="AR262" i="49"/>
  <c r="AR261" i="49" s="1"/>
  <c r="AR263" i="49" s="1"/>
  <c r="AN262" i="49"/>
  <c r="AN261" i="49" s="1"/>
  <c r="AO261" i="49" s="1"/>
  <c r="AJ262" i="49"/>
  <c r="AK262" i="49" s="1"/>
  <c r="AF262" i="49"/>
  <c r="AG262" i="49" s="1"/>
  <c r="AB262" i="49"/>
  <c r="AC262" i="49" s="1"/>
  <c r="X262" i="49"/>
  <c r="X261" i="49" s="1"/>
  <c r="Y261" i="49" s="1"/>
  <c r="S262" i="49"/>
  <c r="S263" i="49" s="1"/>
  <c r="AT260" i="49"/>
  <c r="AS260" i="49"/>
  <c r="AM260" i="49"/>
  <c r="AL260" i="49"/>
  <c r="AI260" i="49"/>
  <c r="AH260" i="49"/>
  <c r="AE260" i="49"/>
  <c r="AD260" i="49"/>
  <c r="AA260" i="49"/>
  <c r="Z260" i="49"/>
  <c r="W260" i="49"/>
  <c r="I12" i="75" s="1"/>
  <c r="V260" i="49"/>
  <c r="H12" i="75" s="1"/>
  <c r="U260" i="49"/>
  <c r="J12" i="75" s="1"/>
  <c r="T260" i="49"/>
  <c r="R260" i="49"/>
  <c r="S261" i="49" s="1"/>
  <c r="M260" i="49"/>
  <c r="L260" i="49"/>
  <c r="K260" i="49"/>
  <c r="J260" i="49"/>
  <c r="F12" i="75" s="1"/>
  <c r="AU259" i="49"/>
  <c r="AR259" i="49"/>
  <c r="AN259" i="49"/>
  <c r="AO259" i="49" s="1"/>
  <c r="AJ259" i="49"/>
  <c r="AK259" i="49" s="1"/>
  <c r="AF259" i="49"/>
  <c r="AG259" i="49" s="1"/>
  <c r="AB259" i="49"/>
  <c r="AC259" i="49" s="1"/>
  <c r="X259" i="49"/>
  <c r="Y259" i="49" s="1"/>
  <c r="S259" i="49"/>
  <c r="S260" i="49" s="1"/>
  <c r="AU258" i="49"/>
  <c r="AR258" i="49"/>
  <c r="AN258" i="49"/>
  <c r="AO258" i="49" s="1"/>
  <c r="AJ258" i="49"/>
  <c r="AK258" i="49" s="1"/>
  <c r="AF258" i="49"/>
  <c r="AG258" i="49" s="1"/>
  <c r="AB258" i="49"/>
  <c r="AC258" i="49" s="1"/>
  <c r="X258" i="49"/>
  <c r="Y258" i="49" s="1"/>
  <c r="S258" i="49"/>
  <c r="AU257" i="49"/>
  <c r="AR257" i="49"/>
  <c r="AN257" i="49"/>
  <c r="AO257" i="49" s="1"/>
  <c r="L11" i="75" s="1"/>
  <c r="AJ257" i="49"/>
  <c r="AK257" i="49" s="1"/>
  <c r="AF257" i="49"/>
  <c r="AG257" i="49" s="1"/>
  <c r="AB257" i="49"/>
  <c r="AC257" i="49" s="1"/>
  <c r="X257" i="49"/>
  <c r="Y257" i="49" s="1"/>
  <c r="AT256" i="49"/>
  <c r="AS256" i="49"/>
  <c r="AM256" i="49"/>
  <c r="AL256" i="49"/>
  <c r="AI256" i="49"/>
  <c r="AH256" i="49"/>
  <c r="AE256" i="49"/>
  <c r="AD256" i="49"/>
  <c r="AA256" i="49"/>
  <c r="Z256" i="49"/>
  <c r="W256" i="49"/>
  <c r="I10" i="75" s="1"/>
  <c r="U11" i="75" s="1"/>
  <c r="V256" i="49"/>
  <c r="H10" i="75" s="1"/>
  <c r="U256" i="49"/>
  <c r="J10" i="75" s="1"/>
  <c r="T256" i="49"/>
  <c r="R256" i="49"/>
  <c r="M256" i="49"/>
  <c r="L256" i="49"/>
  <c r="K256" i="49"/>
  <c r="J256" i="49"/>
  <c r="F10" i="75" s="1"/>
  <c r="AU255" i="49"/>
  <c r="AR255" i="49"/>
  <c r="AN255" i="49"/>
  <c r="AO255" i="49" s="1"/>
  <c r="AJ255" i="49"/>
  <c r="AK255" i="49" s="1"/>
  <c r="AF255" i="49"/>
  <c r="AG255" i="49" s="1"/>
  <c r="AB255" i="49"/>
  <c r="AC255" i="49" s="1"/>
  <c r="X255" i="49"/>
  <c r="Y255" i="49" s="1"/>
  <c r="S255" i="49"/>
  <c r="S256" i="49" s="1"/>
  <c r="AU254" i="49"/>
  <c r="AR254" i="49"/>
  <c r="AN254" i="49"/>
  <c r="AO254" i="49" s="1"/>
  <c r="AJ254" i="49"/>
  <c r="AK254" i="49" s="1"/>
  <c r="AF254" i="49"/>
  <c r="AG254" i="49" s="1"/>
  <c r="AB254" i="49"/>
  <c r="AC254" i="49" s="1"/>
  <c r="X254" i="49"/>
  <c r="Y254" i="49" s="1"/>
  <c r="S254" i="49"/>
  <c r="AU241" i="49"/>
  <c r="AR241" i="49"/>
  <c r="AN241" i="49"/>
  <c r="AO241" i="49" s="1"/>
  <c r="AJ241" i="49"/>
  <c r="AK241" i="49" s="1"/>
  <c r="AF241" i="49"/>
  <c r="AG241" i="49" s="1"/>
  <c r="AB241" i="49"/>
  <c r="AC241" i="49" s="1"/>
  <c r="X241" i="49"/>
  <c r="Y241" i="49" s="1"/>
  <c r="S241" i="49"/>
  <c r="K11" i="75" l="1"/>
  <c r="AD8" i="75" s="1"/>
  <c r="G11" i="75"/>
  <c r="AR270" i="49"/>
  <c r="V11" i="75"/>
  <c r="BC58" i="75"/>
  <c r="AU274" i="49"/>
  <c r="AR274" i="49"/>
  <c r="AU270" i="49"/>
  <c r="AJ261" i="49"/>
  <c r="AK261" i="49" s="1"/>
  <c r="AU260" i="49"/>
  <c r="AR260" i="49"/>
  <c r="AU256" i="49"/>
  <c r="AR256" i="49"/>
  <c r="AN274" i="49"/>
  <c r="AO274" i="49" s="1"/>
  <c r="AJ274" i="49"/>
  <c r="AK274" i="49" s="1"/>
  <c r="AF274" i="49"/>
  <c r="AG274" i="49" s="1"/>
  <c r="AB274" i="49"/>
  <c r="AC274" i="49" s="1"/>
  <c r="X274" i="49"/>
  <c r="Y274" i="49" s="1"/>
  <c r="AN270" i="49"/>
  <c r="AO270" i="49" s="1"/>
  <c r="AJ270" i="49"/>
  <c r="AK270" i="49" s="1"/>
  <c r="AF270" i="49"/>
  <c r="AG270" i="49" s="1"/>
  <c r="AB270" i="49"/>
  <c r="AC270" i="49" s="1"/>
  <c r="X270" i="49"/>
  <c r="Y270" i="49" s="1"/>
  <c r="AJ265" i="49"/>
  <c r="AK265" i="49" s="1"/>
  <c r="AB265" i="49"/>
  <c r="AC265" i="49" s="1"/>
  <c r="AN267" i="49"/>
  <c r="AO267" i="49" s="1"/>
  <c r="X267" i="49"/>
  <c r="Y267" i="49" s="1"/>
  <c r="AB261" i="49"/>
  <c r="AC261" i="49" s="1"/>
  <c r="AN263" i="49"/>
  <c r="AO263" i="49" s="1"/>
  <c r="L13" i="75" s="1"/>
  <c r="X263" i="49"/>
  <c r="Y263" i="49" s="1"/>
  <c r="AN260" i="49"/>
  <c r="AO260" i="49" s="1"/>
  <c r="L12" i="75" s="1"/>
  <c r="AJ260" i="49"/>
  <c r="AK260" i="49" s="1"/>
  <c r="AF260" i="49"/>
  <c r="AG260" i="49" s="1"/>
  <c r="AB260" i="49"/>
  <c r="AC260" i="49" s="1"/>
  <c r="X260" i="49"/>
  <c r="Y260" i="49" s="1"/>
  <c r="AN256" i="49"/>
  <c r="AO256" i="49" s="1"/>
  <c r="L10" i="75" s="1"/>
  <c r="AJ256" i="49"/>
  <c r="AK256" i="49" s="1"/>
  <c r="AF256" i="49"/>
  <c r="AG256" i="49" s="1"/>
  <c r="AB256" i="49"/>
  <c r="AC256" i="49" s="1"/>
  <c r="X256" i="49"/>
  <c r="Y256" i="49" s="1"/>
  <c r="S257" i="49"/>
  <c r="AF265" i="49"/>
  <c r="Y266" i="49"/>
  <c r="AO266" i="49"/>
  <c r="AF261" i="49"/>
  <c r="Y262" i="49"/>
  <c r="AO262" i="49"/>
  <c r="K12" i="75" l="1"/>
  <c r="AD9" i="75" s="1"/>
  <c r="G12" i="75"/>
  <c r="W12" i="75"/>
  <c r="K13" i="75"/>
  <c r="G13" i="75"/>
  <c r="K10" i="75"/>
  <c r="G10" i="75"/>
  <c r="AJ263" i="49"/>
  <c r="AK263" i="49" s="1"/>
  <c r="AJ267" i="49"/>
  <c r="AK267" i="49" s="1"/>
  <c r="AB267" i="49"/>
  <c r="AC267" i="49" s="1"/>
  <c r="AG265" i="49"/>
  <c r="AF267" i="49"/>
  <c r="AG267" i="49" s="1"/>
  <c r="AB263" i="49"/>
  <c r="AC263" i="49" s="1"/>
  <c r="AG261" i="49"/>
  <c r="AF263" i="49"/>
  <c r="AG263" i="49" s="1"/>
  <c r="A25" i="74"/>
  <c r="A26" i="74" s="1"/>
  <c r="A27" i="74" s="1"/>
  <c r="O26" i="74"/>
  <c r="L6" i="74"/>
  <c r="E6" i="74"/>
  <c r="E10" i="74"/>
  <c r="E17" i="74"/>
  <c r="E32" i="74"/>
  <c r="E42" i="74"/>
  <c r="E53" i="74"/>
  <c r="E54" i="74"/>
  <c r="E55" i="74"/>
  <c r="E56" i="74"/>
  <c r="E61" i="74"/>
  <c r="E24" i="74"/>
  <c r="E25" i="74"/>
  <c r="A11" i="74"/>
  <c r="A12" i="74" s="1"/>
  <c r="A13" i="74" s="1"/>
  <c r="E13" i="74" s="1"/>
  <c r="AD7" i="75" l="1"/>
  <c r="W11" i="75"/>
  <c r="AD10" i="75"/>
  <c r="W13" i="75"/>
  <c r="X12" i="75"/>
  <c r="AD38" i="75" s="1"/>
  <c r="Y12" i="75"/>
  <c r="AD14" i="75" s="1"/>
  <c r="E26" i="74"/>
  <c r="E12" i="74"/>
  <c r="E11" i="74"/>
  <c r="F242" i="49"/>
  <c r="F243" i="49"/>
  <c r="F244" i="49"/>
  <c r="F245" i="49"/>
  <c r="F247" i="49"/>
  <c r="F248" i="49"/>
  <c r="F249" i="49"/>
  <c r="F250" i="49"/>
  <c r="F251" i="49"/>
  <c r="F252" i="49"/>
  <c r="F238" i="49"/>
  <c r="O10" i="74"/>
  <c r="Y13" i="75" l="1"/>
  <c r="AD15" i="75" s="1"/>
  <c r="X13" i="75"/>
  <c r="AD39" i="75" s="1"/>
  <c r="Y11" i="75"/>
  <c r="AD13" i="75" s="1"/>
  <c r="X11" i="75"/>
  <c r="AD37" i="75" s="1"/>
  <c r="E27" i="74"/>
  <c r="AT312" i="49"/>
  <c r="AS312" i="49"/>
  <c r="AM312" i="49"/>
  <c r="AL312" i="49"/>
  <c r="AI312" i="49"/>
  <c r="AH312" i="49"/>
  <c r="AE312" i="49"/>
  <c r="AD312" i="49"/>
  <c r="AA312" i="49"/>
  <c r="Z312" i="49"/>
  <c r="W312" i="49"/>
  <c r="V312" i="49"/>
  <c r="U312" i="49"/>
  <c r="T312" i="49"/>
  <c r="R312" i="49"/>
  <c r="M312" i="49"/>
  <c r="L312" i="49"/>
  <c r="K312" i="49"/>
  <c r="J312" i="49"/>
  <c r="F312" i="49"/>
  <c r="S311" i="49"/>
  <c r="S312" i="49" s="1"/>
  <c r="F311" i="49"/>
  <c r="AU310" i="49"/>
  <c r="AU312" i="49" s="1"/>
  <c r="AU311" i="49" s="1"/>
  <c r="AR310" i="49"/>
  <c r="AR312" i="49" s="1"/>
  <c r="AR311" i="49" s="1"/>
  <c r="AN310" i="49"/>
  <c r="AN312" i="49" s="1"/>
  <c r="AJ310" i="49"/>
  <c r="AJ312" i="49" s="1"/>
  <c r="AF310" i="49"/>
  <c r="AF312" i="49" s="1"/>
  <c r="AB310" i="49"/>
  <c r="AB312" i="49" s="1"/>
  <c r="X310" i="49"/>
  <c r="X312" i="49" s="1"/>
  <c r="S310" i="49"/>
  <c r="F310" i="49"/>
  <c r="D309" i="49"/>
  <c r="AK310" i="49" l="1"/>
  <c r="AC310" i="49"/>
  <c r="AC312" i="49"/>
  <c r="AB311" i="49"/>
  <c r="AC311" i="49" s="1"/>
  <c r="AO312" i="49"/>
  <c r="AN311" i="49"/>
  <c r="AO311" i="49" s="1"/>
  <c r="AG312" i="49"/>
  <c r="AF311" i="49"/>
  <c r="AG311" i="49" s="1"/>
  <c r="Y312" i="49"/>
  <c r="X311" i="49"/>
  <c r="Y311" i="49" s="1"/>
  <c r="AK312" i="49"/>
  <c r="AJ311" i="49"/>
  <c r="AK311" i="49" s="1"/>
  <c r="Y310" i="49"/>
  <c r="AG310" i="49"/>
  <c r="AO310" i="49"/>
  <c r="A266" i="49" l="1"/>
  <c r="A267" i="49" s="1"/>
  <c r="A268" i="49" s="1"/>
  <c r="A269" i="49" s="1"/>
  <c r="A270" i="49" s="1"/>
  <c r="A271" i="49" s="1"/>
  <c r="A272" i="49" s="1"/>
  <c r="A273" i="49" s="1"/>
  <c r="A274" i="49" s="1"/>
  <c r="F221" i="49"/>
  <c r="F222" i="49"/>
  <c r="F223" i="49"/>
  <c r="F224" i="49"/>
  <c r="F225" i="49"/>
  <c r="F226" i="49"/>
  <c r="F227" i="49"/>
  <c r="F228" i="49"/>
  <c r="F229" i="49"/>
  <c r="F230" i="49"/>
  <c r="F231" i="49"/>
  <c r="F232" i="49"/>
  <c r="F233" i="49"/>
  <c r="F234" i="49"/>
  <c r="F235" i="49"/>
  <c r="F236" i="49"/>
  <c r="F237" i="49"/>
  <c r="F239" i="49"/>
  <c r="F220" i="49"/>
  <c r="F208" i="49"/>
  <c r="F209" i="49"/>
  <c r="F210" i="49"/>
  <c r="F211" i="49"/>
  <c r="F212" i="49"/>
  <c r="F213" i="49"/>
  <c r="F214" i="49"/>
  <c r="F215" i="49"/>
  <c r="F216" i="49"/>
  <c r="F217" i="49"/>
  <c r="F218" i="49"/>
  <c r="F207" i="49"/>
  <c r="F206" i="49"/>
  <c r="F205" i="49"/>
  <c r="F204" i="49"/>
  <c r="F203" i="49"/>
  <c r="F202" i="49"/>
  <c r="F201" i="49"/>
  <c r="F200" i="49"/>
  <c r="F199" i="49"/>
  <c r="F198" i="49"/>
  <c r="F197" i="49"/>
  <c r="F187" i="49"/>
  <c r="F188" i="49"/>
  <c r="F189" i="49"/>
  <c r="F190" i="49"/>
  <c r="F191" i="49"/>
  <c r="F192" i="49"/>
  <c r="F193" i="49"/>
  <c r="F194" i="49"/>
  <c r="F195" i="49"/>
  <c r="F186" i="49"/>
  <c r="AT252" i="49"/>
  <c r="AS252" i="49"/>
  <c r="AM252" i="49"/>
  <c r="AL252" i="49"/>
  <c r="AI252" i="49"/>
  <c r="AH252" i="49"/>
  <c r="AE252" i="49"/>
  <c r="AD252" i="49"/>
  <c r="AA252" i="49"/>
  <c r="Z252" i="49"/>
  <c r="W252" i="49"/>
  <c r="I27" i="75" s="1"/>
  <c r="V252" i="49"/>
  <c r="H27" i="75" s="1"/>
  <c r="U252" i="49"/>
  <c r="J27" i="75" s="1"/>
  <c r="T252" i="49"/>
  <c r="R252" i="49"/>
  <c r="M252" i="49"/>
  <c r="L252" i="49"/>
  <c r="K252" i="49"/>
  <c r="J252" i="49"/>
  <c r="F27" i="75" s="1"/>
  <c r="AU251" i="49"/>
  <c r="AU250" i="49" s="1"/>
  <c r="AU252" i="49" s="1"/>
  <c r="AR251" i="49"/>
  <c r="AR250" i="49" s="1"/>
  <c r="AR252" i="49" s="1"/>
  <c r="AN251" i="49"/>
  <c r="AN250" i="49" s="1"/>
  <c r="AO250" i="49" s="1"/>
  <c r="AJ251" i="49"/>
  <c r="AK251" i="49" s="1"/>
  <c r="AF251" i="49"/>
  <c r="AG251" i="49" s="1"/>
  <c r="AB251" i="49"/>
  <c r="AC251" i="49" s="1"/>
  <c r="X251" i="49"/>
  <c r="X250" i="49" s="1"/>
  <c r="Y250" i="49" s="1"/>
  <c r="S251" i="49"/>
  <c r="S252" i="49" s="1"/>
  <c r="AT249" i="49"/>
  <c r="AS249" i="49"/>
  <c r="AM249" i="49"/>
  <c r="AL249" i="49"/>
  <c r="AI249" i="49"/>
  <c r="AH249" i="49"/>
  <c r="AE249" i="49"/>
  <c r="AD249" i="49"/>
  <c r="AA249" i="49"/>
  <c r="Z249" i="49"/>
  <c r="W249" i="49"/>
  <c r="I26" i="75" s="1"/>
  <c r="V249" i="49"/>
  <c r="H26" i="75" s="1"/>
  <c r="U249" i="49"/>
  <c r="J26" i="75" s="1"/>
  <c r="T249" i="49"/>
  <c r="R249" i="49"/>
  <c r="S250" i="49" s="1"/>
  <c r="M249" i="49"/>
  <c r="L249" i="49"/>
  <c r="K249" i="49"/>
  <c r="J249" i="49"/>
  <c r="F26" i="75" s="1"/>
  <c r="AU248" i="49"/>
  <c r="AR248" i="49"/>
  <c r="AN248" i="49"/>
  <c r="AO248" i="49" s="1"/>
  <c r="AJ248" i="49"/>
  <c r="AK248" i="49" s="1"/>
  <c r="AF248" i="49"/>
  <c r="AG248" i="49" s="1"/>
  <c r="AB248" i="49"/>
  <c r="AC248" i="49" s="1"/>
  <c r="X248" i="49"/>
  <c r="Y248" i="49" s="1"/>
  <c r="S248" i="49"/>
  <c r="S249" i="49" s="1"/>
  <c r="AU247" i="49"/>
  <c r="AU249" i="49" s="1"/>
  <c r="AR247" i="49"/>
  <c r="AR249" i="49" s="1"/>
  <c r="AN247" i="49"/>
  <c r="AO247" i="49" s="1"/>
  <c r="AJ247" i="49"/>
  <c r="AK247" i="49" s="1"/>
  <c r="AF247" i="49"/>
  <c r="AG247" i="49" s="1"/>
  <c r="AB247" i="49"/>
  <c r="AC247" i="49" s="1"/>
  <c r="X247" i="49"/>
  <c r="Y247" i="49" s="1"/>
  <c r="S247" i="49"/>
  <c r="AU246" i="49"/>
  <c r="AR246" i="49"/>
  <c r="AN246" i="49"/>
  <c r="AO246" i="49" s="1"/>
  <c r="L25" i="75" s="1"/>
  <c r="AJ246" i="49"/>
  <c r="AK246" i="49" s="1"/>
  <c r="AF246" i="49"/>
  <c r="AG246" i="49" s="1"/>
  <c r="AB246" i="49"/>
  <c r="AC246" i="49" s="1"/>
  <c r="X246" i="49"/>
  <c r="Y246" i="49" s="1"/>
  <c r="AT245" i="49"/>
  <c r="AS245" i="49"/>
  <c r="AM245" i="49"/>
  <c r="AL245" i="49"/>
  <c r="AI245" i="49"/>
  <c r="AH245" i="49"/>
  <c r="AE245" i="49"/>
  <c r="AD245" i="49"/>
  <c r="AA245" i="49"/>
  <c r="Z245" i="49"/>
  <c r="W245" i="49"/>
  <c r="I24" i="75" s="1"/>
  <c r="V245" i="49"/>
  <c r="H24" i="75" s="1"/>
  <c r="U245" i="49"/>
  <c r="J24" i="75" s="1"/>
  <c r="T245" i="49"/>
  <c r="R245" i="49"/>
  <c r="S246" i="49" s="1"/>
  <c r="M245" i="49"/>
  <c r="L245" i="49"/>
  <c r="K245" i="49"/>
  <c r="J245" i="49"/>
  <c r="F24" i="75" s="1"/>
  <c r="AU244" i="49"/>
  <c r="AR244" i="49"/>
  <c r="AN244" i="49"/>
  <c r="AO244" i="49" s="1"/>
  <c r="AJ244" i="49"/>
  <c r="AK244" i="49" s="1"/>
  <c r="AF244" i="49"/>
  <c r="AG244" i="49" s="1"/>
  <c r="AB244" i="49"/>
  <c r="AC244" i="49" s="1"/>
  <c r="X244" i="49"/>
  <c r="Y244" i="49" s="1"/>
  <c r="S244" i="49"/>
  <c r="S245" i="49" s="1"/>
  <c r="AU243" i="49"/>
  <c r="AR243" i="49"/>
  <c r="AN243" i="49"/>
  <c r="AO243" i="49" s="1"/>
  <c r="AJ243" i="49"/>
  <c r="AK243" i="49" s="1"/>
  <c r="AF243" i="49"/>
  <c r="AG243" i="49" s="1"/>
  <c r="AB243" i="49"/>
  <c r="AC243" i="49" s="1"/>
  <c r="X243" i="49"/>
  <c r="Y243" i="49" s="1"/>
  <c r="S243" i="49"/>
  <c r="AU242" i="49"/>
  <c r="AR242" i="49"/>
  <c r="AN242" i="49"/>
  <c r="AO242" i="49" s="1"/>
  <c r="AJ242" i="49"/>
  <c r="AK242" i="49" s="1"/>
  <c r="AF242" i="49"/>
  <c r="AG242" i="49" s="1"/>
  <c r="AB242" i="49"/>
  <c r="AC242" i="49" s="1"/>
  <c r="X242" i="49"/>
  <c r="Y242" i="49" s="1"/>
  <c r="S242" i="49"/>
  <c r="K25" i="75" l="1"/>
  <c r="AF8" i="75" s="1"/>
  <c r="G25" i="75"/>
  <c r="U26" i="75"/>
  <c r="AR245" i="49"/>
  <c r="AU245" i="49"/>
  <c r="X245" i="49"/>
  <c r="Y245" i="49" s="1"/>
  <c r="AJ250" i="49"/>
  <c r="AK250" i="49" s="1"/>
  <c r="AB250" i="49"/>
  <c r="AC250" i="49" s="1"/>
  <c r="AN252" i="49"/>
  <c r="AO252" i="49" s="1"/>
  <c r="L27" i="75" s="1"/>
  <c r="X252" i="49"/>
  <c r="Y252" i="49" s="1"/>
  <c r="AN249" i="49"/>
  <c r="AO249" i="49" s="1"/>
  <c r="L26" i="75" s="1"/>
  <c r="AJ249" i="49"/>
  <c r="AK249" i="49" s="1"/>
  <c r="AF249" i="49"/>
  <c r="AG249" i="49" s="1"/>
  <c r="AB249" i="49"/>
  <c r="AC249" i="49" s="1"/>
  <c r="X249" i="49"/>
  <c r="Y249" i="49" s="1"/>
  <c r="AN245" i="49"/>
  <c r="AO245" i="49" s="1"/>
  <c r="AJ245" i="49"/>
  <c r="AK245" i="49" s="1"/>
  <c r="AF245" i="49"/>
  <c r="AG245" i="49" s="1"/>
  <c r="AB245" i="49"/>
  <c r="AC245" i="49" s="1"/>
  <c r="AF250" i="49"/>
  <c r="Y251" i="49"/>
  <c r="AO251" i="49"/>
  <c r="L13" i="74" s="1"/>
  <c r="AU239" i="49"/>
  <c r="AR239" i="49"/>
  <c r="AN239" i="49"/>
  <c r="AO239" i="49" s="1"/>
  <c r="AJ239" i="49"/>
  <c r="AK239" i="49" s="1"/>
  <c r="AF239" i="49"/>
  <c r="AG239" i="49" s="1"/>
  <c r="AB239" i="49"/>
  <c r="AC239" i="49" s="1"/>
  <c r="X239" i="49"/>
  <c r="Y239" i="49" s="1"/>
  <c r="S239" i="49"/>
  <c r="K10" i="74" l="1"/>
  <c r="K24" i="75"/>
  <c r="G24" i="75"/>
  <c r="G27" i="75"/>
  <c r="K27" i="75"/>
  <c r="G26" i="75"/>
  <c r="K26" i="75"/>
  <c r="AF9" i="75" s="1"/>
  <c r="W27" i="75"/>
  <c r="L10" i="74"/>
  <c r="AD7" i="74" s="1"/>
  <c r="L24" i="75"/>
  <c r="W26" i="75" s="1"/>
  <c r="V26" i="75"/>
  <c r="O17" i="74"/>
  <c r="O25" i="74" s="1"/>
  <c r="O17" i="75"/>
  <c r="L11" i="74"/>
  <c r="L12" i="74"/>
  <c r="AJ252" i="49"/>
  <c r="AK252" i="49" s="1"/>
  <c r="AB252" i="49"/>
  <c r="AC252" i="49" s="1"/>
  <c r="AG250" i="49"/>
  <c r="AF252" i="49"/>
  <c r="AG252" i="49" s="1"/>
  <c r="A62" i="74"/>
  <c r="A18" i="74"/>
  <c r="X26" i="75" l="1"/>
  <c r="AF37" i="75" s="1"/>
  <c r="AF10" i="75"/>
  <c r="W28" i="75"/>
  <c r="X27" i="75"/>
  <c r="AF38" i="75" s="1"/>
  <c r="Y27" i="75"/>
  <c r="AF14" i="75" s="1"/>
  <c r="O25" i="75"/>
  <c r="T29" i="75" s="1"/>
  <c r="AF74" i="75" s="1"/>
  <c r="T21" i="75"/>
  <c r="AE74" i="75" s="1"/>
  <c r="AF7" i="75"/>
  <c r="A19" i="74"/>
  <c r="E18" i="74"/>
  <c r="A63" i="74"/>
  <c r="E62" i="74"/>
  <c r="AU238" i="49"/>
  <c r="AR238" i="49"/>
  <c r="AN238" i="49"/>
  <c r="AO238" i="49" s="1"/>
  <c r="L27" i="74" s="1"/>
  <c r="AJ238" i="49"/>
  <c r="AK238" i="49" s="1"/>
  <c r="AF238" i="49"/>
  <c r="AG238" i="49" s="1"/>
  <c r="AB238" i="49"/>
  <c r="AC238" i="49" s="1"/>
  <c r="X238" i="49"/>
  <c r="Y238" i="49" s="1"/>
  <c r="S238" i="49"/>
  <c r="AU237" i="49"/>
  <c r="AR237" i="49"/>
  <c r="AN237" i="49"/>
  <c r="AO237" i="49" s="1"/>
  <c r="AJ237" i="49"/>
  <c r="AK237" i="49" s="1"/>
  <c r="AF237" i="49"/>
  <c r="AG237" i="49" s="1"/>
  <c r="AB237" i="49"/>
  <c r="AC237" i="49" s="1"/>
  <c r="X237" i="49"/>
  <c r="Y237" i="49" s="1"/>
  <c r="AT236" i="49"/>
  <c r="AS236" i="49"/>
  <c r="AM236" i="49"/>
  <c r="AL236" i="49"/>
  <c r="AI236" i="49"/>
  <c r="AH236" i="49"/>
  <c r="AE236" i="49"/>
  <c r="AD236" i="49"/>
  <c r="AA236" i="49"/>
  <c r="Z236" i="49"/>
  <c r="W236" i="49"/>
  <c r="V236" i="49"/>
  <c r="U236" i="49"/>
  <c r="T236" i="49"/>
  <c r="R236" i="49"/>
  <c r="M236" i="49"/>
  <c r="L236" i="49"/>
  <c r="K236" i="49"/>
  <c r="J236" i="49"/>
  <c r="AU235" i="49"/>
  <c r="AR235" i="49"/>
  <c r="AN235" i="49"/>
  <c r="AO235" i="49" s="1"/>
  <c r="AJ235" i="49"/>
  <c r="AK235" i="49" s="1"/>
  <c r="AF235" i="49"/>
  <c r="AG235" i="49" s="1"/>
  <c r="AB235" i="49"/>
  <c r="AC235" i="49" s="1"/>
  <c r="X235" i="49"/>
  <c r="Y235" i="49" s="1"/>
  <c r="S235" i="49"/>
  <c r="S236" i="49" s="1"/>
  <c r="AU234" i="49"/>
  <c r="AR234" i="49"/>
  <c r="AN234" i="49"/>
  <c r="AO234" i="49" s="1"/>
  <c r="AJ234" i="49"/>
  <c r="AK234" i="49" s="1"/>
  <c r="AF234" i="49"/>
  <c r="AG234" i="49" s="1"/>
  <c r="AB234" i="49"/>
  <c r="AC234" i="49" s="1"/>
  <c r="X234" i="49"/>
  <c r="Y234" i="49" s="1"/>
  <c r="AT233" i="49"/>
  <c r="AS233" i="49"/>
  <c r="AM233" i="49"/>
  <c r="AL233" i="49"/>
  <c r="AI233" i="49"/>
  <c r="AH233" i="49"/>
  <c r="AE233" i="49"/>
  <c r="AD233" i="49"/>
  <c r="AA233" i="49"/>
  <c r="Z233" i="49"/>
  <c r="W233" i="49"/>
  <c r="V233" i="49"/>
  <c r="U233" i="49"/>
  <c r="T233" i="49"/>
  <c r="R233" i="49"/>
  <c r="S234" i="49" s="1"/>
  <c r="M233" i="49"/>
  <c r="L233" i="49"/>
  <c r="K233" i="49"/>
  <c r="J233" i="49"/>
  <c r="AU232" i="49"/>
  <c r="AU231" i="49" s="1"/>
  <c r="AU233" i="49" s="1"/>
  <c r="AR232" i="49"/>
  <c r="AR231" i="49" s="1"/>
  <c r="AR233" i="49" s="1"/>
  <c r="AN232" i="49"/>
  <c r="AO232" i="49" s="1"/>
  <c r="AJ232" i="49"/>
  <c r="AK232" i="49" s="1"/>
  <c r="AF232" i="49"/>
  <c r="AG232" i="49" s="1"/>
  <c r="AB232" i="49"/>
  <c r="AC232" i="49" s="1"/>
  <c r="X232" i="49"/>
  <c r="X231" i="49" s="1"/>
  <c r="Y231" i="49" s="1"/>
  <c r="S232" i="49"/>
  <c r="S233" i="49" s="1"/>
  <c r="S231" i="49"/>
  <c r="AU230" i="49"/>
  <c r="AR230" i="49"/>
  <c r="AN230" i="49"/>
  <c r="AO230" i="49" s="1"/>
  <c r="AJ230" i="49"/>
  <c r="AK230" i="49" s="1"/>
  <c r="AF230" i="49"/>
  <c r="AG230" i="49" s="1"/>
  <c r="AB230" i="49"/>
  <c r="AC230" i="49" s="1"/>
  <c r="X230" i="49"/>
  <c r="Y230" i="49" s="1"/>
  <c r="AT229" i="49"/>
  <c r="AS229" i="49"/>
  <c r="AM229" i="49"/>
  <c r="AL229" i="49"/>
  <c r="AI229" i="49"/>
  <c r="AH229" i="49"/>
  <c r="AE229" i="49"/>
  <c r="AD229" i="49"/>
  <c r="AA229" i="49"/>
  <c r="Z229" i="49"/>
  <c r="W229" i="49"/>
  <c r="V229" i="49"/>
  <c r="U229" i="49"/>
  <c r="T229" i="49"/>
  <c r="R229" i="49"/>
  <c r="M229" i="49"/>
  <c r="L229" i="49"/>
  <c r="K229" i="49"/>
  <c r="J229" i="49"/>
  <c r="AU228" i="49"/>
  <c r="AU227" i="49" s="1"/>
  <c r="AU229" i="49" s="1"/>
  <c r="AR228" i="49"/>
  <c r="AR227" i="49" s="1"/>
  <c r="AR229" i="49" s="1"/>
  <c r="AN228" i="49"/>
  <c r="AO228" i="49" s="1"/>
  <c r="AJ228" i="49"/>
  <c r="AK228" i="49" s="1"/>
  <c r="AF228" i="49"/>
  <c r="AG228" i="49" s="1"/>
  <c r="AB228" i="49"/>
  <c r="AC228" i="49" s="1"/>
  <c r="X228" i="49"/>
  <c r="X227" i="49" s="1"/>
  <c r="Y227" i="49" s="1"/>
  <c r="S228" i="49"/>
  <c r="S229" i="49" s="1"/>
  <c r="AT226" i="49"/>
  <c r="AS226" i="49"/>
  <c r="AM226" i="49"/>
  <c r="AL226" i="49"/>
  <c r="AI226" i="49"/>
  <c r="AH226" i="49"/>
  <c r="AE226" i="49"/>
  <c r="AD226" i="49"/>
  <c r="AA226" i="49"/>
  <c r="Z226" i="49"/>
  <c r="W226" i="49"/>
  <c r="V226" i="49"/>
  <c r="U226" i="49"/>
  <c r="T226" i="49"/>
  <c r="R226" i="49"/>
  <c r="M226" i="49"/>
  <c r="L226" i="49"/>
  <c r="K226" i="49"/>
  <c r="J226" i="49"/>
  <c r="AU225" i="49"/>
  <c r="AR225" i="49"/>
  <c r="AN225" i="49"/>
  <c r="AO225" i="49" s="1"/>
  <c r="AJ225" i="49"/>
  <c r="AK225" i="49" s="1"/>
  <c r="AF225" i="49"/>
  <c r="AG225" i="49" s="1"/>
  <c r="AB225" i="49"/>
  <c r="AC225" i="49" s="1"/>
  <c r="X225" i="49"/>
  <c r="Y225" i="49" s="1"/>
  <c r="S225" i="49"/>
  <c r="S226" i="49" s="1"/>
  <c r="AU224" i="49"/>
  <c r="AU226" i="49" s="1"/>
  <c r="AR224" i="49"/>
  <c r="AN224" i="49"/>
  <c r="AO224" i="49" s="1"/>
  <c r="AJ224" i="49"/>
  <c r="AK224" i="49" s="1"/>
  <c r="AF224" i="49"/>
  <c r="AG224" i="49" s="1"/>
  <c r="AB224" i="49"/>
  <c r="AC224" i="49" s="1"/>
  <c r="X224" i="49"/>
  <c r="Y224" i="49" s="1"/>
  <c r="S224" i="49"/>
  <c r="AU223" i="49"/>
  <c r="AR223" i="49"/>
  <c r="AN223" i="49"/>
  <c r="AO223" i="49" s="1"/>
  <c r="AJ223" i="49"/>
  <c r="AK223" i="49" s="1"/>
  <c r="AF223" i="49"/>
  <c r="AG223" i="49" s="1"/>
  <c r="AB223" i="49"/>
  <c r="AC223" i="49" s="1"/>
  <c r="X223" i="49"/>
  <c r="Y223" i="49" s="1"/>
  <c r="AT222" i="49"/>
  <c r="AS222" i="49"/>
  <c r="AM222" i="49"/>
  <c r="AL222" i="49"/>
  <c r="AI222" i="49"/>
  <c r="AH222" i="49"/>
  <c r="AE222" i="49"/>
  <c r="AD222" i="49"/>
  <c r="AA222" i="49"/>
  <c r="Z222" i="49"/>
  <c r="W222" i="49"/>
  <c r="V222" i="49"/>
  <c r="U222" i="49"/>
  <c r="T222" i="49"/>
  <c r="R222" i="49"/>
  <c r="S223" i="49" s="1"/>
  <c r="M222" i="49"/>
  <c r="L222" i="49"/>
  <c r="K222" i="49"/>
  <c r="J222" i="49"/>
  <c r="AU221" i="49"/>
  <c r="AR221" i="49"/>
  <c r="AN221" i="49"/>
  <c r="AO221" i="49" s="1"/>
  <c r="AJ221" i="49"/>
  <c r="AK221" i="49" s="1"/>
  <c r="AF221" i="49"/>
  <c r="AG221" i="49" s="1"/>
  <c r="AB221" i="49"/>
  <c r="AC221" i="49" s="1"/>
  <c r="X221" i="49"/>
  <c r="Y221" i="49" s="1"/>
  <c r="S221" i="49"/>
  <c r="S222" i="49" s="1"/>
  <c r="AU220" i="49"/>
  <c r="AR220" i="49"/>
  <c r="AN220" i="49"/>
  <c r="AJ220" i="49"/>
  <c r="AK220" i="49" s="1"/>
  <c r="AF220" i="49"/>
  <c r="AG220" i="49" s="1"/>
  <c r="AB220" i="49"/>
  <c r="AC220" i="49" s="1"/>
  <c r="X220" i="49"/>
  <c r="Y220" i="49" s="1"/>
  <c r="S220" i="49"/>
  <c r="AU218" i="49"/>
  <c r="AR218" i="49"/>
  <c r="AN218" i="49"/>
  <c r="AO218" i="49" s="1"/>
  <c r="AJ218" i="49"/>
  <c r="AK218" i="49" s="1"/>
  <c r="AF218" i="49"/>
  <c r="AG218" i="49" s="1"/>
  <c r="AB218" i="49"/>
  <c r="AC218" i="49" s="1"/>
  <c r="X218" i="49"/>
  <c r="Y218" i="49" s="1"/>
  <c r="AT217" i="49"/>
  <c r="AS217" i="49"/>
  <c r="AM217" i="49"/>
  <c r="AL217" i="49"/>
  <c r="AI217" i="49"/>
  <c r="AH217" i="49"/>
  <c r="AE217" i="49"/>
  <c r="AD217" i="49"/>
  <c r="AA217" i="49"/>
  <c r="Z217" i="49"/>
  <c r="W217" i="49"/>
  <c r="V217" i="49"/>
  <c r="U217" i="49"/>
  <c r="T217" i="49"/>
  <c r="R217" i="49"/>
  <c r="S218" i="49" s="1"/>
  <c r="M217" i="49"/>
  <c r="L217" i="49"/>
  <c r="K217" i="49"/>
  <c r="J217" i="49"/>
  <c r="AU216" i="49"/>
  <c r="AR216" i="49"/>
  <c r="AN216" i="49"/>
  <c r="AO216" i="49" s="1"/>
  <c r="AJ216" i="49"/>
  <c r="AK216" i="49" s="1"/>
  <c r="AF216" i="49"/>
  <c r="AG216" i="49" s="1"/>
  <c r="AB216" i="49"/>
  <c r="AC216" i="49" s="1"/>
  <c r="X216" i="49"/>
  <c r="Y216" i="49" s="1"/>
  <c r="S216" i="49"/>
  <c r="S217" i="49" s="1"/>
  <c r="AU215" i="49"/>
  <c r="AR215" i="49"/>
  <c r="AN215" i="49"/>
  <c r="AO215" i="49" s="1"/>
  <c r="AJ215" i="49"/>
  <c r="AK215" i="49" s="1"/>
  <c r="AF215" i="49"/>
  <c r="AG215" i="49" s="1"/>
  <c r="AB215" i="49"/>
  <c r="AC215" i="49" s="1"/>
  <c r="X215" i="49"/>
  <c r="Y215" i="49" s="1"/>
  <c r="S215" i="49"/>
  <c r="AU214" i="49"/>
  <c r="AR214" i="49"/>
  <c r="AN214" i="49"/>
  <c r="AO214" i="49" s="1"/>
  <c r="AJ214" i="49"/>
  <c r="AK214" i="49" s="1"/>
  <c r="AF214" i="49"/>
  <c r="AG214" i="49" s="1"/>
  <c r="AB214" i="49"/>
  <c r="AC214" i="49" s="1"/>
  <c r="X214" i="49"/>
  <c r="Y214" i="49" s="1"/>
  <c r="AT213" i="49"/>
  <c r="AS213" i="49"/>
  <c r="AM213" i="49"/>
  <c r="AL213" i="49"/>
  <c r="AI213" i="49"/>
  <c r="AH213" i="49"/>
  <c r="AE213" i="49"/>
  <c r="AD213" i="49"/>
  <c r="AA213" i="49"/>
  <c r="Z213" i="49"/>
  <c r="W213" i="49"/>
  <c r="V213" i="49"/>
  <c r="U213" i="49"/>
  <c r="T213" i="49"/>
  <c r="R213" i="49"/>
  <c r="S214" i="49" s="1"/>
  <c r="M213" i="49"/>
  <c r="L213" i="49"/>
  <c r="K213" i="49"/>
  <c r="J213" i="49"/>
  <c r="AU212" i="49"/>
  <c r="AR212" i="49"/>
  <c r="AN212" i="49"/>
  <c r="AO212" i="49" s="1"/>
  <c r="AJ212" i="49"/>
  <c r="AK212" i="49" s="1"/>
  <c r="AF212" i="49"/>
  <c r="AG212" i="49" s="1"/>
  <c r="AB212" i="49"/>
  <c r="AC212" i="49" s="1"/>
  <c r="X212" i="49"/>
  <c r="Y212" i="49" s="1"/>
  <c r="S212" i="49"/>
  <c r="S213" i="49" s="1"/>
  <c r="AU211" i="49"/>
  <c r="AR211" i="49"/>
  <c r="AN211" i="49"/>
  <c r="AO211" i="49" s="1"/>
  <c r="AJ211" i="49"/>
  <c r="AK211" i="49" s="1"/>
  <c r="AF211" i="49"/>
  <c r="AG211" i="49" s="1"/>
  <c r="AB211" i="49"/>
  <c r="AC211" i="49" s="1"/>
  <c r="X211" i="49"/>
  <c r="Y211" i="49" s="1"/>
  <c r="AT210" i="49"/>
  <c r="AS210" i="49"/>
  <c r="AM210" i="49"/>
  <c r="AL210" i="49"/>
  <c r="AI210" i="49"/>
  <c r="AH210" i="49"/>
  <c r="AE210" i="49"/>
  <c r="AD210" i="49"/>
  <c r="AA210" i="49"/>
  <c r="Z210" i="49"/>
  <c r="W210" i="49"/>
  <c r="V210" i="49"/>
  <c r="U210" i="49"/>
  <c r="T210" i="49"/>
  <c r="R210" i="49"/>
  <c r="M210" i="49"/>
  <c r="L210" i="49"/>
  <c r="K210" i="49"/>
  <c r="J210" i="49"/>
  <c r="AU209" i="49"/>
  <c r="AU208" i="49" s="1"/>
  <c r="AU210" i="49" s="1"/>
  <c r="AR209" i="49"/>
  <c r="AR208" i="49" s="1"/>
  <c r="AR210" i="49" s="1"/>
  <c r="AN209" i="49"/>
  <c r="AO209" i="49" s="1"/>
  <c r="AJ209" i="49"/>
  <c r="AK209" i="49" s="1"/>
  <c r="AF209" i="49"/>
  <c r="AF208" i="49" s="1"/>
  <c r="AG208" i="49" s="1"/>
  <c r="AB209" i="49"/>
  <c r="AC209" i="49" s="1"/>
  <c r="X209" i="49"/>
  <c r="X208" i="49" s="1"/>
  <c r="Y208" i="49" s="1"/>
  <c r="S209" i="49"/>
  <c r="S210" i="49" s="1"/>
  <c r="S208" i="49"/>
  <c r="AU207" i="49"/>
  <c r="AR207" i="49"/>
  <c r="AN207" i="49"/>
  <c r="AO207" i="49" s="1"/>
  <c r="AJ207" i="49"/>
  <c r="AK207" i="49" s="1"/>
  <c r="AF207" i="49"/>
  <c r="AG207" i="49" s="1"/>
  <c r="AB207" i="49"/>
  <c r="AC207" i="49" s="1"/>
  <c r="X207" i="49"/>
  <c r="Y207" i="49" s="1"/>
  <c r="AT206" i="49"/>
  <c r="AS206" i="49"/>
  <c r="AM206" i="49"/>
  <c r="AL206" i="49"/>
  <c r="AI206" i="49"/>
  <c r="AH206" i="49"/>
  <c r="AE206" i="49"/>
  <c r="AD206" i="49"/>
  <c r="AA206" i="49"/>
  <c r="Z206" i="49"/>
  <c r="W206" i="49"/>
  <c r="I20" i="75" s="1"/>
  <c r="V206" i="49"/>
  <c r="H20" i="75" s="1"/>
  <c r="U206" i="49"/>
  <c r="J20" i="75" s="1"/>
  <c r="T206" i="49"/>
  <c r="R206" i="49"/>
  <c r="S207" i="49" s="1"/>
  <c r="M206" i="49"/>
  <c r="L206" i="49"/>
  <c r="K206" i="49"/>
  <c r="J206" i="49"/>
  <c r="F20" i="75" s="1"/>
  <c r="AU205" i="49"/>
  <c r="AU204" i="49" s="1"/>
  <c r="AU206" i="49" s="1"/>
  <c r="AR205" i="49"/>
  <c r="AR204" i="49" s="1"/>
  <c r="AR206" i="49" s="1"/>
  <c r="AN205" i="49"/>
  <c r="AO205" i="49" s="1"/>
  <c r="AJ205" i="49"/>
  <c r="AK205" i="49" s="1"/>
  <c r="AF205" i="49"/>
  <c r="AF204" i="49" s="1"/>
  <c r="AG204" i="49" s="1"/>
  <c r="AB205" i="49"/>
  <c r="AB204" i="49" s="1"/>
  <c r="AC204" i="49" s="1"/>
  <c r="X205" i="49"/>
  <c r="X204" i="49" s="1"/>
  <c r="Y204" i="49" s="1"/>
  <c r="S205" i="49"/>
  <c r="S206" i="49" s="1"/>
  <c r="AT203" i="49"/>
  <c r="AS203" i="49"/>
  <c r="AM203" i="49"/>
  <c r="AL203" i="49"/>
  <c r="AI203" i="49"/>
  <c r="AH203" i="49"/>
  <c r="AE203" i="49"/>
  <c r="AD203" i="49"/>
  <c r="AA203" i="49"/>
  <c r="Z203" i="49"/>
  <c r="W203" i="49"/>
  <c r="I19" i="75" s="1"/>
  <c r="V203" i="49"/>
  <c r="H19" i="75" s="1"/>
  <c r="U203" i="49"/>
  <c r="J19" i="75" s="1"/>
  <c r="T203" i="49"/>
  <c r="R203" i="49"/>
  <c r="S204" i="49" s="1"/>
  <c r="M203" i="49"/>
  <c r="L203" i="49"/>
  <c r="K203" i="49"/>
  <c r="J203" i="49"/>
  <c r="F19" i="75" s="1"/>
  <c r="AU202" i="49"/>
  <c r="AR202" i="49"/>
  <c r="AN202" i="49"/>
  <c r="AO202" i="49" s="1"/>
  <c r="AJ202" i="49"/>
  <c r="AK202" i="49" s="1"/>
  <c r="AF202" i="49"/>
  <c r="AG202" i="49" s="1"/>
  <c r="AB202" i="49"/>
  <c r="AC202" i="49" s="1"/>
  <c r="X202" i="49"/>
  <c r="Y202" i="49" s="1"/>
  <c r="S202" i="49"/>
  <c r="S203" i="49" s="1"/>
  <c r="AU201" i="49"/>
  <c r="AR201" i="49"/>
  <c r="AN201" i="49"/>
  <c r="AO201" i="49" s="1"/>
  <c r="AJ201" i="49"/>
  <c r="AK201" i="49" s="1"/>
  <c r="AF201" i="49"/>
  <c r="AG201" i="49" s="1"/>
  <c r="AB201" i="49"/>
  <c r="AC201" i="49" s="1"/>
  <c r="X201" i="49"/>
  <c r="Y201" i="49" s="1"/>
  <c r="S201" i="49"/>
  <c r="AU200" i="49"/>
  <c r="AR200" i="49"/>
  <c r="AN200" i="49"/>
  <c r="AO200" i="49" s="1"/>
  <c r="L18" i="75" s="1"/>
  <c r="AJ200" i="49"/>
  <c r="AK200" i="49" s="1"/>
  <c r="AF200" i="49"/>
  <c r="AG200" i="49" s="1"/>
  <c r="AB200" i="49"/>
  <c r="AC200" i="49" s="1"/>
  <c r="X200" i="49"/>
  <c r="Y200" i="49" s="1"/>
  <c r="AT199" i="49"/>
  <c r="AS199" i="49"/>
  <c r="AM199" i="49"/>
  <c r="AL199" i="49"/>
  <c r="AI199" i="49"/>
  <c r="AH199" i="49"/>
  <c r="AE199" i="49"/>
  <c r="AD199" i="49"/>
  <c r="AA199" i="49"/>
  <c r="Z199" i="49"/>
  <c r="W199" i="49"/>
  <c r="I17" i="75" s="1"/>
  <c r="V199" i="49"/>
  <c r="H17" i="75" s="1"/>
  <c r="U199" i="49"/>
  <c r="J17" i="75" s="1"/>
  <c r="T199" i="49"/>
  <c r="R199" i="49"/>
  <c r="M199" i="49"/>
  <c r="L199" i="49"/>
  <c r="K199" i="49"/>
  <c r="J199" i="49"/>
  <c r="F17" i="75" s="1"/>
  <c r="AU198" i="49"/>
  <c r="AR198" i="49"/>
  <c r="AN198" i="49"/>
  <c r="AO198" i="49" s="1"/>
  <c r="AJ198" i="49"/>
  <c r="AK198" i="49" s="1"/>
  <c r="AF198" i="49"/>
  <c r="AG198" i="49" s="1"/>
  <c r="AB198" i="49"/>
  <c r="AC198" i="49" s="1"/>
  <c r="X198" i="49"/>
  <c r="Y198" i="49" s="1"/>
  <c r="S198" i="49"/>
  <c r="S199" i="49" s="1"/>
  <c r="AU197" i="49"/>
  <c r="AR197" i="49"/>
  <c r="AN197" i="49"/>
  <c r="AO197" i="49" s="1"/>
  <c r="AJ197" i="49"/>
  <c r="AK197" i="49" s="1"/>
  <c r="AF197" i="49"/>
  <c r="AG197" i="49" s="1"/>
  <c r="AB197" i="49"/>
  <c r="AC197" i="49" s="1"/>
  <c r="X197" i="49"/>
  <c r="Y197" i="49" s="1"/>
  <c r="S197" i="49"/>
  <c r="A232" i="49"/>
  <c r="A233" i="49" s="1"/>
  <c r="A234" i="49" s="1"/>
  <c r="A235" i="49" s="1"/>
  <c r="A236" i="49" s="1"/>
  <c r="A237" i="49" s="1"/>
  <c r="A221" i="49"/>
  <c r="A222" i="49" s="1"/>
  <c r="A223" i="49" s="1"/>
  <c r="A224" i="49" s="1"/>
  <c r="A225" i="49" s="1"/>
  <c r="A226" i="49" s="1"/>
  <c r="A227" i="49" s="1"/>
  <c r="A228" i="49" s="1"/>
  <c r="A229" i="49" s="1"/>
  <c r="A209" i="49"/>
  <c r="A210" i="49" s="1"/>
  <c r="A211" i="49" s="1"/>
  <c r="A212" i="49" s="1"/>
  <c r="A213" i="49" s="1"/>
  <c r="A214" i="49" s="1"/>
  <c r="A215" i="49" s="1"/>
  <c r="A216" i="49" s="1"/>
  <c r="A217" i="49" s="1"/>
  <c r="A198" i="49"/>
  <c r="A199" i="49" s="1"/>
  <c r="A200" i="49" l="1"/>
  <c r="B17" i="75"/>
  <c r="Y28" i="75"/>
  <c r="AF15" i="75" s="1"/>
  <c r="X28" i="75"/>
  <c r="AF39" i="75" s="1"/>
  <c r="U18" i="75"/>
  <c r="AR222" i="49"/>
  <c r="G18" i="75"/>
  <c r="K18" i="75"/>
  <c r="Y26" i="75"/>
  <c r="AF13" i="75" s="1"/>
  <c r="AB231" i="49"/>
  <c r="AC231" i="49" s="1"/>
  <c r="AJ222" i="49"/>
  <c r="AK222" i="49" s="1"/>
  <c r="A64" i="74"/>
  <c r="E64" i="74" s="1"/>
  <c r="E63" i="74"/>
  <c r="A20" i="74"/>
  <c r="H20" i="74" s="1"/>
  <c r="E19" i="74"/>
  <c r="AU199" i="49"/>
  <c r="AB199" i="49"/>
  <c r="AC199" i="49" s="1"/>
  <c r="AR226" i="49"/>
  <c r="AU236" i="49"/>
  <c r="AR236" i="49"/>
  <c r="AJ236" i="49"/>
  <c r="AK236" i="49" s="1"/>
  <c r="AF236" i="49"/>
  <c r="AG236" i="49" s="1"/>
  <c r="AJ227" i="49"/>
  <c r="AK227" i="49" s="1"/>
  <c r="AN226" i="49"/>
  <c r="AO226" i="49" s="1"/>
  <c r="AJ226" i="49"/>
  <c r="AK226" i="49" s="1"/>
  <c r="AU222" i="49"/>
  <c r="AN222" i="49"/>
  <c r="AO222" i="49" s="1"/>
  <c r="AF222" i="49"/>
  <c r="AG222" i="49" s="1"/>
  <c r="AB222" i="49"/>
  <c r="AC222" i="49" s="1"/>
  <c r="AU217" i="49"/>
  <c r="AR217" i="49"/>
  <c r="AN217" i="49"/>
  <c r="AO217" i="49" s="1"/>
  <c r="X217" i="49"/>
  <c r="Y217" i="49" s="1"/>
  <c r="AU213" i="49"/>
  <c r="AR213" i="49"/>
  <c r="AN213" i="49"/>
  <c r="AO213" i="49" s="1"/>
  <c r="AJ213" i="49"/>
  <c r="AK213" i="49" s="1"/>
  <c r="AN208" i="49"/>
  <c r="AO208" i="49" s="1"/>
  <c r="AB206" i="49"/>
  <c r="AC206" i="49" s="1"/>
  <c r="X206" i="49"/>
  <c r="Y206" i="49" s="1"/>
  <c r="AU203" i="49"/>
  <c r="AR203" i="49"/>
  <c r="AN203" i="49"/>
  <c r="AO203" i="49" s="1"/>
  <c r="L19" i="75" s="1"/>
  <c r="AJ203" i="49"/>
  <c r="AK203" i="49" s="1"/>
  <c r="AR199" i="49"/>
  <c r="AF199" i="49"/>
  <c r="AG199" i="49" s="1"/>
  <c r="AJ199" i="49"/>
  <c r="AK199" i="49" s="1"/>
  <c r="AN236" i="49"/>
  <c r="AO236" i="49" s="1"/>
  <c r="L26" i="74" s="1"/>
  <c r="AB236" i="49"/>
  <c r="AC236" i="49" s="1"/>
  <c r="X236" i="49"/>
  <c r="Y236" i="49" s="1"/>
  <c r="S237" i="49"/>
  <c r="AJ231" i="49"/>
  <c r="AK231" i="49" s="1"/>
  <c r="X233" i="49"/>
  <c r="Y233" i="49" s="1"/>
  <c r="G24" i="74" s="1"/>
  <c r="AB233" i="49"/>
  <c r="AC233" i="49" s="1"/>
  <c r="AB227" i="49"/>
  <c r="AC227" i="49" s="1"/>
  <c r="X229" i="49"/>
  <c r="Y229" i="49" s="1"/>
  <c r="S230" i="49"/>
  <c r="AF226" i="49"/>
  <c r="AG226" i="49" s="1"/>
  <c r="AB226" i="49"/>
  <c r="AC226" i="49" s="1"/>
  <c r="X226" i="49"/>
  <c r="Y226" i="49" s="1"/>
  <c r="S227" i="49"/>
  <c r="AO220" i="49"/>
  <c r="X222" i="49"/>
  <c r="Y222" i="49" s="1"/>
  <c r="AJ217" i="49"/>
  <c r="AK217" i="49" s="1"/>
  <c r="AF217" i="49"/>
  <c r="AG217" i="49" s="1"/>
  <c r="AB217" i="49"/>
  <c r="AC217" i="49" s="1"/>
  <c r="AF213" i="49"/>
  <c r="AG213" i="49" s="1"/>
  <c r="AB213" i="49"/>
  <c r="AC213" i="49" s="1"/>
  <c r="X213" i="49"/>
  <c r="Y213" i="49" s="1"/>
  <c r="AJ208" i="49"/>
  <c r="AK208" i="49" s="1"/>
  <c r="X210" i="49"/>
  <c r="Y210" i="49" s="1"/>
  <c r="AF210" i="49"/>
  <c r="AG210" i="49" s="1"/>
  <c r="S211" i="49"/>
  <c r="AN204" i="49"/>
  <c r="AO204" i="49" s="1"/>
  <c r="AJ204" i="49"/>
  <c r="AK204" i="49" s="1"/>
  <c r="AF206" i="49"/>
  <c r="AG206" i="49" s="1"/>
  <c r="AF203" i="49"/>
  <c r="AG203" i="49" s="1"/>
  <c r="AB203" i="49"/>
  <c r="AC203" i="49" s="1"/>
  <c r="X203" i="49"/>
  <c r="Y203" i="49" s="1"/>
  <c r="AN199" i="49"/>
  <c r="AO199" i="49" s="1"/>
  <c r="L17" i="75" s="1"/>
  <c r="X199" i="49"/>
  <c r="Y199" i="49" s="1"/>
  <c r="S200" i="49"/>
  <c r="Y232" i="49"/>
  <c r="AF231" i="49"/>
  <c r="AN231" i="49"/>
  <c r="Y228" i="49"/>
  <c r="AF227" i="49"/>
  <c r="AN227" i="49"/>
  <c r="AB208" i="49"/>
  <c r="Y209" i="49"/>
  <c r="AG209" i="49"/>
  <c r="AC205" i="49"/>
  <c r="Y205" i="49"/>
  <c r="AG205" i="49"/>
  <c r="AT195" i="49"/>
  <c r="AS195" i="49"/>
  <c r="AM195" i="49"/>
  <c r="AL195" i="49"/>
  <c r="AI195" i="49"/>
  <c r="AH195" i="49"/>
  <c r="AE195" i="49"/>
  <c r="AD195" i="49"/>
  <c r="AA195" i="49"/>
  <c r="Z195" i="49"/>
  <c r="W195" i="49"/>
  <c r="V195" i="49"/>
  <c r="U195" i="49"/>
  <c r="T195" i="49"/>
  <c r="R195" i="49"/>
  <c r="M195" i="49"/>
  <c r="L195" i="49"/>
  <c r="K195" i="49"/>
  <c r="J195" i="49"/>
  <c r="AU194" i="49"/>
  <c r="AU193" i="49" s="1"/>
  <c r="AU195" i="49" s="1"/>
  <c r="AR194" i="49"/>
  <c r="AR193" i="49" s="1"/>
  <c r="AR195" i="49" s="1"/>
  <c r="AN194" i="49"/>
  <c r="AN193" i="49" s="1"/>
  <c r="AO193" i="49" s="1"/>
  <c r="AJ194" i="49"/>
  <c r="AK194" i="49" s="1"/>
  <c r="AF194" i="49"/>
  <c r="AG194" i="49" s="1"/>
  <c r="AB194" i="49"/>
  <c r="AC194" i="49" s="1"/>
  <c r="X194" i="49"/>
  <c r="Y194" i="49" s="1"/>
  <c r="S194" i="49"/>
  <c r="S195" i="49" s="1"/>
  <c r="AT192" i="49"/>
  <c r="AS192" i="49"/>
  <c r="AM192" i="49"/>
  <c r="AL192" i="49"/>
  <c r="AI192" i="49"/>
  <c r="AH192" i="49"/>
  <c r="AE192" i="49"/>
  <c r="AD192" i="49"/>
  <c r="AA192" i="49"/>
  <c r="Z192" i="49"/>
  <c r="W192" i="49"/>
  <c r="V192" i="49"/>
  <c r="U192" i="49"/>
  <c r="T192" i="49"/>
  <c r="R192" i="49"/>
  <c r="S193" i="49" s="1"/>
  <c r="M192" i="49"/>
  <c r="L192" i="49"/>
  <c r="K192" i="49"/>
  <c r="J192" i="49"/>
  <c r="AU191" i="49"/>
  <c r="AR191" i="49"/>
  <c r="AN191" i="49"/>
  <c r="AO191" i="49" s="1"/>
  <c r="AJ191" i="49"/>
  <c r="AK191" i="49" s="1"/>
  <c r="AF191" i="49"/>
  <c r="AG191" i="49" s="1"/>
  <c r="AB191" i="49"/>
  <c r="AC191" i="49" s="1"/>
  <c r="X191" i="49"/>
  <c r="Y191" i="49" s="1"/>
  <c r="S191" i="49"/>
  <c r="S192" i="49" s="1"/>
  <c r="AU190" i="49"/>
  <c r="AR190" i="49"/>
  <c r="AN190" i="49"/>
  <c r="AO190" i="49" s="1"/>
  <c r="AJ190" i="49"/>
  <c r="AK190" i="49" s="1"/>
  <c r="AF190" i="49"/>
  <c r="AG190" i="49" s="1"/>
  <c r="AB190" i="49"/>
  <c r="AC190" i="49" s="1"/>
  <c r="X190" i="49"/>
  <c r="Y190" i="49" s="1"/>
  <c r="S190" i="49"/>
  <c r="AU189" i="49"/>
  <c r="AR189" i="49"/>
  <c r="AN189" i="49"/>
  <c r="AO189" i="49" s="1"/>
  <c r="AJ189" i="49"/>
  <c r="AK189" i="49" s="1"/>
  <c r="AF189" i="49"/>
  <c r="AG189" i="49" s="1"/>
  <c r="AB189" i="49"/>
  <c r="AC189" i="49" s="1"/>
  <c r="X189" i="49"/>
  <c r="Y189" i="49" s="1"/>
  <c r="AT188" i="49"/>
  <c r="AS188" i="49"/>
  <c r="AM188" i="49"/>
  <c r="AL188" i="49"/>
  <c r="AI188" i="49"/>
  <c r="AH188" i="49"/>
  <c r="AE188" i="49"/>
  <c r="AD188" i="49"/>
  <c r="AA188" i="49"/>
  <c r="Z188" i="49"/>
  <c r="W188" i="49"/>
  <c r="V188" i="49"/>
  <c r="U188" i="49"/>
  <c r="T188" i="49"/>
  <c r="R188" i="49"/>
  <c r="S189" i="49" s="1"/>
  <c r="M188" i="49"/>
  <c r="L188" i="49"/>
  <c r="K188" i="49"/>
  <c r="J188" i="49"/>
  <c r="AU187" i="49"/>
  <c r="AR187" i="49"/>
  <c r="AN187" i="49"/>
  <c r="AO187" i="49" s="1"/>
  <c r="AJ187" i="49"/>
  <c r="AK187" i="49" s="1"/>
  <c r="AF187" i="49"/>
  <c r="AG187" i="49" s="1"/>
  <c r="AB187" i="49"/>
  <c r="AC187" i="49" s="1"/>
  <c r="X187" i="49"/>
  <c r="Y187" i="49" s="1"/>
  <c r="S187" i="49"/>
  <c r="S188" i="49" s="1"/>
  <c r="AU186" i="49"/>
  <c r="AR186" i="49"/>
  <c r="AN186" i="49"/>
  <c r="AO186" i="49" s="1"/>
  <c r="AJ186" i="49"/>
  <c r="AK186" i="49" s="1"/>
  <c r="AF186" i="49"/>
  <c r="AG186" i="49" s="1"/>
  <c r="AB186" i="49"/>
  <c r="AC186" i="49" s="1"/>
  <c r="X186" i="49"/>
  <c r="Y186" i="49" s="1"/>
  <c r="S186" i="49"/>
  <c r="AM73" i="74"/>
  <c r="AQ73" i="74"/>
  <c r="AS73" i="74"/>
  <c r="AU73" i="74"/>
  <c r="AY73" i="74"/>
  <c r="D64" i="74"/>
  <c r="D63" i="74"/>
  <c r="J62" i="74"/>
  <c r="I62" i="74"/>
  <c r="H62" i="74"/>
  <c r="F62" i="74"/>
  <c r="D62" i="74"/>
  <c r="D61" i="74"/>
  <c r="K27" i="74"/>
  <c r="J27" i="74"/>
  <c r="I27" i="74"/>
  <c r="H27" i="74"/>
  <c r="G27" i="74"/>
  <c r="F27" i="74"/>
  <c r="D27" i="74"/>
  <c r="B27" i="74"/>
  <c r="K26" i="74"/>
  <c r="J26" i="74"/>
  <c r="I26" i="74"/>
  <c r="H26" i="74"/>
  <c r="G26" i="74"/>
  <c r="F26" i="74"/>
  <c r="D26" i="74"/>
  <c r="B26" i="74"/>
  <c r="K25" i="74"/>
  <c r="J25" i="74"/>
  <c r="I25" i="74"/>
  <c r="H25" i="74"/>
  <c r="G25" i="74"/>
  <c r="F25" i="74"/>
  <c r="D25" i="74"/>
  <c r="B25" i="74"/>
  <c r="J24" i="74"/>
  <c r="I24" i="74"/>
  <c r="U26" i="74" s="1"/>
  <c r="H24" i="74"/>
  <c r="F24" i="74"/>
  <c r="D24" i="74"/>
  <c r="B24" i="74"/>
  <c r="D56" i="74"/>
  <c r="C56" i="74"/>
  <c r="B56" i="74"/>
  <c r="D55" i="74"/>
  <c r="C55" i="74"/>
  <c r="B55" i="74"/>
  <c r="J54" i="74"/>
  <c r="I54" i="74"/>
  <c r="H54" i="74"/>
  <c r="F54" i="74"/>
  <c r="D54" i="74"/>
  <c r="C54" i="74"/>
  <c r="B54" i="74"/>
  <c r="D53" i="74"/>
  <c r="C53" i="74"/>
  <c r="B53" i="74"/>
  <c r="D42" i="74"/>
  <c r="C42" i="74"/>
  <c r="D32" i="74"/>
  <c r="C32" i="74"/>
  <c r="J19" i="74"/>
  <c r="I19" i="74"/>
  <c r="H19" i="74"/>
  <c r="F19" i="74"/>
  <c r="D19" i="74"/>
  <c r="J18" i="74"/>
  <c r="I18" i="74"/>
  <c r="H18" i="74"/>
  <c r="F18" i="74"/>
  <c r="D18" i="74"/>
  <c r="B18" i="74"/>
  <c r="K17" i="74"/>
  <c r="J17" i="74"/>
  <c r="I17" i="74"/>
  <c r="H17" i="74"/>
  <c r="G17" i="74"/>
  <c r="F17" i="74"/>
  <c r="D17" i="74"/>
  <c r="B17" i="74"/>
  <c r="K13" i="74"/>
  <c r="J13" i="74"/>
  <c r="I13" i="74"/>
  <c r="H13" i="74"/>
  <c r="G13" i="74"/>
  <c r="F13" i="74"/>
  <c r="D13" i="74"/>
  <c r="C13" i="74"/>
  <c r="B13" i="74"/>
  <c r="K12" i="74"/>
  <c r="AD9" i="74" s="1"/>
  <c r="J12" i="74"/>
  <c r="I12" i="74"/>
  <c r="H12" i="74"/>
  <c r="G12" i="74"/>
  <c r="F12" i="74"/>
  <c r="D12" i="74"/>
  <c r="C12" i="74"/>
  <c r="B12" i="74"/>
  <c r="K11" i="74"/>
  <c r="J11" i="74"/>
  <c r="I11" i="74"/>
  <c r="H11" i="74"/>
  <c r="G11" i="74"/>
  <c r="F11" i="74"/>
  <c r="D11" i="74"/>
  <c r="C11" i="74"/>
  <c r="B11" i="74"/>
  <c r="J10" i="74"/>
  <c r="I10" i="74"/>
  <c r="U11" i="74" s="1"/>
  <c r="H10" i="74"/>
  <c r="G10" i="74"/>
  <c r="F10" i="74"/>
  <c r="D10" i="74"/>
  <c r="C10" i="74"/>
  <c r="B10" i="74"/>
  <c r="K6" i="74"/>
  <c r="J6" i="74"/>
  <c r="I6" i="74"/>
  <c r="H6" i="74"/>
  <c r="G6" i="74"/>
  <c r="F6" i="74"/>
  <c r="D6" i="74"/>
  <c r="C6" i="74"/>
  <c r="B6" i="74"/>
  <c r="A187" i="49"/>
  <c r="A188" i="49" s="1"/>
  <c r="F174" i="49"/>
  <c r="F175" i="49"/>
  <c r="F176" i="49"/>
  <c r="F177" i="49"/>
  <c r="F178" i="49"/>
  <c r="F179" i="49"/>
  <c r="F180" i="49"/>
  <c r="F181" i="49"/>
  <c r="F182" i="49"/>
  <c r="F183" i="49"/>
  <c r="F184" i="49"/>
  <c r="F173" i="49"/>
  <c r="F172" i="49"/>
  <c r="F171" i="49"/>
  <c r="F170" i="49"/>
  <c r="F169" i="49"/>
  <c r="F168" i="49"/>
  <c r="F167" i="49"/>
  <c r="F166" i="49"/>
  <c r="F165" i="49"/>
  <c r="F164" i="49"/>
  <c r="F163" i="49"/>
  <c r="F162" i="49"/>
  <c r="F150" i="49"/>
  <c r="F151" i="49"/>
  <c r="F152" i="49"/>
  <c r="F153" i="49"/>
  <c r="F154" i="49"/>
  <c r="F155" i="49"/>
  <c r="F156" i="49"/>
  <c r="F157" i="49"/>
  <c r="F158" i="49"/>
  <c r="F159" i="49"/>
  <c r="F160" i="49"/>
  <c r="F149" i="49"/>
  <c r="F147" i="49"/>
  <c r="AU184" i="49"/>
  <c r="O54" i="75" s="1"/>
  <c r="AR184" i="49"/>
  <c r="AN184" i="49"/>
  <c r="AO184" i="49" s="1"/>
  <c r="AJ184" i="49"/>
  <c r="AK184" i="49" s="1"/>
  <c r="AF184" i="49"/>
  <c r="AG184" i="49" s="1"/>
  <c r="AB184" i="49"/>
  <c r="AC184" i="49" s="1"/>
  <c r="X184" i="49"/>
  <c r="Y184" i="49" s="1"/>
  <c r="S184" i="49"/>
  <c r="AU183" i="49"/>
  <c r="AR183" i="49"/>
  <c r="AN183" i="49"/>
  <c r="AO183" i="49" s="1"/>
  <c r="AJ183" i="49"/>
  <c r="AK183" i="49" s="1"/>
  <c r="AF183" i="49"/>
  <c r="AG183" i="49" s="1"/>
  <c r="AB183" i="49"/>
  <c r="AC183" i="49" s="1"/>
  <c r="X183" i="49"/>
  <c r="Y183" i="49" s="1"/>
  <c r="AT182" i="49"/>
  <c r="AS182" i="49"/>
  <c r="AM182" i="49"/>
  <c r="AL182" i="49"/>
  <c r="AI182" i="49"/>
  <c r="AH182" i="49"/>
  <c r="AE182" i="49"/>
  <c r="AD182" i="49"/>
  <c r="AA182" i="49"/>
  <c r="Z182" i="49"/>
  <c r="W182" i="49"/>
  <c r="V182" i="49"/>
  <c r="U182" i="49"/>
  <c r="T182" i="49"/>
  <c r="R182" i="49"/>
  <c r="S183" i="49" s="1"/>
  <c r="M182" i="49"/>
  <c r="L182" i="49"/>
  <c r="K182" i="49"/>
  <c r="J182" i="49"/>
  <c r="AU181" i="49"/>
  <c r="AR181" i="49"/>
  <c r="AN181" i="49"/>
  <c r="AO181" i="49" s="1"/>
  <c r="AJ181" i="49"/>
  <c r="AK181" i="49" s="1"/>
  <c r="AF181" i="49"/>
  <c r="AG181" i="49" s="1"/>
  <c r="AB181" i="49"/>
  <c r="AC181" i="49" s="1"/>
  <c r="X181" i="49"/>
  <c r="Y181" i="49" s="1"/>
  <c r="S181" i="49"/>
  <c r="S182" i="49" s="1"/>
  <c r="AU180" i="49"/>
  <c r="AR180" i="49"/>
  <c r="AN180" i="49"/>
  <c r="AO180" i="49" s="1"/>
  <c r="AJ180" i="49"/>
  <c r="AK180" i="49" s="1"/>
  <c r="AF180" i="49"/>
  <c r="AG180" i="49" s="1"/>
  <c r="AB180" i="49"/>
  <c r="AC180" i="49" s="1"/>
  <c r="X180" i="49"/>
  <c r="Y180" i="49" s="1"/>
  <c r="S180" i="49"/>
  <c r="A184" i="49"/>
  <c r="AU179" i="49"/>
  <c r="AR179" i="49"/>
  <c r="AN179" i="49"/>
  <c r="AO179" i="49" s="1"/>
  <c r="AJ179" i="49"/>
  <c r="AK179" i="49" s="1"/>
  <c r="AF179" i="49"/>
  <c r="AG179" i="49" s="1"/>
  <c r="AB179" i="49"/>
  <c r="AC179" i="49" s="1"/>
  <c r="X179" i="49"/>
  <c r="Y179" i="49" s="1"/>
  <c r="S179" i="49"/>
  <c r="AU178" i="49"/>
  <c r="AR178" i="49"/>
  <c r="AN178" i="49"/>
  <c r="AO178" i="49" s="1"/>
  <c r="AJ178" i="49"/>
  <c r="AK178" i="49" s="1"/>
  <c r="AF178" i="49"/>
  <c r="AG178" i="49" s="1"/>
  <c r="AB178" i="49"/>
  <c r="AC178" i="49" s="1"/>
  <c r="X178" i="49"/>
  <c r="Y178" i="49" s="1"/>
  <c r="S178" i="49"/>
  <c r="AU177" i="49"/>
  <c r="AR177" i="49"/>
  <c r="AN177" i="49"/>
  <c r="AO177" i="49" s="1"/>
  <c r="AJ177" i="49"/>
  <c r="AK177" i="49" s="1"/>
  <c r="AF177" i="49"/>
  <c r="AG177" i="49" s="1"/>
  <c r="AB177" i="49"/>
  <c r="AC177" i="49" s="1"/>
  <c r="X177" i="49"/>
  <c r="Y177" i="49" s="1"/>
  <c r="S177" i="49"/>
  <c r="AU176" i="49"/>
  <c r="AR176" i="49"/>
  <c r="AN176" i="49"/>
  <c r="AO176" i="49" s="1"/>
  <c r="AJ176" i="49"/>
  <c r="AK176" i="49" s="1"/>
  <c r="AF176" i="49"/>
  <c r="AG176" i="49" s="1"/>
  <c r="AB176" i="49"/>
  <c r="AC176" i="49" s="1"/>
  <c r="X176" i="49"/>
  <c r="Y176" i="49" s="1"/>
  <c r="AT175" i="49"/>
  <c r="AS175" i="49"/>
  <c r="AM175" i="49"/>
  <c r="AL175" i="49"/>
  <c r="AI175" i="49"/>
  <c r="AH175" i="49"/>
  <c r="AE175" i="49"/>
  <c r="AD175" i="49"/>
  <c r="AA175" i="49"/>
  <c r="Z175" i="49"/>
  <c r="W175" i="49"/>
  <c r="V175" i="49"/>
  <c r="U175" i="49"/>
  <c r="T175" i="49"/>
  <c r="R175" i="49"/>
  <c r="S176" i="49" s="1"/>
  <c r="M175" i="49"/>
  <c r="L175" i="49"/>
  <c r="K175" i="49"/>
  <c r="J175" i="49"/>
  <c r="AU174" i="49"/>
  <c r="AU173" i="49" s="1"/>
  <c r="AU175" i="49" s="1"/>
  <c r="AR174" i="49"/>
  <c r="AR173" i="49" s="1"/>
  <c r="AR175" i="49" s="1"/>
  <c r="AN174" i="49"/>
  <c r="AN173" i="49" s="1"/>
  <c r="AO173" i="49" s="1"/>
  <c r="AJ174" i="49"/>
  <c r="AK174" i="49" s="1"/>
  <c r="AF174" i="49"/>
  <c r="AG174" i="49" s="1"/>
  <c r="AB174" i="49"/>
  <c r="AC174" i="49" s="1"/>
  <c r="X174" i="49"/>
  <c r="X173" i="49" s="1"/>
  <c r="Y173" i="49" s="1"/>
  <c r="S174" i="49"/>
  <c r="S175" i="49" s="1"/>
  <c r="S173" i="49"/>
  <c r="AU172" i="49"/>
  <c r="AR172" i="49"/>
  <c r="AN172" i="49"/>
  <c r="AO172" i="49" s="1"/>
  <c r="AJ172" i="49"/>
  <c r="AK172" i="49" s="1"/>
  <c r="AF172" i="49"/>
  <c r="AG172" i="49" s="1"/>
  <c r="AB172" i="49"/>
  <c r="AC172" i="49" s="1"/>
  <c r="X172" i="49"/>
  <c r="Y172" i="49" s="1"/>
  <c r="AT171" i="49"/>
  <c r="AS171" i="49"/>
  <c r="AM171" i="49"/>
  <c r="AL171" i="49"/>
  <c r="AI171" i="49"/>
  <c r="AH171" i="49"/>
  <c r="AE171" i="49"/>
  <c r="AD171" i="49"/>
  <c r="AA171" i="49"/>
  <c r="Z171" i="49"/>
  <c r="W171" i="49"/>
  <c r="V171" i="49"/>
  <c r="U171" i="49"/>
  <c r="T171" i="49"/>
  <c r="R171" i="49"/>
  <c r="S172" i="49" s="1"/>
  <c r="M171" i="49"/>
  <c r="L171" i="49"/>
  <c r="K171" i="49"/>
  <c r="J171" i="49"/>
  <c r="AU170" i="49"/>
  <c r="AU169" i="49" s="1"/>
  <c r="AU171" i="49" s="1"/>
  <c r="AR170" i="49"/>
  <c r="AR169" i="49" s="1"/>
  <c r="AR171" i="49" s="1"/>
  <c r="AN170" i="49"/>
  <c r="AN169" i="49" s="1"/>
  <c r="AO169" i="49" s="1"/>
  <c r="AJ170" i="49"/>
  <c r="AK170" i="49" s="1"/>
  <c r="AF170" i="49"/>
  <c r="AG170" i="49" s="1"/>
  <c r="AB170" i="49"/>
  <c r="AC170" i="49" s="1"/>
  <c r="X170" i="49"/>
  <c r="X169" i="49" s="1"/>
  <c r="Y169" i="49" s="1"/>
  <c r="S170" i="49"/>
  <c r="S171" i="49" s="1"/>
  <c r="AT168" i="49"/>
  <c r="AS168" i="49"/>
  <c r="AM168" i="49"/>
  <c r="AL168" i="49"/>
  <c r="AI168" i="49"/>
  <c r="AH168" i="49"/>
  <c r="AE168" i="49"/>
  <c r="AD168" i="49"/>
  <c r="AA168" i="49"/>
  <c r="Z168" i="49"/>
  <c r="W168" i="49"/>
  <c r="V168" i="49"/>
  <c r="U168" i="49"/>
  <c r="T168" i="49"/>
  <c r="R168" i="49"/>
  <c r="S169" i="49" s="1"/>
  <c r="M168" i="49"/>
  <c r="L168" i="49"/>
  <c r="K168" i="49"/>
  <c r="J168" i="49"/>
  <c r="AU167" i="49"/>
  <c r="AR167" i="49"/>
  <c r="AN167" i="49"/>
  <c r="AO167" i="49" s="1"/>
  <c r="AJ167" i="49"/>
  <c r="AK167" i="49" s="1"/>
  <c r="AF167" i="49"/>
  <c r="AG167" i="49" s="1"/>
  <c r="AB167" i="49"/>
  <c r="AC167" i="49" s="1"/>
  <c r="X167" i="49"/>
  <c r="Y167" i="49" s="1"/>
  <c r="S167" i="49"/>
  <c r="S168" i="49" s="1"/>
  <c r="AU166" i="49"/>
  <c r="AR166" i="49"/>
  <c r="AN166" i="49"/>
  <c r="AO166" i="49" s="1"/>
  <c r="AJ166" i="49"/>
  <c r="AF166" i="49"/>
  <c r="AG166" i="49" s="1"/>
  <c r="AB166" i="49"/>
  <c r="X166" i="49"/>
  <c r="Y166" i="49" s="1"/>
  <c r="S166" i="49"/>
  <c r="AU165" i="49"/>
  <c r="AR165" i="49"/>
  <c r="AN165" i="49"/>
  <c r="AO165" i="49" s="1"/>
  <c r="AJ165" i="49"/>
  <c r="AK165" i="49" s="1"/>
  <c r="AF165" i="49"/>
  <c r="AG165" i="49" s="1"/>
  <c r="AB165" i="49"/>
  <c r="AC165" i="49" s="1"/>
  <c r="X165" i="49"/>
  <c r="Y165" i="49" s="1"/>
  <c r="AT164" i="49"/>
  <c r="AS164" i="49"/>
  <c r="AM164" i="49"/>
  <c r="AL164" i="49"/>
  <c r="AI164" i="49"/>
  <c r="AH164" i="49"/>
  <c r="AE164" i="49"/>
  <c r="AD164" i="49"/>
  <c r="AA164" i="49"/>
  <c r="Z164" i="49"/>
  <c r="W164" i="49"/>
  <c r="V164" i="49"/>
  <c r="U164" i="49"/>
  <c r="T164" i="49"/>
  <c r="R164" i="49"/>
  <c r="S165" i="49" s="1"/>
  <c r="M164" i="49"/>
  <c r="L164" i="49"/>
  <c r="K164" i="49"/>
  <c r="J164" i="49"/>
  <c r="AU163" i="49"/>
  <c r="AR163" i="49"/>
  <c r="AN163" i="49"/>
  <c r="AO163" i="49" s="1"/>
  <c r="AJ163" i="49"/>
  <c r="AK163" i="49" s="1"/>
  <c r="AF163" i="49"/>
  <c r="AG163" i="49" s="1"/>
  <c r="AB163" i="49"/>
  <c r="AC163" i="49" s="1"/>
  <c r="X163" i="49"/>
  <c r="Y163" i="49" s="1"/>
  <c r="S163" i="49"/>
  <c r="S164" i="49" s="1"/>
  <c r="AU162" i="49"/>
  <c r="AR162" i="49"/>
  <c r="AN162" i="49"/>
  <c r="AO162" i="49" s="1"/>
  <c r="AJ162" i="49"/>
  <c r="AK162" i="49" s="1"/>
  <c r="AF162" i="49"/>
  <c r="AG162" i="49" s="1"/>
  <c r="AB162" i="49"/>
  <c r="AC162" i="49" s="1"/>
  <c r="X162" i="49"/>
  <c r="Y162" i="49" s="1"/>
  <c r="S162" i="49"/>
  <c r="F63" i="74" l="1"/>
  <c r="F63" i="75"/>
  <c r="F53" i="74"/>
  <c r="F53" i="75"/>
  <c r="J63" i="74"/>
  <c r="J63" i="75"/>
  <c r="F55" i="74"/>
  <c r="F55" i="75"/>
  <c r="H53" i="74"/>
  <c r="H53" i="75"/>
  <c r="I64" i="74"/>
  <c r="I64" i="75"/>
  <c r="K17" i="75"/>
  <c r="AE7" i="75" s="1"/>
  <c r="G17" i="75"/>
  <c r="W19" i="75"/>
  <c r="AE8" i="75"/>
  <c r="O62" i="75"/>
  <c r="T66" i="75" s="1"/>
  <c r="AI74" i="75" s="1"/>
  <c r="T58" i="75"/>
  <c r="AH74" i="75" s="1"/>
  <c r="A189" i="49"/>
  <c r="B61" i="75"/>
  <c r="I61" i="74"/>
  <c r="U63" i="74" s="1"/>
  <c r="I61" i="75"/>
  <c r="U63" i="75" s="1"/>
  <c r="V63" i="75" s="1"/>
  <c r="F64" i="74"/>
  <c r="F64" i="75"/>
  <c r="J55" i="74"/>
  <c r="J55" i="75"/>
  <c r="I55" i="74"/>
  <c r="I55" i="75"/>
  <c r="J56" i="74"/>
  <c r="J56" i="75"/>
  <c r="G20" i="75"/>
  <c r="K20" i="75"/>
  <c r="V18" i="75"/>
  <c r="W18" i="75" s="1"/>
  <c r="K62" i="74"/>
  <c r="G62" i="75"/>
  <c r="K62" i="75"/>
  <c r="H56" i="74"/>
  <c r="H56" i="75"/>
  <c r="J61" i="74"/>
  <c r="J61" i="75"/>
  <c r="F61" i="74"/>
  <c r="F61" i="75"/>
  <c r="H63" i="74"/>
  <c r="H63" i="75"/>
  <c r="K19" i="75"/>
  <c r="AE9" i="75" s="1"/>
  <c r="G19" i="75"/>
  <c r="K54" i="74"/>
  <c r="K54" i="75"/>
  <c r="G54" i="75"/>
  <c r="D20" i="74"/>
  <c r="I63" i="74"/>
  <c r="I63" i="75"/>
  <c r="I56" i="74"/>
  <c r="I56" i="75"/>
  <c r="I53" i="74"/>
  <c r="I53" i="75"/>
  <c r="I20" i="74"/>
  <c r="J64" i="74"/>
  <c r="J64" i="75"/>
  <c r="H61" i="74"/>
  <c r="H61" i="75"/>
  <c r="H55" i="74"/>
  <c r="H55" i="75"/>
  <c r="J53" i="74"/>
  <c r="J53" i="75"/>
  <c r="F56" i="74"/>
  <c r="F56" i="75"/>
  <c r="J20" i="74"/>
  <c r="H64" i="74"/>
  <c r="H64" i="75"/>
  <c r="A201" i="49"/>
  <c r="A202" i="49" s="1"/>
  <c r="A203" i="49" s="1"/>
  <c r="B18" i="75"/>
  <c r="U18" i="74"/>
  <c r="F20" i="74"/>
  <c r="AF10" i="74"/>
  <c r="K20" i="74"/>
  <c r="G19" i="74"/>
  <c r="K19" i="74"/>
  <c r="G20" i="74"/>
  <c r="K24" i="74"/>
  <c r="AF9" i="74"/>
  <c r="L18" i="74"/>
  <c r="G18" i="74"/>
  <c r="K18" i="74"/>
  <c r="AD10" i="74"/>
  <c r="AD8" i="74"/>
  <c r="G62" i="74"/>
  <c r="E20" i="74"/>
  <c r="B61" i="74"/>
  <c r="O54" i="74"/>
  <c r="O62" i="74" s="1"/>
  <c r="AJ229" i="49"/>
  <c r="AK229" i="49" s="1"/>
  <c r="AN210" i="49"/>
  <c r="AO210" i="49" s="1"/>
  <c r="L17" i="74" s="1"/>
  <c r="AE7" i="74" s="1"/>
  <c r="AJ233" i="49"/>
  <c r="AK233" i="49" s="1"/>
  <c r="AO231" i="49"/>
  <c r="AN233" i="49"/>
  <c r="AO233" i="49" s="1"/>
  <c r="L25" i="74" s="1"/>
  <c r="AF8" i="74" s="1"/>
  <c r="AG231" i="49"/>
  <c r="AF233" i="49"/>
  <c r="AG233" i="49" s="1"/>
  <c r="AB229" i="49"/>
  <c r="AC229" i="49" s="1"/>
  <c r="AO227" i="49"/>
  <c r="L19" i="74" s="1"/>
  <c r="AN229" i="49"/>
  <c r="AO229" i="49" s="1"/>
  <c r="AG227" i="49"/>
  <c r="AF229" i="49"/>
  <c r="AG229" i="49" s="1"/>
  <c r="AJ210" i="49"/>
  <c r="AK210" i="49" s="1"/>
  <c r="AC208" i="49"/>
  <c r="AB210" i="49"/>
  <c r="AC210" i="49" s="1"/>
  <c r="AN206" i="49"/>
  <c r="AO206" i="49" s="1"/>
  <c r="L20" i="75" s="1"/>
  <c r="AJ206" i="49"/>
  <c r="AK206" i="49" s="1"/>
  <c r="AB193" i="49"/>
  <c r="AC193" i="49" s="1"/>
  <c r="AR188" i="49"/>
  <c r="AU192" i="49"/>
  <c r="AU168" i="49"/>
  <c r="AJ168" i="49"/>
  <c r="AK168" i="49" s="1"/>
  <c r="AU188" i="49"/>
  <c r="AR192" i="49"/>
  <c r="AJ193" i="49"/>
  <c r="AK193" i="49" s="1"/>
  <c r="X188" i="49"/>
  <c r="Y188" i="49" s="1"/>
  <c r="AN188" i="49"/>
  <c r="AO188" i="49" s="1"/>
  <c r="AF193" i="49"/>
  <c r="AG193" i="49" s="1"/>
  <c r="AN195" i="49"/>
  <c r="AO195" i="49" s="1"/>
  <c r="AN192" i="49"/>
  <c r="AO192" i="49" s="1"/>
  <c r="AJ192" i="49"/>
  <c r="AK192" i="49" s="1"/>
  <c r="AF192" i="49"/>
  <c r="AG192" i="49" s="1"/>
  <c r="AB192" i="49"/>
  <c r="AC192" i="49" s="1"/>
  <c r="X192" i="49"/>
  <c r="Y192" i="49" s="1"/>
  <c r="AJ188" i="49"/>
  <c r="AK188" i="49" s="1"/>
  <c r="AF188" i="49"/>
  <c r="AG188" i="49" s="1"/>
  <c r="AB188" i="49"/>
  <c r="AC188" i="49" s="1"/>
  <c r="X193" i="49"/>
  <c r="AO194" i="49"/>
  <c r="G54" i="74"/>
  <c r="AU182" i="49"/>
  <c r="AR182" i="49"/>
  <c r="AN182" i="49"/>
  <c r="AO182" i="49" s="1"/>
  <c r="AJ182" i="49"/>
  <c r="AK182" i="49" s="1"/>
  <c r="AF182" i="49"/>
  <c r="AG182" i="49" s="1"/>
  <c r="AB182" i="49"/>
  <c r="AC182" i="49" s="1"/>
  <c r="X182" i="49"/>
  <c r="Y182" i="49" s="1"/>
  <c r="AJ173" i="49"/>
  <c r="AK173" i="49" s="1"/>
  <c r="AR168" i="49"/>
  <c r="AB168" i="49"/>
  <c r="AC168" i="49" s="1"/>
  <c r="AU164" i="49"/>
  <c r="AR164" i="49"/>
  <c r="AB173" i="49"/>
  <c r="AC173" i="49" s="1"/>
  <c r="AN175" i="49"/>
  <c r="AO175" i="49" s="1"/>
  <c r="X175" i="49"/>
  <c r="Y175" i="49" s="1"/>
  <c r="AJ169" i="49"/>
  <c r="AK169" i="49" s="1"/>
  <c r="AB169" i="49"/>
  <c r="AC169" i="49" s="1"/>
  <c r="AN171" i="49"/>
  <c r="AO171" i="49" s="1"/>
  <c r="X171" i="49"/>
  <c r="Y171" i="49" s="1"/>
  <c r="AN168" i="49"/>
  <c r="AO168" i="49" s="1"/>
  <c r="AK166" i="49"/>
  <c r="AF168" i="49"/>
  <c r="AG168" i="49" s="1"/>
  <c r="AC166" i="49"/>
  <c r="X168" i="49"/>
  <c r="Y168" i="49" s="1"/>
  <c r="AN164" i="49"/>
  <c r="AO164" i="49" s="1"/>
  <c r="AJ164" i="49"/>
  <c r="AK164" i="49" s="1"/>
  <c r="AF164" i="49"/>
  <c r="AG164" i="49" s="1"/>
  <c r="AB164" i="49"/>
  <c r="AC164" i="49" s="1"/>
  <c r="X164" i="49"/>
  <c r="Y164" i="49" s="1"/>
  <c r="AF173" i="49"/>
  <c r="Y174" i="49"/>
  <c r="AO174" i="49"/>
  <c r="AF169" i="49"/>
  <c r="Y170" i="49"/>
  <c r="AO170" i="49"/>
  <c r="X18" i="75" l="1"/>
  <c r="AE37" i="75" s="1"/>
  <c r="Y18" i="75"/>
  <c r="AE13" i="75" s="1"/>
  <c r="U55" i="74"/>
  <c r="K55" i="75"/>
  <c r="AH9" i="75" s="1"/>
  <c r="G55" i="75"/>
  <c r="A204" i="49"/>
  <c r="A205" i="49" s="1"/>
  <c r="A206" i="49" s="1"/>
  <c r="B19" i="75"/>
  <c r="B19" i="74"/>
  <c r="W56" i="75"/>
  <c r="AH8" i="75"/>
  <c r="X19" i="75"/>
  <c r="AE38" i="75" s="1"/>
  <c r="Y19" i="75"/>
  <c r="AE14" i="75" s="1"/>
  <c r="AE10" i="75"/>
  <c r="W20" i="75"/>
  <c r="K56" i="75"/>
  <c r="G56" i="75"/>
  <c r="W64" i="75"/>
  <c r="AI8" i="75"/>
  <c r="A190" i="49"/>
  <c r="A191" i="49" s="1"/>
  <c r="A192" i="49" s="1"/>
  <c r="B62" i="75"/>
  <c r="G61" i="75"/>
  <c r="K61" i="74"/>
  <c r="AI7" i="74" s="1"/>
  <c r="K61" i="75"/>
  <c r="AI7" i="75" s="1"/>
  <c r="G63" i="75"/>
  <c r="K63" i="75"/>
  <c r="AI9" i="75" s="1"/>
  <c r="B62" i="74"/>
  <c r="K53" i="75"/>
  <c r="AH7" i="75" s="1"/>
  <c r="G53" i="75"/>
  <c r="U55" i="75"/>
  <c r="V55" i="75" s="1"/>
  <c r="W55" i="75" s="1"/>
  <c r="AE9" i="74"/>
  <c r="L20" i="74"/>
  <c r="L24" i="74"/>
  <c r="AF7" i="74" s="1"/>
  <c r="AE8" i="74"/>
  <c r="G61" i="74"/>
  <c r="K63" i="74"/>
  <c r="G63" i="74"/>
  <c r="AB195" i="49"/>
  <c r="AC195" i="49" s="1"/>
  <c r="AJ195" i="49"/>
  <c r="AK195" i="49" s="1"/>
  <c r="AJ175" i="49"/>
  <c r="AK175" i="49" s="1"/>
  <c r="AF195" i="49"/>
  <c r="AG195" i="49" s="1"/>
  <c r="Y193" i="49"/>
  <c r="X195" i="49"/>
  <c r="Y195" i="49" s="1"/>
  <c r="K55" i="74"/>
  <c r="G55" i="74"/>
  <c r="K56" i="74"/>
  <c r="G56" i="74"/>
  <c r="K53" i="74"/>
  <c r="G53" i="74"/>
  <c r="AB175" i="49"/>
  <c r="AC175" i="49" s="1"/>
  <c r="AJ171" i="49"/>
  <c r="AK171" i="49" s="1"/>
  <c r="AB171" i="49"/>
  <c r="AC171" i="49" s="1"/>
  <c r="AG173" i="49"/>
  <c r="AF175" i="49"/>
  <c r="AG175" i="49" s="1"/>
  <c r="AG169" i="49"/>
  <c r="AF171" i="49"/>
  <c r="AG171" i="49" s="1"/>
  <c r="AU147" i="49"/>
  <c r="AR147" i="49"/>
  <c r="AN147" i="49"/>
  <c r="AO147" i="49" s="1"/>
  <c r="AJ147" i="49"/>
  <c r="AK147" i="49" s="1"/>
  <c r="AF147" i="49"/>
  <c r="AG147" i="49" s="1"/>
  <c r="AB147" i="49"/>
  <c r="AC147" i="49" s="1"/>
  <c r="X147" i="49"/>
  <c r="Y147" i="49" s="1"/>
  <c r="S147" i="49"/>
  <c r="AU160" i="49"/>
  <c r="AR160" i="49"/>
  <c r="AN160" i="49"/>
  <c r="AO160" i="49" s="1"/>
  <c r="AJ160" i="49"/>
  <c r="AK160" i="49" s="1"/>
  <c r="AF160" i="49"/>
  <c r="AG160" i="49" s="1"/>
  <c r="AB160" i="49"/>
  <c r="AC160" i="49" s="1"/>
  <c r="X160" i="49"/>
  <c r="Y160" i="49" s="1"/>
  <c r="S160" i="49"/>
  <c r="AU159" i="49"/>
  <c r="AR159" i="49"/>
  <c r="AN159" i="49"/>
  <c r="AO159" i="49" s="1"/>
  <c r="AJ159" i="49"/>
  <c r="AK159" i="49" s="1"/>
  <c r="AF159" i="49"/>
  <c r="AG159" i="49" s="1"/>
  <c r="AB159" i="49"/>
  <c r="AC159" i="49" s="1"/>
  <c r="X159" i="49"/>
  <c r="Y159" i="49" s="1"/>
  <c r="AT158" i="49"/>
  <c r="AS158" i="49"/>
  <c r="AM158" i="49"/>
  <c r="AL158" i="49"/>
  <c r="AI158" i="49"/>
  <c r="AH158" i="49"/>
  <c r="AE158" i="49"/>
  <c r="AD158" i="49"/>
  <c r="AA158" i="49"/>
  <c r="Z158" i="49"/>
  <c r="W158" i="49"/>
  <c r="V158" i="49"/>
  <c r="U158" i="49"/>
  <c r="T158" i="49"/>
  <c r="R158" i="49"/>
  <c r="S159" i="49" s="1"/>
  <c r="M158" i="49"/>
  <c r="L158" i="49"/>
  <c r="K158" i="49"/>
  <c r="J158" i="49"/>
  <c r="AU157" i="49"/>
  <c r="AU156" i="49" s="1"/>
  <c r="AU158" i="49" s="1"/>
  <c r="AR157" i="49"/>
  <c r="AR156" i="49" s="1"/>
  <c r="AR158" i="49" s="1"/>
  <c r="AN157" i="49"/>
  <c r="AO157" i="49" s="1"/>
  <c r="AJ157" i="49"/>
  <c r="AJ156" i="49" s="1"/>
  <c r="AK156" i="49" s="1"/>
  <c r="AF157" i="49"/>
  <c r="AG157" i="49" s="1"/>
  <c r="AB157" i="49"/>
  <c r="AC157" i="49" s="1"/>
  <c r="X157" i="49"/>
  <c r="Y157" i="49" s="1"/>
  <c r="S157" i="49"/>
  <c r="S158" i="49" s="1"/>
  <c r="AT155" i="49"/>
  <c r="AS155" i="49"/>
  <c r="AM155" i="49"/>
  <c r="AL155" i="49"/>
  <c r="AI155" i="49"/>
  <c r="AH155" i="49"/>
  <c r="AE155" i="49"/>
  <c r="AD155" i="49"/>
  <c r="AA155" i="49"/>
  <c r="Z155" i="49"/>
  <c r="W155" i="49"/>
  <c r="V155" i="49"/>
  <c r="U155" i="49"/>
  <c r="T155" i="49"/>
  <c r="R155" i="49"/>
  <c r="S156" i="49" s="1"/>
  <c r="M155" i="49"/>
  <c r="L155" i="49"/>
  <c r="K155" i="49"/>
  <c r="J155" i="49"/>
  <c r="AU154" i="49"/>
  <c r="AR154" i="49"/>
  <c r="AN154" i="49"/>
  <c r="AO154" i="49" s="1"/>
  <c r="AJ154" i="49"/>
  <c r="AK154" i="49" s="1"/>
  <c r="AF154" i="49"/>
  <c r="AG154" i="49" s="1"/>
  <c r="AB154" i="49"/>
  <c r="AC154" i="49" s="1"/>
  <c r="X154" i="49"/>
  <c r="Y154" i="49" s="1"/>
  <c r="S154" i="49"/>
  <c r="S155" i="49" s="1"/>
  <c r="AU153" i="49"/>
  <c r="AR153" i="49"/>
  <c r="AN153" i="49"/>
  <c r="AO153" i="49" s="1"/>
  <c r="AJ153" i="49"/>
  <c r="AF153" i="49"/>
  <c r="AG153" i="49" s="1"/>
  <c r="AB153" i="49"/>
  <c r="X153" i="49"/>
  <c r="Y153" i="49" s="1"/>
  <c r="S153" i="49"/>
  <c r="AU152" i="49"/>
  <c r="AR152" i="49"/>
  <c r="AN152" i="49"/>
  <c r="AO152" i="49" s="1"/>
  <c r="AJ152" i="49"/>
  <c r="AK152" i="49" s="1"/>
  <c r="AF152" i="49"/>
  <c r="AG152" i="49" s="1"/>
  <c r="AB152" i="49"/>
  <c r="AC152" i="49" s="1"/>
  <c r="X152" i="49"/>
  <c r="Y152" i="49" s="1"/>
  <c r="AT151" i="49"/>
  <c r="AS151" i="49"/>
  <c r="AM151" i="49"/>
  <c r="AL151" i="49"/>
  <c r="AI151" i="49"/>
  <c r="AH151" i="49"/>
  <c r="AE151" i="49"/>
  <c r="AD151" i="49"/>
  <c r="AA151" i="49"/>
  <c r="Z151" i="49"/>
  <c r="W151" i="49"/>
  <c r="V151" i="49"/>
  <c r="U151" i="49"/>
  <c r="T151" i="49"/>
  <c r="R151" i="49"/>
  <c r="S152" i="49" s="1"/>
  <c r="M151" i="49"/>
  <c r="L151" i="49"/>
  <c r="K151" i="49"/>
  <c r="J151" i="49"/>
  <c r="AU150" i="49"/>
  <c r="AR150" i="49"/>
  <c r="AN150" i="49"/>
  <c r="AO150" i="49" s="1"/>
  <c r="AJ150" i="49"/>
  <c r="AK150" i="49" s="1"/>
  <c r="AF150" i="49"/>
  <c r="AG150" i="49" s="1"/>
  <c r="AB150" i="49"/>
  <c r="AC150" i="49" s="1"/>
  <c r="X150" i="49"/>
  <c r="Y150" i="49" s="1"/>
  <c r="S150" i="49"/>
  <c r="S151" i="49" s="1"/>
  <c r="AU149" i="49"/>
  <c r="AR149" i="49"/>
  <c r="AN149" i="49"/>
  <c r="AO149" i="49" s="1"/>
  <c r="AJ149" i="49"/>
  <c r="AK149" i="49" s="1"/>
  <c r="AF149" i="49"/>
  <c r="AG149" i="49" s="1"/>
  <c r="AB149" i="49"/>
  <c r="AC149" i="49" s="1"/>
  <c r="X149" i="49"/>
  <c r="Y149" i="49" s="1"/>
  <c r="S149" i="49"/>
  <c r="K64" i="75" l="1"/>
  <c r="G64" i="75"/>
  <c r="Y56" i="75"/>
  <c r="AH14" i="75" s="1"/>
  <c r="X56" i="75"/>
  <c r="AH38" i="75" s="1"/>
  <c r="Y64" i="75"/>
  <c r="AI14" i="75" s="1"/>
  <c r="X64" i="75"/>
  <c r="AI38" i="75" s="1"/>
  <c r="B20" i="75"/>
  <c r="B20" i="74"/>
  <c r="Y55" i="75"/>
  <c r="AH13" i="75" s="1"/>
  <c r="X55" i="75"/>
  <c r="AH37" i="75" s="1"/>
  <c r="AH10" i="75"/>
  <c r="W57" i="75"/>
  <c r="A193" i="49"/>
  <c r="A194" i="49" s="1"/>
  <c r="A195" i="49" s="1"/>
  <c r="B63" i="75"/>
  <c r="B63" i="74"/>
  <c r="W63" i="75"/>
  <c r="Y20" i="75"/>
  <c r="AE15" i="75" s="1"/>
  <c r="X20" i="75"/>
  <c r="AE39" i="75" s="1"/>
  <c r="AE10" i="74"/>
  <c r="K64" i="74"/>
  <c r="G64" i="74"/>
  <c r="AN156" i="49"/>
  <c r="AO156" i="49" s="1"/>
  <c r="AU155" i="49"/>
  <c r="AR155" i="49"/>
  <c r="AJ155" i="49"/>
  <c r="AK155" i="49" s="1"/>
  <c r="AB155" i="49"/>
  <c r="AC155" i="49" s="1"/>
  <c r="AU151" i="49"/>
  <c r="AR151" i="49"/>
  <c r="AK157" i="49"/>
  <c r="AF156" i="49"/>
  <c r="AG156" i="49" s="1"/>
  <c r="AB156" i="49"/>
  <c r="AC156" i="49" s="1"/>
  <c r="AJ158" i="49"/>
  <c r="AK158" i="49" s="1"/>
  <c r="AN155" i="49"/>
  <c r="AO155" i="49" s="1"/>
  <c r="AK153" i="49"/>
  <c r="AF155" i="49"/>
  <c r="AG155" i="49" s="1"/>
  <c r="AC153" i="49"/>
  <c r="X155" i="49"/>
  <c r="Y155" i="49" s="1"/>
  <c r="AN151" i="49"/>
  <c r="AO151" i="49" s="1"/>
  <c r="AJ151" i="49"/>
  <c r="AK151" i="49" s="1"/>
  <c r="AF151" i="49"/>
  <c r="AG151" i="49" s="1"/>
  <c r="AB151" i="49"/>
  <c r="AC151" i="49" s="1"/>
  <c r="X151" i="49"/>
  <c r="Y151" i="49" s="1"/>
  <c r="X156" i="49"/>
  <c r="A150" i="49"/>
  <c r="A151" i="49" s="1"/>
  <c r="A152" i="49" s="1"/>
  <c r="A153" i="49" s="1"/>
  <c r="A154" i="49" s="1"/>
  <c r="A155" i="49" s="1"/>
  <c r="A156" i="49" s="1"/>
  <c r="A157" i="49" s="1"/>
  <c r="A158" i="49" s="1"/>
  <c r="B64" i="75" l="1"/>
  <c r="B64" i="74"/>
  <c r="W65" i="75"/>
  <c r="AI10" i="75"/>
  <c r="Y63" i="75"/>
  <c r="AI13" i="75" s="1"/>
  <c r="X63" i="75"/>
  <c r="AI37" i="75" s="1"/>
  <c r="Y57" i="75"/>
  <c r="AH15" i="75" s="1"/>
  <c r="X57" i="75"/>
  <c r="AH39" i="75" s="1"/>
  <c r="AN158" i="49"/>
  <c r="AO158" i="49" s="1"/>
  <c r="AF158" i="49"/>
  <c r="AG158" i="49" s="1"/>
  <c r="AB158" i="49"/>
  <c r="AC158" i="49" s="1"/>
  <c r="Y156" i="49"/>
  <c r="X158" i="49"/>
  <c r="Y158" i="49" s="1"/>
  <c r="P35" i="74"/>
  <c r="P45" i="74"/>
  <c r="Y65" i="75" l="1"/>
  <c r="AI15" i="75" s="1"/>
  <c r="X65" i="75"/>
  <c r="AI39" i="75" s="1"/>
  <c r="P33" i="74"/>
  <c r="P11" i="74"/>
  <c r="P26" i="74"/>
  <c r="P43" i="74"/>
  <c r="P18" i="74"/>
  <c r="P55" i="74"/>
  <c r="P63" i="74"/>
  <c r="X27" i="74" l="1"/>
  <c r="AI10" i="74"/>
  <c r="AI9" i="74"/>
  <c r="AH10" i="74"/>
  <c r="AH9" i="74"/>
  <c r="AH8" i="74"/>
  <c r="AH7" i="74"/>
  <c r="A43" i="74"/>
  <c r="E43" i="74" s="1"/>
  <c r="A33" i="74"/>
  <c r="E33" i="74" s="1"/>
  <c r="O45" i="74"/>
  <c r="AY74" i="74"/>
  <c r="AU74" i="74"/>
  <c r="AS74" i="74"/>
  <c r="T21" i="74"/>
  <c r="AE74" i="74" s="1"/>
  <c r="T65" i="74"/>
  <c r="T64" i="74"/>
  <c r="T28" i="74"/>
  <c r="W28" i="74" s="1"/>
  <c r="X28" i="74" s="1"/>
  <c r="T27" i="74"/>
  <c r="W27" i="74" s="1"/>
  <c r="T45" i="74"/>
  <c r="T44" i="74"/>
  <c r="AF42" i="74"/>
  <c r="AF41" i="74"/>
  <c r="AP75" i="74"/>
  <c r="AO75" i="74"/>
  <c r="AQ74" i="74"/>
  <c r="AM74" i="74"/>
  <c r="AQ58" i="74"/>
  <c r="AM58" i="74"/>
  <c r="AQ57" i="74"/>
  <c r="AM57" i="74"/>
  <c r="T57" i="74"/>
  <c r="AQ56" i="74"/>
  <c r="AM56" i="74"/>
  <c r="T56" i="74"/>
  <c r="AQ55" i="74"/>
  <c r="AM55" i="74"/>
  <c r="AQ54" i="74"/>
  <c r="AM54" i="74"/>
  <c r="AQ53" i="74"/>
  <c r="AM53" i="74"/>
  <c r="AO37" i="74"/>
  <c r="AK37" i="74"/>
  <c r="T35" i="74"/>
  <c r="T34" i="74"/>
  <c r="T20" i="74"/>
  <c r="W20" i="74" s="1"/>
  <c r="T19" i="74"/>
  <c r="W19" i="74" s="1"/>
  <c r="T13" i="74"/>
  <c r="W13" i="74" s="1"/>
  <c r="T12" i="74"/>
  <c r="W12" i="74" s="1"/>
  <c r="V11" i="74" l="1"/>
  <c r="W11" i="74" s="1"/>
  <c r="A34" i="74"/>
  <c r="C33" i="74"/>
  <c r="J33" i="74"/>
  <c r="AT57" i="74" s="1"/>
  <c r="F33" i="74"/>
  <c r="H33" i="74"/>
  <c r="D33" i="74"/>
  <c r="I33" i="74"/>
  <c r="AS57" i="74" s="1"/>
  <c r="C43" i="74"/>
  <c r="J43" i="74"/>
  <c r="AX57" i="74" s="1"/>
  <c r="F43" i="74"/>
  <c r="D43" i="74"/>
  <c r="I43" i="74"/>
  <c r="AW57" i="74" s="1"/>
  <c r="H43" i="74"/>
  <c r="W57" i="74"/>
  <c r="X57" i="74" s="1"/>
  <c r="AH39" i="74" s="1"/>
  <c r="W65" i="74"/>
  <c r="T58" i="74"/>
  <c r="AH74" i="74" s="1"/>
  <c r="T29" i="74"/>
  <c r="AF74" i="74" s="1"/>
  <c r="V55" i="74"/>
  <c r="W55" i="74" s="1"/>
  <c r="AF39" i="74"/>
  <c r="X12" i="74"/>
  <c r="AD38" i="74" s="1"/>
  <c r="A44" i="74"/>
  <c r="W64" i="74"/>
  <c r="AF38" i="74"/>
  <c r="W56" i="74"/>
  <c r="AI8" i="74"/>
  <c r="X19" i="74"/>
  <c r="AE38" i="74" s="1"/>
  <c r="T66" i="74"/>
  <c r="AI74" i="74" s="1"/>
  <c r="V18" i="74" l="1"/>
  <c r="W18" i="74" s="1"/>
  <c r="V26" i="74"/>
  <c r="W26" i="74" s="1"/>
  <c r="X26" i="74" s="1"/>
  <c r="A45" i="74"/>
  <c r="E45" i="74" s="1"/>
  <c r="E44" i="74"/>
  <c r="A35" i="74"/>
  <c r="E35" i="74" s="1"/>
  <c r="E34" i="74"/>
  <c r="D45" i="74"/>
  <c r="C45" i="74"/>
  <c r="D34" i="74"/>
  <c r="C34" i="74"/>
  <c r="D44" i="74"/>
  <c r="C44" i="74"/>
  <c r="Y56" i="74"/>
  <c r="AH14" i="74" s="1"/>
  <c r="Y27" i="74"/>
  <c r="AF14" i="74" s="1"/>
  <c r="Y28" i="74"/>
  <c r="AF15" i="74" s="1"/>
  <c r="Y57" i="74"/>
  <c r="AH15" i="74" s="1"/>
  <c r="AY57" i="74"/>
  <c r="AU57" i="74"/>
  <c r="BD57" i="74" s="1"/>
  <c r="X13" i="74"/>
  <c r="AD39" i="74" s="1"/>
  <c r="X56" i="74"/>
  <c r="AH38" i="74" s="1"/>
  <c r="A46" i="74"/>
  <c r="E46" i="74" s="1"/>
  <c r="A36" i="74"/>
  <c r="E36" i="74" s="1"/>
  <c r="Y19" i="74"/>
  <c r="AE14" i="74" s="1"/>
  <c r="Y55" i="74"/>
  <c r="AH13" i="74" s="1"/>
  <c r="X55" i="74"/>
  <c r="AH37" i="74" s="1"/>
  <c r="Y20" i="74"/>
  <c r="AE15" i="74" s="1"/>
  <c r="X20" i="74"/>
  <c r="AE39" i="74" s="1"/>
  <c r="Y65" i="74"/>
  <c r="AI15" i="74" s="1"/>
  <c r="Y64" i="74"/>
  <c r="AI14" i="74" s="1"/>
  <c r="X11" i="74"/>
  <c r="AD37" i="74" s="1"/>
  <c r="X65" i="74"/>
  <c r="AI39" i="74" s="1"/>
  <c r="X64" i="74"/>
  <c r="AI38" i="74" s="1"/>
  <c r="AF37" i="74" l="1"/>
  <c r="Y18" i="74"/>
  <c r="AE13" i="74" s="1"/>
  <c r="X18" i="74"/>
  <c r="AE37" i="74" s="1"/>
  <c r="C35" i="74"/>
  <c r="D35" i="74"/>
  <c r="D36" i="74"/>
  <c r="C36" i="74"/>
  <c r="D46" i="74"/>
  <c r="C46" i="74"/>
  <c r="BC57" i="74"/>
  <c r="A47" i="74"/>
  <c r="E47" i="74" s="1"/>
  <c r="A37" i="74"/>
  <c r="E37" i="74" s="1"/>
  <c r="V63" i="74"/>
  <c r="W63" i="74" s="1"/>
  <c r="Y26" i="74" l="1"/>
  <c r="AF13" i="74" s="1"/>
  <c r="C37" i="74"/>
  <c r="D37" i="74"/>
  <c r="C47" i="74"/>
  <c r="D47" i="74"/>
  <c r="A48" i="74"/>
  <c r="E48" i="74" s="1"/>
  <c r="A38" i="74"/>
  <c r="E38" i="74" s="1"/>
  <c r="Y63" i="74"/>
  <c r="AI13" i="74" s="1"/>
  <c r="X63" i="74"/>
  <c r="AI37" i="74" s="1"/>
  <c r="H38" i="74" l="1"/>
  <c r="D38" i="74"/>
  <c r="C38" i="74"/>
  <c r="I38" i="74"/>
  <c r="AS58" i="74" s="1"/>
  <c r="F38" i="74"/>
  <c r="J38" i="74"/>
  <c r="AT58" i="74" s="1"/>
  <c r="H48" i="74"/>
  <c r="D48" i="74"/>
  <c r="C48" i="74"/>
  <c r="J48" i="74"/>
  <c r="F48" i="74"/>
  <c r="I48" i="74"/>
  <c r="A49" i="74"/>
  <c r="E49" i="74" s="1"/>
  <c r="A39" i="74"/>
  <c r="E39" i="74" s="1"/>
  <c r="D39" i="74" l="1"/>
  <c r="C39" i="74"/>
  <c r="D49" i="74"/>
  <c r="C49" i="74"/>
  <c r="AU58" i="74"/>
  <c r="BD58" i="74" s="1"/>
  <c r="BC58" i="74" l="1"/>
  <c r="F130" i="49"/>
  <c r="F131" i="49"/>
  <c r="F132" i="49"/>
  <c r="F133" i="49"/>
  <c r="F134" i="49"/>
  <c r="F135" i="49"/>
  <c r="F136" i="49"/>
  <c r="F137" i="49"/>
  <c r="F138" i="49"/>
  <c r="F139" i="49"/>
  <c r="F140" i="49"/>
  <c r="F141" i="49"/>
  <c r="F142" i="49"/>
  <c r="F143" i="49"/>
  <c r="F144" i="49"/>
  <c r="F145" i="49"/>
  <c r="F146" i="49"/>
  <c r="F129" i="49"/>
  <c r="F112" i="49"/>
  <c r="F113" i="49"/>
  <c r="F114" i="49"/>
  <c r="F115" i="49"/>
  <c r="F116" i="49"/>
  <c r="F117" i="49"/>
  <c r="F118" i="49"/>
  <c r="F119" i="49"/>
  <c r="F120" i="49"/>
  <c r="F121" i="49"/>
  <c r="F122" i="49"/>
  <c r="F123" i="49"/>
  <c r="F124" i="49"/>
  <c r="F125" i="49"/>
  <c r="F126" i="49"/>
  <c r="F127" i="49"/>
  <c r="F111" i="49"/>
  <c r="F110" i="49"/>
  <c r="F109" i="49"/>
  <c r="F108" i="49"/>
  <c r="F107" i="49"/>
  <c r="F106" i="49"/>
  <c r="F105" i="49"/>
  <c r="F104" i="49"/>
  <c r="F103" i="49"/>
  <c r="F102" i="49"/>
  <c r="F101" i="49"/>
  <c r="F100" i="49"/>
  <c r="F88" i="49"/>
  <c r="F89" i="49"/>
  <c r="F90" i="49"/>
  <c r="F91" i="49"/>
  <c r="F92" i="49"/>
  <c r="F93" i="49"/>
  <c r="F94" i="49"/>
  <c r="F95" i="49"/>
  <c r="F96" i="49"/>
  <c r="F97" i="49"/>
  <c r="F98" i="49"/>
  <c r="F87" i="49"/>
  <c r="F64" i="49"/>
  <c r="F65" i="49"/>
  <c r="F66" i="49"/>
  <c r="F67" i="49"/>
  <c r="F68" i="49"/>
  <c r="F69" i="49"/>
  <c r="F70" i="49"/>
  <c r="F71" i="49"/>
  <c r="F72" i="49"/>
  <c r="F73" i="49"/>
  <c r="F74" i="49"/>
  <c r="F75" i="49"/>
  <c r="F76" i="49"/>
  <c r="F77" i="49"/>
  <c r="F78" i="49"/>
  <c r="F79" i="49"/>
  <c r="F80" i="49"/>
  <c r="F81" i="49"/>
  <c r="F82" i="49"/>
  <c r="F83" i="49"/>
  <c r="F84" i="49"/>
  <c r="F85" i="49"/>
  <c r="F63" i="49"/>
  <c r="F40" i="49"/>
  <c r="F41" i="49"/>
  <c r="F42" i="49"/>
  <c r="F43" i="49"/>
  <c r="F44" i="49"/>
  <c r="F45" i="49"/>
  <c r="F46" i="49"/>
  <c r="F47" i="49"/>
  <c r="F48" i="49"/>
  <c r="F49" i="49"/>
  <c r="F50" i="49"/>
  <c r="F51" i="49"/>
  <c r="F52" i="49"/>
  <c r="F53" i="49"/>
  <c r="F54" i="49"/>
  <c r="F55" i="49"/>
  <c r="F56" i="49"/>
  <c r="F57" i="49"/>
  <c r="F58" i="49"/>
  <c r="F59" i="49"/>
  <c r="F60" i="49"/>
  <c r="F61" i="49"/>
  <c r="F39" i="49"/>
  <c r="F15" i="49"/>
  <c r="F16" i="49"/>
  <c r="F17" i="49"/>
  <c r="F18" i="49"/>
  <c r="F19" i="49"/>
  <c r="F20" i="49"/>
  <c r="F21" i="49"/>
  <c r="F22" i="49"/>
  <c r="F23" i="49"/>
  <c r="F24" i="49"/>
  <c r="F25" i="49"/>
  <c r="F26" i="49"/>
  <c r="F27" i="49"/>
  <c r="F28" i="49"/>
  <c r="F29" i="49"/>
  <c r="F30" i="49"/>
  <c r="F31" i="49"/>
  <c r="F32" i="49"/>
  <c r="F33" i="49"/>
  <c r="F34" i="49"/>
  <c r="F35" i="49"/>
  <c r="F36" i="49"/>
  <c r="F37" i="49"/>
  <c r="F14" i="49"/>
  <c r="A147" i="49" l="1"/>
  <c r="AU146" i="49"/>
  <c r="AR146" i="49"/>
  <c r="AN146" i="49"/>
  <c r="AO146" i="49" s="1"/>
  <c r="AJ146" i="49"/>
  <c r="AK146" i="49" s="1"/>
  <c r="AF146" i="49"/>
  <c r="AG146" i="49" s="1"/>
  <c r="AB146" i="49"/>
  <c r="AC146" i="49" s="1"/>
  <c r="X146" i="49"/>
  <c r="Y146" i="49" s="1"/>
  <c r="AT145" i="49"/>
  <c r="AS145" i="49"/>
  <c r="AM145" i="49"/>
  <c r="AL145" i="49"/>
  <c r="AI145" i="49"/>
  <c r="AH145" i="49"/>
  <c r="AE145" i="49"/>
  <c r="AD145" i="49"/>
  <c r="AA145" i="49"/>
  <c r="Z145" i="49"/>
  <c r="W145" i="49"/>
  <c r="V145" i="49"/>
  <c r="U145" i="49"/>
  <c r="T145" i="49"/>
  <c r="R145" i="49"/>
  <c r="S146" i="49" s="1"/>
  <c r="M145" i="49"/>
  <c r="L145" i="49"/>
  <c r="K145" i="49"/>
  <c r="J145" i="49"/>
  <c r="AU144" i="49"/>
  <c r="AR144" i="49"/>
  <c r="AN144" i="49"/>
  <c r="AO144" i="49" s="1"/>
  <c r="AJ144" i="49"/>
  <c r="AK144" i="49" s="1"/>
  <c r="AF144" i="49"/>
  <c r="AG144" i="49" s="1"/>
  <c r="AB144" i="49"/>
  <c r="AC144" i="49" s="1"/>
  <c r="X144" i="49"/>
  <c r="Y144" i="49" s="1"/>
  <c r="S144" i="49"/>
  <c r="S145" i="49" s="1"/>
  <c r="AU143" i="49"/>
  <c r="AR143" i="49"/>
  <c r="AN143" i="49"/>
  <c r="AO143" i="49" s="1"/>
  <c r="AJ143" i="49"/>
  <c r="AK143" i="49" s="1"/>
  <c r="AF143" i="49"/>
  <c r="AG143" i="49" s="1"/>
  <c r="AB143" i="49"/>
  <c r="AC143" i="49" s="1"/>
  <c r="X143" i="49"/>
  <c r="Y143" i="49" s="1"/>
  <c r="AT142" i="49"/>
  <c r="AS142" i="49"/>
  <c r="AM142" i="49"/>
  <c r="AL142" i="49"/>
  <c r="AH142" i="49"/>
  <c r="AE142" i="49"/>
  <c r="AD142" i="49"/>
  <c r="AA142" i="49"/>
  <c r="Z142" i="49"/>
  <c r="W142" i="49"/>
  <c r="V142" i="49"/>
  <c r="U142" i="49"/>
  <c r="T142" i="49"/>
  <c r="R142" i="49"/>
  <c r="S143" i="49" s="1"/>
  <c r="M142" i="49"/>
  <c r="L142" i="49"/>
  <c r="K142" i="49"/>
  <c r="J142" i="49"/>
  <c r="AU141" i="49"/>
  <c r="AR141" i="49"/>
  <c r="AN141" i="49"/>
  <c r="AO141" i="49" s="1"/>
  <c r="AJ141" i="49"/>
  <c r="AK141" i="49" s="1"/>
  <c r="AF141" i="49"/>
  <c r="AG141" i="49" s="1"/>
  <c r="AB141" i="49"/>
  <c r="AC141" i="49" s="1"/>
  <c r="X141" i="49"/>
  <c r="Y141" i="49" s="1"/>
  <c r="S141" i="49"/>
  <c r="S142" i="49" s="1"/>
  <c r="AU140" i="49"/>
  <c r="AR140" i="49"/>
  <c r="AN140" i="49"/>
  <c r="AO140" i="49" s="1"/>
  <c r="AJ140" i="49"/>
  <c r="AK140" i="49" s="1"/>
  <c r="AF140" i="49"/>
  <c r="AG140" i="49" s="1"/>
  <c r="AB140" i="49"/>
  <c r="AC140" i="49" s="1"/>
  <c r="X140" i="49"/>
  <c r="Y140" i="49" s="1"/>
  <c r="S140" i="49"/>
  <c r="AU139" i="49"/>
  <c r="AR139" i="49"/>
  <c r="AN139" i="49"/>
  <c r="AO139" i="49" s="1"/>
  <c r="AJ139" i="49"/>
  <c r="AK139" i="49" s="1"/>
  <c r="AF139" i="49"/>
  <c r="AG139" i="49" s="1"/>
  <c r="AB139" i="49"/>
  <c r="AC139" i="49" s="1"/>
  <c r="X139" i="49"/>
  <c r="Y139" i="49" s="1"/>
  <c r="AT138" i="49"/>
  <c r="AS138" i="49"/>
  <c r="AM138" i="49"/>
  <c r="AL138" i="49"/>
  <c r="AI138" i="49"/>
  <c r="AH138" i="49"/>
  <c r="AE138" i="49"/>
  <c r="AD138" i="49"/>
  <c r="AA138" i="49"/>
  <c r="Z138" i="49"/>
  <c r="W138" i="49"/>
  <c r="V138" i="49"/>
  <c r="U138" i="49"/>
  <c r="T138" i="49"/>
  <c r="R138" i="49"/>
  <c r="S139" i="49" s="1"/>
  <c r="M138" i="49"/>
  <c r="L138" i="49"/>
  <c r="K138" i="49"/>
  <c r="J138" i="49"/>
  <c r="AU137" i="49"/>
  <c r="AU136" i="49" s="1"/>
  <c r="AU138" i="49" s="1"/>
  <c r="AR137" i="49"/>
  <c r="AR136" i="49" s="1"/>
  <c r="AR138" i="49" s="1"/>
  <c r="AN137" i="49"/>
  <c r="AN136" i="49" s="1"/>
  <c r="AO136" i="49" s="1"/>
  <c r="AJ137" i="49"/>
  <c r="AK137" i="49" s="1"/>
  <c r="AF137" i="49"/>
  <c r="AG137" i="49" s="1"/>
  <c r="AB137" i="49"/>
  <c r="AC137" i="49" s="1"/>
  <c r="X137" i="49"/>
  <c r="Y137" i="49" s="1"/>
  <c r="S137" i="49"/>
  <c r="S138" i="49" s="1"/>
  <c r="S136" i="49"/>
  <c r="AU135" i="49"/>
  <c r="AR135" i="49"/>
  <c r="AN135" i="49"/>
  <c r="AO135" i="49" s="1"/>
  <c r="AJ135" i="49"/>
  <c r="AK135" i="49" s="1"/>
  <c r="AF135" i="49"/>
  <c r="AG135" i="49" s="1"/>
  <c r="AB135" i="49"/>
  <c r="AC135" i="49" s="1"/>
  <c r="X135" i="49"/>
  <c r="Y135" i="49" s="1"/>
  <c r="AT134" i="49"/>
  <c r="AS134" i="49"/>
  <c r="AM134" i="49"/>
  <c r="AL134" i="49"/>
  <c r="AI134" i="49"/>
  <c r="AH134" i="49"/>
  <c r="AE134" i="49"/>
  <c r="AD134" i="49"/>
  <c r="AA134" i="49"/>
  <c r="Z134" i="49"/>
  <c r="W134" i="49"/>
  <c r="V134" i="49"/>
  <c r="U134" i="49"/>
  <c r="T134" i="49"/>
  <c r="R134" i="49"/>
  <c r="M134" i="49"/>
  <c r="L134" i="49"/>
  <c r="K134" i="49"/>
  <c r="J134" i="49"/>
  <c r="AU133" i="49"/>
  <c r="AR133" i="49"/>
  <c r="AN133" i="49"/>
  <c r="AO133" i="49" s="1"/>
  <c r="AJ133" i="49"/>
  <c r="AK133" i="49" s="1"/>
  <c r="AF133" i="49"/>
  <c r="AG133" i="49" s="1"/>
  <c r="AB133" i="49"/>
  <c r="AC133" i="49" s="1"/>
  <c r="X133" i="49"/>
  <c r="Y133" i="49" s="1"/>
  <c r="S133" i="49"/>
  <c r="S134" i="49" s="1"/>
  <c r="AU132" i="49"/>
  <c r="AR132" i="49"/>
  <c r="AN132" i="49"/>
  <c r="AO132" i="49" s="1"/>
  <c r="AJ132" i="49"/>
  <c r="AK132" i="49" s="1"/>
  <c r="AF132" i="49"/>
  <c r="AG132" i="49" s="1"/>
  <c r="AB132" i="49"/>
  <c r="AC132" i="49" s="1"/>
  <c r="X132" i="49"/>
  <c r="Y132" i="49" s="1"/>
  <c r="AT131" i="49"/>
  <c r="AS131" i="49"/>
  <c r="AM131" i="49"/>
  <c r="AL131" i="49"/>
  <c r="AI131" i="49"/>
  <c r="AH131" i="49"/>
  <c r="AE131" i="49"/>
  <c r="AD131" i="49"/>
  <c r="AA131" i="49"/>
  <c r="Z131" i="49"/>
  <c r="W131" i="49"/>
  <c r="V131" i="49"/>
  <c r="U131" i="49"/>
  <c r="T131" i="49"/>
  <c r="R131" i="49"/>
  <c r="S132" i="49" s="1"/>
  <c r="M131" i="49"/>
  <c r="L131" i="49"/>
  <c r="K131" i="49"/>
  <c r="J131" i="49"/>
  <c r="AU130" i="49"/>
  <c r="AR130" i="49"/>
  <c r="AN130" i="49"/>
  <c r="AO130" i="49" s="1"/>
  <c r="AJ130" i="49"/>
  <c r="AK130" i="49" s="1"/>
  <c r="AF130" i="49"/>
  <c r="AG130" i="49" s="1"/>
  <c r="AB130" i="49"/>
  <c r="AC130" i="49" s="1"/>
  <c r="X130" i="49"/>
  <c r="Y130" i="49" s="1"/>
  <c r="S130" i="49"/>
  <c r="S131" i="49" s="1"/>
  <c r="AU129" i="49"/>
  <c r="AR129" i="49"/>
  <c r="AN129" i="49"/>
  <c r="AO129" i="49" s="1"/>
  <c r="AJ129" i="49"/>
  <c r="AK129" i="49" s="1"/>
  <c r="AF129" i="49"/>
  <c r="AG129" i="49" s="1"/>
  <c r="AB129" i="49"/>
  <c r="AC129" i="49" s="1"/>
  <c r="X129" i="49"/>
  <c r="Y129" i="49" s="1"/>
  <c r="S129" i="49"/>
  <c r="AU127" i="49"/>
  <c r="AR127" i="49"/>
  <c r="AN127" i="49"/>
  <c r="AO127" i="49" s="1"/>
  <c r="AJ127" i="49"/>
  <c r="AK127" i="49" s="1"/>
  <c r="AF127" i="49"/>
  <c r="AG127" i="49" s="1"/>
  <c r="AB127" i="49"/>
  <c r="AC127" i="49" s="1"/>
  <c r="X127" i="49"/>
  <c r="Y127" i="49" s="1"/>
  <c r="S127" i="49"/>
  <c r="AU126" i="49"/>
  <c r="AR126" i="49"/>
  <c r="AN126" i="49"/>
  <c r="AO126" i="49" s="1"/>
  <c r="AJ126" i="49"/>
  <c r="AK126" i="49" s="1"/>
  <c r="AF126" i="49"/>
  <c r="AG126" i="49" s="1"/>
  <c r="AB126" i="49"/>
  <c r="AC126" i="49" s="1"/>
  <c r="X126" i="49"/>
  <c r="Y126" i="49" s="1"/>
  <c r="S126" i="49"/>
  <c r="AU125" i="49"/>
  <c r="AR125" i="49"/>
  <c r="AN125" i="49"/>
  <c r="AO125" i="49" s="1"/>
  <c r="AJ125" i="49"/>
  <c r="AK125" i="49" s="1"/>
  <c r="AF125" i="49"/>
  <c r="AG125" i="49" s="1"/>
  <c r="AB125" i="49"/>
  <c r="AC125" i="49" s="1"/>
  <c r="X125" i="49"/>
  <c r="Y125" i="49" s="1"/>
  <c r="S125" i="49"/>
  <c r="AU124" i="49"/>
  <c r="AR124" i="49"/>
  <c r="AN124" i="49"/>
  <c r="AO124" i="49" s="1"/>
  <c r="AJ124" i="49"/>
  <c r="AK124" i="49" s="1"/>
  <c r="AF124" i="49"/>
  <c r="AG124" i="49" s="1"/>
  <c r="AB124" i="49"/>
  <c r="AC124" i="49" s="1"/>
  <c r="X124" i="49"/>
  <c r="Y124" i="49" s="1"/>
  <c r="S124" i="49"/>
  <c r="AU123" i="49"/>
  <c r="AR123" i="49"/>
  <c r="AN123" i="49"/>
  <c r="AO123" i="49" s="1"/>
  <c r="AJ123" i="49"/>
  <c r="AK123" i="49" s="1"/>
  <c r="AF123" i="49"/>
  <c r="AG123" i="49" s="1"/>
  <c r="AB123" i="49"/>
  <c r="AC123" i="49" s="1"/>
  <c r="X123" i="49"/>
  <c r="Y123" i="49" s="1"/>
  <c r="S123" i="49"/>
  <c r="AU122" i="49"/>
  <c r="AR122" i="49"/>
  <c r="AN122" i="49"/>
  <c r="AO122" i="49" s="1"/>
  <c r="AJ122" i="49"/>
  <c r="AK122" i="49" s="1"/>
  <c r="AF122" i="49"/>
  <c r="AG122" i="49" s="1"/>
  <c r="AB122" i="49"/>
  <c r="AC122" i="49" s="1"/>
  <c r="X122" i="49"/>
  <c r="Y122" i="49" s="1"/>
  <c r="S122" i="49"/>
  <c r="AU121" i="49"/>
  <c r="AR121" i="49"/>
  <c r="AN121" i="49"/>
  <c r="AO121" i="49" s="1"/>
  <c r="AJ121" i="49"/>
  <c r="AK121" i="49" s="1"/>
  <c r="AF121" i="49"/>
  <c r="AG121" i="49" s="1"/>
  <c r="AB121" i="49"/>
  <c r="AC121" i="49" s="1"/>
  <c r="X121" i="49"/>
  <c r="Y121" i="49" s="1"/>
  <c r="S121" i="49"/>
  <c r="AU120" i="49"/>
  <c r="AR120" i="49"/>
  <c r="AN120" i="49"/>
  <c r="AO120" i="49" s="1"/>
  <c r="AJ120" i="49"/>
  <c r="AK120" i="49" s="1"/>
  <c r="AF120" i="49"/>
  <c r="AG120" i="49" s="1"/>
  <c r="AB120" i="49"/>
  <c r="AC120" i="49" s="1"/>
  <c r="X120" i="49"/>
  <c r="Y120" i="49" s="1"/>
  <c r="S120" i="49"/>
  <c r="AU119" i="49"/>
  <c r="AR119" i="49"/>
  <c r="AN119" i="49"/>
  <c r="AO119" i="49" s="1"/>
  <c r="AJ119" i="49"/>
  <c r="AK119" i="49" s="1"/>
  <c r="AF119" i="49"/>
  <c r="AG119" i="49" s="1"/>
  <c r="AB119" i="49"/>
  <c r="AC119" i="49" s="1"/>
  <c r="X119" i="49"/>
  <c r="Y119" i="49" s="1"/>
  <c r="S119" i="49"/>
  <c r="AU118" i="49"/>
  <c r="AR118" i="49"/>
  <c r="AN118" i="49"/>
  <c r="AO118" i="49" s="1"/>
  <c r="AJ118" i="49"/>
  <c r="AK118" i="49" s="1"/>
  <c r="AF118" i="49"/>
  <c r="AG118" i="49" s="1"/>
  <c r="AB118" i="49"/>
  <c r="AC118" i="49" s="1"/>
  <c r="X118" i="49"/>
  <c r="Y118" i="49" s="1"/>
  <c r="S118" i="49"/>
  <c r="AU117" i="49"/>
  <c r="AR117" i="49"/>
  <c r="AN117" i="49"/>
  <c r="AO117" i="49" s="1"/>
  <c r="AJ117" i="49"/>
  <c r="AK117" i="49" s="1"/>
  <c r="AF117" i="49"/>
  <c r="AG117" i="49" s="1"/>
  <c r="AB117" i="49"/>
  <c r="AC117" i="49" s="1"/>
  <c r="X117" i="49"/>
  <c r="Y117" i="49" s="1"/>
  <c r="S117" i="49"/>
  <c r="AU116" i="49"/>
  <c r="AR116" i="49"/>
  <c r="AN116" i="49"/>
  <c r="AO116" i="49" s="1"/>
  <c r="AJ116" i="49"/>
  <c r="AK116" i="49" s="1"/>
  <c r="AF116" i="49"/>
  <c r="AG116" i="49" s="1"/>
  <c r="AB116" i="49"/>
  <c r="AC116" i="49" s="1"/>
  <c r="X116" i="49"/>
  <c r="Y116" i="49" s="1"/>
  <c r="S116" i="49"/>
  <c r="AU115" i="49"/>
  <c r="AR115" i="49"/>
  <c r="AN115" i="49"/>
  <c r="AO115" i="49" s="1"/>
  <c r="AJ115" i="49"/>
  <c r="AK115" i="49" s="1"/>
  <c r="AF115" i="49"/>
  <c r="AG115" i="49" s="1"/>
  <c r="AB115" i="49"/>
  <c r="AC115" i="49" s="1"/>
  <c r="X115" i="49"/>
  <c r="Y115" i="49" s="1"/>
  <c r="S115" i="49"/>
  <c r="AU114" i="49"/>
  <c r="AR114" i="49"/>
  <c r="AN114" i="49"/>
  <c r="AO114" i="49" s="1"/>
  <c r="AJ114" i="49"/>
  <c r="AK114" i="49" s="1"/>
  <c r="AF114" i="49"/>
  <c r="AG114" i="49" s="1"/>
  <c r="AB114" i="49"/>
  <c r="AC114" i="49" s="1"/>
  <c r="X114" i="49"/>
  <c r="Y114" i="49" s="1"/>
  <c r="S114" i="49"/>
  <c r="AU113" i="49"/>
  <c r="AR113" i="49"/>
  <c r="AN113" i="49"/>
  <c r="AO113" i="49" s="1"/>
  <c r="AJ113" i="49"/>
  <c r="AK113" i="49" s="1"/>
  <c r="AF113" i="49"/>
  <c r="AG113" i="49" s="1"/>
  <c r="AB113" i="49"/>
  <c r="AC113" i="49" s="1"/>
  <c r="X113" i="49"/>
  <c r="Y113" i="49" s="1"/>
  <c r="S113" i="49"/>
  <c r="AU112" i="49"/>
  <c r="AR112" i="49"/>
  <c r="AN112" i="49"/>
  <c r="AO112" i="49" s="1"/>
  <c r="AJ112" i="49"/>
  <c r="AK112" i="49" s="1"/>
  <c r="AF112" i="49"/>
  <c r="AG112" i="49" s="1"/>
  <c r="AB112" i="49"/>
  <c r="AC112" i="49" s="1"/>
  <c r="X112" i="49"/>
  <c r="Y112" i="49" s="1"/>
  <c r="S112" i="49"/>
  <c r="AU111" i="49"/>
  <c r="AR111" i="49"/>
  <c r="AN111" i="49"/>
  <c r="AO111" i="49" s="1"/>
  <c r="AJ111" i="49"/>
  <c r="AK111" i="49" s="1"/>
  <c r="AF111" i="49"/>
  <c r="AG111" i="49" s="1"/>
  <c r="AB111" i="49"/>
  <c r="AC111" i="49" s="1"/>
  <c r="X111" i="49"/>
  <c r="Y111" i="49" s="1"/>
  <c r="S111" i="49"/>
  <c r="AU110" i="49"/>
  <c r="AR110" i="49"/>
  <c r="AN110" i="49"/>
  <c r="AO110" i="49" s="1"/>
  <c r="AJ110" i="49"/>
  <c r="AK110" i="49" s="1"/>
  <c r="AF110" i="49"/>
  <c r="AG110" i="49" s="1"/>
  <c r="AB110" i="49"/>
  <c r="AC110" i="49" s="1"/>
  <c r="X110" i="49"/>
  <c r="Y110" i="49" s="1"/>
  <c r="AT109" i="49"/>
  <c r="AS109" i="49"/>
  <c r="AM109" i="49"/>
  <c r="AL109" i="49"/>
  <c r="AI109" i="49"/>
  <c r="AH109" i="49"/>
  <c r="AE109" i="49"/>
  <c r="AD109" i="49"/>
  <c r="AA109" i="49"/>
  <c r="Z109" i="49"/>
  <c r="W109" i="49"/>
  <c r="V109" i="49"/>
  <c r="U109" i="49"/>
  <c r="T109" i="49"/>
  <c r="R109" i="49"/>
  <c r="S110" i="49" s="1"/>
  <c r="M109" i="49"/>
  <c r="L109" i="49"/>
  <c r="K109" i="49"/>
  <c r="J109" i="49"/>
  <c r="AU108" i="49"/>
  <c r="AU107" i="49" s="1"/>
  <c r="AU109" i="49" s="1"/>
  <c r="AR108" i="49"/>
  <c r="AR107" i="49" s="1"/>
  <c r="AR109" i="49" s="1"/>
  <c r="AN108" i="49"/>
  <c r="AN107" i="49" s="1"/>
  <c r="AN109" i="49" s="1"/>
  <c r="AJ108" i="49"/>
  <c r="AK108" i="49" s="1"/>
  <c r="AF108" i="49"/>
  <c r="AG108" i="49" s="1"/>
  <c r="AB108" i="49"/>
  <c r="AC108" i="49" s="1"/>
  <c r="X108" i="49"/>
  <c r="X107" i="49" s="1"/>
  <c r="Y107" i="49" s="1"/>
  <c r="S108" i="49"/>
  <c r="S109" i="49" s="1"/>
  <c r="AT106" i="49"/>
  <c r="AS106" i="49"/>
  <c r="AM106" i="49"/>
  <c r="AL106" i="49"/>
  <c r="AI106" i="49"/>
  <c r="AH106" i="49"/>
  <c r="AE106" i="49"/>
  <c r="AD106" i="49"/>
  <c r="AA106" i="49"/>
  <c r="Z106" i="49"/>
  <c r="W106" i="49"/>
  <c r="V106" i="49"/>
  <c r="U106" i="49"/>
  <c r="T106" i="49"/>
  <c r="R106" i="49"/>
  <c r="S107" i="49" s="1"/>
  <c r="M106" i="49"/>
  <c r="L106" i="49"/>
  <c r="K106" i="49"/>
  <c r="J106" i="49"/>
  <c r="AU105" i="49"/>
  <c r="AR105" i="49"/>
  <c r="AN105" i="49"/>
  <c r="AO105" i="49" s="1"/>
  <c r="AJ105" i="49"/>
  <c r="AK105" i="49" s="1"/>
  <c r="AF105" i="49"/>
  <c r="AG105" i="49" s="1"/>
  <c r="AB105" i="49"/>
  <c r="AC105" i="49" s="1"/>
  <c r="X105" i="49"/>
  <c r="Y105" i="49" s="1"/>
  <c r="S105" i="49"/>
  <c r="S106" i="49" s="1"/>
  <c r="AU104" i="49"/>
  <c r="AR104" i="49"/>
  <c r="AN104" i="49"/>
  <c r="AJ104" i="49"/>
  <c r="AK104" i="49" s="1"/>
  <c r="AF104" i="49"/>
  <c r="AG104" i="49" s="1"/>
  <c r="AB104" i="49"/>
  <c r="AC104" i="49" s="1"/>
  <c r="X104" i="49"/>
  <c r="Y104" i="49" s="1"/>
  <c r="S104" i="49"/>
  <c r="AU103" i="49"/>
  <c r="AR103" i="49"/>
  <c r="AN103" i="49"/>
  <c r="AO103" i="49" s="1"/>
  <c r="AJ103" i="49"/>
  <c r="AK103" i="49" s="1"/>
  <c r="AF103" i="49"/>
  <c r="AG103" i="49" s="1"/>
  <c r="AB103" i="49"/>
  <c r="AC103" i="49" s="1"/>
  <c r="X103" i="49"/>
  <c r="Y103" i="49" s="1"/>
  <c r="AT102" i="49"/>
  <c r="AS102" i="49"/>
  <c r="AM102" i="49"/>
  <c r="AL102" i="49"/>
  <c r="AI102" i="49"/>
  <c r="AH102" i="49"/>
  <c r="AE102" i="49"/>
  <c r="AD102" i="49"/>
  <c r="AA102" i="49"/>
  <c r="Z102" i="49"/>
  <c r="W102" i="49"/>
  <c r="V102" i="49"/>
  <c r="U102" i="49"/>
  <c r="T102" i="49"/>
  <c r="R102" i="49"/>
  <c r="S103" i="49" s="1"/>
  <c r="M102" i="49"/>
  <c r="L102" i="49"/>
  <c r="K102" i="49"/>
  <c r="J102" i="49"/>
  <c r="AU101" i="49"/>
  <c r="AR101" i="49"/>
  <c r="AN101" i="49"/>
  <c r="AO101" i="49" s="1"/>
  <c r="AJ101" i="49"/>
  <c r="AK101" i="49" s="1"/>
  <c r="AF101" i="49"/>
  <c r="AG101" i="49" s="1"/>
  <c r="AB101" i="49"/>
  <c r="AC101" i="49" s="1"/>
  <c r="X101" i="49"/>
  <c r="Y101" i="49" s="1"/>
  <c r="S101" i="49"/>
  <c r="S102" i="49" s="1"/>
  <c r="AU100" i="49"/>
  <c r="AR100" i="49"/>
  <c r="AN100" i="49"/>
  <c r="AO100" i="49" s="1"/>
  <c r="AJ100" i="49"/>
  <c r="AK100" i="49" s="1"/>
  <c r="AF100" i="49"/>
  <c r="AG100" i="49" s="1"/>
  <c r="AB100" i="49"/>
  <c r="AC100" i="49" s="1"/>
  <c r="X100" i="49"/>
  <c r="Y100" i="49" s="1"/>
  <c r="S100" i="49"/>
  <c r="AU98" i="49"/>
  <c r="AR98" i="49"/>
  <c r="AN98" i="49"/>
  <c r="AO98" i="49" s="1"/>
  <c r="AJ98" i="49"/>
  <c r="AK98" i="49" s="1"/>
  <c r="AF98" i="49"/>
  <c r="AG98" i="49" s="1"/>
  <c r="AB98" i="49"/>
  <c r="AC98" i="49" s="1"/>
  <c r="X98" i="49"/>
  <c r="Y98" i="49" s="1"/>
  <c r="S98" i="49"/>
  <c r="AU97" i="49"/>
  <c r="AR97" i="49"/>
  <c r="AN97" i="49"/>
  <c r="AO97" i="49" s="1"/>
  <c r="AJ97" i="49"/>
  <c r="AK97" i="49" s="1"/>
  <c r="AF97" i="49"/>
  <c r="AG97" i="49" s="1"/>
  <c r="AB97" i="49"/>
  <c r="AC97" i="49" s="1"/>
  <c r="X97" i="49"/>
  <c r="Y97" i="49" s="1"/>
  <c r="S97" i="49"/>
  <c r="AU96" i="49"/>
  <c r="AR96" i="49"/>
  <c r="AN96" i="49"/>
  <c r="AO96" i="49" s="1"/>
  <c r="AJ96" i="49"/>
  <c r="AK96" i="49" s="1"/>
  <c r="AF96" i="49"/>
  <c r="AG96" i="49" s="1"/>
  <c r="AB96" i="49"/>
  <c r="AC96" i="49" s="1"/>
  <c r="X96" i="49"/>
  <c r="Y96" i="49" s="1"/>
  <c r="S96" i="49"/>
  <c r="AU95" i="49"/>
  <c r="AR95" i="49"/>
  <c r="AN95" i="49"/>
  <c r="AO95" i="49" s="1"/>
  <c r="AJ95" i="49"/>
  <c r="AK95" i="49" s="1"/>
  <c r="AF95" i="49"/>
  <c r="AG95" i="49" s="1"/>
  <c r="AB95" i="49"/>
  <c r="AC95" i="49" s="1"/>
  <c r="X95" i="49"/>
  <c r="Y95" i="49" s="1"/>
  <c r="S95" i="49"/>
  <c r="AU94" i="49"/>
  <c r="AR94" i="49"/>
  <c r="AN94" i="49"/>
  <c r="AO94" i="49" s="1"/>
  <c r="AJ94" i="49"/>
  <c r="AK94" i="49" s="1"/>
  <c r="AF94" i="49"/>
  <c r="AG94" i="49" s="1"/>
  <c r="AB94" i="49"/>
  <c r="AC94" i="49" s="1"/>
  <c r="X94" i="49"/>
  <c r="Y94" i="49" s="1"/>
  <c r="S94" i="49"/>
  <c r="AU93" i="49"/>
  <c r="AR93" i="49"/>
  <c r="AN93" i="49"/>
  <c r="AO93" i="49" s="1"/>
  <c r="AJ93" i="49"/>
  <c r="AK93" i="49" s="1"/>
  <c r="AF93" i="49"/>
  <c r="AG93" i="49" s="1"/>
  <c r="AB93" i="49"/>
  <c r="AC93" i="49" s="1"/>
  <c r="X93" i="49"/>
  <c r="Y93" i="49" s="1"/>
  <c r="S93" i="49"/>
  <c r="AU92" i="49"/>
  <c r="AR92" i="49"/>
  <c r="AN92" i="49"/>
  <c r="AO92" i="49" s="1"/>
  <c r="AJ92" i="49"/>
  <c r="AK92" i="49" s="1"/>
  <c r="AF92" i="49"/>
  <c r="AG92" i="49" s="1"/>
  <c r="AB92" i="49"/>
  <c r="AC92" i="49" s="1"/>
  <c r="X92" i="49"/>
  <c r="Y92" i="49" s="1"/>
  <c r="S92" i="49"/>
  <c r="AU91" i="49"/>
  <c r="AR91" i="49"/>
  <c r="AN91" i="49"/>
  <c r="AO91" i="49" s="1"/>
  <c r="AJ91" i="49"/>
  <c r="AK91" i="49" s="1"/>
  <c r="AF91" i="49"/>
  <c r="AG91" i="49" s="1"/>
  <c r="AB91" i="49"/>
  <c r="AC91" i="49" s="1"/>
  <c r="X91" i="49"/>
  <c r="Y91" i="49" s="1"/>
  <c r="S91" i="49"/>
  <c r="AU90" i="49"/>
  <c r="AR90" i="49"/>
  <c r="AN90" i="49"/>
  <c r="AO90" i="49" s="1"/>
  <c r="AJ90" i="49"/>
  <c r="AK90" i="49" s="1"/>
  <c r="AF90" i="49"/>
  <c r="AG90" i="49" s="1"/>
  <c r="AB90" i="49"/>
  <c r="AC90" i="49" s="1"/>
  <c r="X90" i="49"/>
  <c r="Y90" i="49" s="1"/>
  <c r="S90" i="49"/>
  <c r="AU89" i="49"/>
  <c r="AR89" i="49"/>
  <c r="AN89" i="49"/>
  <c r="AO89" i="49" s="1"/>
  <c r="AJ89" i="49"/>
  <c r="AK89" i="49" s="1"/>
  <c r="AF89" i="49"/>
  <c r="AG89" i="49" s="1"/>
  <c r="AB89" i="49"/>
  <c r="AC89" i="49" s="1"/>
  <c r="X89" i="49"/>
  <c r="Y89" i="49" s="1"/>
  <c r="S89" i="49"/>
  <c r="AU88" i="49"/>
  <c r="AR88" i="49"/>
  <c r="AN88" i="49"/>
  <c r="AO88" i="49" s="1"/>
  <c r="AJ88" i="49"/>
  <c r="AK88" i="49" s="1"/>
  <c r="AF88" i="49"/>
  <c r="AG88" i="49" s="1"/>
  <c r="AB88" i="49"/>
  <c r="AC88" i="49" s="1"/>
  <c r="X88" i="49"/>
  <c r="Y88" i="49" s="1"/>
  <c r="S88" i="49"/>
  <c r="AU87" i="49"/>
  <c r="AR87" i="49"/>
  <c r="AN87" i="49"/>
  <c r="AO87" i="49" s="1"/>
  <c r="AJ87" i="49"/>
  <c r="AK87" i="49" s="1"/>
  <c r="AF87" i="49"/>
  <c r="AG87" i="49" s="1"/>
  <c r="AB87" i="49"/>
  <c r="AC87" i="49" s="1"/>
  <c r="X87" i="49"/>
  <c r="Y87" i="49" s="1"/>
  <c r="S87" i="49"/>
  <c r="AU85" i="49"/>
  <c r="AR85" i="49"/>
  <c r="AN85" i="49"/>
  <c r="AO85" i="49" s="1"/>
  <c r="AJ85" i="49"/>
  <c r="AK85" i="49" s="1"/>
  <c r="AF85" i="49"/>
  <c r="AG85" i="49" s="1"/>
  <c r="AB85" i="49"/>
  <c r="AC85" i="49" s="1"/>
  <c r="X85" i="49"/>
  <c r="Y85" i="49" s="1"/>
  <c r="S85" i="49"/>
  <c r="AU84" i="49"/>
  <c r="AR84" i="49"/>
  <c r="AN84" i="49"/>
  <c r="AO84" i="49" s="1"/>
  <c r="AJ84" i="49"/>
  <c r="AK84" i="49" s="1"/>
  <c r="AF84" i="49"/>
  <c r="AG84" i="49" s="1"/>
  <c r="AB84" i="49"/>
  <c r="AC84" i="49" s="1"/>
  <c r="X84" i="49"/>
  <c r="Y84" i="49" s="1"/>
  <c r="AT83" i="49"/>
  <c r="AS83" i="49"/>
  <c r="AM83" i="49"/>
  <c r="AL83" i="49"/>
  <c r="AI83" i="49"/>
  <c r="AH83" i="49"/>
  <c r="AE83" i="49"/>
  <c r="AD83" i="49"/>
  <c r="AA83" i="49"/>
  <c r="Z83" i="49"/>
  <c r="W83" i="49"/>
  <c r="I49" i="75" s="1"/>
  <c r="AW56" i="75" s="1"/>
  <c r="AY56" i="75" s="1"/>
  <c r="V83" i="49"/>
  <c r="U83" i="49"/>
  <c r="J49" i="75" s="1"/>
  <c r="AX56" i="75" s="1"/>
  <c r="T83" i="49"/>
  <c r="R83" i="49"/>
  <c r="M83" i="49"/>
  <c r="L83" i="49"/>
  <c r="K83" i="49"/>
  <c r="J83" i="49"/>
  <c r="AU82" i="49"/>
  <c r="AR82" i="49"/>
  <c r="AN82" i="49"/>
  <c r="AO82" i="49" s="1"/>
  <c r="AJ82" i="49"/>
  <c r="AK82" i="49" s="1"/>
  <c r="AF82" i="49"/>
  <c r="AG82" i="49" s="1"/>
  <c r="AB82" i="49"/>
  <c r="AC82" i="49" s="1"/>
  <c r="X82" i="49"/>
  <c r="Y82" i="49" s="1"/>
  <c r="S82" i="49"/>
  <c r="S83" i="49" s="1"/>
  <c r="AU81" i="49"/>
  <c r="AR81" i="49"/>
  <c r="AN81" i="49"/>
  <c r="AO81" i="49" s="1"/>
  <c r="AJ81" i="49"/>
  <c r="AK81" i="49" s="1"/>
  <c r="AF81" i="49"/>
  <c r="AG81" i="49" s="1"/>
  <c r="AB81" i="49"/>
  <c r="AC81" i="49" s="1"/>
  <c r="X81" i="49"/>
  <c r="S81" i="49"/>
  <c r="AU80" i="49"/>
  <c r="AR80" i="49"/>
  <c r="AN80" i="49"/>
  <c r="AO80" i="49" s="1"/>
  <c r="AJ80" i="49"/>
  <c r="AK80" i="49" s="1"/>
  <c r="AF80" i="49"/>
  <c r="AG80" i="49" s="1"/>
  <c r="AB80" i="49"/>
  <c r="AC80" i="49" s="1"/>
  <c r="X80" i="49"/>
  <c r="Y80" i="49" s="1"/>
  <c r="AT79" i="49"/>
  <c r="AS79" i="49"/>
  <c r="AM79" i="49"/>
  <c r="AL79" i="49"/>
  <c r="AI79" i="49"/>
  <c r="AH79" i="49"/>
  <c r="AE79" i="49"/>
  <c r="AD79" i="49"/>
  <c r="AA79" i="49"/>
  <c r="Z79" i="49"/>
  <c r="W79" i="49"/>
  <c r="V79" i="49"/>
  <c r="U79" i="49"/>
  <c r="T79" i="49"/>
  <c r="R79" i="49"/>
  <c r="S80" i="49" s="1"/>
  <c r="M79" i="49"/>
  <c r="L79" i="49"/>
  <c r="K79" i="49"/>
  <c r="J79" i="49"/>
  <c r="AU78" i="49"/>
  <c r="AR78" i="49"/>
  <c r="AN78" i="49"/>
  <c r="AO78" i="49" s="1"/>
  <c r="AJ78" i="49"/>
  <c r="AK78" i="49" s="1"/>
  <c r="AF78" i="49"/>
  <c r="AG78" i="49" s="1"/>
  <c r="AB78" i="49"/>
  <c r="AC78" i="49" s="1"/>
  <c r="X78" i="49"/>
  <c r="Y78" i="49" s="1"/>
  <c r="S78" i="49"/>
  <c r="S79" i="49" s="1"/>
  <c r="AU77" i="49"/>
  <c r="AR77" i="49"/>
  <c r="AN77" i="49"/>
  <c r="AO77" i="49" s="1"/>
  <c r="AJ77" i="49"/>
  <c r="AK77" i="49" s="1"/>
  <c r="AF77" i="49"/>
  <c r="AG77" i="49" s="1"/>
  <c r="AB77" i="49"/>
  <c r="AC77" i="49" s="1"/>
  <c r="X77" i="49"/>
  <c r="Y77" i="49" s="1"/>
  <c r="AT76" i="49"/>
  <c r="AS76" i="49"/>
  <c r="AM76" i="49"/>
  <c r="AL76" i="49"/>
  <c r="AI76" i="49"/>
  <c r="AH76" i="49"/>
  <c r="AE76" i="49"/>
  <c r="AD76" i="49"/>
  <c r="AA76" i="49"/>
  <c r="Z76" i="49"/>
  <c r="W76" i="49"/>
  <c r="V76" i="49"/>
  <c r="U76" i="49"/>
  <c r="T76" i="49"/>
  <c r="R76" i="49"/>
  <c r="S77" i="49" s="1"/>
  <c r="M76" i="49"/>
  <c r="L76" i="49"/>
  <c r="K76" i="49"/>
  <c r="J76" i="49"/>
  <c r="AU75" i="49"/>
  <c r="AU74" i="49" s="1"/>
  <c r="AU76" i="49" s="1"/>
  <c r="AR75" i="49"/>
  <c r="AR74" i="49" s="1"/>
  <c r="AR76" i="49" s="1"/>
  <c r="AN75" i="49"/>
  <c r="AN74" i="49" s="1"/>
  <c r="AO74" i="49" s="1"/>
  <c r="AJ75" i="49"/>
  <c r="AK75" i="49" s="1"/>
  <c r="AF75" i="49"/>
  <c r="AG75" i="49" s="1"/>
  <c r="AB75" i="49"/>
  <c r="AC75" i="49" s="1"/>
  <c r="X75" i="49"/>
  <c r="X74" i="49" s="1"/>
  <c r="Y74" i="49" s="1"/>
  <c r="S75" i="49"/>
  <c r="S76" i="49" s="1"/>
  <c r="S74" i="49"/>
  <c r="AU73" i="49"/>
  <c r="AR73" i="49"/>
  <c r="AN73" i="49"/>
  <c r="AO73" i="49" s="1"/>
  <c r="AJ73" i="49"/>
  <c r="AK73" i="49" s="1"/>
  <c r="AF73" i="49"/>
  <c r="AG73" i="49" s="1"/>
  <c r="AB73" i="49"/>
  <c r="AC73" i="49" s="1"/>
  <c r="X73" i="49"/>
  <c r="Y73" i="49" s="1"/>
  <c r="AT72" i="49"/>
  <c r="AS72" i="49"/>
  <c r="AM72" i="49"/>
  <c r="AL72" i="49"/>
  <c r="AI72" i="49"/>
  <c r="AH72" i="49"/>
  <c r="AE72" i="49"/>
  <c r="AD72" i="49"/>
  <c r="AA72" i="49"/>
  <c r="Z72" i="49"/>
  <c r="W72" i="49"/>
  <c r="V72" i="49"/>
  <c r="U72" i="49"/>
  <c r="T72" i="49"/>
  <c r="R72" i="49"/>
  <c r="S73" i="49" s="1"/>
  <c r="M72" i="49"/>
  <c r="L72" i="49"/>
  <c r="K72" i="49"/>
  <c r="J72" i="49"/>
  <c r="AU71" i="49"/>
  <c r="AU70" i="49" s="1"/>
  <c r="AU72" i="49" s="1"/>
  <c r="AR71" i="49"/>
  <c r="AR70" i="49" s="1"/>
  <c r="AR72" i="49" s="1"/>
  <c r="AN71" i="49"/>
  <c r="AN70" i="49" s="1"/>
  <c r="AO70" i="49" s="1"/>
  <c r="AJ71" i="49"/>
  <c r="AK71" i="49" s="1"/>
  <c r="AF71" i="49"/>
  <c r="AG71" i="49" s="1"/>
  <c r="AB71" i="49"/>
  <c r="AC71" i="49" s="1"/>
  <c r="X71" i="49"/>
  <c r="X70" i="49" s="1"/>
  <c r="Y70" i="49" s="1"/>
  <c r="S71" i="49"/>
  <c r="S72" i="49" s="1"/>
  <c r="AT69" i="49"/>
  <c r="AS69" i="49"/>
  <c r="AM69" i="49"/>
  <c r="AL69" i="49"/>
  <c r="AI69" i="49"/>
  <c r="AH69" i="49"/>
  <c r="AE69" i="49"/>
  <c r="AD69" i="49"/>
  <c r="AA69" i="49"/>
  <c r="Z69" i="49"/>
  <c r="W69" i="49"/>
  <c r="I44" i="75" s="1"/>
  <c r="AW54" i="75" s="1"/>
  <c r="V69" i="49"/>
  <c r="U69" i="49"/>
  <c r="J44" i="75" s="1"/>
  <c r="AX54" i="75" s="1"/>
  <c r="T69" i="49"/>
  <c r="R69" i="49"/>
  <c r="S70" i="49" s="1"/>
  <c r="M69" i="49"/>
  <c r="L69" i="49"/>
  <c r="K69" i="49"/>
  <c r="J69" i="49"/>
  <c r="AU68" i="49"/>
  <c r="AR68" i="49"/>
  <c r="AN68" i="49"/>
  <c r="AO68" i="49" s="1"/>
  <c r="AJ68" i="49"/>
  <c r="AK68" i="49" s="1"/>
  <c r="AF68" i="49"/>
  <c r="AG68" i="49" s="1"/>
  <c r="AB68" i="49"/>
  <c r="AC68" i="49" s="1"/>
  <c r="X68" i="49"/>
  <c r="Y68" i="49" s="1"/>
  <c r="S68" i="49"/>
  <c r="S69" i="49" s="1"/>
  <c r="AU67" i="49"/>
  <c r="AR67" i="49"/>
  <c r="AN67" i="49"/>
  <c r="AO67" i="49" s="1"/>
  <c r="AJ67" i="49"/>
  <c r="AF67" i="49"/>
  <c r="AG67" i="49" s="1"/>
  <c r="AB67" i="49"/>
  <c r="X67" i="49"/>
  <c r="Y67" i="49" s="1"/>
  <c r="S67" i="49"/>
  <c r="AU66" i="49"/>
  <c r="AR66" i="49"/>
  <c r="AN66" i="49"/>
  <c r="AO66" i="49" s="1"/>
  <c r="AJ66" i="49"/>
  <c r="AK66" i="49" s="1"/>
  <c r="AF66" i="49"/>
  <c r="AG66" i="49" s="1"/>
  <c r="AB66" i="49"/>
  <c r="AC66" i="49" s="1"/>
  <c r="X66" i="49"/>
  <c r="Y66" i="49" s="1"/>
  <c r="AT65" i="49"/>
  <c r="AS65" i="49"/>
  <c r="AM65" i="49"/>
  <c r="AL65" i="49"/>
  <c r="AI65" i="49"/>
  <c r="AH65" i="49"/>
  <c r="AE65" i="49"/>
  <c r="AD65" i="49"/>
  <c r="AA65" i="49"/>
  <c r="Z65" i="49"/>
  <c r="W65" i="49"/>
  <c r="V65" i="49"/>
  <c r="U65" i="49"/>
  <c r="J42" i="75" s="1"/>
  <c r="AX53" i="75" s="1"/>
  <c r="T65" i="49"/>
  <c r="R65" i="49"/>
  <c r="S66" i="49" s="1"/>
  <c r="M65" i="49"/>
  <c r="L65" i="49"/>
  <c r="K65" i="49"/>
  <c r="J65" i="49"/>
  <c r="AU64" i="49"/>
  <c r="AR64" i="49"/>
  <c r="AN64" i="49"/>
  <c r="AO64" i="49" s="1"/>
  <c r="AJ64" i="49"/>
  <c r="AK64" i="49" s="1"/>
  <c r="AF64" i="49"/>
  <c r="AG64" i="49" s="1"/>
  <c r="AB64" i="49"/>
  <c r="AC64" i="49" s="1"/>
  <c r="X64" i="49"/>
  <c r="Y64" i="49" s="1"/>
  <c r="S64" i="49"/>
  <c r="S65" i="49" s="1"/>
  <c r="AU63" i="49"/>
  <c r="AR63" i="49"/>
  <c r="AN63" i="49"/>
  <c r="AO63" i="49" s="1"/>
  <c r="AJ63" i="49"/>
  <c r="AF63" i="49"/>
  <c r="AG63" i="49" s="1"/>
  <c r="AB63" i="49"/>
  <c r="X63" i="49"/>
  <c r="Y63" i="49" s="1"/>
  <c r="S63" i="49"/>
  <c r="AU61" i="49"/>
  <c r="AR61" i="49"/>
  <c r="AN61" i="49"/>
  <c r="AO61" i="49" s="1"/>
  <c r="AJ61" i="49"/>
  <c r="AK61" i="49" s="1"/>
  <c r="AF61" i="49"/>
  <c r="AG61" i="49" s="1"/>
  <c r="AB61" i="49"/>
  <c r="AC61" i="49" s="1"/>
  <c r="X61" i="49"/>
  <c r="Y61" i="49" s="1"/>
  <c r="S61" i="49"/>
  <c r="AU60" i="49"/>
  <c r="AR60" i="49"/>
  <c r="AN60" i="49"/>
  <c r="AO60" i="49" s="1"/>
  <c r="AJ60" i="49"/>
  <c r="AK60" i="49" s="1"/>
  <c r="AF60" i="49"/>
  <c r="AG60" i="49" s="1"/>
  <c r="AB60" i="49"/>
  <c r="AC60" i="49" s="1"/>
  <c r="X60" i="49"/>
  <c r="Y60" i="49" s="1"/>
  <c r="AT59" i="49"/>
  <c r="AS59" i="49"/>
  <c r="AM59" i="49"/>
  <c r="AL59" i="49"/>
  <c r="AI59" i="49"/>
  <c r="AH59" i="49"/>
  <c r="AE59" i="49"/>
  <c r="AD59" i="49"/>
  <c r="AA59" i="49"/>
  <c r="Z59" i="49"/>
  <c r="W59" i="49"/>
  <c r="I39" i="75" s="1"/>
  <c r="AS56" i="75" s="1"/>
  <c r="AU56" i="75" s="1"/>
  <c r="V59" i="49"/>
  <c r="U59" i="49"/>
  <c r="J39" i="75" s="1"/>
  <c r="AT56" i="75" s="1"/>
  <c r="T59" i="49"/>
  <c r="R59" i="49"/>
  <c r="S60" i="49" s="1"/>
  <c r="M59" i="49"/>
  <c r="L59" i="49"/>
  <c r="K59" i="49"/>
  <c r="J59" i="49"/>
  <c r="AU58" i="49"/>
  <c r="AR58" i="49"/>
  <c r="AN58" i="49"/>
  <c r="AO58" i="49" s="1"/>
  <c r="AJ58" i="49"/>
  <c r="AK58" i="49" s="1"/>
  <c r="AF58" i="49"/>
  <c r="AG58" i="49" s="1"/>
  <c r="AB58" i="49"/>
  <c r="AC58" i="49" s="1"/>
  <c r="X58" i="49"/>
  <c r="Y58" i="49" s="1"/>
  <c r="S58" i="49"/>
  <c r="S59" i="49" s="1"/>
  <c r="AU57" i="49"/>
  <c r="AR57" i="49"/>
  <c r="AN57" i="49"/>
  <c r="AO57" i="49" s="1"/>
  <c r="AJ57" i="49"/>
  <c r="AK57" i="49" s="1"/>
  <c r="AF57" i="49"/>
  <c r="AG57" i="49" s="1"/>
  <c r="AB57" i="49"/>
  <c r="AC57" i="49" s="1"/>
  <c r="X57" i="49"/>
  <c r="Y57" i="49" s="1"/>
  <c r="S57" i="49"/>
  <c r="AU56" i="49"/>
  <c r="AR56" i="49"/>
  <c r="AN56" i="49"/>
  <c r="AO56" i="49" s="1"/>
  <c r="AJ56" i="49"/>
  <c r="AK56" i="49" s="1"/>
  <c r="AF56" i="49"/>
  <c r="AG56" i="49" s="1"/>
  <c r="AB56" i="49"/>
  <c r="AC56" i="49" s="1"/>
  <c r="X56" i="49"/>
  <c r="AT55" i="49"/>
  <c r="AS55" i="49"/>
  <c r="AM55" i="49"/>
  <c r="AL55" i="49"/>
  <c r="AI55" i="49"/>
  <c r="AH55" i="49"/>
  <c r="AE55" i="49"/>
  <c r="AD55" i="49"/>
  <c r="AA55" i="49"/>
  <c r="Z55" i="49"/>
  <c r="W55" i="49"/>
  <c r="I37" i="75" s="1"/>
  <c r="AS55" i="75" s="1"/>
  <c r="AU55" i="75" s="1"/>
  <c r="V55" i="49"/>
  <c r="U55" i="49"/>
  <c r="J37" i="75" s="1"/>
  <c r="AT55" i="75" s="1"/>
  <c r="T55" i="49"/>
  <c r="R55" i="49"/>
  <c r="S56" i="49" s="1"/>
  <c r="M55" i="49"/>
  <c r="L55" i="49"/>
  <c r="K55" i="49"/>
  <c r="J55" i="49"/>
  <c r="AU54" i="49"/>
  <c r="AR54" i="49"/>
  <c r="AN54" i="49"/>
  <c r="AO54" i="49" s="1"/>
  <c r="AJ54" i="49"/>
  <c r="AK54" i="49" s="1"/>
  <c r="AF54" i="49"/>
  <c r="AG54" i="49" s="1"/>
  <c r="AB54" i="49"/>
  <c r="AC54" i="49" s="1"/>
  <c r="X54" i="49"/>
  <c r="Y54" i="49" s="1"/>
  <c r="S54" i="49"/>
  <c r="S55" i="49" s="1"/>
  <c r="AU53" i="49"/>
  <c r="AR53" i="49"/>
  <c r="AN53" i="49"/>
  <c r="AO53" i="49" s="1"/>
  <c r="AJ53" i="49"/>
  <c r="AK53" i="49" s="1"/>
  <c r="AF53" i="49"/>
  <c r="AG53" i="49" s="1"/>
  <c r="AB53" i="49"/>
  <c r="AC53" i="49" s="1"/>
  <c r="X53" i="49"/>
  <c r="Y53" i="49" s="1"/>
  <c r="AT52" i="49"/>
  <c r="AS52" i="49"/>
  <c r="AM52" i="49"/>
  <c r="AL52" i="49"/>
  <c r="AI52" i="49"/>
  <c r="AH52" i="49"/>
  <c r="AE52" i="49"/>
  <c r="AD52" i="49"/>
  <c r="AA52" i="49"/>
  <c r="Z52" i="49"/>
  <c r="W52" i="49"/>
  <c r="V52" i="49"/>
  <c r="U52" i="49"/>
  <c r="T52" i="49"/>
  <c r="R52" i="49"/>
  <c r="S53" i="49" s="1"/>
  <c r="M52" i="49"/>
  <c r="L52" i="49"/>
  <c r="K52" i="49"/>
  <c r="J52" i="49"/>
  <c r="AU51" i="49"/>
  <c r="AU50" i="49" s="1"/>
  <c r="AU52" i="49" s="1"/>
  <c r="AR51" i="49"/>
  <c r="AR50" i="49" s="1"/>
  <c r="AR52" i="49" s="1"/>
  <c r="AN51" i="49"/>
  <c r="AN50" i="49" s="1"/>
  <c r="AO50" i="49" s="1"/>
  <c r="AJ51" i="49"/>
  <c r="AK51" i="49" s="1"/>
  <c r="AF51" i="49"/>
  <c r="AG51" i="49" s="1"/>
  <c r="AB51" i="49"/>
  <c r="AC51" i="49" s="1"/>
  <c r="X51" i="49"/>
  <c r="X50" i="49" s="1"/>
  <c r="Y50" i="49" s="1"/>
  <c r="S51" i="49"/>
  <c r="S52" i="49" s="1"/>
  <c r="S50" i="49"/>
  <c r="AU49" i="49"/>
  <c r="AR49" i="49"/>
  <c r="AN49" i="49"/>
  <c r="AO49" i="49" s="1"/>
  <c r="AJ49" i="49"/>
  <c r="AK49" i="49" s="1"/>
  <c r="AF49" i="49"/>
  <c r="AG49" i="49" s="1"/>
  <c r="AB49" i="49"/>
  <c r="AC49" i="49" s="1"/>
  <c r="X49" i="49"/>
  <c r="Y49" i="49" s="1"/>
  <c r="AT48" i="49"/>
  <c r="AS48" i="49"/>
  <c r="AM48" i="49"/>
  <c r="AL48" i="49"/>
  <c r="AI48" i="49"/>
  <c r="AH48" i="49"/>
  <c r="AE48" i="49"/>
  <c r="AD48" i="49"/>
  <c r="AA48" i="49"/>
  <c r="Z48" i="49"/>
  <c r="W48" i="49"/>
  <c r="V48" i="49"/>
  <c r="U48" i="49"/>
  <c r="T48" i="49"/>
  <c r="R48" i="49"/>
  <c r="S49" i="49" s="1"/>
  <c r="M48" i="49"/>
  <c r="L48" i="49"/>
  <c r="K48" i="49"/>
  <c r="J48" i="49"/>
  <c r="AU47" i="49"/>
  <c r="AU46" i="49" s="1"/>
  <c r="AU48" i="49" s="1"/>
  <c r="AR47" i="49"/>
  <c r="AR46" i="49" s="1"/>
  <c r="AR48" i="49" s="1"/>
  <c r="AN47" i="49"/>
  <c r="AN46" i="49" s="1"/>
  <c r="AO46" i="49" s="1"/>
  <c r="AJ47" i="49"/>
  <c r="AK47" i="49" s="1"/>
  <c r="AF47" i="49"/>
  <c r="AF46" i="49" s="1"/>
  <c r="AG46" i="49" s="1"/>
  <c r="AB47" i="49"/>
  <c r="AC47" i="49" s="1"/>
  <c r="X47" i="49"/>
  <c r="X46" i="49" s="1"/>
  <c r="Y46" i="49" s="1"/>
  <c r="S47" i="49"/>
  <c r="S48" i="49" s="1"/>
  <c r="AT45" i="49"/>
  <c r="AS45" i="49"/>
  <c r="AM45" i="49"/>
  <c r="AL45" i="49"/>
  <c r="AI45" i="49"/>
  <c r="AH45" i="49"/>
  <c r="AE45" i="49"/>
  <c r="AD45" i="49"/>
  <c r="AA45" i="49"/>
  <c r="Z45" i="49"/>
  <c r="W45" i="49"/>
  <c r="I34" i="75" s="1"/>
  <c r="AS54" i="75" s="1"/>
  <c r="V45" i="49"/>
  <c r="U45" i="49"/>
  <c r="J34" i="75" s="1"/>
  <c r="AT54" i="75" s="1"/>
  <c r="T45" i="49"/>
  <c r="R45" i="49"/>
  <c r="S46" i="49" s="1"/>
  <c r="M45" i="49"/>
  <c r="L45" i="49"/>
  <c r="K45" i="49"/>
  <c r="J45" i="49"/>
  <c r="AU44" i="49"/>
  <c r="AR44" i="49"/>
  <c r="AN44" i="49"/>
  <c r="AO44" i="49" s="1"/>
  <c r="AJ44" i="49"/>
  <c r="AK44" i="49" s="1"/>
  <c r="AF44" i="49"/>
  <c r="AG44" i="49" s="1"/>
  <c r="AB44" i="49"/>
  <c r="AC44" i="49" s="1"/>
  <c r="X44" i="49"/>
  <c r="S44" i="49"/>
  <c r="S45" i="49" s="1"/>
  <c r="AU43" i="49"/>
  <c r="AR43" i="49"/>
  <c r="AN43" i="49"/>
  <c r="AO43" i="49" s="1"/>
  <c r="AJ43" i="49"/>
  <c r="AK43" i="49" s="1"/>
  <c r="AF43" i="49"/>
  <c r="AG43" i="49" s="1"/>
  <c r="AB43" i="49"/>
  <c r="AC43" i="49" s="1"/>
  <c r="X43" i="49"/>
  <c r="S43" i="49"/>
  <c r="AU42" i="49"/>
  <c r="AR42" i="49"/>
  <c r="AN42" i="49"/>
  <c r="AO42" i="49" s="1"/>
  <c r="AJ42" i="49"/>
  <c r="AK42" i="49" s="1"/>
  <c r="AF42" i="49"/>
  <c r="AG42" i="49" s="1"/>
  <c r="AB42" i="49"/>
  <c r="AC42" i="49" s="1"/>
  <c r="X42" i="49"/>
  <c r="AT41" i="49"/>
  <c r="AS41" i="49"/>
  <c r="AM41" i="49"/>
  <c r="AL41" i="49"/>
  <c r="AI41" i="49"/>
  <c r="AH41" i="49"/>
  <c r="AE41" i="49"/>
  <c r="AD41" i="49"/>
  <c r="AA41" i="49"/>
  <c r="Z41" i="49"/>
  <c r="W41" i="49"/>
  <c r="V41" i="49"/>
  <c r="U41" i="49"/>
  <c r="J32" i="75" s="1"/>
  <c r="AT53" i="75" s="1"/>
  <c r="T41" i="49"/>
  <c r="R41" i="49"/>
  <c r="S42" i="49" s="1"/>
  <c r="M41" i="49"/>
  <c r="L41" i="49"/>
  <c r="K41" i="49"/>
  <c r="J41" i="49"/>
  <c r="AU40" i="49"/>
  <c r="AR40" i="49"/>
  <c r="AN40" i="49"/>
  <c r="AO40" i="49" s="1"/>
  <c r="AJ40" i="49"/>
  <c r="AK40" i="49" s="1"/>
  <c r="AF40" i="49"/>
  <c r="AG40" i="49" s="1"/>
  <c r="AB40" i="49"/>
  <c r="AC40" i="49" s="1"/>
  <c r="X40" i="49"/>
  <c r="S40" i="49"/>
  <c r="S41" i="49" s="1"/>
  <c r="AU39" i="49"/>
  <c r="AR39" i="49"/>
  <c r="AN39" i="49"/>
  <c r="AO39" i="49" s="1"/>
  <c r="AJ39" i="49"/>
  <c r="AK39" i="49" s="1"/>
  <c r="AF39" i="49"/>
  <c r="AG39" i="49" s="1"/>
  <c r="AB39" i="49"/>
  <c r="AC39" i="49" s="1"/>
  <c r="X39" i="49"/>
  <c r="Y39" i="49" s="1"/>
  <c r="S39" i="49"/>
  <c r="AU37" i="49"/>
  <c r="AR37" i="49"/>
  <c r="AN37" i="49"/>
  <c r="AO37" i="49" s="1"/>
  <c r="AJ37" i="49"/>
  <c r="AK37" i="49" s="1"/>
  <c r="AF37" i="49"/>
  <c r="AG37" i="49" s="1"/>
  <c r="AB37" i="49"/>
  <c r="AC37" i="49" s="1"/>
  <c r="X37" i="49"/>
  <c r="S37" i="49"/>
  <c r="AU36" i="49"/>
  <c r="AR36" i="49"/>
  <c r="AN36" i="49"/>
  <c r="AO36" i="49" s="1"/>
  <c r="AJ36" i="49"/>
  <c r="AK36" i="49" s="1"/>
  <c r="AF36" i="49"/>
  <c r="AG36" i="49" s="1"/>
  <c r="AB36" i="49"/>
  <c r="AC36" i="49" s="1"/>
  <c r="X36" i="49"/>
  <c r="S36" i="49"/>
  <c r="AU35" i="49"/>
  <c r="AR35" i="49"/>
  <c r="AN35" i="49"/>
  <c r="AO35" i="49" s="1"/>
  <c r="AJ35" i="49"/>
  <c r="AK35" i="49" s="1"/>
  <c r="AF35" i="49"/>
  <c r="AG35" i="49" s="1"/>
  <c r="AB35" i="49"/>
  <c r="AC35" i="49" s="1"/>
  <c r="X35" i="49"/>
  <c r="S35" i="49"/>
  <c r="AU34" i="49"/>
  <c r="AR34" i="49"/>
  <c r="AN34" i="49"/>
  <c r="AO34" i="49" s="1"/>
  <c r="AJ34" i="49"/>
  <c r="AK34" i="49" s="1"/>
  <c r="AF34" i="49"/>
  <c r="AG34" i="49" s="1"/>
  <c r="AB34" i="49"/>
  <c r="AC34" i="49" s="1"/>
  <c r="X34" i="49"/>
  <c r="S34" i="49"/>
  <c r="AU33" i="49"/>
  <c r="AR33" i="49"/>
  <c r="AN33" i="49"/>
  <c r="AO33" i="49" s="1"/>
  <c r="AJ33" i="49"/>
  <c r="AK33" i="49" s="1"/>
  <c r="AF33" i="49"/>
  <c r="AG33" i="49" s="1"/>
  <c r="AB33" i="49"/>
  <c r="AC33" i="49" s="1"/>
  <c r="X33" i="49"/>
  <c r="S33" i="49"/>
  <c r="AU32" i="49"/>
  <c r="AR32" i="49"/>
  <c r="AN32" i="49"/>
  <c r="AO32" i="49" s="1"/>
  <c r="AJ32" i="49"/>
  <c r="AK32" i="49" s="1"/>
  <c r="AF32" i="49"/>
  <c r="AG32" i="49" s="1"/>
  <c r="AB32" i="49"/>
  <c r="AC32" i="49" s="1"/>
  <c r="X32" i="49"/>
  <c r="Y32" i="49" s="1"/>
  <c r="S32" i="49"/>
  <c r="AU31" i="49"/>
  <c r="AR31" i="49"/>
  <c r="AN31" i="49"/>
  <c r="AO31" i="49" s="1"/>
  <c r="AJ31" i="49"/>
  <c r="AK31" i="49" s="1"/>
  <c r="AF31" i="49"/>
  <c r="AG31" i="49" s="1"/>
  <c r="AB31" i="49"/>
  <c r="AC31" i="49" s="1"/>
  <c r="X31" i="49"/>
  <c r="Y31" i="49" s="1"/>
  <c r="S31" i="49"/>
  <c r="AU30" i="49"/>
  <c r="AR30" i="49"/>
  <c r="AN30" i="49"/>
  <c r="AO30" i="49" s="1"/>
  <c r="AJ30" i="49"/>
  <c r="AK30" i="49" s="1"/>
  <c r="AF30" i="49"/>
  <c r="AG30" i="49" s="1"/>
  <c r="AB30" i="49"/>
  <c r="AC30" i="49" s="1"/>
  <c r="X30" i="49"/>
  <c r="S30" i="49"/>
  <c r="AU29" i="49"/>
  <c r="AR29" i="49"/>
  <c r="AN29" i="49"/>
  <c r="AO29" i="49" s="1"/>
  <c r="AJ29" i="49"/>
  <c r="AK29" i="49" s="1"/>
  <c r="AF29" i="49"/>
  <c r="AG29" i="49" s="1"/>
  <c r="AB29" i="49"/>
  <c r="AC29" i="49" s="1"/>
  <c r="X29" i="49"/>
  <c r="Y29" i="49" s="1"/>
  <c r="S29" i="49"/>
  <c r="AU28" i="49"/>
  <c r="AR28" i="49"/>
  <c r="AN28" i="49"/>
  <c r="AO28" i="49" s="1"/>
  <c r="AJ28" i="49"/>
  <c r="AK28" i="49" s="1"/>
  <c r="AF28" i="49"/>
  <c r="AG28" i="49" s="1"/>
  <c r="AB28" i="49"/>
  <c r="AC28" i="49" s="1"/>
  <c r="X28" i="49"/>
  <c r="Y28" i="49" s="1"/>
  <c r="S28" i="49"/>
  <c r="AU27" i="49"/>
  <c r="AR27" i="49"/>
  <c r="AN27" i="49"/>
  <c r="AO27" i="49" s="1"/>
  <c r="AJ27" i="49"/>
  <c r="AK27" i="49" s="1"/>
  <c r="AF27" i="49"/>
  <c r="AG27" i="49" s="1"/>
  <c r="AB27" i="49"/>
  <c r="AC27" i="49" s="1"/>
  <c r="X27" i="49"/>
  <c r="S27" i="49"/>
  <c r="AU26" i="49"/>
  <c r="AR26" i="49"/>
  <c r="AN26" i="49"/>
  <c r="AO26" i="49" s="1"/>
  <c r="AJ26" i="49"/>
  <c r="AK26" i="49" s="1"/>
  <c r="AF26" i="49"/>
  <c r="AG26" i="49" s="1"/>
  <c r="AB26" i="49"/>
  <c r="AC26" i="49" s="1"/>
  <c r="X26" i="49"/>
  <c r="S26" i="49"/>
  <c r="AU25" i="49"/>
  <c r="AR25" i="49"/>
  <c r="AN25" i="49"/>
  <c r="AO25" i="49" s="1"/>
  <c r="AJ25" i="49"/>
  <c r="AK25" i="49" s="1"/>
  <c r="AF25" i="49"/>
  <c r="AG25" i="49" s="1"/>
  <c r="AB25" i="49"/>
  <c r="AC25" i="49" s="1"/>
  <c r="X25" i="49"/>
  <c r="Y25" i="49" s="1"/>
  <c r="S25" i="49"/>
  <c r="AU24" i="49"/>
  <c r="AR24" i="49"/>
  <c r="AN24" i="49"/>
  <c r="AO24" i="49" s="1"/>
  <c r="AJ24" i="49"/>
  <c r="AK24" i="49" s="1"/>
  <c r="AF24" i="49"/>
  <c r="AG24" i="49" s="1"/>
  <c r="AB24" i="49"/>
  <c r="AC24" i="49" s="1"/>
  <c r="X24" i="49"/>
  <c r="Y24" i="49" s="1"/>
  <c r="S24" i="49"/>
  <c r="AU23" i="49"/>
  <c r="AR23" i="49"/>
  <c r="AN23" i="49"/>
  <c r="AO23" i="49" s="1"/>
  <c r="AJ23" i="49"/>
  <c r="AK23" i="49" s="1"/>
  <c r="AF23" i="49"/>
  <c r="AG23" i="49" s="1"/>
  <c r="AB23" i="49"/>
  <c r="AC23" i="49" s="1"/>
  <c r="X23" i="49"/>
  <c r="Y23" i="49" s="1"/>
  <c r="S23" i="49"/>
  <c r="AU22" i="49"/>
  <c r="AR22" i="49"/>
  <c r="AN22" i="49"/>
  <c r="AO22" i="49" s="1"/>
  <c r="AJ22" i="49"/>
  <c r="AK22" i="49" s="1"/>
  <c r="AF22" i="49"/>
  <c r="AG22" i="49" s="1"/>
  <c r="AB22" i="49"/>
  <c r="AC22" i="49" s="1"/>
  <c r="X22" i="49"/>
  <c r="Y22" i="49" s="1"/>
  <c r="S22" i="49"/>
  <c r="AU21" i="49"/>
  <c r="AR21" i="49"/>
  <c r="AN21" i="49"/>
  <c r="AO21" i="49" s="1"/>
  <c r="AJ21" i="49"/>
  <c r="AK21" i="49" s="1"/>
  <c r="AF21" i="49"/>
  <c r="AG21" i="49" s="1"/>
  <c r="AB21" i="49"/>
  <c r="AC21" i="49" s="1"/>
  <c r="X21" i="49"/>
  <c r="Y21" i="49" s="1"/>
  <c r="S21" i="49"/>
  <c r="AU20" i="49"/>
  <c r="AR20" i="49"/>
  <c r="AN20" i="49"/>
  <c r="AO20" i="49" s="1"/>
  <c r="AJ20" i="49"/>
  <c r="AK20" i="49" s="1"/>
  <c r="AF20" i="49"/>
  <c r="AG20" i="49" s="1"/>
  <c r="AB20" i="49"/>
  <c r="AC20" i="49" s="1"/>
  <c r="X20" i="49"/>
  <c r="S20" i="49"/>
  <c r="AU19" i="49"/>
  <c r="AR19" i="49"/>
  <c r="AN19" i="49"/>
  <c r="AO19" i="49" s="1"/>
  <c r="AJ19" i="49"/>
  <c r="AK19" i="49" s="1"/>
  <c r="AF19" i="49"/>
  <c r="AG19" i="49" s="1"/>
  <c r="AB19" i="49"/>
  <c r="AC19" i="49" s="1"/>
  <c r="X19" i="49"/>
  <c r="S19" i="49"/>
  <c r="AU18" i="49"/>
  <c r="AR18" i="49"/>
  <c r="AN18" i="49"/>
  <c r="AO18" i="49" s="1"/>
  <c r="AJ18" i="49"/>
  <c r="AK18" i="49" s="1"/>
  <c r="AF18" i="49"/>
  <c r="AG18" i="49" s="1"/>
  <c r="AB18" i="49"/>
  <c r="AC18" i="49" s="1"/>
  <c r="X18" i="49"/>
  <c r="S18" i="49"/>
  <c r="AU17" i="49"/>
  <c r="AR17" i="49"/>
  <c r="AN17" i="49"/>
  <c r="AO17" i="49" s="1"/>
  <c r="AJ17" i="49"/>
  <c r="AK17" i="49" s="1"/>
  <c r="AF17" i="49"/>
  <c r="AG17" i="49" s="1"/>
  <c r="AB17" i="49"/>
  <c r="AC17" i="49" s="1"/>
  <c r="X17" i="49"/>
  <c r="S17" i="49"/>
  <c r="AU16" i="49"/>
  <c r="AR16" i="49"/>
  <c r="AN16" i="49"/>
  <c r="AO16" i="49" s="1"/>
  <c r="AJ16" i="49"/>
  <c r="AK16" i="49" s="1"/>
  <c r="AF16" i="49"/>
  <c r="AG16" i="49" s="1"/>
  <c r="AB16" i="49"/>
  <c r="AC16" i="49" s="1"/>
  <c r="X16" i="49"/>
  <c r="Y16" i="49" s="1"/>
  <c r="S16" i="49"/>
  <c r="AU15" i="49"/>
  <c r="AR15" i="49"/>
  <c r="AN15" i="49"/>
  <c r="AO15" i="49" s="1"/>
  <c r="AJ15" i="49"/>
  <c r="AK15" i="49" s="1"/>
  <c r="AF15" i="49"/>
  <c r="AG15" i="49" s="1"/>
  <c r="AB15" i="49"/>
  <c r="AC15" i="49" s="1"/>
  <c r="X15" i="49"/>
  <c r="Y15" i="49" s="1"/>
  <c r="S15" i="49"/>
  <c r="AU14" i="49"/>
  <c r="AR14" i="49"/>
  <c r="AN14" i="49"/>
  <c r="AO14" i="49" s="1"/>
  <c r="AJ14" i="49"/>
  <c r="AK14" i="49" s="1"/>
  <c r="AF14" i="49"/>
  <c r="AG14" i="49" s="1"/>
  <c r="AB14" i="49"/>
  <c r="AC14" i="49" s="1"/>
  <c r="X14" i="49"/>
  <c r="Y14" i="49" s="1"/>
  <c r="S14" i="49"/>
  <c r="A64" i="49"/>
  <c r="A65" i="49" s="1"/>
  <c r="A40" i="49"/>
  <c r="H44" i="74" l="1"/>
  <c r="H44" i="75"/>
  <c r="H35" i="74"/>
  <c r="H35" i="75"/>
  <c r="I36" i="74"/>
  <c r="I36" i="75"/>
  <c r="AY54" i="75"/>
  <c r="J46" i="74"/>
  <c r="J46" i="75"/>
  <c r="I47" i="74"/>
  <c r="AW55" i="74" s="1"/>
  <c r="I47" i="75"/>
  <c r="F34" i="74"/>
  <c r="F34" i="75"/>
  <c r="F37" i="74"/>
  <c r="F37" i="75"/>
  <c r="H45" i="74"/>
  <c r="H45" i="75"/>
  <c r="I46" i="74"/>
  <c r="I46" i="75"/>
  <c r="F42" i="74"/>
  <c r="F42" i="75"/>
  <c r="J35" i="74"/>
  <c r="J35" i="75"/>
  <c r="B42" i="74"/>
  <c r="B42" i="75"/>
  <c r="H32" i="74"/>
  <c r="H32" i="75"/>
  <c r="H39" i="74"/>
  <c r="H39" i="75"/>
  <c r="I45" i="74"/>
  <c r="I45" i="75"/>
  <c r="J47" i="74"/>
  <c r="AX58" i="74" s="1"/>
  <c r="J47" i="75"/>
  <c r="G48" i="75"/>
  <c r="K48" i="75"/>
  <c r="J45" i="74"/>
  <c r="J45" i="75"/>
  <c r="H46" i="74"/>
  <c r="H46" i="75"/>
  <c r="I32" i="74"/>
  <c r="U33" i="74" s="1"/>
  <c r="I32" i="75"/>
  <c r="F36" i="74"/>
  <c r="F36" i="75"/>
  <c r="BD56" i="75"/>
  <c r="BC56" i="75"/>
  <c r="F44" i="74"/>
  <c r="F44" i="75"/>
  <c r="F47" i="74"/>
  <c r="F47" i="75"/>
  <c r="J36" i="74"/>
  <c r="J36" i="75"/>
  <c r="F35" i="74"/>
  <c r="F35" i="75"/>
  <c r="O32" i="74"/>
  <c r="O32" i="75"/>
  <c r="H42" i="74"/>
  <c r="H42" i="75"/>
  <c r="K43" i="75"/>
  <c r="G43" i="75"/>
  <c r="H49" i="74"/>
  <c r="H49" i="75"/>
  <c r="I42" i="74"/>
  <c r="I42" i="75"/>
  <c r="F46" i="74"/>
  <c r="F46" i="75"/>
  <c r="AU54" i="75"/>
  <c r="F49" i="74"/>
  <c r="F49" i="75"/>
  <c r="H47" i="74"/>
  <c r="H47" i="75"/>
  <c r="F45" i="74"/>
  <c r="F45" i="75"/>
  <c r="O42" i="74"/>
  <c r="T46" i="74" s="1"/>
  <c r="O42" i="75"/>
  <c r="T46" i="75" s="1"/>
  <c r="BC55" i="75"/>
  <c r="BD55" i="75"/>
  <c r="I35" i="74"/>
  <c r="I35" i="75"/>
  <c r="F32" i="74"/>
  <c r="F32" i="75"/>
  <c r="F39" i="74"/>
  <c r="F39" i="75"/>
  <c r="H36" i="74"/>
  <c r="H36" i="75"/>
  <c r="H34" i="74"/>
  <c r="H34" i="75"/>
  <c r="H37" i="74"/>
  <c r="H37" i="75"/>
  <c r="AR142" i="49"/>
  <c r="AJ69" i="49"/>
  <c r="AK69" i="49" s="1"/>
  <c r="AU131" i="49"/>
  <c r="AB65" i="49"/>
  <c r="AC65" i="49" s="1"/>
  <c r="AR83" i="49"/>
  <c r="AB69" i="49"/>
  <c r="AC69" i="49" s="1"/>
  <c r="AU142" i="49"/>
  <c r="AU106" i="49"/>
  <c r="AU45" i="49"/>
  <c r="AR79" i="49"/>
  <c r="AN106" i="49"/>
  <c r="AO106" i="49" s="1"/>
  <c r="AJ65" i="49"/>
  <c r="AK65" i="49" s="1"/>
  <c r="AR106" i="49"/>
  <c r="AR134" i="49"/>
  <c r="AU59" i="49"/>
  <c r="AU134" i="49"/>
  <c r="AR65" i="49"/>
  <c r="AR131" i="49"/>
  <c r="I37" i="74"/>
  <c r="AS55" i="74" s="1"/>
  <c r="J39" i="74"/>
  <c r="AT56" i="74" s="1"/>
  <c r="J44" i="74"/>
  <c r="AX54" i="74" s="1"/>
  <c r="J49" i="74"/>
  <c r="AX56" i="74" s="1"/>
  <c r="J32" i="74"/>
  <c r="AT53" i="74" s="1"/>
  <c r="G43" i="74"/>
  <c r="K43" i="74"/>
  <c r="K48" i="74"/>
  <c r="G48" i="74"/>
  <c r="I34" i="74"/>
  <c r="AS54" i="74" s="1"/>
  <c r="J34" i="74"/>
  <c r="AT54" i="74" s="1"/>
  <c r="J37" i="74"/>
  <c r="AT55" i="74" s="1"/>
  <c r="I39" i="74"/>
  <c r="AS56" i="74" s="1"/>
  <c r="J42" i="74"/>
  <c r="AX53" i="74" s="1"/>
  <c r="I44" i="74"/>
  <c r="AW54" i="74" s="1"/>
  <c r="I49" i="74"/>
  <c r="AW56" i="74" s="1"/>
  <c r="AU79" i="49"/>
  <c r="AU102" i="49"/>
  <c r="AU65" i="49"/>
  <c r="AR69" i="49"/>
  <c r="AR41" i="49"/>
  <c r="AU145" i="49"/>
  <c r="T14" i="74"/>
  <c r="AW53" i="74"/>
  <c r="A66" i="49"/>
  <c r="AS53" i="74"/>
  <c r="Y27" i="49"/>
  <c r="Y33" i="49"/>
  <c r="Y34" i="49"/>
  <c r="Y35" i="49"/>
  <c r="A41" i="49"/>
  <c r="Y17" i="49"/>
  <c r="Y18" i="49"/>
  <c r="Y19" i="49"/>
  <c r="Y20" i="49"/>
  <c r="Y42" i="49"/>
  <c r="Y44" i="49"/>
  <c r="Y26" i="49"/>
  <c r="Y30" i="49"/>
  <c r="Y36" i="49"/>
  <c r="Y37" i="49"/>
  <c r="Y40" i="49"/>
  <c r="Y56" i="49"/>
  <c r="AR145" i="49"/>
  <c r="AJ145" i="49"/>
  <c r="AK145" i="49" s="1"/>
  <c r="AJ136" i="49"/>
  <c r="AK136" i="49" s="1"/>
  <c r="AF136" i="49"/>
  <c r="AG136" i="49" s="1"/>
  <c r="AB136" i="49"/>
  <c r="AC136" i="49" s="1"/>
  <c r="AJ107" i="49"/>
  <c r="AK107" i="49" s="1"/>
  <c r="AR102" i="49"/>
  <c r="AU83" i="49"/>
  <c r="X83" i="49"/>
  <c r="Y83" i="49" s="1"/>
  <c r="AJ74" i="49"/>
  <c r="AK74" i="49" s="1"/>
  <c r="AJ70" i="49"/>
  <c r="AK70" i="49" s="1"/>
  <c r="AU69" i="49"/>
  <c r="AR59" i="49"/>
  <c r="AU55" i="49"/>
  <c r="AR55" i="49"/>
  <c r="AJ50" i="49"/>
  <c r="AK50" i="49" s="1"/>
  <c r="AR45" i="49"/>
  <c r="X45" i="49"/>
  <c r="Y45" i="49" s="1"/>
  <c r="AU41" i="49"/>
  <c r="AN145" i="49"/>
  <c r="AO145" i="49" s="1"/>
  <c r="AF145" i="49"/>
  <c r="AG145" i="49" s="1"/>
  <c r="AB145" i="49"/>
  <c r="AC145" i="49" s="1"/>
  <c r="X145" i="49"/>
  <c r="Y145" i="49" s="1"/>
  <c r="AN142" i="49"/>
  <c r="AO142" i="49" s="1"/>
  <c r="AJ142" i="49"/>
  <c r="AK142" i="49" s="1"/>
  <c r="AF142" i="49"/>
  <c r="AG142" i="49" s="1"/>
  <c r="AB142" i="49"/>
  <c r="AC142" i="49" s="1"/>
  <c r="X142" i="49"/>
  <c r="Y142" i="49" s="1"/>
  <c r="AN138" i="49"/>
  <c r="AO138" i="49" s="1"/>
  <c r="AN134" i="49"/>
  <c r="AO134" i="49" s="1"/>
  <c r="AJ134" i="49"/>
  <c r="AK134" i="49" s="1"/>
  <c r="AF134" i="49"/>
  <c r="AG134" i="49" s="1"/>
  <c r="AB134" i="49"/>
  <c r="AC134" i="49" s="1"/>
  <c r="X134" i="49"/>
  <c r="Y134" i="49" s="1"/>
  <c r="S135" i="49"/>
  <c r="AN131" i="49"/>
  <c r="AO131" i="49" s="1"/>
  <c r="AJ131" i="49"/>
  <c r="AK131" i="49" s="1"/>
  <c r="AF131" i="49"/>
  <c r="AG131" i="49" s="1"/>
  <c r="AB131" i="49"/>
  <c r="AC131" i="49" s="1"/>
  <c r="X131" i="49"/>
  <c r="Y131" i="49" s="1"/>
  <c r="AB107" i="49"/>
  <c r="AC107" i="49" s="1"/>
  <c r="X109" i="49"/>
  <c r="Y109" i="49" s="1"/>
  <c r="AO109" i="49"/>
  <c r="AJ106" i="49"/>
  <c r="AK106" i="49" s="1"/>
  <c r="AF106" i="49"/>
  <c r="AG106" i="49" s="1"/>
  <c r="AB106" i="49"/>
  <c r="AC106" i="49" s="1"/>
  <c r="X106" i="49"/>
  <c r="Y106" i="49" s="1"/>
  <c r="AN102" i="49"/>
  <c r="AO102" i="49" s="1"/>
  <c r="AJ102" i="49"/>
  <c r="AK102" i="49" s="1"/>
  <c r="AF102" i="49"/>
  <c r="AG102" i="49" s="1"/>
  <c r="AB102" i="49"/>
  <c r="AC102" i="49" s="1"/>
  <c r="X102" i="49"/>
  <c r="Y102" i="49" s="1"/>
  <c r="AN83" i="49"/>
  <c r="AO83" i="49" s="1"/>
  <c r="AJ83" i="49"/>
  <c r="AK83" i="49" s="1"/>
  <c r="AF83" i="49"/>
  <c r="AG83" i="49" s="1"/>
  <c r="AB83" i="49"/>
  <c r="AC83" i="49" s="1"/>
  <c r="S84" i="49"/>
  <c r="AN79" i="49"/>
  <c r="AO79" i="49" s="1"/>
  <c r="AJ79" i="49"/>
  <c r="AK79" i="49" s="1"/>
  <c r="AF79" i="49"/>
  <c r="AG79" i="49" s="1"/>
  <c r="AB79" i="49"/>
  <c r="AC79" i="49" s="1"/>
  <c r="X79" i="49"/>
  <c r="Y79" i="49" s="1"/>
  <c r="AB74" i="49"/>
  <c r="AC74" i="49" s="1"/>
  <c r="AN76" i="49"/>
  <c r="AO76" i="49" s="1"/>
  <c r="X76" i="49"/>
  <c r="Y76" i="49" s="1"/>
  <c r="AB70" i="49"/>
  <c r="AC70" i="49" s="1"/>
  <c r="AN72" i="49"/>
  <c r="AO72" i="49" s="1"/>
  <c r="X72" i="49"/>
  <c r="Y72" i="49" s="1"/>
  <c r="AN69" i="49"/>
  <c r="AO69" i="49" s="1"/>
  <c r="AK67" i="49"/>
  <c r="AF69" i="49"/>
  <c r="AG69" i="49" s="1"/>
  <c r="AC67" i="49"/>
  <c r="X69" i="49"/>
  <c r="Y69" i="49" s="1"/>
  <c r="AN65" i="49"/>
  <c r="AO65" i="49" s="1"/>
  <c r="AK63" i="49"/>
  <c r="AF65" i="49"/>
  <c r="AG65" i="49" s="1"/>
  <c r="AC63" i="49"/>
  <c r="X65" i="49"/>
  <c r="Y65" i="49" s="1"/>
  <c r="AN59" i="49"/>
  <c r="AO59" i="49" s="1"/>
  <c r="AJ59" i="49"/>
  <c r="AK59" i="49" s="1"/>
  <c r="AF59" i="49"/>
  <c r="AG59" i="49" s="1"/>
  <c r="AB59" i="49"/>
  <c r="AC59" i="49" s="1"/>
  <c r="X59" i="49"/>
  <c r="AN55" i="49"/>
  <c r="AO55" i="49" s="1"/>
  <c r="AJ55" i="49"/>
  <c r="AK55" i="49" s="1"/>
  <c r="AF55" i="49"/>
  <c r="AG55" i="49" s="1"/>
  <c r="AB55" i="49"/>
  <c r="AC55" i="49" s="1"/>
  <c r="X55" i="49"/>
  <c r="AB50" i="49"/>
  <c r="AC50" i="49" s="1"/>
  <c r="AN52" i="49"/>
  <c r="AO52" i="49" s="1"/>
  <c r="X52" i="49"/>
  <c r="AJ46" i="49"/>
  <c r="AK46" i="49" s="1"/>
  <c r="AB46" i="49"/>
  <c r="AC46" i="49" s="1"/>
  <c r="AN48" i="49"/>
  <c r="AO48" i="49" s="1"/>
  <c r="AF48" i="49"/>
  <c r="AG48" i="49" s="1"/>
  <c r="X48" i="49"/>
  <c r="AN45" i="49"/>
  <c r="AO45" i="49" s="1"/>
  <c r="AJ45" i="49"/>
  <c r="AK45" i="49" s="1"/>
  <c r="AF45" i="49"/>
  <c r="AG45" i="49" s="1"/>
  <c r="AB45" i="49"/>
  <c r="AC45" i="49" s="1"/>
  <c r="AN41" i="49"/>
  <c r="AO41" i="49" s="1"/>
  <c r="AJ41" i="49"/>
  <c r="AK41" i="49" s="1"/>
  <c r="AF41" i="49"/>
  <c r="AG41" i="49" s="1"/>
  <c r="AB41" i="49"/>
  <c r="AC41" i="49" s="1"/>
  <c r="X41" i="49"/>
  <c r="X136" i="49"/>
  <c r="AO137" i="49"/>
  <c r="AF107" i="49"/>
  <c r="AF109" i="49" s="1"/>
  <c r="AG109" i="49" s="1"/>
  <c r="Y108" i="49"/>
  <c r="AO108" i="49"/>
  <c r="AO107" i="49"/>
  <c r="AO104" i="49"/>
  <c r="Y81" i="49"/>
  <c r="AF74" i="49"/>
  <c r="Y75" i="49"/>
  <c r="AO75" i="49"/>
  <c r="AF70" i="49"/>
  <c r="Y71" i="49"/>
  <c r="AO71" i="49"/>
  <c r="AF50" i="49"/>
  <c r="Y51" i="49"/>
  <c r="AO51" i="49"/>
  <c r="AG47" i="49"/>
  <c r="Y47" i="49"/>
  <c r="AO47" i="49"/>
  <c r="Y43" i="49"/>
  <c r="K49" i="75" l="1"/>
  <c r="G49" i="75"/>
  <c r="K45" i="75"/>
  <c r="W45" i="75" s="1"/>
  <c r="G45" i="75"/>
  <c r="BC54" i="75"/>
  <c r="BD54" i="75"/>
  <c r="P17" i="75"/>
  <c r="P54" i="75"/>
  <c r="P25" i="75"/>
  <c r="P42" i="75"/>
  <c r="P32" i="75"/>
  <c r="T36" i="75"/>
  <c r="AG74" i="75" s="1"/>
  <c r="P62" i="75"/>
  <c r="P10" i="75"/>
  <c r="B32" i="74"/>
  <c r="B32" i="75"/>
  <c r="AW55" i="75"/>
  <c r="AW58" i="75"/>
  <c r="AX58" i="75"/>
  <c r="AX55" i="75"/>
  <c r="AX55" i="74"/>
  <c r="W44" i="74"/>
  <c r="Y44" i="74" s="1"/>
  <c r="AG14" i="74" s="1"/>
  <c r="AG8" i="74"/>
  <c r="K38" i="75"/>
  <c r="G38" i="75"/>
  <c r="K42" i="75"/>
  <c r="AG7" i="75" s="1"/>
  <c r="G42" i="75"/>
  <c r="K34" i="75"/>
  <c r="G34" i="75"/>
  <c r="AS53" i="75"/>
  <c r="U33" i="75"/>
  <c r="V33" i="75" s="1"/>
  <c r="K46" i="75"/>
  <c r="G46" i="75"/>
  <c r="K33" i="75"/>
  <c r="W34" i="75" s="1"/>
  <c r="G33" i="75"/>
  <c r="B43" i="74"/>
  <c r="B43" i="75"/>
  <c r="AW53" i="75"/>
  <c r="U43" i="75"/>
  <c r="V43" i="75" s="1"/>
  <c r="W44" i="75"/>
  <c r="AG8" i="75"/>
  <c r="AW58" i="74"/>
  <c r="U43" i="74"/>
  <c r="V43" i="74" s="1"/>
  <c r="K47" i="75"/>
  <c r="G47" i="75"/>
  <c r="K44" i="75"/>
  <c r="AG9" i="75" s="1"/>
  <c r="G44" i="75"/>
  <c r="AY54" i="74"/>
  <c r="AY56" i="74"/>
  <c r="AU56" i="74"/>
  <c r="BD56" i="74" s="1"/>
  <c r="AU54" i="74"/>
  <c r="BD54" i="74" s="1"/>
  <c r="AU55" i="74"/>
  <c r="BD55" i="74" s="1"/>
  <c r="G34" i="74"/>
  <c r="K34" i="74"/>
  <c r="K45" i="74"/>
  <c r="W45" i="74" s="1"/>
  <c r="G45" i="74"/>
  <c r="AS37" i="74"/>
  <c r="AY53" i="74"/>
  <c r="G49" i="74"/>
  <c r="K49" i="74"/>
  <c r="K33" i="74"/>
  <c r="G33" i="74"/>
  <c r="K44" i="74"/>
  <c r="AG9" i="74" s="1"/>
  <c r="G44" i="74"/>
  <c r="K46" i="74"/>
  <c r="G46" i="74"/>
  <c r="G42" i="74"/>
  <c r="K42" i="74"/>
  <c r="AG7" i="74" s="1"/>
  <c r="K47" i="74"/>
  <c r="G47" i="74"/>
  <c r="G38" i="74"/>
  <c r="K38" i="74"/>
  <c r="AJ52" i="49"/>
  <c r="AK52" i="49" s="1"/>
  <c r="AB138" i="49"/>
  <c r="AC138" i="49" s="1"/>
  <c r="AJ76" i="49"/>
  <c r="AK76" i="49" s="1"/>
  <c r="AF138" i="49"/>
  <c r="AG138" i="49" s="1"/>
  <c r="AJ109" i="49"/>
  <c r="AK109" i="49" s="1"/>
  <c r="AJ72" i="49"/>
  <c r="AK72" i="49" s="1"/>
  <c r="AW37" i="74"/>
  <c r="A67" i="49"/>
  <c r="A68" i="49" s="1"/>
  <c r="A69" i="49" s="1"/>
  <c r="V33" i="74"/>
  <c r="AY58" i="74"/>
  <c r="X44" i="74"/>
  <c r="P62" i="74"/>
  <c r="P54" i="74"/>
  <c r="P17" i="74"/>
  <c r="P42" i="74"/>
  <c r="P32" i="74"/>
  <c r="P25" i="74"/>
  <c r="P10" i="74"/>
  <c r="T36" i="74"/>
  <c r="AG74" i="74" s="1"/>
  <c r="AU53" i="74"/>
  <c r="AS75" i="74"/>
  <c r="AY55" i="74"/>
  <c r="AD74" i="74"/>
  <c r="Y12" i="74"/>
  <c r="AD14" i="74" s="1"/>
  <c r="Y13" i="74"/>
  <c r="AD15" i="74" s="1"/>
  <c r="Y11" i="74"/>
  <c r="AD13" i="74" s="1"/>
  <c r="Y41" i="49"/>
  <c r="Y59" i="49"/>
  <c r="Y48" i="49"/>
  <c r="Y52" i="49"/>
  <c r="Y55" i="49"/>
  <c r="A42" i="49"/>
  <c r="AJ138" i="49"/>
  <c r="AK138" i="49" s="1"/>
  <c r="AB76" i="49"/>
  <c r="AC76" i="49" s="1"/>
  <c r="AB72" i="49"/>
  <c r="AC72" i="49" s="1"/>
  <c r="AJ48" i="49"/>
  <c r="AK48" i="49" s="1"/>
  <c r="Y136" i="49"/>
  <c r="X138" i="49"/>
  <c r="Y138" i="49" s="1"/>
  <c r="AB109" i="49"/>
  <c r="AC109" i="49" s="1"/>
  <c r="AG107" i="49"/>
  <c r="AG74" i="49"/>
  <c r="AF76" i="49"/>
  <c r="AG76" i="49" s="1"/>
  <c r="AG70" i="49"/>
  <c r="AF72" i="49"/>
  <c r="AG72" i="49" s="1"/>
  <c r="AB52" i="49"/>
  <c r="AC52" i="49" s="1"/>
  <c r="AG50" i="49"/>
  <c r="AF52" i="49"/>
  <c r="AG52" i="49" s="1"/>
  <c r="AB48" i="49"/>
  <c r="AC48" i="49" s="1"/>
  <c r="K36" i="75" l="1"/>
  <c r="G36" i="75"/>
  <c r="G35" i="75"/>
  <c r="K35" i="75"/>
  <c r="AU53" i="75"/>
  <c r="AS75" i="75"/>
  <c r="AS37" i="75"/>
  <c r="AY58" i="75"/>
  <c r="X34" i="75"/>
  <c r="AG38" i="75" s="1"/>
  <c r="Y34" i="75"/>
  <c r="AG32" i="75"/>
  <c r="AD32" i="75"/>
  <c r="AF32" i="75"/>
  <c r="AE32" i="75"/>
  <c r="AI32" i="75"/>
  <c r="AH32" i="75"/>
  <c r="AY55" i="75"/>
  <c r="B44" i="74"/>
  <c r="B44" i="75"/>
  <c r="K39" i="75"/>
  <c r="G39" i="75"/>
  <c r="G32" i="75"/>
  <c r="K32" i="75"/>
  <c r="Y44" i="75"/>
  <c r="AG14" i="75" s="1"/>
  <c r="X44" i="75"/>
  <c r="AG33" i="75"/>
  <c r="AD33" i="75"/>
  <c r="AF33" i="75"/>
  <c r="AE33" i="75"/>
  <c r="AI33" i="75"/>
  <c r="AH33" i="75"/>
  <c r="G37" i="75"/>
  <c r="K37" i="75"/>
  <c r="Y45" i="75"/>
  <c r="AG15" i="75" s="1"/>
  <c r="X45" i="75"/>
  <c r="B33" i="74"/>
  <c r="B33" i="75"/>
  <c r="AY53" i="75"/>
  <c r="AW37" i="75"/>
  <c r="AG31" i="75"/>
  <c r="AD31" i="75"/>
  <c r="AF31" i="75"/>
  <c r="AE31" i="75"/>
  <c r="AH31" i="75"/>
  <c r="AI31" i="75"/>
  <c r="W43" i="75"/>
  <c r="BC56" i="74"/>
  <c r="BC54" i="74"/>
  <c r="BC55" i="74"/>
  <c r="G36" i="74"/>
  <c r="K36" i="74"/>
  <c r="K35" i="74"/>
  <c r="G35" i="74"/>
  <c r="K39" i="74"/>
  <c r="G39" i="74"/>
  <c r="K37" i="74"/>
  <c r="G37" i="74"/>
  <c r="K32" i="74"/>
  <c r="G32" i="74"/>
  <c r="W43" i="74"/>
  <c r="X43" i="74" s="1"/>
  <c r="BD75" i="74"/>
  <c r="BC75" i="74"/>
  <c r="W34" i="74"/>
  <c r="A70" i="49"/>
  <c r="A71" i="49" s="1"/>
  <c r="A72" i="49" s="1"/>
  <c r="Y45" i="74"/>
  <c r="AG15" i="74" s="1"/>
  <c r="X45" i="74"/>
  <c r="BC53" i="74"/>
  <c r="BD53" i="74"/>
  <c r="AF33" i="74"/>
  <c r="AE33" i="74"/>
  <c r="AH33" i="74"/>
  <c r="AG33" i="74"/>
  <c r="AI33" i="74"/>
  <c r="AD33" i="74"/>
  <c r="A43" i="49"/>
  <c r="A44" i="49" s="1"/>
  <c r="P27" i="52"/>
  <c r="O27" i="52"/>
  <c r="P30" i="52"/>
  <c r="P31" i="52"/>
  <c r="P32" i="52"/>
  <c r="P33" i="52"/>
  <c r="P34" i="52"/>
  <c r="P35" i="52"/>
  <c r="P36" i="52"/>
  <c r="P37" i="52"/>
  <c r="P29" i="52"/>
  <c r="O30" i="52"/>
  <c r="AG20" i="75" l="1"/>
  <c r="AD20" i="75"/>
  <c r="AF20" i="75"/>
  <c r="AE20" i="75"/>
  <c r="AH20" i="75"/>
  <c r="AI20" i="75"/>
  <c r="BC75" i="75"/>
  <c r="BD75" i="75"/>
  <c r="AG19" i="75"/>
  <c r="AD19" i="75"/>
  <c r="AF19" i="75"/>
  <c r="AE19" i="75"/>
  <c r="AH19" i="75"/>
  <c r="AI19" i="75"/>
  <c r="BD53" i="75"/>
  <c r="BC53" i="75"/>
  <c r="Y43" i="75"/>
  <c r="AG13" i="75" s="1"/>
  <c r="X43" i="75"/>
  <c r="W33" i="75"/>
  <c r="B45" i="74"/>
  <c r="B45" i="75"/>
  <c r="W35" i="75"/>
  <c r="AG10" i="75"/>
  <c r="AD54" i="75"/>
  <c r="AE54" i="75"/>
  <c r="AH54" i="75"/>
  <c r="Y43" i="74"/>
  <c r="AG13" i="74" s="1"/>
  <c r="W35" i="74"/>
  <c r="AG10" i="74"/>
  <c r="W33" i="74"/>
  <c r="X34" i="74"/>
  <c r="AG38" i="74" s="1"/>
  <c r="Y34" i="74"/>
  <c r="A73" i="49"/>
  <c r="A74" i="49" s="1"/>
  <c r="A75" i="49" s="1"/>
  <c r="A76" i="49" s="1"/>
  <c r="AG32" i="74"/>
  <c r="AE32" i="74"/>
  <c r="AH32" i="74"/>
  <c r="AF32" i="74"/>
  <c r="AI32" i="74"/>
  <c r="AD32" i="74"/>
  <c r="A45" i="49"/>
  <c r="O29" i="52"/>
  <c r="X33" i="75" l="1"/>
  <c r="AG37" i="75" s="1"/>
  <c r="Y33" i="75"/>
  <c r="AG18" i="75"/>
  <c r="AD18" i="75"/>
  <c r="AF18" i="75"/>
  <c r="AE18" i="75"/>
  <c r="AH18" i="75"/>
  <c r="AI18" i="75"/>
  <c r="AG34" i="75"/>
  <c r="AD34" i="75"/>
  <c r="AF34" i="75"/>
  <c r="AE34" i="75"/>
  <c r="AH34" i="75"/>
  <c r="AI34" i="75"/>
  <c r="B46" i="74"/>
  <c r="B46" i="75"/>
  <c r="Y35" i="75"/>
  <c r="X35" i="75"/>
  <c r="AG39" i="75" s="1"/>
  <c r="B34" i="74"/>
  <c r="B34" i="75"/>
  <c r="AG19" i="74"/>
  <c r="AI19" i="74"/>
  <c r="AE19" i="74"/>
  <c r="AH19" i="74"/>
  <c r="AF19" i="74"/>
  <c r="AD19" i="74"/>
  <c r="X33" i="74"/>
  <c r="AG37" i="74" s="1"/>
  <c r="AG54" i="74" s="1"/>
  <c r="Y33" i="74"/>
  <c r="AD18" i="74" s="1"/>
  <c r="AG31" i="74"/>
  <c r="AD31" i="74"/>
  <c r="AH31" i="74"/>
  <c r="AF31" i="74"/>
  <c r="AE31" i="74"/>
  <c r="AI31" i="74"/>
  <c r="AD34" i="74"/>
  <c r="AE34" i="74"/>
  <c r="AH34" i="74"/>
  <c r="AG34" i="74"/>
  <c r="AF34" i="74"/>
  <c r="AI34" i="74"/>
  <c r="A77" i="49"/>
  <c r="A78" i="49" s="1"/>
  <c r="A79" i="49" s="1"/>
  <c r="AD54" i="74"/>
  <c r="AH54" i="74"/>
  <c r="AE54" i="74"/>
  <c r="X35" i="74"/>
  <c r="AG39" i="74" s="1"/>
  <c r="Y35" i="74"/>
  <c r="A46" i="49"/>
  <c r="A47" i="49" s="1"/>
  <c r="A48" i="49" s="1"/>
  <c r="I13" i="70"/>
  <c r="B35" i="74" l="1"/>
  <c r="B35" i="75"/>
  <c r="AG55" i="75"/>
  <c r="AD55" i="75"/>
  <c r="AE55" i="75"/>
  <c r="AH55" i="75"/>
  <c r="B47" i="74"/>
  <c r="B47" i="75"/>
  <c r="AG53" i="75"/>
  <c r="AD53" i="75"/>
  <c r="AE53" i="75"/>
  <c r="AH53" i="75"/>
  <c r="AG54" i="75"/>
  <c r="AG20" i="74"/>
  <c r="AF20" i="74"/>
  <c r="AI20" i="74"/>
  <c r="AE20" i="74"/>
  <c r="AH20" i="74"/>
  <c r="AD20" i="74"/>
  <c r="AD55" i="74"/>
  <c r="AG55" i="74"/>
  <c r="AH55" i="74"/>
  <c r="AE55" i="74"/>
  <c r="A80" i="49"/>
  <c r="AH18" i="74"/>
  <c r="AF18" i="74"/>
  <c r="AG18" i="74"/>
  <c r="AE18" i="74"/>
  <c r="AI18" i="74"/>
  <c r="AG53" i="74"/>
  <c r="AE53" i="74"/>
  <c r="AH53" i="74"/>
  <c r="AD53" i="74"/>
  <c r="A49" i="49"/>
  <c r="A50" i="49" s="1"/>
  <c r="A51" i="49" s="1"/>
  <c r="A52" i="49" s="1"/>
  <c r="I12" i="70"/>
  <c r="I11" i="70"/>
  <c r="I3" i="70"/>
  <c r="I2" i="70"/>
  <c r="B36" i="74" l="1"/>
  <c r="B36" i="75"/>
  <c r="B48" i="74"/>
  <c r="B48" i="75"/>
  <c r="A81" i="49"/>
  <c r="A82" i="49" s="1"/>
  <c r="A83" i="49" s="1"/>
  <c r="A53" i="49"/>
  <c r="A54" i="49" s="1"/>
  <c r="A55" i="49" s="1"/>
  <c r="E16" i="70"/>
  <c r="E15" i="70"/>
  <c r="E20" i="70"/>
  <c r="E19" i="70"/>
  <c r="I16" i="70"/>
  <c r="I25" i="70" s="1"/>
  <c r="I15" i="70"/>
  <c r="H16" i="70"/>
  <c r="H15" i="70"/>
  <c r="H19" i="70"/>
  <c r="G13" i="70"/>
  <c r="F13" i="70"/>
  <c r="E13" i="70"/>
  <c r="D13" i="70"/>
  <c r="C13" i="70"/>
  <c r="H12" i="70"/>
  <c r="H11" i="70"/>
  <c r="H3" i="70"/>
  <c r="H2" i="70"/>
  <c r="K12" i="70"/>
  <c r="K11" i="70"/>
  <c r="K3" i="70"/>
  <c r="K2" i="70"/>
  <c r="J12" i="70"/>
  <c r="J11" i="70"/>
  <c r="J3" i="70"/>
  <c r="J2" i="70"/>
  <c r="G12" i="70"/>
  <c r="G11" i="70"/>
  <c r="G3" i="70"/>
  <c r="G2" i="70"/>
  <c r="F12" i="70"/>
  <c r="F11" i="70"/>
  <c r="F3" i="70"/>
  <c r="F2" i="70"/>
  <c r="E2" i="70"/>
  <c r="E3" i="70"/>
  <c r="E12" i="70"/>
  <c r="E11" i="70"/>
  <c r="D2" i="70"/>
  <c r="D3" i="70"/>
  <c r="D12" i="70"/>
  <c r="D11" i="70"/>
  <c r="C12" i="70"/>
  <c r="C11" i="70"/>
  <c r="C3" i="70"/>
  <c r="C2" i="70"/>
  <c r="B12" i="70"/>
  <c r="B11" i="70"/>
  <c r="B3" i="70"/>
  <c r="B2" i="70"/>
  <c r="B37" i="74" l="1"/>
  <c r="B37" i="75"/>
  <c r="B49" i="74"/>
  <c r="B49" i="75"/>
  <c r="A84" i="49"/>
  <c r="A85" i="49" s="1"/>
  <c r="A56" i="49"/>
  <c r="E22" i="70"/>
  <c r="I22" i="70"/>
  <c r="H22" i="70"/>
  <c r="E25" i="70"/>
  <c r="I26" i="70"/>
  <c r="I23" i="70"/>
  <c r="I21" i="70"/>
  <c r="I20" i="70"/>
  <c r="I19" i="70"/>
  <c r="I27" i="70" s="1"/>
  <c r="I18" i="70"/>
  <c r="I17" i="70"/>
  <c r="I14" i="70"/>
  <c r="H17" i="70"/>
  <c r="E23" i="70"/>
  <c r="E21" i="70"/>
  <c r="E27" i="70"/>
  <c r="E26" i="70"/>
  <c r="E18" i="70"/>
  <c r="E14" i="70"/>
  <c r="E28" i="70" s="1"/>
  <c r="E17" i="70"/>
  <c r="H27" i="70"/>
  <c r="H26" i="70"/>
  <c r="H23" i="70"/>
  <c r="H21" i="70"/>
  <c r="H20" i="70"/>
  <c r="H14" i="70"/>
  <c r="H28" i="70" s="1"/>
  <c r="H18" i="70"/>
  <c r="B38" i="74" l="1"/>
  <c r="B38" i="75"/>
  <c r="A57" i="49"/>
  <c r="A58" i="49" s="1"/>
  <c r="A59" i="49" s="1"/>
  <c r="I28" i="70"/>
  <c r="H13" i="70"/>
  <c r="H25" i="70" s="1"/>
  <c r="G16" i="70"/>
  <c r="G25" i="70" s="1"/>
  <c r="G15" i="70"/>
  <c r="B39" i="74" l="1"/>
  <c r="B39" i="75"/>
  <c r="A60" i="49"/>
  <c r="A61" i="49" s="1"/>
  <c r="G18" i="70"/>
  <c r="G19" i="70"/>
  <c r="G27" i="70" s="1"/>
  <c r="G20" i="70"/>
  <c r="G22" i="70"/>
  <c r="G21" i="70"/>
  <c r="G14" i="70"/>
  <c r="G23" i="70"/>
  <c r="G17" i="70"/>
  <c r="G26" i="70"/>
  <c r="G28" i="70" l="1"/>
  <c r="F16" i="70"/>
  <c r="F25" i="70" s="1"/>
  <c r="F15" i="70"/>
  <c r="F14" i="70"/>
  <c r="D16" i="70"/>
  <c r="D25" i="70" s="1"/>
  <c r="D15" i="70"/>
  <c r="D14" i="70"/>
  <c r="F26" i="70" l="1"/>
  <c r="D26" i="70"/>
  <c r="F19" i="70"/>
  <c r="F27" i="70" s="1"/>
  <c r="D18" i="70"/>
  <c r="D19" i="70"/>
  <c r="D27" i="70" s="1"/>
  <c r="F20" i="70"/>
  <c r="D20" i="70"/>
  <c r="F22" i="70"/>
  <c r="D22" i="70"/>
  <c r="F21" i="70"/>
  <c r="D21" i="70"/>
  <c r="F23" i="70"/>
  <c r="D23" i="70"/>
  <c r="F17" i="70"/>
  <c r="D17" i="70"/>
  <c r="F18" i="70"/>
  <c r="F28" i="70" l="1"/>
  <c r="D28" i="70"/>
  <c r="C16" i="70"/>
  <c r="C25" i="70" s="1"/>
  <c r="C15" i="70"/>
  <c r="C14" i="70"/>
  <c r="C21" i="70" l="1"/>
  <c r="C23" i="70"/>
  <c r="C17" i="70"/>
  <c r="C26" i="70"/>
  <c r="C18" i="70"/>
  <c r="C19" i="70"/>
  <c r="C27" i="70" s="1"/>
  <c r="C20" i="70"/>
  <c r="C22" i="70"/>
  <c r="J17" i="70"/>
  <c r="B17" i="70"/>
  <c r="K17" i="70"/>
  <c r="J18" i="70"/>
  <c r="B18" i="70"/>
  <c r="K18" i="70"/>
  <c r="B19" i="70"/>
  <c r="K19" i="70"/>
  <c r="J19" i="70"/>
  <c r="B20" i="70"/>
  <c r="K20" i="70"/>
  <c r="J20" i="70"/>
  <c r="K22" i="70"/>
  <c r="J22" i="70"/>
  <c r="B22" i="70"/>
  <c r="K16" i="70"/>
  <c r="B16" i="70"/>
  <c r="B25" i="70" s="1"/>
  <c r="J16" i="70"/>
  <c r="B21" i="70"/>
  <c r="J21" i="70"/>
  <c r="K21" i="70"/>
  <c r="B23" i="70"/>
  <c r="K23" i="70"/>
  <c r="J23" i="70"/>
  <c r="K14" i="70"/>
  <c r="J14" i="70"/>
  <c r="B14" i="70"/>
  <c r="B28" i="70" s="1"/>
  <c r="J15" i="70"/>
  <c r="B15" i="70"/>
  <c r="K15" i="70"/>
  <c r="C28" i="70" l="1"/>
  <c r="J25" i="70"/>
  <c r="B26" i="70"/>
  <c r="J27" i="70"/>
  <c r="K25" i="70"/>
  <c r="J26" i="70"/>
  <c r="B27" i="70"/>
  <c r="K27" i="70"/>
  <c r="K26" i="70"/>
  <c r="B11" i="50" l="1"/>
  <c r="C74" i="50" l="1"/>
  <c r="C73" i="50"/>
  <c r="C72" i="50"/>
  <c r="C71" i="50"/>
  <c r="C70" i="50"/>
  <c r="C69" i="50"/>
  <c r="B74" i="50"/>
  <c r="B73" i="50"/>
  <c r="B72" i="50"/>
  <c r="B71" i="50"/>
  <c r="B70" i="50"/>
  <c r="B69" i="50"/>
  <c r="D75" i="50" l="1"/>
  <c r="C65" i="50" l="1"/>
  <c r="C64" i="50"/>
  <c r="C63" i="50"/>
  <c r="C62" i="50"/>
  <c r="C61" i="50"/>
  <c r="C60" i="50"/>
  <c r="B64" i="50"/>
  <c r="B65" i="50"/>
  <c r="B63" i="50"/>
  <c r="B62" i="50"/>
  <c r="B61" i="50"/>
  <c r="B60" i="50"/>
  <c r="AH3" i="49" l="1"/>
  <c r="D66" i="50"/>
  <c r="D73" i="50" l="1"/>
  <c r="D74" i="50"/>
  <c r="D69" i="50"/>
  <c r="D71" i="50"/>
  <c r="D70" i="50"/>
  <c r="D72" i="50"/>
  <c r="C56" i="50"/>
  <c r="C55" i="50"/>
  <c r="C54" i="50"/>
  <c r="C53" i="50"/>
  <c r="C52" i="50"/>
  <c r="C51" i="50"/>
  <c r="C50" i="50"/>
  <c r="C46" i="50"/>
  <c r="C45" i="50"/>
  <c r="C44" i="50"/>
  <c r="C43" i="50"/>
  <c r="C42" i="50"/>
  <c r="C41" i="50"/>
  <c r="B56" i="50"/>
  <c r="B55" i="50"/>
  <c r="B54" i="50"/>
  <c r="B53" i="50"/>
  <c r="B52" i="50"/>
  <c r="B51" i="50"/>
  <c r="B50" i="50"/>
  <c r="B46" i="50"/>
  <c r="B45" i="50"/>
  <c r="B44" i="50"/>
  <c r="B42" i="50"/>
  <c r="B43" i="50"/>
  <c r="B41" i="50"/>
  <c r="D57" i="50" l="1"/>
  <c r="D47" i="50" l="1"/>
  <c r="D46" i="50" s="1"/>
  <c r="K74" i="50" s="1"/>
  <c r="D50" i="50"/>
  <c r="D52" i="50"/>
  <c r="D54" i="50"/>
  <c r="D56" i="50"/>
  <c r="D51" i="50"/>
  <c r="D53" i="50"/>
  <c r="D55" i="50"/>
  <c r="D45" i="50" l="1"/>
  <c r="K73" i="50" s="1"/>
  <c r="D43" i="50"/>
  <c r="K71" i="50" s="1"/>
  <c r="D42" i="50"/>
  <c r="K70" i="50" s="1"/>
  <c r="D44" i="50"/>
  <c r="K72" i="50" s="1"/>
  <c r="I74" i="50"/>
  <c r="D61" i="50"/>
  <c r="D65" i="50"/>
  <c r="J74" i="50" s="1"/>
  <c r="D62" i="50"/>
  <c r="D63" i="50"/>
  <c r="D60" i="50"/>
  <c r="D64" i="50"/>
  <c r="J70" i="50" l="1"/>
  <c r="I73" i="50"/>
  <c r="I70" i="50"/>
  <c r="J73" i="50"/>
  <c r="J71" i="50"/>
  <c r="I71" i="50"/>
  <c r="I72" i="50"/>
  <c r="J72" i="50"/>
  <c r="H9" i="32" l="1"/>
  <c r="I9" i="32" l="1"/>
  <c r="R60" i="50" l="1"/>
  <c r="R43" i="50"/>
  <c r="R62" i="50"/>
  <c r="R61" i="50"/>
  <c r="R59" i="50"/>
  <c r="R54" i="50"/>
  <c r="R53" i="50"/>
  <c r="R52" i="50"/>
  <c r="R51" i="50"/>
  <c r="R45" i="50"/>
  <c r="R44" i="50"/>
  <c r="R42" i="50"/>
  <c r="B2" i="49" l="1"/>
  <c r="C62" i="74" l="1"/>
  <c r="C27" i="74"/>
  <c r="C20" i="74"/>
  <c r="C63" i="74"/>
  <c r="C61" i="74"/>
  <c r="C26" i="74"/>
  <c r="C24" i="74"/>
  <c r="C19" i="74"/>
  <c r="C17" i="74"/>
  <c r="C64" i="74"/>
  <c r="C25" i="74"/>
  <c r="C18" i="74"/>
  <c r="B3" i="49"/>
  <c r="B4" i="50"/>
  <c r="B3" i="50"/>
  <c r="B8" i="50"/>
  <c r="B7" i="50"/>
  <c r="B6" i="50"/>
  <c r="B5" i="50"/>
  <c r="N45" i="52"/>
  <c r="O37" i="52"/>
  <c r="O36" i="52"/>
  <c r="O35" i="52"/>
  <c r="O34" i="52"/>
  <c r="O33" i="52"/>
  <c r="O32" i="52"/>
  <c r="O31" i="52"/>
  <c r="N27" i="52"/>
  <c r="B4" i="52"/>
  <c r="A4" i="52"/>
  <c r="B3" i="52"/>
  <c r="A3" i="52"/>
  <c r="B2" i="52"/>
  <c r="A2" i="52"/>
  <c r="L3" i="51"/>
  <c r="I92" i="34" l="1"/>
  <c r="I93" i="34" s="1"/>
  <c r="P77" i="34"/>
  <c r="O77" i="34"/>
  <c r="K77" i="34"/>
  <c r="M77" i="34" s="1"/>
  <c r="J77" i="34"/>
  <c r="L77" i="34" s="1"/>
  <c r="P75" i="34"/>
  <c r="O75" i="34"/>
  <c r="K75" i="34"/>
  <c r="M75" i="34" s="1"/>
  <c r="J75" i="34"/>
  <c r="L75" i="34" s="1"/>
  <c r="P73" i="34"/>
  <c r="O73" i="34"/>
  <c r="K73" i="34"/>
  <c r="M73" i="34" s="1"/>
  <c r="J73" i="34"/>
  <c r="L73" i="34" s="1"/>
  <c r="P71" i="34"/>
  <c r="O71" i="34"/>
  <c r="K71" i="34"/>
  <c r="M71" i="34" s="1"/>
  <c r="J71" i="34"/>
  <c r="L71" i="34" s="1"/>
  <c r="P69" i="34"/>
  <c r="O69" i="34"/>
  <c r="K69" i="34"/>
  <c r="M69" i="34" s="1"/>
  <c r="J69" i="34"/>
  <c r="L69" i="34" s="1"/>
  <c r="P67" i="34"/>
  <c r="O67" i="34"/>
  <c r="K67" i="34"/>
  <c r="M67" i="34" s="1"/>
  <c r="J67" i="34"/>
  <c r="L67" i="34" s="1"/>
  <c r="P65" i="34"/>
  <c r="O65" i="34"/>
  <c r="K65" i="34"/>
  <c r="M65" i="34" s="1"/>
  <c r="J65" i="34"/>
  <c r="L65" i="34" s="1"/>
  <c r="P63" i="34"/>
  <c r="O63" i="34"/>
  <c r="K63" i="34"/>
  <c r="M63" i="34" s="1"/>
  <c r="J63" i="34"/>
  <c r="L63" i="34" s="1"/>
  <c r="P61" i="34"/>
  <c r="O61" i="34"/>
  <c r="K61" i="34"/>
  <c r="M61" i="34" s="1"/>
  <c r="J61" i="34"/>
  <c r="L61" i="34" s="1"/>
  <c r="P59" i="34"/>
  <c r="O59" i="34"/>
  <c r="K59" i="34"/>
  <c r="M59" i="34" s="1"/>
  <c r="J59" i="34"/>
  <c r="L59" i="34" s="1"/>
  <c r="P57" i="34"/>
  <c r="O57" i="34"/>
  <c r="K57" i="34"/>
  <c r="M57" i="34" s="1"/>
  <c r="J57" i="34"/>
  <c r="L57" i="34" s="1"/>
  <c r="P55" i="34"/>
  <c r="O55" i="34"/>
  <c r="K55" i="34"/>
  <c r="M55" i="34" s="1"/>
  <c r="J55" i="34"/>
  <c r="L55" i="34" s="1"/>
  <c r="P53" i="34"/>
  <c r="O53" i="34"/>
  <c r="K53" i="34"/>
  <c r="M53" i="34" s="1"/>
  <c r="J53" i="34"/>
  <c r="L53" i="34" s="1"/>
  <c r="P51" i="34"/>
  <c r="O51" i="34"/>
  <c r="K51" i="34"/>
  <c r="M51" i="34" s="1"/>
  <c r="J51" i="34"/>
  <c r="L51" i="34" s="1"/>
  <c r="P49" i="34"/>
  <c r="O49" i="34"/>
  <c r="K49" i="34"/>
  <c r="M49" i="34" s="1"/>
  <c r="J49" i="34"/>
  <c r="L49" i="34" s="1"/>
  <c r="P47" i="34"/>
  <c r="O47" i="34"/>
  <c r="K47" i="34"/>
  <c r="M47" i="34" s="1"/>
  <c r="J47" i="34"/>
  <c r="L47" i="34" s="1"/>
  <c r="P45" i="34"/>
  <c r="O45" i="34"/>
  <c r="K45" i="34"/>
  <c r="M45" i="34" s="1"/>
  <c r="J45" i="34"/>
  <c r="L45" i="34" s="1"/>
  <c r="P43" i="34"/>
  <c r="O43" i="34"/>
  <c r="K43" i="34"/>
  <c r="M43" i="34" s="1"/>
  <c r="J43" i="34"/>
  <c r="L43" i="34" s="1"/>
  <c r="P41" i="34"/>
  <c r="O41" i="34"/>
  <c r="K41" i="34"/>
  <c r="M41" i="34" s="1"/>
  <c r="J41" i="34"/>
  <c r="L41" i="34" s="1"/>
  <c r="P39" i="34"/>
  <c r="O39" i="34"/>
  <c r="K39" i="34"/>
  <c r="M39" i="34" s="1"/>
  <c r="J39" i="34"/>
  <c r="L39" i="34" s="1"/>
  <c r="P37" i="34"/>
  <c r="O37" i="34"/>
  <c r="K37" i="34"/>
  <c r="M37" i="34" s="1"/>
  <c r="J37" i="34"/>
  <c r="L37" i="34" s="1"/>
  <c r="P35" i="34"/>
  <c r="O35" i="34"/>
  <c r="K35" i="34"/>
  <c r="M35" i="34" s="1"/>
  <c r="J35" i="34"/>
  <c r="L35" i="34" s="1"/>
  <c r="P33" i="34"/>
  <c r="O33" i="34"/>
  <c r="K33" i="34"/>
  <c r="M33" i="34" s="1"/>
  <c r="J33" i="34"/>
  <c r="L33" i="34" s="1"/>
  <c r="P31" i="34"/>
  <c r="O31" i="34"/>
  <c r="K31" i="34"/>
  <c r="M31" i="34" s="1"/>
  <c r="J31" i="34"/>
  <c r="L31" i="34" s="1"/>
  <c r="P29" i="34"/>
  <c r="O29" i="34"/>
  <c r="K29" i="34"/>
  <c r="M29" i="34" s="1"/>
  <c r="J29" i="34"/>
  <c r="L29" i="34" s="1"/>
  <c r="P27" i="34"/>
  <c r="O27" i="34"/>
  <c r="K27" i="34"/>
  <c r="M27" i="34" s="1"/>
  <c r="J27" i="34"/>
  <c r="L27" i="34" s="1"/>
  <c r="P25" i="34"/>
  <c r="O25" i="34"/>
  <c r="K25" i="34"/>
  <c r="M25" i="34" s="1"/>
  <c r="J25" i="34"/>
  <c r="L25" i="34" s="1"/>
  <c r="P23" i="34"/>
  <c r="O23" i="34"/>
  <c r="K23" i="34"/>
  <c r="M23" i="34" s="1"/>
  <c r="J23" i="34"/>
  <c r="L23" i="34" s="1"/>
  <c r="P21" i="34"/>
  <c r="O21" i="34"/>
  <c r="K21" i="34"/>
  <c r="M21" i="34" s="1"/>
  <c r="J21" i="34"/>
  <c r="L21" i="34" s="1"/>
  <c r="P19" i="34"/>
  <c r="O19" i="34"/>
  <c r="K19" i="34"/>
  <c r="M19" i="34" s="1"/>
  <c r="J19" i="34"/>
  <c r="L19" i="34" s="1"/>
  <c r="P17" i="34"/>
  <c r="O17" i="34"/>
  <c r="K17" i="34"/>
  <c r="M17" i="34" s="1"/>
  <c r="J17" i="34"/>
  <c r="L17" i="34" s="1"/>
  <c r="P15" i="34"/>
  <c r="O15" i="34"/>
  <c r="K15" i="34"/>
  <c r="M15" i="34" s="1"/>
  <c r="J15" i="34"/>
  <c r="L15" i="34" s="1"/>
  <c r="P13" i="34"/>
  <c r="O13" i="34"/>
  <c r="K13" i="34"/>
  <c r="M13" i="34" s="1"/>
  <c r="J13" i="34"/>
  <c r="L13" i="34" s="1"/>
  <c r="P11" i="34"/>
  <c r="O11" i="34"/>
  <c r="K11" i="34"/>
  <c r="M11" i="34" s="1"/>
  <c r="J11" i="34"/>
  <c r="L11" i="34" s="1"/>
  <c r="P9" i="34"/>
  <c r="O9" i="34"/>
  <c r="K9" i="34"/>
  <c r="M9" i="34" s="1"/>
  <c r="J9" i="34"/>
  <c r="L9" i="34" s="1"/>
  <c r="P7" i="34"/>
  <c r="O7" i="34"/>
  <c r="K7" i="34"/>
  <c r="M7" i="34" s="1"/>
  <c r="J7" i="34"/>
  <c r="L7" i="34" s="1"/>
  <c r="Q10" i="32"/>
  <c r="M5" i="32"/>
  <c r="D5" i="32"/>
  <c r="H11" i="32" s="1"/>
  <c r="D31" i="50"/>
  <c r="D30" i="50"/>
  <c r="D29" i="50"/>
  <c r="D28" i="50"/>
  <c r="C31" i="50"/>
  <c r="C30" i="50"/>
  <c r="C29" i="50"/>
  <c r="C28" i="50"/>
  <c r="B31" i="50"/>
  <c r="B30" i="50"/>
  <c r="B29" i="50"/>
  <c r="B28" i="50"/>
  <c r="AE38" i="50"/>
  <c r="AC38" i="50"/>
  <c r="AD38" i="50" s="1"/>
  <c r="AB38" i="50"/>
  <c r="AE37" i="50"/>
  <c r="AC37" i="50"/>
  <c r="AD37" i="50" s="1"/>
  <c r="AB37" i="50"/>
  <c r="AE36" i="50"/>
  <c r="AC36" i="50"/>
  <c r="AD36" i="50" s="1"/>
  <c r="AB36" i="50"/>
  <c r="AE35" i="50"/>
  <c r="AC35" i="50"/>
  <c r="AD35" i="50" s="1"/>
  <c r="AB35" i="50"/>
  <c r="AE34" i="50"/>
  <c r="AC34" i="50"/>
  <c r="AD34" i="50" s="1"/>
  <c r="AB34" i="50"/>
  <c r="AE33" i="50"/>
  <c r="AC33" i="50"/>
  <c r="AD33" i="50" s="1"/>
  <c r="AB33" i="50"/>
  <c r="AE32" i="50"/>
  <c r="AC32" i="50"/>
  <c r="AD32" i="50" s="1"/>
  <c r="AB32" i="50"/>
  <c r="AE31" i="50"/>
  <c r="AC31" i="50"/>
  <c r="AD31" i="50" s="1"/>
  <c r="AB31" i="50"/>
  <c r="R31" i="50" s="1"/>
  <c r="C23" i="50" s="1"/>
  <c r="AE30" i="50"/>
  <c r="AC30" i="50"/>
  <c r="AD30" i="50" s="1"/>
  <c r="AB30" i="50"/>
  <c r="AE29" i="50"/>
  <c r="AC29" i="50"/>
  <c r="AD29" i="50" s="1"/>
  <c r="AB29" i="50"/>
  <c r="R29" i="50" s="1"/>
  <c r="C21" i="50" s="1"/>
  <c r="AE28" i="50"/>
  <c r="AC28" i="50"/>
  <c r="AD28" i="50" s="1"/>
  <c r="AB28" i="50"/>
  <c r="R28" i="50" s="1"/>
  <c r="C20" i="50" s="1"/>
  <c r="AE27" i="50"/>
  <c r="AC27" i="50"/>
  <c r="AD27" i="50" s="1"/>
  <c r="AB27" i="50"/>
  <c r="AE26" i="50"/>
  <c r="AC26" i="50"/>
  <c r="AD26" i="50" s="1"/>
  <c r="AB26" i="50"/>
  <c r="AE25" i="50"/>
  <c r="AC25" i="50"/>
  <c r="AD25" i="50" s="1"/>
  <c r="AB25" i="50"/>
  <c r="AE24" i="50"/>
  <c r="AC24" i="50"/>
  <c r="AD24" i="50" s="1"/>
  <c r="AB24" i="50"/>
  <c r="AE18" i="50"/>
  <c r="AC18" i="50"/>
  <c r="AD18" i="50" s="1"/>
  <c r="AB18" i="50"/>
  <c r="AE17" i="50"/>
  <c r="AC17" i="50"/>
  <c r="AD17" i="50" s="1"/>
  <c r="AB17" i="50"/>
  <c r="AE16" i="50"/>
  <c r="AC16" i="50"/>
  <c r="AD16" i="50" s="1"/>
  <c r="AB16" i="50"/>
  <c r="AE15" i="50"/>
  <c r="AC15" i="50"/>
  <c r="AD15" i="50" s="1"/>
  <c r="AB15" i="50"/>
  <c r="AE14" i="50"/>
  <c r="AC14" i="50"/>
  <c r="AD14" i="50" s="1"/>
  <c r="AB14" i="50"/>
  <c r="AE13" i="50"/>
  <c r="AC13" i="50"/>
  <c r="AD13" i="50" s="1"/>
  <c r="AB13" i="50"/>
  <c r="AE12" i="50"/>
  <c r="AC12" i="50"/>
  <c r="AD12" i="50" s="1"/>
  <c r="AB12" i="50"/>
  <c r="AE11" i="50"/>
  <c r="AC11" i="50"/>
  <c r="AD11" i="50" s="1"/>
  <c r="AB11" i="50"/>
  <c r="R11" i="50" s="1"/>
  <c r="B23" i="50" s="1"/>
  <c r="AE10" i="50"/>
  <c r="AC10" i="50"/>
  <c r="AD10" i="50" s="1"/>
  <c r="AB10" i="50"/>
  <c r="AE9" i="50"/>
  <c r="AC9" i="50"/>
  <c r="AD9" i="50" s="1"/>
  <c r="AB9" i="50"/>
  <c r="AE8" i="50"/>
  <c r="AC8" i="50"/>
  <c r="AD8" i="50" s="1"/>
  <c r="AB8" i="50"/>
  <c r="AE7" i="50"/>
  <c r="AC7" i="50"/>
  <c r="AD7" i="50" s="1"/>
  <c r="AB7" i="50"/>
  <c r="R7" i="50" s="1"/>
  <c r="B19" i="50" s="1"/>
  <c r="AE6" i="50"/>
  <c r="AC6" i="50"/>
  <c r="AD6" i="50" s="1"/>
  <c r="AB6" i="50"/>
  <c r="AE5" i="50"/>
  <c r="AC5" i="50"/>
  <c r="AD5" i="50" s="1"/>
  <c r="AB5" i="50"/>
  <c r="AE4" i="50"/>
  <c r="AC4" i="50"/>
  <c r="AD4" i="50" s="1"/>
  <c r="AB4" i="50"/>
  <c r="R5" i="50" l="1"/>
  <c r="B17" i="50" s="1"/>
  <c r="R25" i="50"/>
  <c r="C17" i="50" s="1"/>
  <c r="N7" i="34"/>
  <c r="N9" i="34"/>
  <c r="Q19" i="34"/>
  <c r="Q27" i="34"/>
  <c r="Q35" i="34"/>
  <c r="Q59" i="34"/>
  <c r="Q75" i="34"/>
  <c r="N15" i="34"/>
  <c r="R4" i="50"/>
  <c r="B16" i="50" s="1"/>
  <c r="AF8" i="50"/>
  <c r="AF12" i="50"/>
  <c r="N19" i="34"/>
  <c r="N21" i="34"/>
  <c r="Q67" i="34"/>
  <c r="N29" i="34"/>
  <c r="Q7" i="34"/>
  <c r="Q43" i="34"/>
  <c r="Q51" i="34"/>
  <c r="Q37" i="34"/>
  <c r="Q53" i="34"/>
  <c r="R26" i="50"/>
  <c r="C18" i="50" s="1"/>
  <c r="R30" i="50"/>
  <c r="C22" i="50" s="1"/>
  <c r="Q12" i="32"/>
  <c r="Q14" i="32" s="1"/>
  <c r="AF9" i="50"/>
  <c r="AF13" i="50"/>
  <c r="AF17" i="50"/>
  <c r="AF30" i="50"/>
  <c r="AF34" i="50"/>
  <c r="Q45" i="34"/>
  <c r="Q77" i="34"/>
  <c r="R6" i="50"/>
  <c r="B18" i="50" s="1"/>
  <c r="AF7" i="50"/>
  <c r="AF15" i="50"/>
  <c r="AF24" i="50"/>
  <c r="AF29" i="50"/>
  <c r="N37" i="34"/>
  <c r="N45" i="34"/>
  <c r="N53" i="34"/>
  <c r="N61" i="34"/>
  <c r="N69" i="34"/>
  <c r="N77" i="34"/>
  <c r="AF6" i="50"/>
  <c r="AF10" i="50"/>
  <c r="AF28" i="50"/>
  <c r="AF32" i="50"/>
  <c r="AF36" i="50"/>
  <c r="Q9" i="34"/>
  <c r="Q15" i="34"/>
  <c r="Q21" i="34"/>
  <c r="Q29" i="34"/>
  <c r="Q61" i="34"/>
  <c r="Q69" i="34"/>
  <c r="AF27" i="50"/>
  <c r="AF31" i="50"/>
  <c r="AF35" i="50"/>
  <c r="Q23" i="34"/>
  <c r="Q31" i="34"/>
  <c r="Q39" i="34"/>
  <c r="Q47" i="34"/>
  <c r="Q55" i="34"/>
  <c r="Q63" i="34"/>
  <c r="Q71" i="34"/>
  <c r="N31" i="34"/>
  <c r="N47" i="34"/>
  <c r="N55" i="34"/>
  <c r="N63" i="34"/>
  <c r="N11" i="34"/>
  <c r="N23" i="34"/>
  <c r="N39" i="34"/>
  <c r="N71" i="34"/>
  <c r="R8" i="50"/>
  <c r="B20" i="50" s="1"/>
  <c r="R9" i="50"/>
  <c r="B21" i="50" s="1"/>
  <c r="R10" i="50"/>
  <c r="B22" i="50" s="1"/>
  <c r="AF11" i="50"/>
  <c r="R24" i="50"/>
  <c r="C16" i="50" s="1"/>
  <c r="AF37" i="50"/>
  <c r="Q11" i="34"/>
  <c r="N13" i="34"/>
  <c r="N17" i="34"/>
  <c r="N25" i="34"/>
  <c r="N33" i="34"/>
  <c r="N41" i="34"/>
  <c r="N49" i="34"/>
  <c r="N57" i="34"/>
  <c r="N65" i="34"/>
  <c r="N73" i="34"/>
  <c r="Q13" i="34"/>
  <c r="Q17" i="34"/>
  <c r="Q25" i="34"/>
  <c r="N27" i="34"/>
  <c r="Q33" i="34"/>
  <c r="N35" i="34"/>
  <c r="Q41" i="34"/>
  <c r="N43" i="34"/>
  <c r="Q49" i="34"/>
  <c r="N51" i="34"/>
  <c r="Q57" i="34"/>
  <c r="N59" i="34"/>
  <c r="Q65" i="34"/>
  <c r="N67" i="34"/>
  <c r="Q73" i="34"/>
  <c r="N75" i="34"/>
  <c r="H13" i="32"/>
  <c r="H14" i="32" s="1"/>
  <c r="H15" i="32" s="1"/>
  <c r="D20" i="32" s="1"/>
  <c r="D21" i="32" s="1"/>
  <c r="D22" i="32" s="1"/>
  <c r="D23" i="32" s="1"/>
  <c r="D24" i="32" s="1"/>
  <c r="D25" i="32" s="1"/>
  <c r="D26" i="32" s="1"/>
  <c r="D27" i="32" s="1"/>
  <c r="D28" i="32" s="1"/>
  <c r="AF25" i="50"/>
  <c r="AF26" i="50"/>
  <c r="R27" i="50"/>
  <c r="C19" i="50" s="1"/>
  <c r="AF33" i="50"/>
  <c r="AF38" i="50"/>
  <c r="AF16" i="50"/>
  <c r="AF4" i="50"/>
  <c r="AF5" i="50"/>
  <c r="AF14" i="50"/>
  <c r="AF18" i="50"/>
  <c r="D41" i="50" l="1"/>
  <c r="D24" i="50"/>
  <c r="E21" i="50" s="1"/>
  <c r="K69" i="50" l="1"/>
  <c r="I69" i="50"/>
  <c r="J69" i="50"/>
  <c r="E18" i="50"/>
  <c r="D16" i="50"/>
  <c r="D20" i="50"/>
  <c r="D18" i="50"/>
  <c r="D23" i="50"/>
  <c r="D17" i="50"/>
  <c r="D21" i="50"/>
  <c r="E17" i="50"/>
  <c r="E20" i="50"/>
  <c r="E16" i="50"/>
  <c r="D22" i="50"/>
  <c r="E19" i="50"/>
  <c r="D19" i="50"/>
  <c r="E23" i="50"/>
  <c r="E22" i="50"/>
</calcChain>
</file>

<file path=xl/sharedStrings.xml><?xml version="1.0" encoding="utf-8"?>
<sst xmlns="http://schemas.openxmlformats.org/spreadsheetml/2006/main" count="4607" uniqueCount="1024">
  <si>
    <t>Test #</t>
  </si>
  <si>
    <t>Cycle</t>
  </si>
  <si>
    <t>Start Comments</t>
  </si>
  <si>
    <t>End Comments</t>
  </si>
  <si>
    <t>lb</t>
  </si>
  <si>
    <t>Vehicle</t>
  </si>
  <si>
    <t>Location</t>
  </si>
  <si>
    <t>Test purpose</t>
  </si>
  <si>
    <t>Principal Investigator</t>
  </si>
  <si>
    <t>Test Cycle and phases</t>
  </si>
  <si>
    <t>COMPLETION CHECK</t>
  </si>
  <si>
    <t>Pretest Soak time</t>
  </si>
  <si>
    <t>Test cell temperature</t>
  </si>
  <si>
    <t>Fan speed</t>
  </si>
  <si>
    <r>
      <t xml:space="preserve">Emissions </t>
    </r>
    <r>
      <rPr>
        <b/>
        <sz val="10"/>
        <color theme="1"/>
        <rFont val="Calibri"/>
        <family val="2"/>
        <scheme val="minor"/>
      </rPr>
      <t>(Bag, modal Semtech)</t>
    </r>
  </si>
  <si>
    <t>Direct Fuel scale</t>
  </si>
  <si>
    <t>Hioki</t>
  </si>
  <si>
    <t>Vehicle Climate Control</t>
  </si>
  <si>
    <t>Hood position</t>
  </si>
  <si>
    <t>Windows position</t>
  </si>
  <si>
    <r>
      <t>Driver</t>
    </r>
    <r>
      <rPr>
        <b/>
        <sz val="10"/>
        <color theme="1"/>
        <rFont val="Calibri"/>
        <family val="2"/>
        <scheme val="minor"/>
      </rPr>
      <t xml:space="preserve"> (same. DNM Does Not Mater, Robot, engineer)</t>
    </r>
  </si>
  <si>
    <t>-</t>
  </si>
  <si>
    <t>72F</t>
  </si>
  <si>
    <t>NO</t>
  </si>
  <si>
    <t>No</t>
  </si>
  <si>
    <t>Yes</t>
  </si>
  <si>
    <t>OFF</t>
  </si>
  <si>
    <t>Down</t>
  </si>
  <si>
    <t>DNM</t>
  </si>
  <si>
    <t>Vehicle loss determination</t>
  </si>
  <si>
    <t>12 hr</t>
  </si>
  <si>
    <t>A</t>
  </si>
  <si>
    <t>B</t>
  </si>
  <si>
    <t>C</t>
  </si>
  <si>
    <t>ETW</t>
  </si>
  <si>
    <t>lbm</t>
  </si>
  <si>
    <t>lb/mph</t>
  </si>
  <si>
    <t>Instrumentation</t>
  </si>
  <si>
    <t>Facilities</t>
  </si>
  <si>
    <t>Standard Dynamometer</t>
  </si>
  <si>
    <t>Channel 1</t>
  </si>
  <si>
    <t>Channel 2</t>
  </si>
  <si>
    <t>Channel 3</t>
  </si>
  <si>
    <t>Channel 4</t>
  </si>
  <si>
    <t>Channel 5</t>
  </si>
  <si>
    <t>Channel 6</t>
  </si>
  <si>
    <t>Dyno Target A:</t>
  </si>
  <si>
    <t>Dyno Target B:</t>
  </si>
  <si>
    <t>Dyno Target C:</t>
  </si>
  <si>
    <t>20F</t>
  </si>
  <si>
    <t>veh spd</t>
  </si>
  <si>
    <t>Closed</t>
  </si>
  <si>
    <t>lb/mph2</t>
  </si>
  <si>
    <t>4WD dyno GUI table#</t>
  </si>
  <si>
    <t>Highway</t>
  </si>
  <si>
    <t>HWY</t>
  </si>
  <si>
    <t>SC03</t>
  </si>
  <si>
    <t>UDDS</t>
  </si>
  <si>
    <t>0% grade</t>
  </si>
  <si>
    <t>3% grade</t>
  </si>
  <si>
    <t>6% grade</t>
  </si>
  <si>
    <t>35-55 mph</t>
  </si>
  <si>
    <t>55-65 mph</t>
  </si>
  <si>
    <t>35-70 mph</t>
  </si>
  <si>
    <t>55-80 mph</t>
  </si>
  <si>
    <t>Maximum sustained speed</t>
  </si>
  <si>
    <t>[mph]</t>
  </si>
  <si>
    <t>Time [s]</t>
  </si>
  <si>
    <t>Gradeability - Max speed at 25% grade from stop</t>
  </si>
  <si>
    <t xml:space="preserve">UDDS cold start </t>
  </si>
  <si>
    <t xml:space="preserve">US06 </t>
  </si>
  <si>
    <t>US06 City</t>
  </si>
  <si>
    <t xml:space="preserve">US06 Highway </t>
  </si>
  <si>
    <t>Vehicle test weight</t>
  </si>
  <si>
    <t>C target road load</t>
  </si>
  <si>
    <t>B target road load</t>
  </si>
  <si>
    <t>A target road load</t>
  </si>
  <si>
    <t>[lb]</t>
  </si>
  <si>
    <t>[lb/mph]</t>
  </si>
  <si>
    <t>[lb/mph2]</t>
  </si>
  <si>
    <t>Vehicle VIN</t>
  </si>
  <si>
    <t>File Name</t>
  </si>
  <si>
    <t>Cursor A Time</t>
  </si>
  <si>
    <t>Cursor B Time</t>
  </si>
  <si>
    <t>Avg A-B Dyno_Spd[mph]</t>
  </si>
  <si>
    <t>Vehicle speed [m/s]</t>
  </si>
  <si>
    <t>Wheel power [kW]</t>
  </si>
  <si>
    <t>Fuel Power [kW]</t>
  </si>
  <si>
    <t>Vehicle Eff [%]</t>
  </si>
  <si>
    <t>SSS 0% grade</t>
  </si>
  <si>
    <t>SPECIAL COMMENTS</t>
  </si>
  <si>
    <t>SSS 6% grade</t>
  </si>
  <si>
    <t>Cursor A Dyno_Spd[mph]</t>
  </si>
  <si>
    <t>Cursor B Dyno_Spd[mph]</t>
  </si>
  <si>
    <t>Passing Time 0% Grade</t>
  </si>
  <si>
    <t>Accel Time</t>
  </si>
  <si>
    <t>Passing Time 3% Grade</t>
  </si>
  <si>
    <t>Passing Time 6% Grade</t>
  </si>
  <si>
    <t>Cycle Filename (use to determine cycle)</t>
  </si>
  <si>
    <t>Represented Test Veh Make</t>
  </si>
  <si>
    <t>Represented Test Veh Model</t>
  </si>
  <si>
    <t>Test Vehicle ID</t>
  </si>
  <si>
    <t>Vehicle Type</t>
  </si>
  <si>
    <t># of Gears</t>
  </si>
  <si>
    <t>Electric consumption [Wh/mi]</t>
  </si>
  <si>
    <t>CAUTION: DO NOT PUBLISH THE NUMBERS ON THE RIGHT OF THE RED COLUMN. 
The numbers on the right are only to support the reporting on the left</t>
  </si>
  <si>
    <t>SOC</t>
  </si>
  <si>
    <t>Avg A-B I1</t>
  </si>
  <si>
    <t>Avg A-B Dyno_TractiveForce[N]</t>
  </si>
  <si>
    <t>Cursor A Pedal_Accel_Pos_CAN[%]</t>
  </si>
  <si>
    <t>Cursor B Pedal_Accel_Pos_CAN[%]</t>
  </si>
  <si>
    <t>Battery Power [kW]</t>
  </si>
  <si>
    <t>EC [Wh/mi]</t>
  </si>
  <si>
    <t>Cumulative Miles</t>
  </si>
  <si>
    <t>Vehicle Manufacturer Name</t>
  </si>
  <si>
    <t>Veh Mfr Code</t>
  </si>
  <si>
    <t>Test Veh Configuration #</t>
  </si>
  <si>
    <t>Test Veh Displacement (L)</t>
  </si>
  <si>
    <t>Actual Tested Testgroup</t>
  </si>
  <si>
    <t>Rated Horsepower</t>
  </si>
  <si>
    <t># of Cylinders and Rotors</t>
  </si>
  <si>
    <t>Engine Code</t>
  </si>
  <si>
    <t>Tested Transmission Type Code</t>
  </si>
  <si>
    <t>Tested Transmission Type</t>
  </si>
  <si>
    <t>Transmission Lockup?</t>
  </si>
  <si>
    <t>Drive System Code</t>
  </si>
  <si>
    <t>Drive System Description</t>
  </si>
  <si>
    <t>Transmission Overdrive Code</t>
  </si>
  <si>
    <t>Transmission Overdrive Desc</t>
  </si>
  <si>
    <t>Equivalent Test Weight (lbs.)</t>
  </si>
  <si>
    <t>Axle Ratio</t>
  </si>
  <si>
    <t>N/V Ratio</t>
  </si>
  <si>
    <t>Shift Indicator Light Use Cd</t>
  </si>
  <si>
    <t>Shift Indicator Light Use Desc</t>
  </si>
  <si>
    <t>Test Number</t>
  </si>
  <si>
    <t>Test Originator</t>
  </si>
  <si>
    <t>Analytically Derived FE?</t>
  </si>
  <si>
    <t>Test Procedure Cd</t>
  </si>
  <si>
    <t>Test Procedure Description</t>
  </si>
  <si>
    <t>Test Fuel Type Cd</t>
  </si>
  <si>
    <t>Test Fuel Type Description</t>
  </si>
  <si>
    <t>Test Category</t>
  </si>
  <si>
    <t>THC (g/mi)</t>
  </si>
  <si>
    <t>CO (g/mi)</t>
  </si>
  <si>
    <t>CO2 (g/mi)</t>
  </si>
  <si>
    <t>NOx (g/mi)</t>
  </si>
  <si>
    <t>PM (g/mi)</t>
  </si>
  <si>
    <t>CH4 (g/mi)</t>
  </si>
  <si>
    <t>N2O (g/mi)</t>
  </si>
  <si>
    <t>RND_ADJ_FE</t>
  </si>
  <si>
    <t>FE_UNIT</t>
  </si>
  <si>
    <t>FE Bag 1</t>
  </si>
  <si>
    <t>FE Bag 2</t>
  </si>
  <si>
    <t>FE Bag 3</t>
  </si>
  <si>
    <t>FE Bag 4</t>
  </si>
  <si>
    <t>Target Coef A (lbf)</t>
  </si>
  <si>
    <t>Target Coef B (lbf/mph)</t>
  </si>
  <si>
    <t>Target Coef C (lbf/mph**2)</t>
  </si>
  <si>
    <t>Set Coef A (lbf)</t>
  </si>
  <si>
    <t>Set Coef B (lbf/mph)</t>
  </si>
  <si>
    <t>Set Coef C (lbf/mph**2)</t>
  </si>
  <si>
    <t>Aftertreatment Device Cd</t>
  </si>
  <si>
    <t>Aftertreatment Device Desc</t>
  </si>
  <si>
    <t>Police - Emergency Vehicle?</t>
  </si>
  <si>
    <t>Averaging Group ID</t>
  </si>
  <si>
    <t>Averaging Weighting Factor</t>
  </si>
  <si>
    <t>Averaging Method Cd</t>
  </si>
  <si>
    <t>Averging Method Desc</t>
  </si>
  <si>
    <t xml:space="preserve">       Do Not Delete Below This Line       </t>
  </si>
  <si>
    <t>12V Charging Watts</t>
  </si>
  <si>
    <t>12V Charging A</t>
  </si>
  <si>
    <t>key off</t>
  </si>
  <si>
    <t>horn</t>
  </si>
  <si>
    <t>rear def</t>
  </si>
  <si>
    <t>ac off</t>
  </si>
  <si>
    <t>ac max cool, high fan</t>
  </si>
  <si>
    <t>hazzard</t>
  </si>
  <si>
    <t>blinkers</t>
  </si>
  <si>
    <t>lights off</t>
  </si>
  <si>
    <t>brights</t>
  </si>
  <si>
    <t xml:space="preserve">headlights </t>
  </si>
  <si>
    <t>parking lights</t>
  </si>
  <si>
    <t>key on</t>
  </si>
  <si>
    <t>DC/Dc Loss (Watts)</t>
  </si>
  <si>
    <t>DC/DC Output (Watts)</t>
  </si>
  <si>
    <t>HV Input (Watts)</t>
  </si>
  <si>
    <t xml:space="preserve"> Total Power @ SS (Watts)</t>
  </si>
  <si>
    <t>12V Watts</t>
  </si>
  <si>
    <t>HV Watts</t>
  </si>
  <si>
    <t xml:space="preserve">12V Curr Used (A) </t>
  </si>
  <si>
    <t>HV Curr Used (A)</t>
  </si>
  <si>
    <t>5 = 12V batt gnd</t>
  </si>
  <si>
    <t xml:space="preserve">4 = Coolant Heater (inverted) </t>
  </si>
  <si>
    <t>3 = 12DCDC Out</t>
  </si>
  <si>
    <t>2 = HV Batt Post DCDC</t>
  </si>
  <si>
    <t>1 = HV Batt</t>
  </si>
  <si>
    <t>Cursor B (Time)</t>
  </si>
  <si>
    <t>Cursor A (Time)</t>
  </si>
  <si>
    <t>Driver time</t>
  </si>
  <si>
    <t>Driver Item</t>
  </si>
  <si>
    <t>Hioki Current = Avg A-B (Amps)</t>
  </si>
  <si>
    <t>Voltage HV Batt</t>
  </si>
  <si>
    <t>Voltage 12V Bus</t>
  </si>
  <si>
    <t>Avg A-B (Volts)</t>
  </si>
  <si>
    <t>Avg A-B Drive_Trace_Schedule[mph]</t>
  </si>
  <si>
    <t>Test</t>
  </si>
  <si>
    <t>Avg A-B P1</t>
  </si>
  <si>
    <t>Test weight [lb]</t>
  </si>
  <si>
    <t>UDDS#1</t>
  </si>
  <si>
    <t>UDDS#2</t>
  </si>
  <si>
    <t>US06</t>
  </si>
  <si>
    <t>25% Gradeability</t>
  </si>
  <si>
    <t>Test File:</t>
  </si>
  <si>
    <t>DC Wh</t>
  </si>
  <si>
    <t>Modified</t>
  </si>
  <si>
    <t>input --&gt;</t>
  </si>
  <si>
    <t xml:space="preserve"> = DC Wh Charge</t>
  </si>
  <si>
    <t>UDDS 1</t>
  </si>
  <si>
    <t>&lt;-- input</t>
  </si>
  <si>
    <t xml:space="preserve"> = 95% of DC Wh</t>
  </si>
  <si>
    <t>UDDS 3</t>
  </si>
  <si>
    <t>HWY   2</t>
  </si>
  <si>
    <t>HWY   1</t>
  </si>
  <si>
    <t xml:space="preserve"> = SS wh/mi</t>
  </si>
  <si>
    <t>US06  4</t>
  </si>
  <si>
    <t>UDDS 2</t>
  </si>
  <si>
    <t>US06  1</t>
  </si>
  <si>
    <t xml:space="preserve">2 x U+U+H+US06 = </t>
  </si>
  <si>
    <t>SSS + WOT</t>
  </si>
  <si>
    <t xml:space="preserve">Wh to deplete in Middle SS = </t>
  </si>
  <si>
    <t xml:space="preserve">  for 10% left over</t>
  </si>
  <si>
    <t xml:space="preserve">Estimated Miles at 55mph = </t>
  </si>
  <si>
    <t>Cursor A Drive_Trace_Schedule[mph]</t>
  </si>
  <si>
    <t>Cursor B Drive_Trace_Schedule[mph]</t>
  </si>
  <si>
    <t>Model Year</t>
  </si>
  <si>
    <t>Unlock</t>
  </si>
  <si>
    <t>open door</t>
  </si>
  <si>
    <t>close door</t>
  </si>
  <si>
    <t>Ramp heat off</t>
  </si>
  <si>
    <t xml:space="preserve">mirror </t>
  </si>
  <si>
    <t>door lock/unlock x2</t>
  </si>
  <si>
    <t xml:space="preserve"> PF window down/up hold</t>
  </si>
  <si>
    <t>radio off</t>
  </si>
  <si>
    <t>wipers int</t>
  </si>
  <si>
    <t>wipers max</t>
  </si>
  <si>
    <t>rear wiper</t>
  </si>
  <si>
    <t>full off</t>
  </si>
  <si>
    <t>door open and close</t>
  </si>
  <si>
    <t>40F</t>
  </si>
  <si>
    <t>J1634</t>
  </si>
  <si>
    <t>MILES</t>
  </si>
  <si>
    <t>seconds</t>
  </si>
  <si>
    <t>Time</t>
  </si>
  <si>
    <t>SSS to US06 Transition time for pasting to test file.</t>
  </si>
  <si>
    <t>Speed</t>
  </si>
  <si>
    <t>Phase #</t>
  </si>
  <si>
    <t>Grade</t>
  </si>
  <si>
    <t>Comments</t>
  </si>
  <si>
    <t>Use a "Copy" and "Paste Values" to move this section into the SSS+ US06 test file</t>
  </si>
  <si>
    <t>mph</t>
  </si>
  <si>
    <t>95 MAX</t>
  </si>
  <si>
    <t>20F No Heat</t>
  </si>
  <si>
    <t>Temp</t>
  </si>
  <si>
    <t>Range (mi)</t>
  </si>
  <si>
    <t>UDDS #1</t>
  </si>
  <si>
    <t>Energy Consumption</t>
  </si>
  <si>
    <t>UDDS #2</t>
  </si>
  <si>
    <t>UDDS #3</t>
  </si>
  <si>
    <t>UDDS #4</t>
  </si>
  <si>
    <t>HWY #1</t>
  </si>
  <si>
    <t>HWY #2</t>
  </si>
  <si>
    <t>US06 #1</t>
  </si>
  <si>
    <t>US06 #2</t>
  </si>
  <si>
    <t>Charge information</t>
  </si>
  <si>
    <t>DC Wh/mi</t>
  </si>
  <si>
    <t>0F Ambient with 72F Cabin</t>
  </si>
  <si>
    <t>20F Ambient with 72F Cabin</t>
  </si>
  <si>
    <t>95F Ambient with 72F Cabin</t>
  </si>
  <si>
    <t>FRE (Full recharge nrj)</t>
  </si>
  <si>
    <t>J1634 MCT Multi cycle test calculations</t>
  </si>
  <si>
    <t>HWY#1</t>
  </si>
  <si>
    <t>K (scaling factor)</t>
  </si>
  <si>
    <t>K_udds1</t>
  </si>
  <si>
    <t>K-Uddsn</t>
  </si>
  <si>
    <t>Rcycle</t>
  </si>
  <si>
    <t>Eacccycle</t>
  </si>
  <si>
    <t>UBE</t>
  </si>
  <si>
    <t>ch1</t>
  </si>
  <si>
    <t>US06#1</t>
  </si>
  <si>
    <t>AC Wh/mi</t>
  </si>
  <si>
    <t>RAF1</t>
  </si>
  <si>
    <t>mi</t>
  </si>
  <si>
    <t>Range [mi]</t>
  </si>
  <si>
    <t>Actual Data</t>
  </si>
  <si>
    <t>72F Charge</t>
  </si>
  <si>
    <t>Energy Consumption (DC Wh/mi)</t>
  </si>
  <si>
    <t>Energy Consumption (AC Wh/mi)</t>
  </si>
  <si>
    <t xml:space="preserve"> (DC Wh/mi)</t>
  </si>
  <si>
    <t xml:space="preserve"> (AC Wh/mi)</t>
  </si>
  <si>
    <t>Test Cell RH [%]</t>
  </si>
  <si>
    <t>Test Cell Baro [in/Hg]</t>
  </si>
  <si>
    <t>Cycle Distance [mi]</t>
  </si>
  <si>
    <t>Updated</t>
  </si>
  <si>
    <t>Soak temperature</t>
  </si>
  <si>
    <t>Solar lamps [W/m2]</t>
  </si>
  <si>
    <t>Special test notes</t>
  </si>
  <si>
    <t>Open</t>
  </si>
  <si>
    <t>Original</t>
  </si>
  <si>
    <t>95°F</t>
  </si>
  <si>
    <t>HVAC to 72F</t>
  </si>
  <si>
    <t>Steady State Speed depletion (1bag) + US06 (2 Bag)</t>
  </si>
  <si>
    <t>Start US06</t>
  </si>
  <si>
    <t>APRF Test Vehicle</t>
  </si>
  <si>
    <t>Total Recharge Energy</t>
  </si>
  <si>
    <t>AC kwh</t>
  </si>
  <si>
    <t>AVTE Reporting from Dynamometer Testing</t>
  </si>
  <si>
    <t>Cell Color Key:</t>
  </si>
  <si>
    <t xml:space="preserve">Data from EPA website: </t>
  </si>
  <si>
    <t>Sheet</t>
  </si>
  <si>
    <t>Print date</t>
  </si>
  <si>
    <t>VIN #</t>
  </si>
  <si>
    <t>All Other =&gt; Legibility Only</t>
  </si>
  <si>
    <t>Vehicle / Dyno Setup</t>
  </si>
  <si>
    <t>Dyno setup =</t>
  </si>
  <si>
    <t>4WD</t>
  </si>
  <si>
    <t>Used For Plotting Comparison --&gt;</t>
  </si>
  <si>
    <t>Hioki 4 channel</t>
  </si>
  <si>
    <t>Speed [mph]</t>
  </si>
  <si>
    <t>AVTE Power [kW]</t>
  </si>
  <si>
    <t>Channel 7</t>
  </si>
  <si>
    <t xml:space="preserve">Channel 8 </t>
  </si>
  <si>
    <t>Analog</t>
  </si>
  <si>
    <t xml:space="preserve">Tire size </t>
  </si>
  <si>
    <t>Dyno Speed [mph]</t>
  </si>
  <si>
    <t>Wheel Speed [rpm]</t>
  </si>
  <si>
    <t>CAN signals (All listed)</t>
  </si>
  <si>
    <t xml:space="preserve">Test # </t>
  </si>
  <si>
    <t>APRF 4WD - 371</t>
  </si>
  <si>
    <t xml:space="preserve">Calculated Duration at 65 = </t>
  </si>
  <si>
    <t xml:space="preserve">End of 65 mph section with start @ 25s = </t>
  </si>
  <si>
    <t>End of 65</t>
  </si>
  <si>
    <t>20°F</t>
  </si>
  <si>
    <t xml:space="preserve">Estimated Miles at 65mph = </t>
  </si>
  <si>
    <t>Passing Manuever BEV</t>
  </si>
  <si>
    <t>72°F</t>
  </si>
  <si>
    <t>Power Cycle Mapping</t>
  </si>
  <si>
    <t>with stable regen limit</t>
  </si>
  <si>
    <t>Steady State Speed [mph]</t>
  </si>
  <si>
    <t>65mph SSS</t>
  </si>
  <si>
    <t>SS@65mph#2 (until depleted)</t>
  </si>
  <si>
    <t>If necessary based on J1634 calculations 65mph</t>
  </si>
  <si>
    <t>Click here for a link to the No-Soak MCT 55-65mph &amp; US06 test folder</t>
  </si>
  <si>
    <t>UDDS#1 (2bag) + HWY #1 (1bag) UDDS#2 (2bag) + US06 #1 (2 bag)</t>
  </si>
  <si>
    <t xml:space="preserve">UDDS#3 (2bag) + HWY#2 (1bag) UDDS#4 (2bag) </t>
  </si>
  <si>
    <t xml:space="preserve">UDDS cold start* </t>
  </si>
  <si>
    <t>AVTE Coast Down Coeff</t>
  </si>
  <si>
    <t>HWYx2 (2 bag) + coast down</t>
  </si>
  <si>
    <t xml:space="preserve">UCS+UHSx3+Hx2+USx2 = </t>
  </si>
  <si>
    <t>Gear</t>
  </si>
  <si>
    <t xml:space="preserve">  for 9.75% left over</t>
  </si>
  <si>
    <t>cold</t>
  </si>
  <si>
    <t>Solar lights 'ON' 30 minutes prior to first test, HVAC-AUTO-72°F</t>
  </si>
  <si>
    <t>Mount vehicle in FWD or 4WD</t>
  </si>
  <si>
    <t>HWY#2</t>
  </si>
  <si>
    <t>Test ID:</t>
  </si>
  <si>
    <t>72F Recharge Allocation Factor</t>
  </si>
  <si>
    <t>Recharge Allocation Factor</t>
  </si>
  <si>
    <t>hold for dc dc stable 12V batt charge</t>
  </si>
  <si>
    <t>Test Cell Temp [C]</t>
  </si>
  <si>
    <t>Test ID [#]</t>
  </si>
  <si>
    <t>Charge Data</t>
  </si>
  <si>
    <t>Channel check out (see TestInoIstru tab) - drive some (65mph for 5-10 min) before starting the HWYx2+coast</t>
  </si>
  <si>
    <t>0°F</t>
  </si>
  <si>
    <t>ADFE Test Number</t>
  </si>
  <si>
    <t>ADFE Total Road Load HP</t>
  </si>
  <si>
    <t>ADFE Equiv. Test Weight (lbs.)</t>
  </si>
  <si>
    <t>ADFE N/V Ratio</t>
  </si>
  <si>
    <t>Enable temp at next test mode (once charge is complete)</t>
  </si>
  <si>
    <t>Charge in the afternoon at 0°F + record charge (for capacity)</t>
  </si>
  <si>
    <t>MK10/30/15</t>
  </si>
  <si>
    <t>Wheel RPM Test</t>
  </si>
  <si>
    <t>x</t>
  </si>
  <si>
    <t>Passing Maneuvers 0, 3, 6% grade</t>
  </si>
  <si>
    <t>hot</t>
  </si>
  <si>
    <t>approx motor speed</t>
  </si>
  <si>
    <t>0F</t>
  </si>
  <si>
    <t>Increase over 72F</t>
  </si>
  <si>
    <t xml:space="preserve">95F </t>
  </si>
  <si>
    <t>Starting Mileage</t>
  </si>
  <si>
    <t>Calculated using channel 1 --&gt; 500 A clamp</t>
  </si>
  <si>
    <t>AC Wh/mi Increase with respect to 72F UDDS</t>
  </si>
  <si>
    <t>% of Range with respect 72F</t>
  </si>
  <si>
    <t># of HS cycles</t>
  </si>
  <si>
    <t>Date</t>
  </si>
  <si>
    <t>L1 Recharge Energy</t>
  </si>
  <si>
    <t>L2 Recharge Energy</t>
  </si>
  <si>
    <t>Test Name</t>
  </si>
  <si>
    <t>Vehicle Name</t>
  </si>
  <si>
    <t>BEV</t>
  </si>
  <si>
    <t xml:space="preserve">Charge Level </t>
  </si>
  <si>
    <t>Charger Type</t>
  </si>
  <si>
    <t>Cell Temp [C]</t>
  </si>
  <si>
    <t>Prior Test Temp [C]</t>
  </si>
  <si>
    <t xml:space="preserve">A/C Compressor - Heat Pump </t>
  </si>
  <si>
    <t>PTC Heater</t>
  </si>
  <si>
    <t>DCDC in (estimate)</t>
  </si>
  <si>
    <t>Off</t>
  </si>
  <si>
    <t>DT-Inertia Work Ratio Rating</t>
  </si>
  <si>
    <t>DT-Absolute Speed Change Ratg</t>
  </si>
  <si>
    <t>DT-Energy Economy Rating</t>
  </si>
  <si>
    <t>https://www.epa.gov/compliance-and-fuel-economy-data/data-cars-used-testing-fuel-economy</t>
  </si>
  <si>
    <t>robot</t>
  </si>
  <si>
    <t xml:space="preserve">Charge to 'Full' </t>
  </si>
  <si>
    <t>Level 1</t>
  </si>
  <si>
    <t>WOT'sx10 (or until derating). Accel to 80, decel at varying braking levels.</t>
  </si>
  <si>
    <t>Day 1 - J1634 MCT Combo Shortcut Test, 72°F</t>
  </si>
  <si>
    <t>AC Compressor</t>
  </si>
  <si>
    <t>AMTL- 4WD - ANL Bldg 371</t>
  </si>
  <si>
    <t>NHTSA 2020 Vehicle Technology Assessment</t>
  </si>
  <si>
    <t>UDDS#1 (2bag) + HWY #1 (1bag) + UDDS#2 (2bag) + US06 #1 (2 bag)</t>
  </si>
  <si>
    <t xml:space="preserve">UDDS#3 (2bag) + HWY#2 (1bag) + UDDS#4 (2bag) </t>
  </si>
  <si>
    <t>Dyno Speed</t>
  </si>
  <si>
    <t>Dyno Tractive Force</t>
  </si>
  <si>
    <t>Dyno Load Cell</t>
  </si>
  <si>
    <t>Dyno Speed- Front</t>
  </si>
  <si>
    <t>Dyno Tractive Force- Front</t>
  </si>
  <si>
    <t>Dyno Load Cell- Front</t>
  </si>
  <si>
    <t>Dyno Speed- Rear</t>
  </si>
  <si>
    <t>Dyno Tractive Force- Rear</t>
  </si>
  <si>
    <t>Dyno Load Cell- Rear</t>
  </si>
  <si>
    <t>Cell Temp</t>
  </si>
  <si>
    <t>Cell RH</t>
  </si>
  <si>
    <t>Drive Trace Schedule</t>
  </si>
  <si>
    <t>Exhaust Bag</t>
  </si>
  <si>
    <t>Ampactity (A)</t>
  </si>
  <si>
    <t>Additional Instrumentation</t>
  </si>
  <si>
    <t>Repeat cycles until cycle thermal stability</t>
  </si>
  <si>
    <t>WLTP x 2</t>
  </si>
  <si>
    <t>Scaling</t>
  </si>
  <si>
    <t>Notes</t>
  </si>
  <si>
    <t>Analog Hioki</t>
  </si>
  <si>
    <t>HV Battery Voltage</t>
  </si>
  <si>
    <t>HV Battery Current High</t>
  </si>
  <si>
    <t>HV Battery Current Low</t>
  </si>
  <si>
    <t>HV Battery Power High</t>
  </si>
  <si>
    <t>HV Battery Power Low</t>
  </si>
  <si>
    <t>Motor Front Power</t>
  </si>
  <si>
    <t>Motor Rear Power</t>
  </si>
  <si>
    <t>Motor Front Current</t>
  </si>
  <si>
    <t>Motor Rear Current</t>
  </si>
  <si>
    <t>DCDC HV current</t>
  </si>
  <si>
    <t>DCDC LV current</t>
  </si>
  <si>
    <t>DCDC LV power</t>
  </si>
  <si>
    <t>PTC Heater current</t>
  </si>
  <si>
    <t>AC compressor current</t>
  </si>
  <si>
    <t>DCDC HV power</t>
  </si>
  <si>
    <t>Channel match</t>
  </si>
  <si>
    <t>Signals listed in vspy</t>
  </si>
  <si>
    <t>Radiator outlet temp</t>
  </si>
  <si>
    <t>Cabin Interior Temp (headrest passenger)</t>
  </si>
  <si>
    <t>Cabin Vent Temp (Driver middle)</t>
  </si>
  <si>
    <t>Cabin footwell temp (Driver middle)</t>
  </si>
  <si>
    <t>Sets</t>
  </si>
  <si>
    <t>Hioki ref</t>
  </si>
  <si>
    <t>DCDC LV Voltage</t>
  </si>
  <si>
    <t>V</t>
  </si>
  <si>
    <t>16625-14039</t>
  </si>
  <si>
    <t>Very fast ramp rate to 100% pedal</t>
  </si>
  <si>
    <t>Standard</t>
  </si>
  <si>
    <t>##INFO(Test Cycle File Name)</t>
  </si>
  <si>
    <t>##INFO(Test Start Time)</t>
  </si>
  <si>
    <t>##INFO(Test Start Comments)</t>
  </si>
  <si>
    <t>##INFO(Test End Comments)</t>
  </si>
  <si>
    <t>##DATAMEAN(Exhaust_Bag, =$$,Cell_Temp[C],)</t>
  </si>
  <si>
    <t>##DATAMEAN(Exhaust_Bag, =$$,Cell_RH[%],)</t>
  </si>
  <si>
    <t>##DATAMEAN(Exhaust_Bag, =$$,Cell_Press[inHg],)</t>
  </si>
  <si>
    <t>##DATAMEAN(Exhaust_Bag, =$$,Tire_Front_Temp[C],)</t>
  </si>
  <si>
    <t>##INFO(Dyno Test Weight [lb])</t>
  </si>
  <si>
    <t>##INFO(Dyno Target A)</t>
  </si>
  <si>
    <t>##INFO(Dyno Target B)</t>
  </si>
  <si>
    <t>##INFO(Dyno Target C)</t>
  </si>
  <si>
    <t>##PHASE($$, Phase Distance [mi])</t>
  </si>
  <si>
    <t>##DATA(Exhaust_Bag, =$$, WP1)</t>
  </si>
  <si>
    <t>##DATA(Exhaust_Bag, =$$-, WP1)</t>
  </si>
  <si>
    <t>##DATA(Exhaust_Bag, =$$, WP2)</t>
  </si>
  <si>
    <t>##DATA(Exhaust_Bag, =$$-, WP2)</t>
  </si>
  <si>
    <t>##DATA(Exhaust_Bag, =$$, WP3)</t>
  </si>
  <si>
    <t>##DATA(Exhaust_Bag, =$$-, WP3)</t>
  </si>
  <si>
    <t>##DATA(Exhaust_Bag, =$$, WP4)</t>
  </si>
  <si>
    <t>##DATA(Exhaust_Bag, =$$-, WP4)</t>
  </si>
  <si>
    <t>##INFO(Test Driver)</t>
  </si>
  <si>
    <t>##PHASE($$,J2951 APCtime,)</t>
  </si>
  <si>
    <t>##PHASE($$,J2951 ASCR,)</t>
  </si>
  <si>
    <t>##PHASE($$,J2951 ASC_d,)</t>
  </si>
  <si>
    <t>##PHASE($$,J2951 ASC_t,)</t>
  </si>
  <si>
    <t>##PHASE($$,J2951 CE_d,)</t>
  </si>
  <si>
    <t>##PHASE($$,J2951 CE_t,)</t>
  </si>
  <si>
    <t>##PHASE($$,J2951 DR,)</t>
  </si>
  <si>
    <t>##PHASE($$,J2951 D_d,)</t>
  </si>
  <si>
    <t>##PHASE($$,J2951 D_t,)</t>
  </si>
  <si>
    <t>##PHASE($$,J2951 EER,)</t>
  </si>
  <si>
    <t>##PHASE($$,J2951 ER,)</t>
  </si>
  <si>
    <t>##PHASE($$,J2951 IWR,)</t>
  </si>
  <si>
    <t>Split Phase Calculation</t>
  </si>
  <si>
    <t>Combined Calculation</t>
  </si>
  <si>
    <t>Phase Number</t>
  </si>
  <si>
    <t>Test Time</t>
  </si>
  <si>
    <t>Mean Front Tire Temperature [C]</t>
  </si>
  <si>
    <t>Start SOC</t>
  </si>
  <si>
    <t>End SOC</t>
  </si>
  <si>
    <t xml:space="preserve">HV Batt (500A)
Start 
WP1 [Wh]
</t>
  </si>
  <si>
    <t>HV Batt Out (500A) End
WP1 [Wh]</t>
  </si>
  <si>
    <t>Test Driver</t>
  </si>
  <si>
    <t>APCtime</t>
  </si>
  <si>
    <t>ASCR</t>
  </si>
  <si>
    <t>ASC_d</t>
  </si>
  <si>
    <t>ASC_t</t>
  </si>
  <si>
    <t>CE_d</t>
  </si>
  <si>
    <t>CE_t</t>
  </si>
  <si>
    <t>DR</t>
  </si>
  <si>
    <t>D_d</t>
  </si>
  <si>
    <t>D_t</t>
  </si>
  <si>
    <t>EER</t>
  </si>
  <si>
    <t>ER</t>
  </si>
  <si>
    <t>IWR</t>
  </si>
  <si>
    <t>Day 0 Coastdowns, Channel Check and Prep</t>
  </si>
  <si>
    <t>Delta SOC</t>
  </si>
  <si>
    <t>240V AC Charge- Pre EVSE (80A)
Δ [Wh]</t>
  </si>
  <si>
    <t>Regen charge limit</t>
  </si>
  <si>
    <t>no</t>
  </si>
  <si>
    <t>Charge Efficiency</t>
  </si>
  <si>
    <t>Preconditioning test- Cabin and Powertrain Warmup testing</t>
  </si>
  <si>
    <t>SOC down to ~ 80%</t>
  </si>
  <si>
    <t>2020 Tesla Model 3 LR_AWD</t>
  </si>
  <si>
    <t>Tesla v2 Wall Connector</t>
  </si>
  <si>
    <t>Charge AC Wh- post EVSE</t>
  </si>
  <si>
    <t>Charge AC Wh- pre EVSE</t>
  </si>
  <si>
    <t>DIF energy</t>
  </si>
  <si>
    <t>DIR energy</t>
  </si>
  <si>
    <t>DCDC Out</t>
  </si>
  <si>
    <t>DCDC In</t>
  </si>
  <si>
    <t>Charge DC Wh- Batt</t>
  </si>
  <si>
    <t>Prior Test DC Wh</t>
  </si>
  <si>
    <t>EVSE Efficiency</t>
  </si>
  <si>
    <t>Charger Efficiency</t>
  </si>
  <si>
    <t>J1634 Recharge Allocation Factor (RAF)</t>
  </si>
  <si>
    <t>12V Batt</t>
  </si>
  <si>
    <t>Tesla L1 EVSE</t>
  </si>
  <si>
    <t>Partial CAN data- Vspy crash</t>
  </si>
  <si>
    <t>Clamp eff</t>
  </si>
  <si>
    <t xml:space="preserve">Level 1- </t>
  </si>
  <si>
    <t>SMCT- UDDS UDDS HWY US06 HWY UDDS UDDS - 12BAG</t>
  </si>
  <si>
    <t>2019 Nissan Leaf E-Plus</t>
  </si>
  <si>
    <t>Level 2</t>
  </si>
  <si>
    <t>PDM Net</t>
  </si>
  <si>
    <t>12V DCDC out</t>
  </si>
  <si>
    <t>12V batt ground</t>
  </si>
  <si>
    <t>1N4BZ1CP5KC318216</t>
  </si>
  <si>
    <t>Nissan</t>
  </si>
  <si>
    <t>NSX</t>
  </si>
  <si>
    <t>NISSAN</t>
  </si>
  <si>
    <t>LEAF</t>
  </si>
  <si>
    <t>KWB115</t>
  </si>
  <si>
    <t>JNSXV0000TLA</t>
  </si>
  <si>
    <t>Car</t>
  </si>
  <si>
    <t>EVAA6</t>
  </si>
  <si>
    <t>OT</t>
  </si>
  <si>
    <t>Other</t>
  </si>
  <si>
    <t>Y</t>
  </si>
  <si>
    <t>F</t>
  </si>
  <si>
    <t>2-Wheel Drive, Front</t>
  </si>
  <si>
    <t>1</t>
  </si>
  <si>
    <t>No gear ratio &lt; 1</t>
  </si>
  <si>
    <t>Not eqipped</t>
  </si>
  <si>
    <t>JNSX10050513</t>
  </si>
  <si>
    <t>MFR</t>
  </si>
  <si>
    <t/>
  </si>
  <si>
    <t>84</t>
  </si>
  <si>
    <t>Charge Depleting Highway</t>
  </si>
  <si>
    <t>62</t>
  </si>
  <si>
    <t>Electricity</t>
  </si>
  <si>
    <t>CD</t>
  </si>
  <si>
    <t>MPG</t>
  </si>
  <si>
    <t>N</t>
  </si>
  <si>
    <t>H</t>
  </si>
  <si>
    <t>Harmonic averaging (1/(Sum(i=1 to n) (FET(i) / WT(i)))</t>
  </si>
  <si>
    <t>JNSX10050525</t>
  </si>
  <si>
    <t>81</t>
  </si>
  <si>
    <t>Charge Depleting UDDS</t>
  </si>
  <si>
    <t>E</t>
  </si>
  <si>
    <t>JNSX10050514</t>
  </si>
  <si>
    <t>JNSX10050515</t>
  </si>
  <si>
    <t>JNSX10050516</t>
  </si>
  <si>
    <t>JNSX10050517</t>
  </si>
  <si>
    <t>JNSX10050519</t>
  </si>
  <si>
    <t>JNSX10050520</t>
  </si>
  <si>
    <t>KWC511</t>
  </si>
  <si>
    <t>KNSXV0000TS3</t>
  </si>
  <si>
    <t>EVAA7</t>
  </si>
  <si>
    <t>KNSX10056715</t>
  </si>
  <si>
    <t>KNSX10056716</t>
  </si>
  <si>
    <t>KNSX10056717</t>
  </si>
  <si>
    <t>KNSX10056718</t>
  </si>
  <si>
    <t>LEAF SV/SL</t>
  </si>
  <si>
    <t>KNSX10057205</t>
  </si>
  <si>
    <t>KNSX10057206</t>
  </si>
  <si>
    <t>KNSX10056743</t>
  </si>
  <si>
    <t>KNSX10056744</t>
  </si>
  <si>
    <t>EPA-Leaf</t>
  </si>
  <si>
    <t>EPA-Tesla M3</t>
  </si>
  <si>
    <t>X</t>
  </si>
  <si>
    <t>Day 2 - J1634 MCT Combo Shortcut Test, 72°F Repeat 1</t>
  </si>
  <si>
    <t xml:space="preserve">Day 0 - Setup </t>
  </si>
  <si>
    <t>Accessory load test</t>
  </si>
  <si>
    <t>Day 3 -72F-Performance Testing</t>
  </si>
  <si>
    <t>Day 5 - J1634- Balloted new version</t>
  </si>
  <si>
    <t>SC03x3: 1st one prep, second normal, 3rd ECO MODE</t>
  </si>
  <si>
    <t>ECO Mode on third</t>
  </si>
  <si>
    <t>ECO MODE On</t>
  </si>
  <si>
    <t>*~no battery storage above 97.6 SOC</t>
  </si>
  <si>
    <t>SSS 0-80-0 0%,3%,6% grade, 60 sec hold</t>
  </si>
  <si>
    <t>skip 30s hold test</t>
  </si>
  <si>
    <t>240VAC Charge</t>
  </si>
  <si>
    <t>AC Comp Pos Leg</t>
  </si>
  <si>
    <t>AC Comp Neg Leg</t>
  </si>
  <si>
    <t>PTC heater Pos Leg</t>
  </si>
  <si>
    <t>PTC heater Neg</t>
  </si>
  <si>
    <t>UDDS 1 , 505</t>
  </si>
  <si>
    <t xml:space="preserve">UDDS 1 </t>
  </si>
  <si>
    <t>UDDS 1 , Combined</t>
  </si>
  <si>
    <t>HWY 1</t>
  </si>
  <si>
    <t>UDDS 2, 505</t>
  </si>
  <si>
    <t>UDDS 2, combined</t>
  </si>
  <si>
    <t>US06 1, city</t>
  </si>
  <si>
    <t>US06 1, hwy</t>
  </si>
  <si>
    <t>US06 1, combined</t>
  </si>
  <si>
    <t>SSS 65mph depletion</t>
  </si>
  <si>
    <t>US06 2, city</t>
  </si>
  <si>
    <t>US06 2, hwy</t>
  </si>
  <si>
    <t>US06 2, combined</t>
  </si>
  <si>
    <t>UDDS 3, 505</t>
  </si>
  <si>
    <t>UDDS 3, combined</t>
  </si>
  <si>
    <t>UDDS 4, 505</t>
  </si>
  <si>
    <t>UDDS 4</t>
  </si>
  <si>
    <t>UDDS 4, combined</t>
  </si>
  <si>
    <t>Charge L2 23C</t>
  </si>
  <si>
    <t>HWYx3 + coastdowns</t>
  </si>
  <si>
    <t>UDDS x8</t>
  </si>
  <si>
    <t>12V DCDC out (200A) 
 Start WP2 [Wh]</t>
  </si>
  <si>
    <t>12V DCDC out (200A) 
 End WP2 [Wh]</t>
  </si>
  <si>
    <t>240VAC Charge (40A) End WP3 [Wh]</t>
  </si>
  <si>
    <t>240VAC Charge (40A) Start WP3 [Wh]</t>
  </si>
  <si>
    <t>12V batt ground (80A) 
Start WP4 [Wh]</t>
  </si>
  <si>
    <t>12V batt ground (80A) 
End WP4 [Wh]</t>
  </si>
  <si>
    <t>##DATA(Exhaust_Bag, =$$, PTC_WP_CALC__Wh)</t>
  </si>
  <si>
    <t>##DATA(Exhaust_Bag, =$$-, PTC_WP_CALC__Wh)</t>
  </si>
  <si>
    <t>PTC Heater Start WP7, WP8 [Wh]</t>
  </si>
  <si>
    <t>PTC Heater End WP7, WP8 [Wh]</t>
  </si>
  <si>
    <t>AC Comp Start (20A) WP5, WP6 [Wh]</t>
  </si>
  <si>
    <t>AC Comp End (20A) WP5, WP6 [Wh]</t>
  </si>
  <si>
    <t>##DATA(Exhaust_Bag, =$$, AC_Comp_WP_CALC__Wh)</t>
  </si>
  <si>
    <t>##DATA(Exhaust_Bag, =$$-, AC_Comp_WP_CALC__Wh)</t>
  </si>
  <si>
    <t>12V DCDC (200A)
Δ WP2 [Wh]</t>
  </si>
  <si>
    <t>12V DCDC (200A) Δ WP2 [Wh/mi]</t>
  </si>
  <si>
    <t>12V Batt Ground (80A)
Δ WP4 [Wh]</t>
  </si>
  <si>
    <t>12V Batt Ground (80A) Δ WP4 [Wh/mi]</t>
  </si>
  <si>
    <t>PTC Heater 
Δ WP7&amp;8 [Wh]</t>
  </si>
  <si>
    <t>PTC Heater Δ WP7&amp;8 [Wh/mi]</t>
  </si>
  <si>
    <t>AC Comp (20A)
Δ WP5&amp;6 [Wh]</t>
  </si>
  <si>
    <t>AC Comp (20A) Δ WP5*6 [Wh/mi]</t>
  </si>
  <si>
    <t>HV Batt (500A) WP1
Δ [Wh]</t>
  </si>
  <si>
    <t>HV Batt (500A) Energy consumption ΔWP1
[Wh/mi]</t>
  </si>
  <si>
    <t>##DATA(Exhaust_Bag, =$$-, HVBatt_SOC_HEV__per)</t>
  </si>
  <si>
    <t>##DATA(Exhaust_Bag, =$$, HVBatt_SOC_HEV__per)</t>
  </si>
  <si>
    <t>HWYx2 + coastdowns</t>
  </si>
  <si>
    <t>UDDS x4</t>
  </si>
  <si>
    <t>HWW x4</t>
  </si>
  <si>
    <t>25% grade test</t>
  </si>
  <si>
    <t>Stairs up down, 0%, 3%, 6% grade</t>
  </si>
  <si>
    <t xml:space="preserve">Tip Ins 35-55, 55-65, 35-70, 55-80 x 3 </t>
  </si>
  <si>
    <t>Power Cycle Ramps8-Opt5-Filtered</t>
  </si>
  <si>
    <t>WOT x 10</t>
  </si>
  <si>
    <t>Z:\All Daq\Drive Cycles\Drive Cycle Archive\HWY CYCLES\HWYx2 2bag w_coastdown time 3600 .txt</t>
  </si>
  <si>
    <t>07/27/20, 09:43:42 AM</t>
  </si>
  <si>
    <t>HWYx3, 3 bag with coastdowntime to esablish on dyno vehicle losses and dyno sets</t>
  </si>
  <si>
    <t>ok</t>
  </si>
  <si>
    <t>Robot1</t>
  </si>
  <si>
    <t>Z:\All Daq\Drive Cycles\J1634 Combined\UDDSx8 8Bag 5spd 10982.txt</t>
  </si>
  <si>
    <t>07/27/20, 10:48:13 AM</t>
  </si>
  <si>
    <t>UDDSx8, 8 bag, stop after 4 cycles</t>
  </si>
  <si>
    <t>stopped due to E-Pedal fault, let robot drive second UDDS as a comparison</t>
  </si>
  <si>
    <t>NaN</t>
  </si>
  <si>
    <t>Z:\All Daq\Drive Cycles\Drive Cycle Archive\HWY CYCLES\HWYx3 3bag w_coastdown time 3600 .txt</t>
  </si>
  <si>
    <t>07/29/20, 08:35:18 AM</t>
  </si>
  <si>
    <t>HWYx3, 3 bag with coastdown time to determine losses with vehicle in Neutral but not in READY (IG ON only). VDC turned OFF within 10 seconds of READY</t>
  </si>
  <si>
    <t>ok, test ended with 2 coastdowns to finish</t>
  </si>
  <si>
    <t>##DATA(Exhaust_Bag, =$$,HVBatt_SOC_HEV__per)</t>
  </si>
  <si>
    <t>##DATA(Exhaust_Bag, =$$-,HVBatt_SOC_HEV__per)</t>
  </si>
  <si>
    <t>Z:\All Daq\Drive Cycles\Drive Cycle Archive\UDDS CYCLES\UDDSx4 4Bag 5spd 5492.txt</t>
  </si>
  <si>
    <t>07/29/20, 09:51:30 AM</t>
  </si>
  <si>
    <t>UDDSx4, 4 bag, to verify that energy consumption seems appropriate and test for faults during cycles, VDC turned OFF within 10 seconds of vehicle  READY, E-PEDAL ON</t>
  </si>
  <si>
    <t>stopped test due to fault for g-meter</t>
  </si>
  <si>
    <t>Z:\All Daq\Drive Cycles\J1634 Combined\HWYx10 10Bags 15SecSoak 5spd 7786.txt</t>
  </si>
  <si>
    <t>07/29/20, 12:56:28 PM</t>
  </si>
  <si>
    <t>HWYx10, 10 bag, only run 4 cycles, E-PEDAL ON</t>
  </si>
  <si>
    <t>07/29/20, 01:51:27 PM</t>
  </si>
  <si>
    <t>HWYx10, 10 bag, only run 4 cycles, E-PEDAL OFF</t>
  </si>
  <si>
    <t>Z:\All Daq\Drive Cycles\J1634 Combined\65mph 1634 Capacity 3 hour 10800.txt</t>
  </si>
  <si>
    <t>07/29/20, 02:51:40 PM</t>
  </si>
  <si>
    <t>65MPH SSS until can't hold 90% of 65MPH, E-PEDAL ON</t>
  </si>
  <si>
    <t xml:space="preserve">ok, contactors opened at 59 MPH, </t>
  </si>
  <si>
    <t>Z:\All Daq\Drive Cycles\Blank Bags\Blank 1 Bag 50400 (14 hours).txt</t>
  </si>
  <si>
    <t>07/29/20, 03:29:07 PM</t>
  </si>
  <si>
    <t>blank 1 bag 14 hours, charge from deplete</t>
  </si>
  <si>
    <t>XX</t>
  </si>
  <si>
    <t>07/30/20, 03:29:06 PM</t>
  </si>
  <si>
    <t>HWYx2, 2 bag with coastdown time to establish vehicle losses in 2WD (FWD) mode, Using EPA dyno sets to start</t>
  </si>
  <si>
    <t>ok, accepted new dyno sets which were slightly offset from EPS sets, 3 coastdowns all within 2% or 2#</t>
  </si>
  <si>
    <t>Z:\All Daq\Drive Cycles\J1634 Combined\UDDS-Split HWY UDDS-Split US06-Split ELECTRIC 7 Bag 4820.txt</t>
  </si>
  <si>
    <t>07/31/20, 08:25:07 AM</t>
  </si>
  <si>
    <t>J1634 MCT, FWD (2WD) mode, using MAINTENANCE MODE, E-PEDAL ON, Robot Driver, UDDS-HWY-UDDS-US06</t>
  </si>
  <si>
    <t>Z:\All Daq\Drive Cycles\J1634 Combined\SSS 65mph variable length.txt</t>
  </si>
  <si>
    <t>07/31/20, 09:52:56 AM</t>
  </si>
  <si>
    <t>J1634 MCT, FWD (2WD) mode, using MAINTENANCE MODE, E-PEDAL ON, Robot Driver, 65 MPH Middle Deplete</t>
  </si>
  <si>
    <t>Z:\All Daq\Drive Cycles\J1634 Combined\US06-Split UDDS-Split HWY UDDS-Split ELECTRIC 7 Bag 5328.txt</t>
  </si>
  <si>
    <t>07/31/20, 12:09:46 PM</t>
  </si>
  <si>
    <t>J1634 MCT, FWD (2WD) mode, using MAINTENANCE MODE, E-PEDAL ON, Robot Driver, US06-UDDS-HWY-UDDS</t>
  </si>
  <si>
    <t>Z:\All Daq\Drive Cycles\J1634 Combined\SSS 65mph 3600.txt</t>
  </si>
  <si>
    <t>07/31/20, 01:44:19 PM</t>
  </si>
  <si>
    <t>J1634 MCT, FWD (2WD) mode, using MAINTENANCE MODE, E-PEDAL ON, Robot Driver, 65 MPH SSS until deplete</t>
  </si>
  <si>
    <t>ok, contactors opend at 58.5MPH (90% of 65 MPH)</t>
  </si>
  <si>
    <t>Z:\All Daq\Drive Cycles\Blank Bags\Blank 1 Bag 46800 (13 hours).txt</t>
  </si>
  <si>
    <t>07/31/20, 02:11:32 PM</t>
  </si>
  <si>
    <t>J1634 MCT, charge to full using L2 charger after full MCT delplete, 46800 seconds (13 hours)</t>
  </si>
  <si>
    <t>08/03/20, 08:27:01 AM</t>
  </si>
  <si>
    <t>J1634 MCT, Repeat #1, using Maintenance Mode, E-Pedal ON, UDDS-HWY-UDDS-US06</t>
  </si>
  <si>
    <t>08/03/20, 09:54:09 AM</t>
  </si>
  <si>
    <t>J1634 MCT, Repeat #1, using Maintenance Mode, E-Pedal ON, 65 MPH Middel Deplete</t>
  </si>
  <si>
    <t>08/03/20, 12:10:09 PM</t>
  </si>
  <si>
    <t>08/03/20, 01:44:33 PM</t>
  </si>
  <si>
    <t>J1634 MCT, Repeat #1, using Maintenance Mode, E-Pedal ON, 65 MPH Final Deplete</t>
  </si>
  <si>
    <t>08/03/20, 02:17:09 PM</t>
  </si>
  <si>
    <t>J1634 MCT, Repeat #1, blank 1 bag charge charge to full, 13 hours</t>
  </si>
  <si>
    <t>Z:\All Daq\Drive Cycles\Blank Bags\Blank 1Bag 3600.txt</t>
  </si>
  <si>
    <t>08/04/20, 08:44:09 AM</t>
  </si>
  <si>
    <t>Blank 1 bag, Regen charge limit, motor vehicle in drive and monitor regen charge until it no longer takes regen</t>
  </si>
  <si>
    <t>ok, must run test with e-pedal off, e-pedal will try to hold vehicle at 0% accel position. Witnessed little to no regen at 30 and 40 MPH motoring speed for 20 minutes</t>
  </si>
  <si>
    <t>Inf</t>
  </si>
  <si>
    <t>Z:\All Daq\Drive Cycles\SS_Stairs and Tip-ins\stairs_up_down_80mph_60sec_ramp_3_bag x3 w_0_3_6pct grade_w55MPH_warmup_3652.txt</t>
  </si>
  <si>
    <t>08/04/20, 09:18:27 AM</t>
  </si>
  <si>
    <t>SSS 0-80-0, 1 minute hold, 0%, 3%, and 6% grade with 10 mi nute 55 MPH warmup</t>
  </si>
  <si>
    <t>Z:\All Daq\Drive Cycles\SS_Stairs and Tip-ins\TipIns 35-55 55-65 35-70 55-80 X3 w_55mph warmup 4bags 1162.txt</t>
  </si>
  <si>
    <t>08/04/20, 10:26:44 AM</t>
  </si>
  <si>
    <t>Passing manuevers at 0%, 3%, and 6% grade with 10 minute 55 MPH warmup</t>
  </si>
  <si>
    <t>Z:\All Daq\Drive Cycles\RampCycles\NewRamps8-0pt5-Filtered2s.txt</t>
  </si>
  <si>
    <t>08/04/20, 10:51:09 AM</t>
  </si>
  <si>
    <t>Power cycle ramps, E-Pedal ON</t>
  </si>
  <si>
    <t>08/04/20, 11:11:52 AM</t>
  </si>
  <si>
    <t xml:space="preserve">Blank 1 bag, WOTs X 10 or until derating, with E-Pedal ON </t>
  </si>
  <si>
    <t xml:space="preserve">Ran WOTs until Motor Temp CAN reached 125°C, drove at 50 MPH to cool </t>
  </si>
  <si>
    <t>Robot 1</t>
  </si>
  <si>
    <t>Z:\All Daq\Drive Cycles\SS_Stairs and Tip-ins\55MPH SSS 10 minute warmup with mapping time 7200.txt</t>
  </si>
  <si>
    <t>08/04/20, 11:38:15 AM</t>
  </si>
  <si>
    <t>25% grade test with 55MPH 10 minute warmup to stabilize</t>
  </si>
  <si>
    <t>ok, power peaked @ 144kW, stopped test when Motor Temp CAN rteched 130°C</t>
  </si>
  <si>
    <t>Day 00 Debugging</t>
  </si>
  <si>
    <t>Blank Bag shielding current test</t>
  </si>
  <si>
    <t>US06 x 10</t>
  </si>
  <si>
    <t>Day 4 - J1634 MCT Combo Shortcut Test, 72°F Repeat 2 + WLTPx2 US06x10</t>
  </si>
  <si>
    <t xml:space="preserve">WLTPx2 </t>
  </si>
  <si>
    <t>WLTPx2</t>
  </si>
  <si>
    <t xml:space="preserve">US06x2 </t>
  </si>
  <si>
    <t>US06x2</t>
  </si>
  <si>
    <t>1p</t>
  </si>
  <si>
    <t>2p</t>
  </si>
  <si>
    <t>c1+2p</t>
  </si>
  <si>
    <t>3p</t>
  </si>
  <si>
    <t>4p</t>
  </si>
  <si>
    <t>5p</t>
  </si>
  <si>
    <t>c4+5p</t>
  </si>
  <si>
    <t>s6p</t>
  </si>
  <si>
    <t>7p</t>
  </si>
  <si>
    <t>c6+7p</t>
  </si>
  <si>
    <t>6p</t>
  </si>
  <si>
    <t>8p</t>
  </si>
  <si>
    <t>9p</t>
  </si>
  <si>
    <t>10p</t>
  </si>
  <si>
    <t>72F with Climate Off</t>
  </si>
  <si>
    <r>
      <rPr>
        <b/>
        <sz val="11"/>
        <color theme="1"/>
        <rFont val="Calibri"/>
        <family val="2"/>
        <scheme val="minor"/>
      </rPr>
      <t xml:space="preserve">Energy Consumption </t>
    </r>
    <r>
      <rPr>
        <sz val="11"/>
        <color theme="1"/>
        <rFont val="Calibri"/>
        <family val="2"/>
        <scheme val="minor"/>
      </rPr>
      <t>(unadjusted, uncorrected)</t>
    </r>
  </si>
  <si>
    <t>08/05/20, 08:13:24 AM</t>
  </si>
  <si>
    <t xml:space="preserve">J1634 MCT first half UDDS-HWY-UDDS-US06, </t>
  </si>
  <si>
    <t>Z:\All Daq\Drive Cycles\Drive Cycle Archive\WLTP\WLTPv4x2 8bag no soak 3615.txt</t>
  </si>
  <si>
    <t>08/05/20, 09:44:13 AM</t>
  </si>
  <si>
    <t>WLTPx2, 8 bag</t>
  </si>
  <si>
    <t>Z:\All Daq\Drive Cycles\J1634 Combined\USO6x10 10 bag NoSoak 6001.txt</t>
  </si>
  <si>
    <t>08/05/20, 10:53:15 AM</t>
  </si>
  <si>
    <t>US06x10, 10 bag</t>
  </si>
  <si>
    <t>HWY 2</t>
  </si>
  <si>
    <t>SSS Depletion</t>
  </si>
  <si>
    <t>c3+4p</t>
  </si>
  <si>
    <t>c9+10p</t>
  </si>
  <si>
    <t>11p</t>
  </si>
  <si>
    <t>12p</t>
  </si>
  <si>
    <t>c11+12p</t>
  </si>
  <si>
    <t>Day 6-72F Mapping cycles</t>
  </si>
  <si>
    <t>Day 7 - J1634 MCT Combo Shortcut 95°F W/ Solar</t>
  </si>
  <si>
    <t>Day 8 - J1634 MCT Combo Shortcut 95°F  No Solar</t>
  </si>
  <si>
    <t>Day 9 - J1634 MCT Combo Shortcut Test, 20°F - no preconditioning (unplugged)</t>
  </si>
  <si>
    <t>Day 10 - J1634 MCT Combo Shortcut Test, 20°F w/ powertrain preconditioning</t>
  </si>
  <si>
    <t xml:space="preserve">Day 11 - J1634 MCT Combo Shortcut Test, 0°F </t>
  </si>
  <si>
    <t>s1p</t>
  </si>
  <si>
    <t>Z:\All Daq\Drive Cycles\J1634 Combined\SMCT\SMCT-UDDS - UDDS - HWY -US06 - HWY- UDDS - UDDS NOSOAK 12 Bag 7676.txt</t>
  </si>
  <si>
    <t>08/06/20, 08:04:21 AM</t>
  </si>
  <si>
    <t>J1634 SMCT Balloted New Version, UDDS-UDDS-HWY-US06-HWY-UDDS-UDDS, 12 bag-no soaks</t>
  </si>
  <si>
    <t>Z:\All Daq\Drive Cycles\J1634 Combined\65mph 1634 Capacity 4 hour 14400.txt</t>
  </si>
  <si>
    <t>08/06/20, 10:22:32 AM</t>
  </si>
  <si>
    <t>J1634 SMCT Balloted New Version, SSS 65MPH until deplete</t>
  </si>
  <si>
    <t>DC Wh/mi Increase with respect to 72F UDDS</t>
  </si>
  <si>
    <t>UDDS HS</t>
  </si>
  <si>
    <t>72F Full Discharge Test UBE</t>
  </si>
  <si>
    <t>Manufacturer - 2018</t>
  </si>
  <si>
    <t xml:space="preserve">Manufacturer - 2020 </t>
  </si>
  <si>
    <t>MCT 1</t>
  </si>
  <si>
    <t>MCT 2 - Headlight on/off</t>
  </si>
  <si>
    <t>95F w/ solar</t>
  </si>
  <si>
    <t>Energy(Wh)</t>
  </si>
  <si>
    <t>Distance (mi</t>
  </si>
  <si>
    <t>Ecdc_cyc</t>
  </si>
  <si>
    <t>%Dif 2018</t>
  </si>
  <si>
    <t>%Dif 2020</t>
  </si>
  <si>
    <t>UDDS1</t>
  </si>
  <si>
    <t>UDDS2</t>
  </si>
  <si>
    <t>UDDS3</t>
  </si>
  <si>
    <t>UDDS4</t>
  </si>
  <si>
    <t>HWY1</t>
  </si>
  <si>
    <t>HWY2</t>
  </si>
  <si>
    <t>Recharge Allocation Factors</t>
  </si>
  <si>
    <t>SS1+US06</t>
  </si>
  <si>
    <t>SS2</t>
  </si>
  <si>
    <t>Total</t>
  </si>
  <si>
    <t>AC Wh</t>
  </si>
  <si>
    <t>RAF</t>
  </si>
  <si>
    <t>2018 MFR</t>
  </si>
  <si>
    <t>2020 MFR</t>
  </si>
  <si>
    <t>20F w/ preconditioning</t>
  </si>
  <si>
    <t>95F w/o solar</t>
  </si>
  <si>
    <t xml:space="preserve"> Hioki AC Charge WP3    [kWh]</t>
  </si>
  <si>
    <t>72F J1634 MCT</t>
  </si>
  <si>
    <t>72F J1634 MCT, Repeat #1</t>
  </si>
  <si>
    <t>72°F - Performance Testing</t>
  </si>
  <si>
    <t>72°F - J1634 MCT Combo Shortcut Test,  Repeat 1</t>
  </si>
  <si>
    <t xml:space="preserve">72°F, J1634 MCT Combo Shortcut Test, </t>
  </si>
  <si>
    <t>72°F - MCT Testing / WLTP / US06 to stability</t>
  </si>
  <si>
    <t>72°F - MCT Testing / J1634- Balloted new version</t>
  </si>
  <si>
    <t>72°F - J1634 MCT Combo Shortcut Test,  4 cycles only Eco Mode + HWYx2 Coastdowns</t>
  </si>
  <si>
    <t>08/06/20, 01:14:25 PM</t>
  </si>
  <si>
    <t>J1634 SMCT Balloted New Version, Blank 1 bag charge, 13 hours</t>
  </si>
  <si>
    <t>08/07/20, 07:58:59 AM</t>
  </si>
  <si>
    <t>J1634 MCT, first half, ECO-MODE ON, E-Pedal ON</t>
  </si>
  <si>
    <t>08/07/20, 09:37:13 AM</t>
  </si>
  <si>
    <t>HWYx2, 2 bag with vehicle on coastdownsX3 to document any mid-testing vehicle loss changes</t>
  </si>
  <si>
    <t>ok, vehicle losses within +/- 2 pound or 2%</t>
  </si>
  <si>
    <t>Day 12-72F Accessory load cycles, final HWY+Coastdown</t>
  </si>
  <si>
    <t>SC03 x 3, #1</t>
  </si>
  <si>
    <t xml:space="preserve">SC03 x 3, #2 </t>
  </si>
  <si>
    <t>SC03 x 3, #3 Eco ON</t>
  </si>
  <si>
    <t>08/10/20, 08:31:05 AM</t>
  </si>
  <si>
    <t>j1634MCT in hot test cel (95°F) with solar (850W/m^2), HVAC AUTO 72°F, solar lights on 30 minutes prior to first test</t>
  </si>
  <si>
    <t>Z:\All Daq\Drive Cycles\J1634 Combined\65mph 1634 6900 seconds.txt</t>
  </si>
  <si>
    <t>08/10/20, 09:59:35 AM</t>
  </si>
  <si>
    <t>J1634MCT in hot test cel (95°F) with solar (850W/m^2), HVAC AUTO 72°F, s6900 second 65MPH SSS middle deplete</t>
  </si>
  <si>
    <t>Z:\All Daq\Drive Cycles\Drive Cycle Archive\US06 CYCLES\USO6 2Bag 600 CityHighwaySplit.txt</t>
  </si>
  <si>
    <t>08/10/20, 12:02:05 PM</t>
  </si>
  <si>
    <t>J1634MCT in hot test cel (95°F) with solar (850W/m^2) and HVAC AUTO 72°F, US06#2, 2 bag</t>
  </si>
  <si>
    <t>Z:\All Daq\Drive Cycles\Drive Cycle Archive\SCO3\SC03x3 3Bag 3002.txt</t>
  </si>
  <si>
    <t>08/10/20, 12:19:27 PM</t>
  </si>
  <si>
    <t>J1634MCT in hot test cel (95°F) with solar (850W/m^2) and HVAC AUTO 72°F, SC03x3 in place of UDDS #3, prep, ECO OFF, ECO ON</t>
  </si>
  <si>
    <t>Z:\All Daq\Drive Cycles\EPA cycles (checked)\HWFET (checked)\HWY 1Bag 5spd 765.txt</t>
  </si>
  <si>
    <t>08/10/20, 01:18:53 PM</t>
  </si>
  <si>
    <t>J1634MCT in hot test cel (95°F) with solar (850W/m^2) and HVAC AUTO 72°F, HWYx1</t>
  </si>
  <si>
    <t>Z:\All Daq\Drive Cycles\EPA cycles (checked)\UDDS (checked)\UDDS 2Bags 5spd 1374.txt</t>
  </si>
  <si>
    <t>08/10/20, 01:41:28 PM</t>
  </si>
  <si>
    <t>J1634MCT in hot test cel (95°F) with solar (850W/m^2) and HVAC AUTO 72°F, UDDS, 2 bag</t>
  </si>
  <si>
    <t>08/10/20, 02:08:57 PM</t>
  </si>
  <si>
    <t>J1634MCT in hot test cel (95°F) with solar (850W/m^2) and HVAC AUTO 72°F, 65MPH SSS unitil deplete</t>
  </si>
  <si>
    <t>08/10/20, 02:38:14 PM</t>
  </si>
  <si>
    <t>J1634MCT in hot test cel (95°F) charge in hot test cell</t>
  </si>
  <si>
    <t xml:space="preserve">ok
</t>
  </si>
  <si>
    <t>MK</t>
  </si>
  <si>
    <t>95°F +850 W/m2 solar J1634 MCT Combo Shortcut Test</t>
  </si>
  <si>
    <t>95°F no solar J1634 MCT Combo Shortcut Test</t>
  </si>
  <si>
    <t>08/11/20, 08:28:19 AM</t>
  </si>
  <si>
    <t>J1634MCT in hot test cell (95°F), first half with NO SOLAR, HVAC AUTO 72°F</t>
  </si>
  <si>
    <t>20°F J1634 MCT Combo Shortcut Test</t>
  </si>
  <si>
    <t>UDDS 1 , ph2</t>
  </si>
  <si>
    <t>UDDS 2, ph2</t>
  </si>
  <si>
    <t>65mph SSS Depletion</t>
  </si>
  <si>
    <t>08/12/20, 07:37:54 AM</t>
  </si>
  <si>
    <t>J1634MCT in cold test cell (20°F), HVAC AUTO 72°F, Use Calc EV Phases 2019 Leaf to combine PTC Power</t>
  </si>
  <si>
    <t>ok, e-pedal system failure displayed on dash at end of test cycles</t>
  </si>
  <si>
    <t>Z:\All Daq\Drive Cycles\J1634 Combined\65mph 1634 Capacity 5400 seconds.txt</t>
  </si>
  <si>
    <t>08/12/20, 09:05:49 AM</t>
  </si>
  <si>
    <t>J1634MCT in cold test cell (20°F), HVAC AUTO 72°F, Use Calc EV Phases 2019 Leaf to combine PTC Power, 65 mph SSS middle deplete 100 miles</t>
  </si>
  <si>
    <t>ok, dash displayed e-pedal system failure</t>
  </si>
  <si>
    <t>08/12/20, 10:41:46 AM</t>
  </si>
  <si>
    <t>J1634MCT in cold test cell (20°F), HVAC AUTO 72°F, Use Calc EV Phases 2019 Leaf to combine PTC Power, US06-UDDS-HWY-UDDS</t>
  </si>
  <si>
    <t>ok, e-pedal system failure again</t>
  </si>
  <si>
    <t>08/12/20, 12:50:39 PM</t>
  </si>
  <si>
    <t>J1634MCT in cold test cell (20°F), HVAC AUTO 72°F, Charge to full overnight 13 hours</t>
  </si>
  <si>
    <t>08/13/20, 07:51:11 AM</t>
  </si>
  <si>
    <t>J1634 MCT in cold test cell (20°F) with E-Pedal ON, HVAC AUTO 72°F, UDDS-HWY-UDDS-US06</t>
  </si>
  <si>
    <t>08/13/20, 09:19:39 AM</t>
  </si>
  <si>
    <t>J1634 MCT in cold test cell (20°F) with E-Pedal ON, HVAC AUTO 72°F, 65 MPH SSS middle deplete</t>
  </si>
  <si>
    <t>08/13/20, 10:54:50 AM</t>
  </si>
  <si>
    <t>J1634 MCT in cold test cell (20°F) with E-Pedal ON, HVAC AUTO 72°F, US06-UDDS-HWY-UDDS</t>
  </si>
  <si>
    <t>stopped test prior to last cycle due to test cell going back to 72°F test mode</t>
  </si>
  <si>
    <t>08/13/20, 01:09:41 PM</t>
  </si>
  <si>
    <t>J1634 MCT in cold test cell (20°F) with E-Pedal ON, HVAC AUTO 72°F, SSS 65MPH until deplete</t>
  </si>
  <si>
    <t>ok, let vehicle drive until contactors opened</t>
  </si>
  <si>
    <t>20F J1634 MCT</t>
  </si>
  <si>
    <t>20°F J1634 MCT Combo Shortcut Test- +Pre Conditioning</t>
  </si>
  <si>
    <t>Pre-Conditioning Charging</t>
  </si>
  <si>
    <t>2 hour Preconditioning</t>
  </si>
  <si>
    <t>Z:\All Daq\Drive Cycles\Blank Bags\Blank 1 Bag 64800 (18hrs).txt</t>
  </si>
  <si>
    <t>08/13/20, 03:32:52 PM</t>
  </si>
  <si>
    <t>18 hour charge log</t>
  </si>
  <si>
    <t>Z:\All Daq\Drive Cycles\J1634 Combined\UDDS-Split HWY UDDS-Split US06-Split ELECTRIC 8 Bag with preconditioning 9650.txt</t>
  </si>
  <si>
    <t>08/14/20, 08:00:03 AM</t>
  </si>
  <si>
    <t>J1634 MCT first half with Climate pre-conditioning. 2 hour log of vehicle prior to cycle start</t>
  </si>
  <si>
    <t>stopped test due to wrong precondition time</t>
  </si>
  <si>
    <t>Z:\All Daq\Drive Cycles\J1634 Combined\UDDS-Split HWY UDDS-Split US06-Split ELECTRIC 8 Bag with 1 hour preconditioning 8450.txt</t>
  </si>
  <si>
    <t>08/14/20, 09:00:08 AM</t>
  </si>
  <si>
    <t>J1634 MCT first half with Climate pre-conditioning. 1 hour log of vehicle prior to cycle start</t>
  </si>
  <si>
    <t>0°F J1634 MCT Combo Shortcut Test</t>
  </si>
  <si>
    <t>08/17/20, 07:45:47 AM</t>
  </si>
  <si>
    <t>J1634 MCT in super cold test cell (0°F) after long soak over weekend, E-Pedal ON, HVAC AUTO 72°F, UDDS-HWY-UDDS-US06</t>
  </si>
  <si>
    <t>Z:\All Daq\Drive Cycles\J1634 Combined\65mph 1634 Capacity 3800 seconds.txt</t>
  </si>
  <si>
    <t>08/17/20, 09:15:52 AM</t>
  </si>
  <si>
    <t>J1634 MCT in super cold test cell (0°F) after long soak over weekend, E-Pedal ON, HVAC AUTO 72°F, Middle deplete at 65MPH SSS</t>
  </si>
  <si>
    <t>08/17/20, 10:25:51 AM</t>
  </si>
  <si>
    <t>J1634 MCT in super cold test cell (0°F) after long soak over weekend, E-Pedal ON, HVAC AUTO 72°F, US06-UDDS-HWY-UDDS</t>
  </si>
  <si>
    <t>08/17/20, 11:58:30 AM</t>
  </si>
  <si>
    <t>J1634 MCT in super cold test cell (0°F) after long soak over weekend, E-Pedal ON, HVAC AUTO 72°F, 65MPH SSS final deplete</t>
  </si>
  <si>
    <t>ok, ran until contactors opened</t>
  </si>
  <si>
    <t>← Hand Calc'd Cell</t>
  </si>
  <si>
    <t>08/17/20, 12:14:29 PM</t>
  </si>
  <si>
    <t>J1634 MCT in super cold test cell (0°F), charge after deplete</t>
  </si>
  <si>
    <t>Edc cycle</t>
  </si>
  <si>
    <t>usable battery energy</t>
  </si>
  <si>
    <t xml:space="preserve">Edc </t>
  </si>
  <si>
    <t>test discharge energy</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</si>
  <si>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</si>
  <si>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Used 20F + no precondition data</t>
  </si>
  <si>
    <t>Used 35C+850W/m2 data  + no precondition data</t>
  </si>
  <si>
    <t>72°F - J1634 MCT Combo Shortcut Test,  4 cycles only + HWYx2 Coastdowns</t>
  </si>
  <si>
    <t>72°F - Accessory Load Test</t>
  </si>
  <si>
    <t>100-900</t>
  </si>
  <si>
    <t>ac max cool 60°F, low fan</t>
  </si>
  <si>
    <t>1230-1330</t>
  </si>
  <si>
    <t>1330-1430</t>
  </si>
  <si>
    <t>1460-1560</t>
  </si>
  <si>
    <t>heater 90°F, max heat, fan low</t>
  </si>
  <si>
    <t>heater 90°F, max heat, fan hi</t>
  </si>
  <si>
    <t>Reduce Heat dial to mid 75°F</t>
  </si>
  <si>
    <t>1600-1700</t>
  </si>
  <si>
    <t>1700-1800</t>
  </si>
  <si>
    <t>1800-1900</t>
  </si>
  <si>
    <t>1900-2000</t>
  </si>
  <si>
    <t>return to full 90°F</t>
  </si>
  <si>
    <t>2000-2030</t>
  </si>
  <si>
    <t>2080-2140</t>
  </si>
  <si>
    <t>2200-2230</t>
  </si>
  <si>
    <t>2260-2270</t>
  </si>
  <si>
    <t>2360-2420</t>
  </si>
  <si>
    <t>wipers full on-low</t>
  </si>
  <si>
    <t>2450-2480</t>
  </si>
  <si>
    <t>2420-2450</t>
  </si>
  <si>
    <t>2500-2520</t>
  </si>
  <si>
    <t>defrost max @72°F heat setting</t>
  </si>
  <si>
    <t>2600-2700</t>
  </si>
  <si>
    <t>2019 Nissan Leaf</t>
  </si>
  <si>
    <t>radio max (no signal)</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</si>
  <si>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</si>
  <si>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08/19/20, 12:57:16 PM</t>
  </si>
  <si>
    <t>08/19/20, 02:21:23 PM</t>
  </si>
  <si>
    <t>Hwyx2, 2 bag with coatdown time to verify losses at end of test plan</t>
  </si>
  <si>
    <t>08/20/20, 08:56:40 AM</t>
  </si>
  <si>
    <t>Blank Bag 1 hour, Accessory load test</t>
  </si>
  <si>
    <t xml:space="preserve">##PHASE(3,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</si>
  <si>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##PHASE(4, Phase Distance [mi])CHANNEL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</si>
  <si>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</si>
  <si>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</si>
  <si>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</si>
  <si>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</si>
  <si>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</si>
  <si>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</si>
  <si>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</si>
  <si>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</si>
  <si>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</si>
  <si>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</si>
  <si>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</si>
  <si>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</si>
  <si>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</si>
  <si>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HVBatt_SOC_HEV__per)TEST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</si>
  <si>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</si>
  <si>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</si>
  <si>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</si>
  <si>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AC_Comp_WP_CALC__Wh)DATA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</si>
  <si>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</si>
  <si>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PTC_WP_CALC__Wh)DATA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</si>
  <si>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=1-, HVBatt_SOC_HEV__per)DATA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DATA CHANNEL NOT FOUND </t>
  </si>
  <si>
    <t xml:space="preserve">##DATA(Exhaust_Bag, =8, HVBatt_SOC_HEV__per)DATA CHANNEL NOT FOUND DATA CHANNEL NOT FOUND DATA CHANNEL NOT FOUND </t>
  </si>
  <si>
    <t xml:space="preserve">##DATA(Exhaust_Bag, =8-,HVBatt_SOC_HEV__per)DATA CHANNEL NOT FOUND DATA CHANNEL NOT FOUND DATA CHANNEL NOT FOUND </t>
  </si>
  <si>
    <t xml:space="preserve">##DATA(Exhaust_Bag, =8-, HVBatt_SOC_HEV__per)DATA CHANNEL NOT FOUND DATA CHANNEL NOT FOUND DATA CHANNEL NOT FOUND </t>
  </si>
  <si>
    <t xml:space="preserve">##INFO(TINVALID COMMAND  INVALID COMMAND  </t>
  </si>
  <si>
    <t xml:space="preserve">##PHASE(3, Phase Distance [mi])CHANNEL NOT FOUND CHANNEL NOT FOUND </t>
  </si>
  <si>
    <t>Forrest Jehlik</t>
  </si>
  <si>
    <t>Ext 2-6403</t>
  </si>
  <si>
    <t>22C Ambient with Climate off</t>
  </si>
  <si>
    <t>-18C Ambient with 22C Cabin</t>
  </si>
  <si>
    <t>-7C Ambient with 22C Cabin</t>
  </si>
  <si>
    <t>-7CF Ambient with 22C Cabin (preconditioned)</t>
  </si>
  <si>
    <t>35C Ambient with 22C Cabin</t>
  </si>
  <si>
    <t>35C w/o solar with 22C Cabin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</si>
</sst>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0.0"/>
    <numFmt numFmtId="165" formatCode="0.000"/>
    <numFmt numFmtId="166" formatCode="0.0000"/>
    <numFmt numFmtId="167" formatCode="0.00000"/>
    <numFmt numFmtId="168" formatCode="[$-F800]dddd\,\ mmmm\ dd\,\ yyyy"/>
    <numFmt numFmtId="169" formatCode="0.000000"/>
    <numFmt numFmtId="170" formatCode="0.0%"/>
    <numFmt numFmtId="171" formatCode="[=0]0;0.000"/>
    <numFmt numFmtId="172" formatCode="[=0]0;0.00"/>
    <numFmt numFmtId="173" formatCode="[=0]0;0.0"/>
    <numFmt numFmtId="174" formatCode="[=0]0;0.0000000"/>
    <numFmt numFmtId="175" formatCode="[=0]0;0.00000"/>
    <numFmt numFmtId="176" formatCode="[=0]0;0.000000"/>
  </numFmts>
  <fonts count="43" x14ac:knownFonts="1">
    <font>
      <sz val="11"/>
      <color theme="1"/>
      <name val="Calibri"/>
      <family val="2"/>
      <scheme val="minor"/>
    </font>
    <font>
      <sz val="8"/>
      <name val="Arial"/>
      <family val="2"/>
    </font>
    <font>
      <sz val="11"/>
      <color rgb="FF3F3F76"/>
      <name val="Calibri"/>
      <family val="2"/>
      <scheme val="minor"/>
    </font>
    <font>
      <b/>
      <sz val="11"/>
      <color rgb="FF3F3F3F"/>
      <name val="Calibri"/>
      <family val="2"/>
      <scheme val="minor"/>
    </font>
    <font>
      <b/>
      <sz val="11"/>
      <color rgb="FFFA7D00"/>
      <name val="Calibri"/>
      <family val="2"/>
      <scheme val="minor"/>
    </font>
    <font>
      <i/>
      <sz val="11"/>
      <color theme="1"/>
      <name val="Calibri"/>
      <family val="2"/>
      <scheme val="minor"/>
    </font>
    <font>
      <b/>
      <sz val="12"/>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b/>
      <sz val="11"/>
      <color theme="1"/>
      <name val="Calibri"/>
      <family val="2"/>
      <scheme val="minor"/>
    </font>
    <font>
      <sz val="10"/>
      <color theme="1"/>
      <name val="Calibri"/>
      <family val="2"/>
      <scheme val="minor"/>
    </font>
    <font>
      <u/>
      <sz val="11"/>
      <color theme="10"/>
      <name val="Calibri"/>
      <family val="2"/>
      <scheme val="minor"/>
    </font>
    <font>
      <b/>
      <sz val="12"/>
      <color theme="1"/>
      <name val="Calibri"/>
      <family val="2"/>
      <scheme val="minor"/>
    </font>
    <font>
      <b/>
      <sz val="10"/>
      <color theme="1"/>
      <name val="Calibri"/>
      <family val="2"/>
      <scheme val="minor"/>
    </font>
    <font>
      <b/>
      <sz val="11"/>
      <color rgb="FF000000"/>
      <name val="Calibri"/>
      <family val="2"/>
      <scheme val="minor"/>
    </font>
    <font>
      <sz val="11"/>
      <color rgb="FF00000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b/>
      <sz val="8"/>
      <name val="Arial"/>
      <family val="2"/>
    </font>
    <font>
      <sz val="11"/>
      <color theme="1" tint="0.499984740745262"/>
      <name val="Calibri"/>
      <family val="2"/>
      <scheme val="minor"/>
    </font>
    <font>
      <b/>
      <sz val="16"/>
      <color theme="1"/>
      <name val="Calibri"/>
      <family val="2"/>
      <scheme val="minor"/>
    </font>
    <font>
      <sz val="14"/>
      <color theme="1"/>
      <name val="Calibri"/>
      <family val="2"/>
      <scheme val="minor"/>
    </font>
    <font>
      <sz val="10"/>
      <name val="Times New Roman"/>
      <family val="1"/>
    </font>
    <font>
      <b/>
      <sz val="14"/>
      <color theme="1"/>
      <name val="Calibri"/>
      <family val="2"/>
      <scheme val="minor"/>
    </font>
    <font>
      <sz val="18"/>
      <color theme="3"/>
      <name val="Cambria"/>
      <family val="2"/>
      <scheme val="major"/>
    </font>
    <font>
      <sz val="11"/>
      <color rgb="FFF11A09"/>
      <name val="Calibri"/>
      <family val="2"/>
      <scheme val="minor"/>
    </font>
    <font>
      <b/>
      <sz val="11"/>
      <color rgb="FFF11A09"/>
      <name val="Calibri"/>
      <family val="2"/>
      <scheme val="minor"/>
    </font>
    <font>
      <sz val="11"/>
      <name val="Calibri"/>
      <family val="2"/>
      <scheme val="minor"/>
    </font>
    <font>
      <b/>
      <sz val="11"/>
      <color rgb="FFFF0000"/>
      <name val="Calibri"/>
      <family val="2"/>
      <scheme val="minor"/>
    </font>
    <font>
      <sz val="8"/>
      <color rgb="FFFF0000"/>
      <name val="Arial"/>
      <family val="2"/>
    </font>
    <font>
      <b/>
      <sz val="8"/>
      <color theme="1"/>
      <name val="Arial"/>
      <family val="2"/>
    </font>
    <font>
      <sz val="8"/>
      <color theme="1"/>
      <name val="Arial"/>
      <family val="2"/>
    </font>
    <font>
      <b/>
      <sz val="8"/>
      <color rgb="FFFF0000"/>
      <name val="Arial"/>
      <family val="2"/>
    </font>
  </fonts>
  <fills count="71">
    <fill>
      <patternFill patternType="none"/>
    </fill>
    <fill>
      <patternFill patternType="gray125"/>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bgColor indexed="64"/>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4" tint="0.39997558519241921"/>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rgb="FFF6FC04"/>
        <bgColor indexed="64"/>
      </patternFill>
    </fill>
    <fill>
      <patternFill patternType="solid">
        <fgColor rgb="FF8BE1FF"/>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ABF8F"/>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0070C0"/>
        <bgColor indexed="64"/>
      </patternFill>
    </fill>
    <fill>
      <patternFill patternType="solid">
        <fgColor rgb="FF00B0F0"/>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E6B8B7"/>
        <bgColor indexed="64"/>
      </patternFill>
    </fill>
    <fill>
      <patternFill patternType="solid">
        <fgColor rgb="FFC4BD97"/>
        <bgColor indexed="64"/>
      </patternFill>
    </fill>
    <fill>
      <patternFill patternType="solid">
        <fgColor rgb="FFCCC0DA"/>
        <bgColor indexed="64"/>
      </patternFill>
    </fill>
    <fill>
      <patternFill patternType="solid">
        <fgColor theme="0"/>
        <bgColor indexed="64"/>
      </patternFill>
    </fill>
    <fill>
      <patternFill patternType="solid">
        <fgColor theme="9" tint="0.79998168889431442"/>
        <bgColor indexed="64"/>
      </patternFill>
    </fill>
  </fills>
  <borders count="79">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rgb="FF7F7F7F"/>
      </left>
      <right style="thin">
        <color rgb="FF7F7F7F"/>
      </right>
      <top style="thin">
        <color rgb="FF7F7F7F"/>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top style="medium">
        <color indexed="64"/>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ck">
        <color indexed="64"/>
      </right>
      <top/>
      <bottom/>
      <diagonal/>
    </border>
    <border>
      <left style="medium">
        <color indexed="64"/>
      </left>
      <right/>
      <top style="thin">
        <color indexed="64"/>
      </top>
      <bottom style="thin">
        <color indexed="64"/>
      </bottom>
      <diagonal/>
    </border>
  </borders>
  <cellStyleXfs count="51">
    <xf numFmtId="0" fontId="0" fillId="0" borderId="0"/>
    <xf numFmtId="0" fontId="2" fillId="2" borderId="3" applyNumberFormat="0" applyAlignment="0" applyProtection="0"/>
    <xf numFmtId="0" fontId="3" fillId="3" borderId="4" applyNumberFormat="0" applyAlignment="0" applyProtection="0"/>
    <xf numFmtId="0" fontId="4" fillId="3" borderId="3" applyNumberFormat="0" applyAlignment="0" applyProtection="0"/>
    <xf numFmtId="0" fontId="7" fillId="5" borderId="0" applyNumberFormat="0" applyBorder="0" applyAlignment="0" applyProtection="0"/>
    <xf numFmtId="0" fontId="8" fillId="6" borderId="0" applyNumberFormat="0" applyBorder="0" applyAlignment="0" applyProtection="0"/>
    <xf numFmtId="0" fontId="9" fillId="7" borderId="0" applyNumberFormat="0" applyBorder="0" applyAlignment="0" applyProtection="0"/>
    <xf numFmtId="0" fontId="12" fillId="0" borderId="0" applyNumberFormat="0" applyFill="0" applyBorder="0" applyAlignment="0" applyProtection="0"/>
    <xf numFmtId="0" fontId="18" fillId="0" borderId="0" applyNumberFormat="0" applyFill="0" applyBorder="0" applyAlignment="0" applyProtection="0"/>
    <xf numFmtId="0" fontId="19" fillId="0" borderId="17" applyNumberFormat="0" applyFill="0" applyAlignment="0" applyProtection="0"/>
    <xf numFmtId="0" fontId="20" fillId="0" borderId="18" applyNumberFormat="0" applyFill="0" applyAlignment="0" applyProtection="0"/>
    <xf numFmtId="0" fontId="21" fillId="0" borderId="19" applyNumberFormat="0" applyFill="0" applyAlignment="0" applyProtection="0"/>
    <xf numFmtId="0" fontId="21" fillId="0" borderId="0" applyNumberFormat="0" applyFill="0" applyBorder="0" applyAlignment="0" applyProtection="0"/>
    <xf numFmtId="0" fontId="22" fillId="0" borderId="20" applyNumberFormat="0" applyFill="0" applyAlignment="0" applyProtection="0"/>
    <xf numFmtId="0" fontId="23" fillId="17" borderId="21" applyNumberFormat="0" applyAlignment="0" applyProtection="0"/>
    <xf numFmtId="0" fontId="24" fillId="0" borderId="0" applyNumberFormat="0" applyFill="0" applyBorder="0" applyAlignment="0" applyProtection="0"/>
    <xf numFmtId="0" fontId="17" fillId="18" borderId="22" applyNumberFormat="0" applyFont="0" applyAlignment="0" applyProtection="0"/>
    <xf numFmtId="0" fontId="25" fillId="0" borderId="0" applyNumberFormat="0" applyFill="0" applyBorder="0" applyAlignment="0" applyProtection="0"/>
    <xf numFmtId="0" fontId="10" fillId="0" borderId="23" applyNumberFormat="0" applyFill="0" applyAlignment="0" applyProtection="0"/>
    <xf numFmtId="0" fontId="26"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26" fillId="22" borderId="0" applyNumberFormat="0" applyBorder="0" applyAlignment="0" applyProtection="0"/>
    <xf numFmtId="0" fontId="26"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26" fillId="26" borderId="0" applyNumberFormat="0" applyBorder="0" applyAlignment="0" applyProtection="0"/>
    <xf numFmtId="0" fontId="26"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26" fillId="30" borderId="0" applyNumberFormat="0" applyBorder="0" applyAlignment="0" applyProtection="0"/>
    <xf numFmtId="0" fontId="26" fillId="31" borderId="0" applyNumberFormat="0" applyBorder="0" applyAlignment="0" applyProtection="0"/>
    <xf numFmtId="0" fontId="17" fillId="32" borderId="0" applyNumberFormat="0" applyBorder="0" applyAlignment="0" applyProtection="0"/>
    <xf numFmtId="0" fontId="17" fillId="33" borderId="0" applyNumberFormat="0" applyBorder="0" applyAlignment="0" applyProtection="0"/>
    <xf numFmtId="0" fontId="26" fillId="34" borderId="0" applyNumberFormat="0" applyBorder="0" applyAlignment="0" applyProtection="0"/>
    <xf numFmtId="0" fontId="26" fillId="35" borderId="0" applyNumberFormat="0" applyBorder="0" applyAlignment="0" applyProtection="0"/>
    <xf numFmtId="0" fontId="17" fillId="36" borderId="0" applyNumberFormat="0" applyBorder="0" applyAlignment="0" applyProtection="0"/>
    <xf numFmtId="0" fontId="17" fillId="37" borderId="0" applyNumberFormat="0" applyBorder="0" applyAlignment="0" applyProtection="0"/>
    <xf numFmtId="0" fontId="26" fillId="38" borderId="0" applyNumberFormat="0" applyBorder="0" applyAlignment="0" applyProtection="0"/>
    <xf numFmtId="0" fontId="26" fillId="39" borderId="0" applyNumberFormat="0" applyBorder="0" applyAlignment="0" applyProtection="0"/>
    <xf numFmtId="0" fontId="17" fillId="40" borderId="0" applyNumberFormat="0" applyBorder="0" applyAlignment="0" applyProtection="0"/>
    <xf numFmtId="0" fontId="17" fillId="41" borderId="0" applyNumberFormat="0" applyBorder="0" applyAlignment="0" applyProtection="0"/>
    <xf numFmtId="0" fontId="26" fillId="42" borderId="0" applyNumberFormat="0" applyBorder="0" applyAlignment="0" applyProtection="0"/>
    <xf numFmtId="0" fontId="27" fillId="0" borderId="0"/>
    <xf numFmtId="9" fontId="27" fillId="0" borderId="0" applyFont="0" applyFill="0" applyBorder="0" applyAlignment="0" applyProtection="0"/>
    <xf numFmtId="9" fontId="17" fillId="0" borderId="0" applyFont="0" applyFill="0" applyBorder="0" applyAlignment="0" applyProtection="0"/>
    <xf numFmtId="0" fontId="32" fillId="0" borderId="0"/>
    <xf numFmtId="0" fontId="34" fillId="0" borderId="0" applyNumberFormat="0" applyFill="0" applyBorder="0" applyAlignment="0" applyProtection="0"/>
    <xf numFmtId="0" fontId="12" fillId="0" borderId="0" applyNumberFormat="0" applyFill="0" applyBorder="0" applyAlignment="0" applyProtection="0"/>
    <xf numFmtId="43" fontId="27" fillId="0" borderId="0" applyFont="0" applyFill="0" applyBorder="0" applyAlignment="0" applyProtection="0"/>
    <xf numFmtId="0" fontId="27" fillId="0" borderId="0"/>
  </cellStyleXfs>
  <cellXfs count="542">
    <xf numFmtId="0" fontId="0" fillId="0" borderId="0" xfId="0"/>
    <xf numFmtId="0" fontId="11" fillId="0" borderId="0" xfId="0" applyFont="1"/>
    <xf numFmtId="17" fontId="11" fillId="0" borderId="0" xfId="0" applyNumberFormat="1" applyFont="1"/>
    <xf numFmtId="0" fontId="0" fillId="0" borderId="0" xfId="0" applyAlignment="1">
      <alignment textRotation="45"/>
    </xf>
    <xf numFmtId="0" fontId="0" fillId="0" borderId="0" xfId="0" applyAlignment="1">
      <alignment wrapText="1"/>
    </xf>
    <xf numFmtId="0" fontId="0" fillId="0" borderId="0" xfId="0" applyAlignment="1">
      <alignment horizontal="center" wrapText="1"/>
    </xf>
    <xf numFmtId="0" fontId="10" fillId="16" borderId="0" xfId="0" applyFont="1" applyFill="1"/>
    <xf numFmtId="0" fontId="0" fillId="16" borderId="0" xfId="0" applyFill="1"/>
    <xf numFmtId="0" fontId="15" fillId="0" borderId="9" xfId="0" applyFont="1" applyBorder="1"/>
    <xf numFmtId="0" fontId="0" fillId="0" borderId="10" xfId="0" applyBorder="1"/>
    <xf numFmtId="0" fontId="0" fillId="0" borderId="12" xfId="0" applyBorder="1"/>
    <xf numFmtId="0" fontId="16" fillId="0" borderId="0" xfId="0" applyFont="1"/>
    <xf numFmtId="0" fontId="0" fillId="0" borderId="14" xfId="0" applyBorder="1"/>
    <xf numFmtId="0" fontId="0" fillId="0" borderId="15" xfId="0" applyBorder="1"/>
    <xf numFmtId="0" fontId="10" fillId="0" borderId="9" xfId="0" applyFont="1" applyBorder="1"/>
    <xf numFmtId="14" fontId="1" fillId="0" borderId="0" xfId="0" applyNumberFormat="1" applyFont="1" applyAlignment="1">
      <alignment horizontal="left" vertical="center"/>
    </xf>
    <xf numFmtId="14" fontId="10" fillId="0" borderId="0" xfId="0" applyNumberFormat="1" applyFont="1"/>
    <xf numFmtId="0" fontId="0" fillId="0" borderId="0" xfId="0" applyAlignment="1">
      <alignment horizontal="center"/>
    </xf>
    <xf numFmtId="164" fontId="10" fillId="0" borderId="0" xfId="0" applyNumberFormat="1" applyFont="1"/>
    <xf numFmtId="0" fontId="28" fillId="0" borderId="2" xfId="0" applyFont="1" applyBorder="1" applyAlignment="1">
      <alignment horizontal="center" vertical="center"/>
    </xf>
    <xf numFmtId="0" fontId="9" fillId="7" borderId="0" xfId="6" applyBorder="1"/>
    <xf numFmtId="164" fontId="9" fillId="7" borderId="0" xfId="6" applyNumberFormat="1" applyBorder="1"/>
    <xf numFmtId="0" fontId="29" fillId="0" borderId="0" xfId="0" applyFont="1"/>
    <xf numFmtId="166" fontId="0" fillId="0" borderId="0" xfId="0" applyNumberFormat="1"/>
    <xf numFmtId="0" fontId="31" fillId="0" borderId="13" xfId="0" applyFont="1" applyBorder="1" applyAlignment="1">
      <alignment horizontal="center" vertical="center" textRotation="90" wrapText="1"/>
    </xf>
    <xf numFmtId="0" fontId="0" fillId="0" borderId="0" xfId="0" applyAlignment="1">
      <alignment vertical="top" wrapText="1"/>
    </xf>
    <xf numFmtId="2" fontId="0" fillId="0" borderId="0" xfId="0" applyNumberFormat="1"/>
    <xf numFmtId="0" fontId="10" fillId="0" borderId="0" xfId="0" applyFont="1"/>
    <xf numFmtId="0" fontId="0" fillId="8" borderId="6" xfId="0" applyFill="1" applyBorder="1" applyAlignment="1">
      <alignment vertical="top" wrapText="1"/>
    </xf>
    <xf numFmtId="0" fontId="0" fillId="10" borderId="6" xfId="0" applyFill="1" applyBorder="1" applyAlignment="1">
      <alignment horizontal="center" vertical="top" wrapText="1"/>
    </xf>
    <xf numFmtId="0" fontId="0" fillId="11" borderId="6" xfId="0" applyFill="1" applyBorder="1" applyAlignment="1">
      <alignment horizontal="center" vertical="top" wrapText="1"/>
    </xf>
    <xf numFmtId="0" fontId="0" fillId="12" borderId="6" xfId="0" applyFill="1" applyBorder="1" applyAlignment="1">
      <alignment horizontal="center" vertical="top" wrapText="1"/>
    </xf>
    <xf numFmtId="0" fontId="0" fillId="13" borderId="6" xfId="0" applyFill="1" applyBorder="1" applyAlignment="1">
      <alignment vertical="top" wrapText="1"/>
    </xf>
    <xf numFmtId="164" fontId="0" fillId="0" borderId="0" xfId="0" applyNumberFormat="1"/>
    <xf numFmtId="164" fontId="0" fillId="4" borderId="0" xfId="0" applyNumberFormat="1" applyFill="1"/>
    <xf numFmtId="166" fontId="0" fillId="9" borderId="0" xfId="0" applyNumberFormat="1" applyFill="1"/>
    <xf numFmtId="0" fontId="0" fillId="55" borderId="0" xfId="0" applyFill="1"/>
    <xf numFmtId="166" fontId="0" fillId="43" borderId="0" xfId="0" applyNumberFormat="1" applyFill="1"/>
    <xf numFmtId="166" fontId="0" fillId="55" borderId="0" xfId="0" applyNumberFormat="1" applyFill="1"/>
    <xf numFmtId="166" fontId="0" fillId="4" borderId="0" xfId="0" applyNumberFormat="1" applyFill="1"/>
    <xf numFmtId="166" fontId="0" fillId="47" borderId="0" xfId="0" applyNumberFormat="1" applyFill="1"/>
    <xf numFmtId="164" fontId="0" fillId="47" borderId="0" xfId="0" applyNumberFormat="1" applyFill="1"/>
    <xf numFmtId="0" fontId="10" fillId="0" borderId="24" xfId="0" applyFont="1" applyBorder="1" applyAlignment="1">
      <alignment horizontal="center" vertical="center"/>
    </xf>
    <xf numFmtId="0" fontId="10" fillId="0" borderId="2" xfId="0" applyFont="1" applyBorder="1" applyAlignment="1">
      <alignment horizontal="center" vertical="center"/>
    </xf>
    <xf numFmtId="0" fontId="10" fillId="0" borderId="35" xfId="0" applyFont="1" applyBorder="1" applyAlignment="1">
      <alignment horizontal="center" vertical="center"/>
    </xf>
    <xf numFmtId="49" fontId="0" fillId="0" borderId="0" xfId="0" applyNumberFormat="1" applyAlignment="1">
      <alignment wrapText="1"/>
    </xf>
    <xf numFmtId="49" fontId="0" fillId="46" borderId="38" xfId="0" applyNumberFormat="1" applyFill="1" applyBorder="1" applyAlignment="1">
      <alignment wrapText="1"/>
    </xf>
    <xf numFmtId="49" fontId="0" fillId="54" borderId="39" xfId="0" applyNumberFormat="1" applyFill="1" applyBorder="1" applyAlignment="1">
      <alignment wrapText="1"/>
    </xf>
    <xf numFmtId="49" fontId="0" fillId="9" borderId="39" xfId="0" applyNumberFormat="1" applyFill="1" applyBorder="1" applyAlignment="1">
      <alignment wrapText="1"/>
    </xf>
    <xf numFmtId="49" fontId="0" fillId="55" borderId="37" xfId="0" applyNumberFormat="1" applyFill="1" applyBorder="1" applyAlignment="1">
      <alignment wrapText="1"/>
    </xf>
    <xf numFmtId="49" fontId="0" fillId="43" borderId="39" xfId="0" applyNumberFormat="1" applyFill="1" applyBorder="1" applyAlignment="1">
      <alignment wrapText="1"/>
    </xf>
    <xf numFmtId="49" fontId="0" fillId="55" borderId="39" xfId="0" applyNumberFormat="1" applyFill="1" applyBorder="1" applyAlignment="1">
      <alignment wrapText="1"/>
    </xf>
    <xf numFmtId="49" fontId="0" fillId="43" borderId="40" xfId="0" applyNumberFormat="1" applyFill="1" applyBorder="1" applyAlignment="1">
      <alignment wrapText="1"/>
    </xf>
    <xf numFmtId="49" fontId="0" fillId="4" borderId="41" xfId="0" applyNumberFormat="1" applyFill="1" applyBorder="1" applyAlignment="1">
      <alignment wrapText="1"/>
    </xf>
    <xf numFmtId="49" fontId="0" fillId="4" borderId="39" xfId="0" applyNumberFormat="1" applyFill="1" applyBorder="1" applyAlignment="1">
      <alignment wrapText="1"/>
    </xf>
    <xf numFmtId="49" fontId="0" fillId="4" borderId="40" xfId="0" applyNumberFormat="1" applyFill="1" applyBorder="1" applyAlignment="1">
      <alignment wrapText="1"/>
    </xf>
    <xf numFmtId="49" fontId="0" fillId="0" borderId="38" xfId="0" applyNumberFormat="1" applyBorder="1" applyAlignment="1">
      <alignment horizontal="center" vertical="center" wrapText="1"/>
    </xf>
    <xf numFmtId="49" fontId="0" fillId="0" borderId="36" xfId="0" applyNumberFormat="1" applyBorder="1" applyAlignment="1">
      <alignment horizontal="center" vertical="center" wrapText="1"/>
    </xf>
    <xf numFmtId="2" fontId="0" fillId="43" borderId="0" xfId="0" applyNumberFormat="1" applyFill="1"/>
    <xf numFmtId="0" fontId="0" fillId="43" borderId="0" xfId="0" applyFill="1"/>
    <xf numFmtId="0" fontId="0" fillId="43" borderId="0" xfId="0" applyFill="1" applyAlignment="1">
      <alignment horizontal="center"/>
    </xf>
    <xf numFmtId="2" fontId="0" fillId="55" borderId="0" xfId="0" applyNumberFormat="1" applyFill="1"/>
    <xf numFmtId="0" fontId="0" fillId="55" borderId="0" xfId="0" applyFill="1" applyAlignment="1">
      <alignment horizontal="center" vertical="center"/>
    </xf>
    <xf numFmtId="49" fontId="0" fillId="4" borderId="6" xfId="0" applyNumberFormat="1" applyFill="1" applyBorder="1" applyAlignment="1">
      <alignment wrapText="1"/>
    </xf>
    <xf numFmtId="0" fontId="0" fillId="0" borderId="0" xfId="0" applyAlignment="1">
      <alignment horizontal="center" vertical="center"/>
    </xf>
    <xf numFmtId="0" fontId="0" fillId="56" borderId="0" xfId="0" applyFill="1"/>
    <xf numFmtId="0" fontId="0" fillId="4" borderId="15" xfId="0" applyFill="1" applyBorder="1"/>
    <xf numFmtId="0" fontId="31" fillId="4" borderId="16" xfId="0" applyFont="1" applyFill="1" applyBorder="1" applyAlignment="1">
      <alignment horizontal="center" vertical="center" textRotation="90" wrapText="1"/>
    </xf>
    <xf numFmtId="49" fontId="0" fillId="4" borderId="15" xfId="0" applyNumberFormat="1" applyFill="1" applyBorder="1"/>
    <xf numFmtId="49" fontId="9" fillId="4" borderId="15" xfId="6" applyNumberFormat="1" applyFill="1" applyBorder="1" applyAlignment="1"/>
    <xf numFmtId="0" fontId="9" fillId="4" borderId="15" xfId="6" applyFill="1" applyBorder="1"/>
    <xf numFmtId="0" fontId="0" fillId="4" borderId="14" xfId="0" applyFill="1" applyBorder="1"/>
    <xf numFmtId="164" fontId="0" fillId="55" borderId="0" xfId="0" applyNumberFormat="1" applyFill="1"/>
    <xf numFmtId="2" fontId="0" fillId="54" borderId="0" xfId="0" applyNumberFormat="1" applyFill="1"/>
    <xf numFmtId="2" fontId="0" fillId="46" borderId="0" xfId="0" applyNumberFormat="1" applyFill="1"/>
    <xf numFmtId="0" fontId="0" fillId="0" borderId="0" xfId="0" applyAlignment="1">
      <alignment horizontal="left"/>
    </xf>
    <xf numFmtId="0" fontId="13" fillId="14" borderId="7" xfId="0" applyFont="1" applyFill="1" applyBorder="1" applyAlignment="1">
      <alignment horizontal="left"/>
    </xf>
    <xf numFmtId="0" fontId="6" fillId="4" borderId="27" xfId="0" applyFont="1" applyFill="1" applyBorder="1" applyAlignment="1">
      <alignment horizontal="left" vertical="top"/>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5" fillId="0" borderId="12" xfId="0" applyFont="1" applyBorder="1"/>
    <xf numFmtId="0" fontId="2" fillId="2" borderId="3" xfId="1"/>
    <xf numFmtId="0" fontId="5" fillId="0" borderId="0" xfId="0" applyFont="1"/>
    <xf numFmtId="0" fontId="0" fillId="0" borderId="13" xfId="0" applyBorder="1"/>
    <xf numFmtId="0" fontId="0" fillId="0" borderId="0" xfId="0" applyAlignment="1">
      <alignment horizontal="right"/>
    </xf>
    <xf numFmtId="0" fontId="3" fillId="3" borderId="4" xfId="2"/>
    <xf numFmtId="0" fontId="0" fillId="0" borderId="16" xfId="0" applyBorder="1"/>
    <xf numFmtId="0" fontId="0" fillId="0" borderId="11" xfId="0" applyBorder="1"/>
    <xf numFmtId="0" fontId="0" fillId="0" borderId="15" xfId="0" applyBorder="1" applyAlignment="1">
      <alignment horizontal="right"/>
    </xf>
    <xf numFmtId="164" fontId="0" fillId="0" borderId="0" xfId="0" applyNumberFormat="1" applyAlignment="1">
      <alignment horizontal="center" vertical="center"/>
    </xf>
    <xf numFmtId="164" fontId="0" fillId="0" borderId="0" xfId="0" applyNumberFormat="1" applyAlignment="1">
      <alignment horizontal="center"/>
    </xf>
    <xf numFmtId="49" fontId="0" fillId="0" borderId="0" xfId="0" applyNumberFormat="1"/>
    <xf numFmtId="164" fontId="0" fillId="0" borderId="2" xfId="0" applyNumberFormat="1" applyBorder="1"/>
    <xf numFmtId="1" fontId="0" fillId="0" borderId="0" xfId="0" applyNumberFormat="1"/>
    <xf numFmtId="0" fontId="0" fillId="0" borderId="25" xfId="0" applyBorder="1" applyAlignment="1">
      <alignment horizontal="center"/>
    </xf>
    <xf numFmtId="0" fontId="0" fillId="0" borderId="47" xfId="0" applyBorder="1"/>
    <xf numFmtId="0" fontId="0" fillId="0" borderId="35" xfId="0" applyBorder="1"/>
    <xf numFmtId="0" fontId="0" fillId="0" borderId="48" xfId="0" applyBorder="1" applyAlignment="1">
      <alignment horizontal="right"/>
    </xf>
    <xf numFmtId="0" fontId="0" fillId="0" borderId="48" xfId="0" applyBorder="1"/>
    <xf numFmtId="0" fontId="4" fillId="3" borderId="49" xfId="3" applyBorder="1"/>
    <xf numFmtId="0" fontId="0" fillId="13" borderId="44" xfId="0" applyFill="1" applyBorder="1" applyAlignment="1">
      <alignment vertical="top" wrapText="1"/>
    </xf>
    <xf numFmtId="0" fontId="1" fillId="0" borderId="0" xfId="0" applyFont="1" applyAlignment="1">
      <alignment horizontal="left" vertical="center"/>
    </xf>
    <xf numFmtId="0" fontId="1" fillId="4" borderId="25" xfId="0" applyFont="1" applyFill="1" applyBorder="1" applyAlignment="1">
      <alignment horizontal="left" vertical="top" wrapText="1"/>
    </xf>
    <xf numFmtId="0" fontId="1" fillId="0" borderId="33"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1" xfId="0" applyFont="1" applyBorder="1" applyAlignment="1">
      <alignment horizontal="center" vertical="center" wrapText="1"/>
    </xf>
    <xf numFmtId="0" fontId="1" fillId="60" borderId="50" xfId="0" applyFont="1" applyFill="1" applyBorder="1" applyAlignment="1">
      <alignment horizontal="center" vertical="center" wrapText="1"/>
    </xf>
    <xf numFmtId="0" fontId="1" fillId="9" borderId="50" xfId="0" applyFont="1" applyFill="1" applyBorder="1" applyAlignment="1">
      <alignment horizontal="center" vertical="center" wrapText="1"/>
    </xf>
    <xf numFmtId="0" fontId="1" fillId="16" borderId="1" xfId="0" applyFont="1" applyFill="1" applyBorder="1" applyAlignment="1">
      <alignment horizontal="center" vertical="center" wrapText="1"/>
    </xf>
    <xf numFmtId="0" fontId="1" fillId="4" borderId="25" xfId="0" applyFont="1" applyFill="1" applyBorder="1" applyAlignment="1">
      <alignment horizontal="center" vertical="top" wrapText="1"/>
    </xf>
    <xf numFmtId="0" fontId="28" fillId="0" borderId="5" xfId="0" applyFont="1" applyBorder="1" applyAlignment="1">
      <alignment horizontal="left" vertical="center"/>
    </xf>
    <xf numFmtId="0" fontId="10" fillId="61" borderId="9" xfId="0" applyFont="1" applyFill="1" applyBorder="1"/>
    <xf numFmtId="0" fontId="0" fillId="61" borderId="10" xfId="0" applyFill="1" applyBorder="1"/>
    <xf numFmtId="0" fontId="0" fillId="61" borderId="11" xfId="0" applyFill="1" applyBorder="1"/>
    <xf numFmtId="164" fontId="1" fillId="60" borderId="2" xfId="0" applyNumberFormat="1" applyFont="1" applyFill="1" applyBorder="1" applyAlignment="1">
      <alignment horizontal="center" vertical="center"/>
    </xf>
    <xf numFmtId="2" fontId="1" fillId="9" borderId="2" xfId="0" applyNumberFormat="1" applyFont="1" applyFill="1" applyBorder="1" applyAlignment="1">
      <alignment horizontal="center" vertical="center"/>
    </xf>
    <xf numFmtId="164" fontId="1" fillId="16" borderId="2" xfId="0" applyNumberFormat="1" applyFont="1" applyFill="1" applyBorder="1" applyAlignment="1">
      <alignment horizontal="center" vertical="center"/>
    </xf>
    <xf numFmtId="0" fontId="1" fillId="51" borderId="1" xfId="0" applyFont="1" applyFill="1" applyBorder="1" applyAlignment="1">
      <alignment horizontal="center" vertical="center" wrapText="1"/>
    </xf>
    <xf numFmtId="0" fontId="0" fillId="61" borderId="12" xfId="0" applyFill="1" applyBorder="1"/>
    <xf numFmtId="164" fontId="0" fillId="61" borderId="0" xfId="0" applyNumberFormat="1" applyFill="1"/>
    <xf numFmtId="0" fontId="0" fillId="61" borderId="0" xfId="0" applyFill="1"/>
    <xf numFmtId="164" fontId="10" fillId="61" borderId="0" xfId="0" applyNumberFormat="1" applyFont="1" applyFill="1"/>
    <xf numFmtId="0" fontId="10" fillId="61" borderId="0" xfId="0" applyFont="1" applyFill="1"/>
    <xf numFmtId="0" fontId="0" fillId="61" borderId="13" xfId="0" applyFill="1" applyBorder="1"/>
    <xf numFmtId="165" fontId="28" fillId="60" borderId="5" xfId="0" applyNumberFormat="1" applyFont="1" applyFill="1" applyBorder="1" applyAlignment="1">
      <alignment horizontal="right" vertical="center"/>
    </xf>
    <xf numFmtId="1" fontId="28" fillId="60" borderId="5" xfId="0" applyNumberFormat="1" applyFont="1" applyFill="1" applyBorder="1" applyAlignment="1">
      <alignment horizontal="center" vertical="center"/>
    </xf>
    <xf numFmtId="164" fontId="10" fillId="61" borderId="6" xfId="0" applyNumberFormat="1" applyFont="1" applyFill="1" applyBorder="1" applyAlignment="1">
      <alignment horizontal="center"/>
    </xf>
    <xf numFmtId="164" fontId="10" fillId="61" borderId="6" xfId="0" applyNumberFormat="1" applyFont="1" applyFill="1" applyBorder="1"/>
    <xf numFmtId="0" fontId="0" fillId="61" borderId="14" xfId="0" applyFill="1" applyBorder="1"/>
    <xf numFmtId="164" fontId="0" fillId="61" borderId="15" xfId="0" applyNumberFormat="1" applyFill="1" applyBorder="1"/>
    <xf numFmtId="0" fontId="0" fillId="61" borderId="15" xfId="0" applyFill="1" applyBorder="1"/>
    <xf numFmtId="164" fontId="10" fillId="61" borderId="15" xfId="0" applyNumberFormat="1" applyFont="1" applyFill="1" applyBorder="1" applyAlignment="1">
      <alignment horizontal="center"/>
    </xf>
    <xf numFmtId="164" fontId="10" fillId="61" borderId="15" xfId="0" applyNumberFormat="1" applyFont="1" applyFill="1" applyBorder="1"/>
    <xf numFmtId="0" fontId="0" fillId="61" borderId="16" xfId="0" applyFill="1" applyBorder="1"/>
    <xf numFmtId="9" fontId="0" fillId="0" borderId="0" xfId="45" applyFont="1"/>
    <xf numFmtId="164" fontId="1" fillId="60" borderId="0" xfId="0" applyNumberFormat="1" applyFont="1" applyFill="1" applyAlignment="1">
      <alignment horizontal="center" vertical="center"/>
    </xf>
    <xf numFmtId="2" fontId="1" fillId="9" borderId="0" xfId="0" applyNumberFormat="1" applyFont="1" applyFill="1" applyAlignment="1">
      <alignment horizontal="center" vertical="center"/>
    </xf>
    <xf numFmtId="164" fontId="1" fillId="16" borderId="0" xfId="0" applyNumberFormat="1" applyFont="1" applyFill="1" applyAlignment="1">
      <alignment horizontal="center" vertical="center"/>
    </xf>
    <xf numFmtId="164" fontId="28" fillId="51" borderId="5" xfId="0" applyNumberFormat="1" applyFont="1" applyFill="1" applyBorder="1" applyAlignment="1">
      <alignment horizontal="center" vertical="center"/>
    </xf>
    <xf numFmtId="168" fontId="0" fillId="0" borderId="0" xfId="0" applyNumberFormat="1"/>
    <xf numFmtId="49" fontId="11" fillId="0" borderId="0" xfId="0" applyNumberFormat="1" applyFont="1"/>
    <xf numFmtId="0" fontId="13" fillId="8" borderId="6" xfId="0" applyFont="1" applyFill="1" applyBorder="1" applyAlignment="1">
      <alignment textRotation="45" wrapText="1"/>
    </xf>
    <xf numFmtId="0" fontId="13" fillId="10" borderId="6" xfId="0" applyFont="1" applyFill="1" applyBorder="1" applyAlignment="1">
      <alignment textRotation="45" wrapText="1"/>
    </xf>
    <xf numFmtId="0" fontId="13" fillId="11" borderId="6" xfId="0" applyFont="1" applyFill="1" applyBorder="1" applyAlignment="1">
      <alignment textRotation="45" wrapText="1"/>
    </xf>
    <xf numFmtId="0" fontId="13" fillId="12" borderId="6" xfId="0" applyFont="1" applyFill="1" applyBorder="1" applyAlignment="1">
      <alignment textRotation="45" wrapText="1"/>
    </xf>
    <xf numFmtId="0" fontId="13" fillId="13" borderId="6" xfId="0" applyFont="1" applyFill="1" applyBorder="1" applyAlignment="1">
      <alignment textRotation="45" wrapText="1"/>
    </xf>
    <xf numFmtId="0" fontId="0" fillId="0" borderId="0" xfId="0" applyAlignment="1">
      <alignment horizontal="center" vertical="center" wrapText="1"/>
    </xf>
    <xf numFmtId="0" fontId="10" fillId="0" borderId="60" xfId="0" applyFont="1" applyBorder="1" applyAlignment="1">
      <alignment horizontal="left"/>
    </xf>
    <xf numFmtId="0" fontId="10" fillId="0" borderId="33" xfId="0" applyFont="1" applyBorder="1"/>
    <xf numFmtId="0" fontId="10" fillId="0" borderId="62" xfId="0" applyFont="1" applyBorder="1"/>
    <xf numFmtId="0" fontId="10" fillId="0" borderId="0" xfId="0" applyFont="1" applyAlignment="1">
      <alignment horizontal="left" vertical="center"/>
    </xf>
    <xf numFmtId="0" fontId="0" fillId="62" borderId="0" xfId="0" applyFill="1"/>
    <xf numFmtId="0" fontId="10" fillId="9" borderId="12" xfId="0" applyFont="1" applyFill="1" applyBorder="1"/>
    <xf numFmtId="0" fontId="10" fillId="0" borderId="13" xfId="0" applyFont="1" applyBorder="1"/>
    <xf numFmtId="14" fontId="0" fillId="0" borderId="0" xfId="0" applyNumberFormat="1" applyAlignment="1">
      <alignment horizontal="left" vertical="center"/>
    </xf>
    <xf numFmtId="0" fontId="0" fillId="63" borderId="12" xfId="0" applyFill="1" applyBorder="1"/>
    <xf numFmtId="0" fontId="0" fillId="50" borderId="12" xfId="0" applyFill="1" applyBorder="1"/>
    <xf numFmtId="0" fontId="10" fillId="62" borderId="0" xfId="0" applyFont="1" applyFill="1"/>
    <xf numFmtId="0" fontId="10" fillId="0" borderId="14" xfId="0" applyFont="1" applyBorder="1"/>
    <xf numFmtId="0" fontId="10" fillId="0" borderId="16" xfId="0" applyFont="1" applyBorder="1"/>
    <xf numFmtId="0" fontId="11" fillId="0" borderId="0" xfId="0" applyFont="1" applyAlignment="1">
      <alignment vertical="top" wrapText="1"/>
    </xf>
    <xf numFmtId="0" fontId="14" fillId="0" borderId="0" xfId="0" applyFont="1" applyAlignment="1">
      <alignment vertical="center" wrapText="1"/>
    </xf>
    <xf numFmtId="0" fontId="10" fillId="0" borderId="31" xfId="0" applyFont="1" applyBorder="1"/>
    <xf numFmtId="0" fontId="10" fillId="0" borderId="0" xfId="0" applyFont="1" applyAlignment="1">
      <alignment horizontal="center"/>
    </xf>
    <xf numFmtId="1" fontId="0" fillId="9" borderId="6" xfId="0" applyNumberFormat="1" applyFill="1" applyBorder="1" applyAlignment="1">
      <alignment horizontal="center"/>
    </xf>
    <xf numFmtId="0" fontId="0" fillId="0" borderId="53" xfId="0" applyBorder="1" applyAlignment="1">
      <alignment horizontal="right"/>
    </xf>
    <xf numFmtId="165" fontId="0" fillId="51" borderId="6" xfId="0" applyNumberFormat="1" applyFill="1" applyBorder="1" applyAlignment="1">
      <alignment horizontal="center" vertical="center"/>
    </xf>
    <xf numFmtId="0" fontId="10" fillId="0" borderId="30" xfId="0" applyFont="1" applyBorder="1"/>
    <xf numFmtId="0" fontId="0" fillId="0" borderId="60" xfId="0" applyBorder="1" applyAlignment="1">
      <alignment horizontal="right"/>
    </xf>
    <xf numFmtId="169" fontId="0" fillId="0" borderId="0" xfId="0" applyNumberFormat="1" applyAlignment="1">
      <alignment horizontal="center" vertical="center"/>
    </xf>
    <xf numFmtId="0" fontId="24" fillId="0" borderId="0" xfId="0" applyFont="1" applyAlignment="1">
      <alignment wrapText="1"/>
    </xf>
    <xf numFmtId="0" fontId="0" fillId="65" borderId="0" xfId="0" applyFill="1"/>
    <xf numFmtId="0" fontId="7" fillId="0" borderId="0" xfId="4" applyFill="1"/>
    <xf numFmtId="0" fontId="0" fillId="65" borderId="0" xfId="0" applyFill="1" applyAlignment="1">
      <alignment wrapText="1"/>
    </xf>
    <xf numFmtId="0" fontId="0" fillId="4" borderId="0" xfId="0" applyFill="1"/>
    <xf numFmtId="0" fontId="10" fillId="0" borderId="12" xfId="0" applyFont="1" applyBorder="1"/>
    <xf numFmtId="0" fontId="0" fillId="65" borderId="0" xfId="0" applyFill="1" applyAlignment="1">
      <alignment horizontal="center" wrapText="1"/>
    </xf>
    <xf numFmtId="0" fontId="0" fillId="64" borderId="6" xfId="0" applyFill="1" applyBorder="1" applyAlignment="1">
      <alignment horizontal="center"/>
    </xf>
    <xf numFmtId="0" fontId="0" fillId="64" borderId="28" xfId="0" applyFill="1" applyBorder="1" applyAlignment="1">
      <alignment horizontal="center"/>
    </xf>
    <xf numFmtId="0" fontId="0" fillId="66" borderId="6" xfId="0" applyFill="1" applyBorder="1" applyAlignment="1">
      <alignment horizontal="center" vertical="top" wrapText="1"/>
    </xf>
    <xf numFmtId="0" fontId="0" fillId="67" borderId="6" xfId="0" applyFill="1" applyBorder="1" applyAlignment="1">
      <alignment horizontal="center" vertical="top" wrapText="1"/>
    </xf>
    <xf numFmtId="0" fontId="0" fillId="68" borderId="44" xfId="0" applyFill="1" applyBorder="1" applyAlignment="1">
      <alignment vertical="top" wrapText="1"/>
    </xf>
    <xf numFmtId="164" fontId="0" fillId="43" borderId="0" xfId="0" applyNumberFormat="1" applyFill="1"/>
    <xf numFmtId="164" fontId="0" fillId="43" borderId="0" xfId="0" applyNumberFormat="1" applyFill="1" applyAlignment="1">
      <alignment horizontal="right"/>
    </xf>
    <xf numFmtId="10" fontId="0" fillId="0" borderId="52" xfId="45" applyNumberFormat="1" applyFont="1" applyBorder="1" applyAlignment="1">
      <alignment horizontal="center"/>
    </xf>
    <xf numFmtId="0" fontId="0" fillId="4" borderId="32" xfId="0" applyFill="1" applyBorder="1" applyAlignment="1">
      <alignment horizontal="center"/>
    </xf>
    <xf numFmtId="164" fontId="0" fillId="15" borderId="43" xfId="0" applyNumberFormat="1" applyFill="1" applyBorder="1" applyAlignment="1">
      <alignment horizontal="center" vertical="center"/>
    </xf>
    <xf numFmtId="49" fontId="10" fillId="4" borderId="11" xfId="0" applyNumberFormat="1" applyFont="1" applyFill="1" applyBorder="1" applyAlignment="1">
      <alignment wrapText="1"/>
    </xf>
    <xf numFmtId="49" fontId="10" fillId="4" borderId="25" xfId="0" applyNumberFormat="1" applyFont="1" applyFill="1" applyBorder="1" applyAlignment="1">
      <alignment wrapText="1"/>
    </xf>
    <xf numFmtId="49" fontId="10" fillId="4" borderId="55" xfId="0" applyNumberFormat="1" applyFont="1" applyFill="1" applyBorder="1" applyAlignment="1">
      <alignment wrapText="1"/>
    </xf>
    <xf numFmtId="49" fontId="10" fillId="4" borderId="1" xfId="0" applyNumberFormat="1" applyFont="1" applyFill="1" applyBorder="1" applyAlignment="1">
      <alignment wrapText="1"/>
    </xf>
    <xf numFmtId="2" fontId="4" fillId="3" borderId="24" xfId="3" applyNumberFormat="1" applyBorder="1"/>
    <xf numFmtId="165" fontId="4" fillId="3" borderId="44" xfId="3" applyNumberFormat="1" applyBorder="1"/>
    <xf numFmtId="165" fontId="3" fillId="3" borderId="4" xfId="2" applyNumberFormat="1"/>
    <xf numFmtId="0" fontId="0" fillId="0" borderId="66" xfId="0" quotePrefix="1" applyBorder="1" applyAlignment="1">
      <alignment horizontal="centerContinuous"/>
    </xf>
    <xf numFmtId="0" fontId="0" fillId="0" borderId="50" xfId="0" applyBorder="1" applyAlignment="1">
      <alignment horizontal="centerContinuous"/>
    </xf>
    <xf numFmtId="0" fontId="0" fillId="0" borderId="69" xfId="0" applyBorder="1" applyAlignment="1">
      <alignment horizontal="center"/>
    </xf>
    <xf numFmtId="2" fontId="0" fillId="53" borderId="29" xfId="0" applyNumberFormat="1" applyFill="1" applyBorder="1" applyAlignment="1">
      <alignment horizontal="center" vertical="center"/>
    </xf>
    <xf numFmtId="166" fontId="0" fillId="53" borderId="29" xfId="0" applyNumberFormat="1" applyFill="1" applyBorder="1" applyAlignment="1">
      <alignment horizontal="center" vertical="center"/>
    </xf>
    <xf numFmtId="169" fontId="0" fillId="53" borderId="32" xfId="0" applyNumberFormat="1" applyFill="1" applyBorder="1" applyAlignment="1">
      <alignment horizontal="center" vertical="center"/>
    </xf>
    <xf numFmtId="0" fontId="11" fillId="0" borderId="53" xfId="0" applyFont="1" applyBorder="1" applyAlignment="1">
      <alignment horizontal="right" vertical="top" wrapText="1"/>
    </xf>
    <xf numFmtId="1" fontId="0" fillId="51" borderId="24" xfId="0" applyNumberFormat="1" applyFill="1" applyBorder="1" applyAlignment="1">
      <alignment horizontal="center"/>
    </xf>
    <xf numFmtId="1" fontId="0" fillId="64" borderId="24" xfId="0" applyNumberFormat="1" applyFill="1" applyBorder="1" applyAlignment="1">
      <alignment horizontal="center"/>
    </xf>
    <xf numFmtId="1" fontId="0" fillId="53" borderId="43" xfId="0" applyNumberFormat="1" applyFill="1" applyBorder="1" applyAlignment="1">
      <alignment horizontal="center"/>
    </xf>
    <xf numFmtId="0" fontId="11" fillId="0" borderId="14" xfId="0" applyFont="1" applyBorder="1" applyAlignment="1">
      <alignment vertical="top" wrapText="1"/>
    </xf>
    <xf numFmtId="0" fontId="14" fillId="0" borderId="68" xfId="0" applyFont="1" applyBorder="1" applyAlignment="1">
      <alignment horizontal="center" vertical="center" wrapText="1"/>
    </xf>
    <xf numFmtId="0" fontId="10" fillId="0" borderId="15" xfId="0" applyFont="1" applyBorder="1" applyAlignment="1">
      <alignment horizontal="center"/>
    </xf>
    <xf numFmtId="0" fontId="10" fillId="0" borderId="16" xfId="0" applyFont="1" applyBorder="1" applyAlignment="1">
      <alignment horizontal="center"/>
    </xf>
    <xf numFmtId="0" fontId="0" fillId="53" borderId="70" xfId="0" applyFill="1" applyBorder="1"/>
    <xf numFmtId="0" fontId="0" fillId="53" borderId="54" xfId="0" applyFill="1" applyBorder="1"/>
    <xf numFmtId="167" fontId="0" fillId="9" borderId="28" xfId="0" applyNumberFormat="1" applyFill="1" applyBorder="1" applyAlignment="1">
      <alignment horizontal="center"/>
    </xf>
    <xf numFmtId="0" fontId="0" fillId="53" borderId="61" xfId="0" applyFill="1" applyBorder="1"/>
    <xf numFmtId="166" fontId="0" fillId="9" borderId="6" xfId="0" applyNumberFormat="1" applyFill="1" applyBorder="1" applyAlignment="1">
      <alignment horizontal="center"/>
    </xf>
    <xf numFmtId="167" fontId="0" fillId="51" borderId="28" xfId="0" applyNumberFormat="1" applyFill="1" applyBorder="1" applyAlignment="1">
      <alignment horizontal="center" vertical="center"/>
    </xf>
    <xf numFmtId="166" fontId="0" fillId="51" borderId="6" xfId="0" applyNumberFormat="1" applyFill="1" applyBorder="1" applyAlignment="1">
      <alignment horizontal="center" vertical="center"/>
    </xf>
    <xf numFmtId="0" fontId="4" fillId="3" borderId="3" xfId="3"/>
    <xf numFmtId="0" fontId="13" fillId="14" borderId="5" xfId="0" applyFont="1" applyFill="1" applyBorder="1" applyAlignment="1">
      <alignment wrapText="1"/>
    </xf>
    <xf numFmtId="0" fontId="13" fillId="14" borderId="8" xfId="0" applyFont="1" applyFill="1" applyBorder="1" applyAlignment="1">
      <alignment wrapText="1"/>
    </xf>
    <xf numFmtId="0" fontId="0" fillId="0" borderId="65" xfId="0" applyBorder="1" applyAlignment="1">
      <alignment horizontal="centerContinuous"/>
    </xf>
    <xf numFmtId="1" fontId="0" fillId="64" borderId="27" xfId="0" applyNumberFormat="1" applyFill="1" applyBorder="1" applyAlignment="1">
      <alignment horizontal="center"/>
    </xf>
    <xf numFmtId="9" fontId="0" fillId="0" borderId="12" xfId="45" applyFont="1" applyBorder="1" applyAlignment="1">
      <alignment horizontal="center"/>
    </xf>
    <xf numFmtId="9" fontId="0" fillId="0" borderId="0" xfId="45" applyFont="1" applyBorder="1" applyAlignment="1">
      <alignment horizontal="center"/>
    </xf>
    <xf numFmtId="9" fontId="0" fillId="0" borderId="13" xfId="45" applyFont="1" applyBorder="1" applyAlignment="1">
      <alignment horizontal="center"/>
    </xf>
    <xf numFmtId="9" fontId="0" fillId="0" borderId="14" xfId="45" applyFont="1" applyBorder="1" applyAlignment="1">
      <alignment horizontal="center"/>
    </xf>
    <xf numFmtId="9" fontId="0" fillId="0" borderId="15" xfId="45" applyFont="1" applyBorder="1" applyAlignment="1">
      <alignment horizontal="center"/>
    </xf>
    <xf numFmtId="9" fontId="0" fillId="0" borderId="16" xfId="45" applyFont="1" applyBorder="1" applyAlignment="1">
      <alignment horizontal="center"/>
    </xf>
    <xf numFmtId="0" fontId="0" fillId="0" borderId="71" xfId="0" applyBorder="1" applyAlignment="1">
      <alignment horizontal="center"/>
    </xf>
    <xf numFmtId="0" fontId="0" fillId="0" borderId="55" xfId="0" applyBorder="1" applyAlignment="1">
      <alignment horizontal="center"/>
    </xf>
    <xf numFmtId="0" fontId="10" fillId="0" borderId="28" xfId="0" applyFont="1" applyBorder="1" applyAlignment="1">
      <alignment horizontal="right"/>
    </xf>
    <xf numFmtId="0" fontId="10" fillId="0" borderId="32" xfId="0" applyFont="1" applyBorder="1"/>
    <xf numFmtId="0" fontId="1" fillId="0" borderId="2" xfId="0" applyFont="1" applyBorder="1" applyAlignment="1">
      <alignment horizontal="center" vertical="center" wrapText="1"/>
    </xf>
    <xf numFmtId="14" fontId="1" fillId="0" borderId="2" xfId="0" applyNumberFormat="1" applyFont="1" applyBorder="1" applyAlignment="1">
      <alignment horizontal="left" vertical="center" wrapText="1"/>
    </xf>
    <xf numFmtId="164" fontId="1" fillId="60" borderId="2" xfId="0" applyNumberFormat="1" applyFont="1" applyFill="1" applyBorder="1" applyAlignment="1">
      <alignment horizontal="center" vertical="center" wrapText="1"/>
    </xf>
    <xf numFmtId="2" fontId="1" fillId="9" borderId="2" xfId="0" applyNumberFormat="1" applyFont="1" applyFill="1" applyBorder="1" applyAlignment="1">
      <alignment horizontal="center" vertical="center" wrapText="1"/>
    </xf>
    <xf numFmtId="164" fontId="1" fillId="16" borderId="2" xfId="0" applyNumberFormat="1" applyFont="1" applyFill="1" applyBorder="1" applyAlignment="1">
      <alignment horizontal="center" vertical="center" wrapText="1"/>
    </xf>
    <xf numFmtId="164" fontId="28" fillId="51" borderId="5" xfId="0" applyNumberFormat="1" applyFont="1" applyFill="1" applyBorder="1" applyAlignment="1">
      <alignment horizontal="center" vertical="center" wrapText="1"/>
    </xf>
    <xf numFmtId="0" fontId="0" fillId="61" borderId="12" xfId="0" applyFill="1" applyBorder="1" applyAlignment="1">
      <alignment wrapText="1"/>
    </xf>
    <xf numFmtId="164" fontId="0" fillId="61" borderId="0" xfId="0" applyNumberFormat="1" applyFill="1" applyAlignment="1">
      <alignment wrapText="1"/>
    </xf>
    <xf numFmtId="0" fontId="0" fillId="61" borderId="0" xfId="0" applyFill="1" applyAlignment="1">
      <alignment wrapText="1"/>
    </xf>
    <xf numFmtId="164" fontId="10" fillId="61" borderId="0" xfId="0" applyNumberFormat="1" applyFont="1" applyFill="1" applyAlignment="1">
      <alignment wrapText="1"/>
    </xf>
    <xf numFmtId="0" fontId="10" fillId="61" borderId="0" xfId="0" applyFont="1" applyFill="1" applyAlignment="1">
      <alignment wrapText="1"/>
    </xf>
    <xf numFmtId="0" fontId="0" fillId="61" borderId="13" xfId="0" applyFill="1" applyBorder="1" applyAlignment="1">
      <alignment wrapText="1"/>
    </xf>
    <xf numFmtId="1" fontId="0" fillId="0" borderId="0" xfId="0" applyNumberFormat="1" applyAlignment="1">
      <alignment wrapText="1"/>
    </xf>
    <xf numFmtId="0" fontId="0" fillId="0" borderId="0" xfId="0" applyAlignment="1">
      <alignment horizontal="right" wrapText="1"/>
    </xf>
    <xf numFmtId="170" fontId="0" fillId="61" borderId="15" xfId="45" applyNumberFormat="1" applyFont="1" applyFill="1" applyBorder="1" applyAlignment="1"/>
    <xf numFmtId="0" fontId="0" fillId="0" borderId="33" xfId="0" applyBorder="1" applyAlignment="1">
      <alignment horizontal="left"/>
    </xf>
    <xf numFmtId="0" fontId="0" fillId="0" borderId="6" xfId="0" applyBorder="1" applyAlignment="1">
      <alignment horizontal="right"/>
    </xf>
    <xf numFmtId="0" fontId="0" fillId="0" borderId="34" xfId="0" applyBorder="1"/>
    <xf numFmtId="0" fontId="0" fillId="0" borderId="42" xfId="0" applyBorder="1" applyAlignment="1">
      <alignment horizontal="left"/>
    </xf>
    <xf numFmtId="0" fontId="0" fillId="0" borderId="24" xfId="0" applyBorder="1" applyAlignment="1">
      <alignment horizontal="right"/>
    </xf>
    <xf numFmtId="0" fontId="0" fillId="0" borderId="43" xfId="0" applyBorder="1"/>
    <xf numFmtId="0" fontId="10" fillId="0" borderId="73" xfId="0" applyFont="1" applyBorder="1" applyAlignment="1">
      <alignment horizontal="right"/>
    </xf>
    <xf numFmtId="0" fontId="10" fillId="0" borderId="61" xfId="0" applyFont="1" applyBorder="1"/>
    <xf numFmtId="0" fontId="10" fillId="0" borderId="30" xfId="0" applyFont="1" applyBorder="1" applyAlignment="1">
      <alignment horizontal="left"/>
    </xf>
    <xf numFmtId="2" fontId="0" fillId="0" borderId="0" xfId="0" applyNumberFormat="1" applyAlignment="1">
      <alignment horizontal="center"/>
    </xf>
    <xf numFmtId="0" fontId="0" fillId="10" borderId="44" xfId="0" applyFill="1" applyBorder="1" applyAlignment="1">
      <alignment horizontal="center" vertical="center" wrapText="1"/>
    </xf>
    <xf numFmtId="0" fontId="0" fillId="66" borderId="44" xfId="0" applyFill="1" applyBorder="1" applyAlignment="1">
      <alignment horizontal="center" vertical="center" wrapText="1"/>
    </xf>
    <xf numFmtId="0" fontId="5" fillId="15" borderId="7" xfId="0" applyFont="1" applyFill="1" applyBorder="1" applyAlignment="1">
      <alignment wrapText="1"/>
    </xf>
    <xf numFmtId="0" fontId="5" fillId="15" borderId="5" xfId="0" applyFont="1" applyFill="1" applyBorder="1" applyAlignment="1">
      <alignment wrapText="1"/>
    </xf>
    <xf numFmtId="0" fontId="5" fillId="15" borderId="8" xfId="0" applyFont="1" applyFill="1" applyBorder="1" applyAlignment="1">
      <alignment wrapText="1"/>
    </xf>
    <xf numFmtId="0" fontId="13" fillId="14" borderId="7" xfId="0" applyFont="1" applyFill="1" applyBorder="1" applyAlignment="1">
      <alignment wrapText="1"/>
    </xf>
    <xf numFmtId="0" fontId="0" fillId="8" borderId="44" xfId="0" applyFill="1" applyBorder="1" applyAlignment="1">
      <alignment vertical="top" wrapText="1"/>
    </xf>
    <xf numFmtId="0" fontId="0" fillId="67" borderId="44" xfId="0" applyFill="1" applyBorder="1" applyAlignment="1">
      <alignment horizontal="center" vertical="center" wrapText="1"/>
    </xf>
    <xf numFmtId="171" fontId="0" fillId="0" borderId="0" xfId="0" applyNumberFormat="1"/>
    <xf numFmtId="172" fontId="0" fillId="0" borderId="0" xfId="0" applyNumberFormat="1"/>
    <xf numFmtId="173" fontId="0" fillId="0" borderId="0" xfId="0" applyNumberFormat="1"/>
    <xf numFmtId="174" fontId="0" fillId="0" borderId="0" xfId="0" applyNumberFormat="1"/>
    <xf numFmtId="175" fontId="0" fillId="0" borderId="0" xfId="0" applyNumberFormat="1"/>
    <xf numFmtId="176" fontId="0" fillId="0" borderId="0" xfId="0" applyNumberFormat="1"/>
    <xf numFmtId="0" fontId="12" fillId="0" borderId="0" xfId="48"/>
    <xf numFmtId="0" fontId="0" fillId="68" borderId="44" xfId="0" applyFill="1" applyBorder="1" applyAlignment="1">
      <alignment vertical="center" wrapText="1"/>
    </xf>
    <xf numFmtId="0" fontId="10" fillId="15" borderId="6" xfId="0" applyFont="1" applyFill="1" applyBorder="1" applyAlignment="1">
      <alignment vertical="top" wrapText="1"/>
    </xf>
    <xf numFmtId="0" fontId="10" fillId="15" borderId="6" xfId="0" applyFont="1" applyFill="1" applyBorder="1" applyAlignment="1">
      <alignment horizontal="center" vertical="center" wrapText="1"/>
    </xf>
    <xf numFmtId="0" fontId="10" fillId="15" borderId="6" xfId="0" applyFont="1" applyFill="1" applyBorder="1" applyAlignment="1">
      <alignment horizontal="center" vertical="top" wrapText="1"/>
    </xf>
    <xf numFmtId="0" fontId="13" fillId="14" borderId="7" xfId="0" applyFont="1" applyFill="1" applyBorder="1"/>
    <xf numFmtId="49" fontId="0" fillId="0" borderId="74" xfId="0" applyNumberFormat="1" applyBorder="1"/>
    <xf numFmtId="49" fontId="0" fillId="0" borderId="75" xfId="0" applyNumberFormat="1" applyBorder="1"/>
    <xf numFmtId="49" fontId="0" fillId="0" borderId="76" xfId="0" applyNumberFormat="1" applyBorder="1"/>
    <xf numFmtId="0" fontId="16" fillId="0" borderId="74" xfId="0" applyFont="1" applyBorder="1" applyAlignment="1">
      <alignment vertical="center" wrapText="1"/>
    </xf>
    <xf numFmtId="0" fontId="16" fillId="0" borderId="75" xfId="0" applyFont="1" applyBorder="1" applyAlignment="1">
      <alignment vertical="center" wrapText="1"/>
    </xf>
    <xf numFmtId="0" fontId="16" fillId="0" borderId="76" xfId="0" applyFont="1" applyBorder="1" applyAlignment="1">
      <alignment vertical="center" wrapText="1"/>
    </xf>
    <xf numFmtId="0" fontId="0" fillId="0" borderId="75" xfId="0" applyBorder="1" applyAlignment="1">
      <alignment vertical="center" wrapText="1"/>
    </xf>
    <xf numFmtId="0" fontId="33" fillId="0" borderId="0" xfId="0" applyFont="1" applyAlignment="1">
      <alignment horizontal="center"/>
    </xf>
    <xf numFmtId="0" fontId="10" fillId="0" borderId="10" xfId="0" applyFont="1" applyBorder="1"/>
    <xf numFmtId="0" fontId="10" fillId="0" borderId="10" xfId="0" applyFont="1" applyBorder="1" applyAlignment="1">
      <alignment horizontal="center"/>
    </xf>
    <xf numFmtId="0" fontId="16" fillId="0" borderId="0" xfId="0" applyFont="1" applyAlignment="1">
      <alignment vertical="center" wrapText="1"/>
    </xf>
    <xf numFmtId="0" fontId="16" fillId="0" borderId="74" xfId="0" applyFont="1" applyBorder="1" applyAlignment="1">
      <alignment horizontal="center" vertical="center" wrapText="1"/>
    </xf>
    <xf numFmtId="0" fontId="16" fillId="0" borderId="75" xfId="0" applyFont="1" applyBorder="1" applyAlignment="1">
      <alignment horizontal="center" vertical="center" wrapText="1"/>
    </xf>
    <xf numFmtId="0" fontId="0" fillId="0" borderId="75" xfId="0" applyBorder="1" applyAlignment="1">
      <alignment horizontal="center" vertical="center" wrapText="1"/>
    </xf>
    <xf numFmtId="1" fontId="0" fillId="9" borderId="0" xfId="0" applyNumberFormat="1" applyFill="1"/>
    <xf numFmtId="49" fontId="0" fillId="9" borderId="0" xfId="0" applyNumberFormat="1" applyFill="1"/>
    <xf numFmtId="171" fontId="0" fillId="9" borderId="0" xfId="0" applyNumberFormat="1" applyFill="1"/>
    <xf numFmtId="172" fontId="0" fillId="9" borderId="0" xfId="0" applyNumberFormat="1" applyFill="1"/>
    <xf numFmtId="173" fontId="0" fillId="9" borderId="0" xfId="0" applyNumberFormat="1" applyFill="1"/>
    <xf numFmtId="174" fontId="0" fillId="9" borderId="0" xfId="0" applyNumberFormat="1" applyFill="1"/>
    <xf numFmtId="175" fontId="0" fillId="9" borderId="0" xfId="0" applyNumberFormat="1" applyFill="1"/>
    <xf numFmtId="176" fontId="0" fillId="9" borderId="0" xfId="0" applyNumberFormat="1" applyFill="1"/>
    <xf numFmtId="169" fontId="0" fillId="64" borderId="7" xfId="0" applyNumberFormat="1" applyFill="1" applyBorder="1" applyAlignment="1">
      <alignment horizontal="center"/>
    </xf>
    <xf numFmtId="169" fontId="0" fillId="64" borderId="45" xfId="0" applyNumberFormat="1" applyFill="1" applyBorder="1" applyAlignment="1">
      <alignment horizontal="center"/>
    </xf>
    <xf numFmtId="0" fontId="0" fillId="0" borderId="76" xfId="0" applyBorder="1" applyAlignment="1">
      <alignment horizontal="center" vertical="center" wrapText="1"/>
    </xf>
    <xf numFmtId="0" fontId="16" fillId="0" borderId="76" xfId="0" applyFont="1" applyBorder="1" applyAlignment="1">
      <alignment horizontal="center" vertical="center" wrapText="1"/>
    </xf>
    <xf numFmtId="0" fontId="1" fillId="51" borderId="1" xfId="0" applyFont="1" applyFill="1" applyBorder="1" applyAlignment="1">
      <alignment horizontal="center" vertical="top" wrapText="1"/>
    </xf>
    <xf numFmtId="165" fontId="1" fillId="51" borderId="2" xfId="0" applyNumberFormat="1" applyFont="1" applyFill="1" applyBorder="1" applyAlignment="1">
      <alignment horizontal="center" vertical="center"/>
    </xf>
    <xf numFmtId="0" fontId="1" fillId="51" borderId="10" xfId="0" applyFont="1" applyFill="1" applyBorder="1" applyAlignment="1">
      <alignment horizontal="center" vertical="top" wrapText="1"/>
    </xf>
    <xf numFmtId="165" fontId="28" fillId="51" borderId="2" xfId="0" applyNumberFormat="1" applyFont="1" applyFill="1" applyBorder="1" applyAlignment="1">
      <alignment horizontal="center" vertical="center"/>
    </xf>
    <xf numFmtId="0" fontId="1" fillId="51" borderId="6" xfId="0" applyFont="1" applyFill="1" applyBorder="1" applyAlignment="1">
      <alignment horizontal="center" vertical="top" wrapText="1"/>
    </xf>
    <xf numFmtId="14" fontId="1" fillId="0" borderId="2" xfId="0" applyNumberFormat="1" applyFont="1" applyBorder="1" applyAlignment="1">
      <alignment horizontal="left" vertical="center"/>
    </xf>
    <xf numFmtId="0" fontId="1" fillId="15" borderId="2" xfId="0" applyFont="1" applyFill="1" applyBorder="1" applyAlignment="1">
      <alignment horizontal="left" vertical="center"/>
    </xf>
    <xf numFmtId="2" fontId="1" fillId="12" borderId="2" xfId="0" applyNumberFormat="1" applyFont="1" applyFill="1" applyBorder="1" applyAlignment="1">
      <alignment horizontal="center" vertical="center"/>
    </xf>
    <xf numFmtId="0" fontId="28" fillId="15" borderId="2" xfId="0" applyFont="1" applyFill="1" applyBorder="1" applyAlignment="1">
      <alignment horizontal="left" vertical="center"/>
    </xf>
    <xf numFmtId="2" fontId="28" fillId="12" borderId="2" xfId="0" applyNumberFormat="1" applyFont="1" applyFill="1" applyBorder="1" applyAlignment="1">
      <alignment horizontal="center" vertical="center"/>
    </xf>
    <xf numFmtId="164" fontId="28" fillId="45" borderId="2" xfId="0" applyNumberFormat="1" applyFont="1" applyFill="1" applyBorder="1" applyAlignment="1">
      <alignment horizontal="center" vertical="center"/>
    </xf>
    <xf numFmtId="165" fontId="1" fillId="45" borderId="2" xfId="0" applyNumberFormat="1" applyFont="1" applyFill="1" applyBorder="1" applyAlignment="1">
      <alignment horizontal="center" vertical="center"/>
    </xf>
    <xf numFmtId="165" fontId="28" fillId="45" borderId="2" xfId="0" applyNumberFormat="1" applyFont="1" applyFill="1" applyBorder="1" applyAlignment="1">
      <alignment horizontal="center" vertical="center"/>
    </xf>
    <xf numFmtId="0" fontId="1" fillId="0" borderId="1" xfId="0" applyFont="1" applyBorder="1" applyAlignment="1">
      <alignment horizontal="center" vertical="top" wrapText="1"/>
    </xf>
    <xf numFmtId="0" fontId="1" fillId="49" borderId="1" xfId="0" applyFont="1" applyFill="1" applyBorder="1" applyAlignment="1">
      <alignment horizontal="center" vertical="top" wrapText="1"/>
    </xf>
    <xf numFmtId="0" fontId="1" fillId="44" borderId="1" xfId="0" applyFont="1" applyFill="1" applyBorder="1" applyAlignment="1">
      <alignment horizontal="center" vertical="top" wrapText="1"/>
    </xf>
    <xf numFmtId="0" fontId="1" fillId="15" borderId="1" xfId="0" applyFont="1" applyFill="1" applyBorder="1" applyAlignment="1">
      <alignment horizontal="center" vertical="top" wrapText="1"/>
    </xf>
    <xf numFmtId="0" fontId="1" fillId="12" borderId="1" xfId="0" applyFont="1" applyFill="1" applyBorder="1" applyAlignment="1">
      <alignment horizontal="center" vertical="top" wrapText="1"/>
    </xf>
    <xf numFmtId="0" fontId="1" fillId="45" borderId="1" xfId="0" applyFont="1" applyFill="1" applyBorder="1" applyAlignment="1">
      <alignment horizontal="center" vertical="top" wrapText="1"/>
    </xf>
    <xf numFmtId="0" fontId="1" fillId="0" borderId="2" xfId="0" applyFont="1" applyBorder="1" applyAlignment="1">
      <alignment horizontal="center" vertical="center"/>
    </xf>
    <xf numFmtId="0" fontId="1" fillId="0" borderId="2" xfId="0" applyFont="1" applyBorder="1" applyAlignment="1">
      <alignment horizontal="left" vertical="center" wrapText="1"/>
    </xf>
    <xf numFmtId="1" fontId="1" fillId="44" borderId="2" xfId="0" applyNumberFormat="1" applyFont="1" applyFill="1" applyBorder="1" applyAlignment="1">
      <alignment horizontal="center"/>
    </xf>
    <xf numFmtId="1" fontId="28" fillId="44" borderId="2" xfId="0" applyNumberFormat="1" applyFont="1" applyFill="1" applyBorder="1" applyAlignment="1">
      <alignment horizontal="center"/>
    </xf>
    <xf numFmtId="169" fontId="1" fillId="15" borderId="2" xfId="0" applyNumberFormat="1" applyFont="1" applyFill="1" applyBorder="1" applyAlignment="1">
      <alignment horizontal="left" vertical="center"/>
    </xf>
    <xf numFmtId="167" fontId="1" fillId="15" borderId="2" xfId="0" applyNumberFormat="1" applyFont="1" applyFill="1" applyBorder="1" applyAlignment="1">
      <alignment horizontal="left" vertical="center"/>
    </xf>
    <xf numFmtId="0" fontId="1" fillId="0" borderId="1" xfId="0" applyFont="1" applyBorder="1" applyAlignment="1">
      <alignment horizontal="right" vertical="top" wrapText="1"/>
    </xf>
    <xf numFmtId="0" fontId="1" fillId="0" borderId="0" xfId="0" applyFont="1" applyAlignment="1">
      <alignment horizontal="center" vertical="center"/>
    </xf>
    <xf numFmtId="0" fontId="1" fillId="0" borderId="48" xfId="0" applyFont="1" applyBorder="1" applyAlignment="1">
      <alignment horizontal="center" vertical="center"/>
    </xf>
    <xf numFmtId="0" fontId="1" fillId="49" borderId="2" xfId="0" applyFont="1" applyFill="1" applyBorder="1" applyAlignment="1">
      <alignment horizontal="center" vertical="center"/>
    </xf>
    <xf numFmtId="165" fontId="1" fillId="45" borderId="77" xfId="0" applyNumberFormat="1" applyFont="1" applyFill="1" applyBorder="1" applyAlignment="1">
      <alignment horizontal="center" vertical="center"/>
    </xf>
    <xf numFmtId="165" fontId="1" fillId="45" borderId="48" xfId="0" applyNumberFormat="1" applyFont="1" applyFill="1" applyBorder="1" applyAlignment="1">
      <alignment horizontal="center" vertical="center"/>
    </xf>
    <xf numFmtId="0" fontId="1" fillId="0" borderId="33" xfId="0" applyFont="1" applyBorder="1" applyAlignment="1">
      <alignment horizontal="center" vertical="top" wrapText="1"/>
    </xf>
    <xf numFmtId="14" fontId="1" fillId="0" borderId="2" xfId="0" applyNumberFormat="1" applyFont="1" applyBorder="1" applyAlignment="1">
      <alignment horizontal="center" vertical="center"/>
    </xf>
    <xf numFmtId="165"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69" borderId="1" xfId="0" applyFont="1" applyFill="1" applyBorder="1" applyAlignment="1">
      <alignment horizontal="center" vertical="top" wrapText="1"/>
    </xf>
    <xf numFmtId="2" fontId="1" fillId="0" borderId="2" xfId="0" applyNumberFormat="1" applyFont="1" applyBorder="1" applyAlignment="1">
      <alignment horizontal="center" vertical="center"/>
    </xf>
    <xf numFmtId="2" fontId="28" fillId="0" borderId="2" xfId="0" applyNumberFormat="1" applyFont="1" applyBorder="1" applyAlignment="1">
      <alignment horizontal="center" vertical="center"/>
    </xf>
    <xf numFmtId="0" fontId="1" fillId="43" borderId="1" xfId="0" applyFont="1" applyFill="1" applyBorder="1" applyAlignment="1">
      <alignment horizontal="center" vertical="top" wrapText="1"/>
    </xf>
    <xf numFmtId="165" fontId="1" fillId="43" borderId="2" xfId="0" applyNumberFormat="1" applyFont="1" applyFill="1" applyBorder="1" applyAlignment="1">
      <alignment horizontal="center" vertical="center"/>
    </xf>
    <xf numFmtId="165" fontId="28" fillId="43" borderId="2" xfId="0" applyNumberFormat="1" applyFont="1" applyFill="1" applyBorder="1" applyAlignment="1">
      <alignment horizontal="center" vertical="center"/>
    </xf>
    <xf numFmtId="0" fontId="0" fillId="4" borderId="0" xfId="0" applyFill="1" applyAlignment="1">
      <alignment horizontal="center"/>
    </xf>
    <xf numFmtId="0" fontId="10" fillId="0" borderId="0" xfId="0" applyFont="1" applyAlignment="1">
      <alignment horizontal="right"/>
    </xf>
    <xf numFmtId="165" fontId="0" fillId="0" borderId="0" xfId="0" applyNumberFormat="1" applyAlignment="1">
      <alignment horizontal="center"/>
    </xf>
    <xf numFmtId="170" fontId="0" fillId="0" borderId="0" xfId="45" applyNumberFormat="1" applyFont="1" applyAlignment="1">
      <alignment horizontal="center"/>
    </xf>
    <xf numFmtId="0" fontId="10" fillId="4" borderId="0" xfId="0" applyFont="1" applyFill="1" applyAlignment="1">
      <alignment horizontal="center"/>
    </xf>
    <xf numFmtId="2" fontId="0" fillId="4" borderId="0" xfId="0" applyNumberFormat="1" applyFill="1" applyAlignment="1">
      <alignment horizontal="center"/>
    </xf>
    <xf numFmtId="170" fontId="0" fillId="4" borderId="0" xfId="0" applyNumberFormat="1" applyFill="1" applyAlignment="1">
      <alignment horizontal="center"/>
    </xf>
    <xf numFmtId="170" fontId="0" fillId="4" borderId="0" xfId="45" applyNumberFormat="1" applyFont="1" applyFill="1" applyAlignment="1">
      <alignment horizontal="center"/>
    </xf>
    <xf numFmtId="170" fontId="0" fillId="0" borderId="0" xfId="45" applyNumberFormat="1" applyFont="1" applyFill="1" applyAlignment="1">
      <alignment horizontal="center"/>
    </xf>
    <xf numFmtId="0" fontId="1" fillId="0" borderId="2" xfId="0" applyFont="1" applyBorder="1" applyAlignment="1">
      <alignment horizontal="left" vertical="center"/>
    </xf>
    <xf numFmtId="0" fontId="10" fillId="4" borderId="0" xfId="0" applyFont="1" applyFill="1"/>
    <xf numFmtId="0" fontId="35" fillId="13" borderId="44" xfId="0" applyFont="1" applyFill="1" applyBorder="1" applyAlignment="1">
      <alignment vertical="top" wrapText="1"/>
    </xf>
    <xf numFmtId="0" fontId="0" fillId="0" borderId="2" xfId="0" applyBorder="1" applyAlignment="1">
      <alignment horizontal="center" vertical="top" wrapText="1"/>
    </xf>
    <xf numFmtId="0" fontId="36" fillId="10" borderId="6" xfId="0" applyFont="1" applyFill="1" applyBorder="1" applyAlignment="1">
      <alignment horizontal="center" vertical="top" wrapText="1"/>
    </xf>
    <xf numFmtId="0" fontId="36" fillId="13" borderId="44" xfId="0" applyFont="1" applyFill="1" applyBorder="1" applyAlignment="1">
      <alignment vertical="top" wrapText="1"/>
    </xf>
    <xf numFmtId="0" fontId="35" fillId="8" borderId="6" xfId="0" applyFont="1" applyFill="1" applyBorder="1" applyAlignment="1">
      <alignment vertical="top" wrapText="1"/>
    </xf>
    <xf numFmtId="0" fontId="0" fillId="0" borderId="6" xfId="0" applyBorder="1" applyAlignment="1">
      <alignment horizontal="center" vertical="center" wrapText="1"/>
    </xf>
    <xf numFmtId="0" fontId="0" fillId="0" borderId="6" xfId="0" applyBorder="1" applyAlignment="1">
      <alignment horizontal="center" vertical="top" wrapText="1"/>
    </xf>
    <xf numFmtId="0" fontId="0" fillId="0" borderId="44" xfId="0" applyBorder="1" applyAlignment="1">
      <alignment horizontal="center" vertical="center" wrapText="1"/>
    </xf>
    <xf numFmtId="0" fontId="1" fillId="4" borderId="5" xfId="0" applyFont="1" applyFill="1" applyBorder="1" applyAlignment="1">
      <alignment horizontal="center" vertical="top"/>
    </xf>
    <xf numFmtId="0" fontId="1" fillId="4" borderId="5" xfId="0" applyFont="1" applyFill="1" applyBorder="1" applyAlignment="1">
      <alignment horizontal="left" vertical="top"/>
    </xf>
    <xf numFmtId="167" fontId="1" fillId="4" borderId="5" xfId="0" applyNumberFormat="1" applyFont="1" applyFill="1" applyBorder="1" applyAlignment="1">
      <alignment horizontal="left" vertical="top"/>
    </xf>
    <xf numFmtId="169" fontId="1" fillId="4" borderId="5" xfId="0" applyNumberFormat="1" applyFont="1" applyFill="1" applyBorder="1" applyAlignment="1">
      <alignment horizontal="left" vertical="top"/>
    </xf>
    <xf numFmtId="0" fontId="1" fillId="4" borderId="52" xfId="0" applyFont="1" applyFill="1" applyBorder="1" applyAlignment="1">
      <alignment horizontal="center" vertical="top"/>
    </xf>
    <xf numFmtId="0" fontId="1" fillId="70" borderId="2" xfId="0" applyFont="1" applyFill="1" applyBorder="1" applyAlignment="1">
      <alignment horizontal="center" vertical="center"/>
    </xf>
    <xf numFmtId="0" fontId="28" fillId="45" borderId="1" xfId="0" applyFont="1" applyFill="1" applyBorder="1" applyAlignment="1">
      <alignment horizontal="center" vertical="top" wrapText="1"/>
    </xf>
    <xf numFmtId="0" fontId="39" fillId="4" borderId="5" xfId="0" applyFont="1" applyFill="1" applyBorder="1" applyAlignment="1">
      <alignment horizontal="center" vertical="top"/>
    </xf>
    <xf numFmtId="0" fontId="40" fillId="45" borderId="1" xfId="0" applyFont="1" applyFill="1" applyBorder="1" applyAlignment="1">
      <alignment horizontal="center" vertical="top" wrapText="1"/>
    </xf>
    <xf numFmtId="0" fontId="41" fillId="45" borderId="1" xfId="0" applyFont="1" applyFill="1" applyBorder="1" applyAlignment="1">
      <alignment horizontal="center" vertical="top" wrapText="1"/>
    </xf>
    <xf numFmtId="0" fontId="41" fillId="43" borderId="1" xfId="0" applyFont="1" applyFill="1" applyBorder="1" applyAlignment="1">
      <alignment horizontal="center" vertical="top" wrapText="1"/>
    </xf>
    <xf numFmtId="167" fontId="1" fillId="4" borderId="5" xfId="0" applyNumberFormat="1" applyFont="1" applyFill="1" applyBorder="1" applyAlignment="1">
      <alignment horizontal="center" vertical="top"/>
    </xf>
    <xf numFmtId="169" fontId="1" fillId="4" borderId="5" xfId="0" applyNumberFormat="1" applyFont="1" applyFill="1" applyBorder="1" applyAlignment="1">
      <alignment horizontal="center" vertical="top"/>
    </xf>
    <xf numFmtId="0" fontId="1" fillId="4" borderId="78" xfId="0" applyFont="1" applyFill="1" applyBorder="1" applyAlignment="1">
      <alignment horizontal="center" vertical="top"/>
    </xf>
    <xf numFmtId="0" fontId="41" fillId="0" borderId="2" xfId="0" applyFont="1" applyBorder="1" applyAlignment="1">
      <alignment horizontal="center"/>
    </xf>
    <xf numFmtId="0" fontId="0" fillId="0" borderId="33" xfId="0" applyBorder="1"/>
    <xf numFmtId="1" fontId="0" fillId="9" borderId="51" xfId="0" applyNumberFormat="1" applyFill="1" applyBorder="1"/>
    <xf numFmtId="0" fontId="0" fillId="0" borderId="31" xfId="0" applyBorder="1"/>
    <xf numFmtId="166" fontId="0" fillId="9" borderId="44" xfId="0" applyNumberFormat="1" applyFill="1" applyBorder="1"/>
    <xf numFmtId="0" fontId="0" fillId="0" borderId="29" xfId="0" applyBorder="1"/>
    <xf numFmtId="167" fontId="0" fillId="9" borderId="44" xfId="0" applyNumberFormat="1" applyFill="1" applyBorder="1"/>
    <xf numFmtId="0" fontId="0" fillId="0" borderId="30" xfId="0" applyBorder="1"/>
    <xf numFmtId="167" fontId="0" fillId="9" borderId="6" xfId="0" applyNumberFormat="1" applyFill="1" applyBorder="1"/>
    <xf numFmtId="0" fontId="0" fillId="0" borderId="32" xfId="0" applyBorder="1"/>
    <xf numFmtId="0" fontId="0" fillId="4" borderId="39" xfId="0" applyFill="1" applyBorder="1" applyAlignment="1">
      <alignment vertical="top" wrapText="1"/>
    </xf>
    <xf numFmtId="0" fontId="0" fillId="4" borderId="0" xfId="0" applyFill="1" applyAlignment="1">
      <alignment horizontal="right"/>
    </xf>
    <xf numFmtId="0" fontId="0" fillId="4" borderId="28" xfId="0" applyFill="1" applyBorder="1" applyAlignment="1">
      <alignment horizontal="center"/>
    </xf>
    <xf numFmtId="0" fontId="0" fillId="0" borderId="1" xfId="0" applyBorder="1"/>
    <xf numFmtId="164" fontId="0" fillId="0" borderId="24" xfId="0" applyNumberFormat="1" applyBorder="1" applyAlignment="1">
      <alignment horizontal="center" vertical="center"/>
    </xf>
    <xf numFmtId="164" fontId="0" fillId="15" borderId="24" xfId="0" applyNumberFormat="1" applyFill="1" applyBorder="1" applyAlignment="1">
      <alignment horizontal="center" vertical="center"/>
    </xf>
    <xf numFmtId="0" fontId="0" fillId="0" borderId="6" xfId="0" applyBorder="1"/>
    <xf numFmtId="164" fontId="0" fillId="15" borderId="6" xfId="0" applyNumberFormat="1" applyFill="1" applyBorder="1" applyAlignment="1">
      <alignment horizontal="center" vertical="center"/>
    </xf>
    <xf numFmtId="0" fontId="0" fillId="0" borderId="68" xfId="0" applyBorder="1"/>
    <xf numFmtId="164" fontId="0" fillId="0" borderId="15" xfId="0" applyNumberFormat="1" applyBorder="1"/>
    <xf numFmtId="164" fontId="0" fillId="0" borderId="15" xfId="0" applyNumberFormat="1" applyBorder="1" applyAlignment="1">
      <alignment horizontal="right"/>
    </xf>
    <xf numFmtId="10" fontId="0" fillId="0" borderId="15" xfId="0" applyNumberFormat="1" applyBorder="1"/>
    <xf numFmtId="0" fontId="0" fillId="4" borderId="40" xfId="0" applyFill="1" applyBorder="1" applyAlignment="1">
      <alignment horizontal="right"/>
    </xf>
    <xf numFmtId="0" fontId="0" fillId="4" borderId="42" xfId="0" applyFill="1" applyBorder="1"/>
    <xf numFmtId="0" fontId="0" fillId="4" borderId="24" xfId="0" applyFill="1" applyBorder="1" applyAlignment="1">
      <alignment horizontal="center"/>
    </xf>
    <xf numFmtId="0" fontId="0" fillId="4" borderId="43" xfId="0" applyFill="1" applyBorder="1" applyAlignment="1">
      <alignment horizontal="center"/>
    </xf>
    <xf numFmtId="0" fontId="0" fillId="0" borderId="31" xfId="0" applyBorder="1" applyAlignment="1">
      <alignment horizontal="right"/>
    </xf>
    <xf numFmtId="164" fontId="0" fillId="0" borderId="6" xfId="0" applyNumberFormat="1" applyBorder="1" applyAlignment="1">
      <alignment horizontal="center"/>
    </xf>
    <xf numFmtId="164" fontId="0" fillId="0" borderId="29" xfId="0" applyNumberFormat="1" applyBorder="1" applyAlignment="1">
      <alignment horizontal="center"/>
    </xf>
    <xf numFmtId="0" fontId="0" fillId="0" borderId="30" xfId="0" applyBorder="1" applyAlignment="1">
      <alignment horizontal="right"/>
    </xf>
    <xf numFmtId="164" fontId="0" fillId="0" borderId="28" xfId="0" applyNumberFormat="1" applyBorder="1" applyAlignment="1">
      <alignment horizontal="center"/>
    </xf>
    <xf numFmtId="164" fontId="0" fillId="0" borderId="32" xfId="0" applyNumberFormat="1" applyBorder="1" applyAlignment="1">
      <alignment horizontal="center"/>
    </xf>
    <xf numFmtId="0" fontId="0" fillId="4" borderId="6" xfId="0" applyFill="1" applyBorder="1"/>
    <xf numFmtId="0" fontId="0" fillId="4" borderId="29" xfId="0" applyFill="1" applyBorder="1"/>
    <xf numFmtId="0" fontId="0" fillId="0" borderId="28" xfId="0" applyBorder="1" applyAlignment="1">
      <alignment horizontal="center"/>
    </xf>
    <xf numFmtId="0" fontId="0" fillId="0" borderId="32" xfId="0" applyBorder="1" applyAlignment="1">
      <alignment horizontal="center"/>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9" borderId="7" xfId="0" applyFill="1" applyBorder="1"/>
    <xf numFmtId="0" fontId="0" fillId="9" borderId="5" xfId="0" applyFill="1" applyBorder="1"/>
    <xf numFmtId="0" fontId="0" fillId="9" borderId="52" xfId="0" applyFill="1" applyBorder="1"/>
    <xf numFmtId="0" fontId="0" fillId="4" borderId="42" xfId="0" applyFill="1" applyBorder="1" applyAlignment="1">
      <alignment horizontal="center"/>
    </xf>
    <xf numFmtId="1" fontId="0" fillId="0" borderId="6" xfId="0" applyNumberFormat="1" applyBorder="1" applyAlignment="1">
      <alignment horizontal="center"/>
    </xf>
    <xf numFmtId="0" fontId="0" fillId="0" borderId="7" xfId="0" applyBorder="1" applyAlignment="1">
      <alignment horizontal="right"/>
    </xf>
    <xf numFmtId="1" fontId="0" fillId="0" borderId="5" xfId="0" applyNumberFormat="1" applyBorder="1" applyAlignment="1">
      <alignment horizontal="center"/>
    </xf>
    <xf numFmtId="164" fontId="0" fillId="0" borderId="5" xfId="0" applyNumberFormat="1" applyBorder="1" applyAlignment="1">
      <alignment horizontal="right"/>
    </xf>
    <xf numFmtId="0" fontId="0" fillId="57" borderId="7" xfId="0" applyFill="1" applyBorder="1"/>
    <xf numFmtId="0" fontId="0" fillId="57" borderId="5" xfId="0" applyFill="1" applyBorder="1"/>
    <xf numFmtId="0" fontId="0" fillId="57" borderId="52" xfId="0" applyFill="1" applyBorder="1"/>
    <xf numFmtId="1" fontId="0" fillId="0" borderId="7" xfId="0" applyNumberFormat="1" applyBorder="1" applyAlignment="1">
      <alignment horizontal="center"/>
    </xf>
    <xf numFmtId="0" fontId="0" fillId="58" borderId="7" xfId="0" applyFill="1" applyBorder="1"/>
    <xf numFmtId="0" fontId="0" fillId="58" borderId="5" xfId="0" applyFill="1" applyBorder="1"/>
    <xf numFmtId="0" fontId="0" fillId="58" borderId="52" xfId="0" applyFill="1" applyBorder="1"/>
    <xf numFmtId="0" fontId="0" fillId="0" borderId="45" xfId="0" applyBorder="1"/>
    <xf numFmtId="10" fontId="0" fillId="0" borderId="57" xfId="0" applyNumberFormat="1" applyBorder="1" applyAlignment="1">
      <alignment horizontal="center"/>
    </xf>
    <xf numFmtId="0" fontId="0" fillId="64" borderId="7" xfId="0" applyFill="1" applyBorder="1"/>
    <xf numFmtId="0" fontId="0" fillId="64" borderId="5" xfId="0" applyFill="1" applyBorder="1"/>
    <xf numFmtId="0" fontId="0" fillId="64" borderId="52" xfId="0" applyFill="1" applyBorder="1"/>
    <xf numFmtId="0" fontId="38" fillId="68" borderId="44" xfId="0" applyFont="1" applyFill="1" applyBorder="1" applyAlignment="1">
      <alignment vertical="center" wrapText="1"/>
    </xf>
    <xf numFmtId="0" fontId="38" fillId="8" borderId="44" xfId="0" applyFont="1" applyFill="1" applyBorder="1" applyAlignment="1">
      <alignment vertical="top" wrapText="1"/>
    </xf>
    <xf numFmtId="0" fontId="38" fillId="0" borderId="6" xfId="0" applyFont="1" applyBorder="1" applyAlignment="1">
      <alignment horizontal="center" vertical="top" wrapText="1"/>
    </xf>
    <xf numFmtId="0" fontId="38" fillId="10" borderId="44" xfId="0" applyFont="1" applyFill="1" applyBorder="1" applyAlignment="1">
      <alignment horizontal="center" vertical="center" wrapText="1"/>
    </xf>
    <xf numFmtId="0" fontId="38" fillId="10" borderId="6" xfId="0" applyFont="1" applyFill="1" applyBorder="1" applyAlignment="1">
      <alignment horizontal="center" vertical="top" wrapText="1"/>
    </xf>
    <xf numFmtId="0" fontId="38" fillId="66" borderId="44" xfId="0" applyFont="1" applyFill="1" applyBorder="1" applyAlignment="1">
      <alignment horizontal="center" vertical="center" wrapText="1"/>
    </xf>
    <xf numFmtId="0" fontId="38" fillId="12" borderId="6" xfId="0" applyFont="1" applyFill="1" applyBorder="1" applyAlignment="1">
      <alignment horizontal="center" vertical="top" wrapText="1"/>
    </xf>
    <xf numFmtId="0" fontId="38" fillId="67" borderId="44" xfId="0" applyFont="1" applyFill="1" applyBorder="1" applyAlignment="1">
      <alignment horizontal="center" vertical="center" wrapText="1"/>
    </xf>
    <xf numFmtId="165" fontId="0" fillId="0" borderId="0" xfId="0" applyNumberFormat="1"/>
    <xf numFmtId="10" fontId="0" fillId="0" borderId="0" xfId="45" applyNumberFormat="1" applyFont="1"/>
    <xf numFmtId="170" fontId="0" fillId="0" borderId="0" xfId="45" applyNumberFormat="1" applyFont="1"/>
    <xf numFmtId="0" fontId="0" fillId="9" borderId="0" xfId="0" applyFill="1"/>
    <xf numFmtId="165" fontId="1" fillId="43" borderId="48" xfId="0" applyNumberFormat="1" applyFont="1" applyFill="1" applyBorder="1" applyAlignment="1">
      <alignment horizontal="center" vertical="center"/>
    </xf>
    <xf numFmtId="164" fontId="1" fillId="0" borderId="0" xfId="0" applyNumberFormat="1" applyFont="1" applyAlignment="1">
      <alignment horizontal="center" vertical="center"/>
    </xf>
    <xf numFmtId="0" fontId="37" fillId="0" borderId="0" xfId="0" applyFont="1" applyAlignment="1">
      <alignment horizontal="center"/>
    </xf>
    <xf numFmtId="0" fontId="37" fillId="0" borderId="0" xfId="0" applyFont="1"/>
    <xf numFmtId="0" fontId="13" fillId="9" borderId="6" xfId="0" applyFont="1" applyFill="1" applyBorder="1" applyAlignment="1">
      <alignment horizontal="center" textRotation="45" wrapText="1"/>
    </xf>
    <xf numFmtId="0" fontId="13" fillId="14" borderId="5" xfId="0" applyFont="1" applyFill="1" applyBorder="1" applyAlignment="1">
      <alignment horizontal="center" wrapText="1"/>
    </xf>
    <xf numFmtId="0" fontId="5" fillId="15" borderId="5" xfId="0" applyFont="1" applyFill="1" applyBorder="1" applyAlignment="1">
      <alignment horizontal="center" wrapText="1"/>
    </xf>
    <xf numFmtId="170" fontId="0" fillId="0" borderId="0" xfId="45" applyNumberFormat="1" applyFont="1" applyFill="1" applyBorder="1" applyAlignment="1"/>
    <xf numFmtId="164" fontId="10" fillId="0" borderId="0" xfId="0" applyNumberFormat="1" applyFont="1" applyAlignment="1">
      <alignment horizontal="center"/>
    </xf>
    <xf numFmtId="10" fontId="0" fillId="0" borderId="0" xfId="45" applyNumberFormat="1" applyFont="1" applyFill="1"/>
    <xf numFmtId="170" fontId="0" fillId="0" borderId="0" xfId="0" applyNumberFormat="1"/>
    <xf numFmtId="9" fontId="0" fillId="0" borderId="0" xfId="45" applyFont="1" applyFill="1"/>
    <xf numFmtId="164" fontId="42" fillId="51" borderId="5" xfId="0" applyNumberFormat="1" applyFont="1" applyFill="1" applyBorder="1" applyAlignment="1">
      <alignment horizontal="center" vertical="center"/>
    </xf>
    <xf numFmtId="1" fontId="42" fillId="60" borderId="5" xfId="0" applyNumberFormat="1" applyFont="1" applyFill="1" applyBorder="1" applyAlignment="1">
      <alignment horizontal="center" vertical="center"/>
    </xf>
    <xf numFmtId="0" fontId="41" fillId="0" borderId="0" xfId="0" applyFont="1"/>
    <xf numFmtId="0" fontId="41" fillId="0" borderId="0" xfId="0" applyFont="1" applyAlignment="1">
      <alignment horizontal="center"/>
    </xf>
    <xf numFmtId="0" fontId="40" fillId="0" borderId="0" xfId="0" applyFont="1"/>
    <xf numFmtId="0" fontId="40" fillId="0" borderId="0" xfId="0" applyFont="1" applyAlignment="1">
      <alignment horizontal="center"/>
    </xf>
    <xf numFmtId="0" fontId="40" fillId="0" borderId="0" xfId="0" applyFont="1" applyAlignment="1">
      <alignment wrapText="1"/>
    </xf>
    <xf numFmtId="0" fontId="40" fillId="0" borderId="0" xfId="0" applyFont="1" applyAlignment="1">
      <alignment horizontal="left"/>
    </xf>
    <xf numFmtId="164" fontId="41" fillId="0" borderId="0" xfId="0" applyNumberFormat="1" applyFont="1"/>
    <xf numFmtId="0" fontId="39" fillId="0" borderId="0" xfId="0" applyFont="1"/>
    <xf numFmtId="164" fontId="39" fillId="0" borderId="0" xfId="0" applyNumberFormat="1" applyFont="1"/>
    <xf numFmtId="0" fontId="41" fillId="0" borderId="0" xfId="0" applyFont="1" applyAlignment="1">
      <alignment wrapText="1"/>
    </xf>
    <xf numFmtId="0" fontId="41" fillId="0" borderId="0" xfId="0" applyFont="1" applyAlignment="1">
      <alignment horizontal="left"/>
    </xf>
    <xf numFmtId="164" fontId="41" fillId="48" borderId="26" xfId="0" applyNumberFormat="1" applyFont="1" applyFill="1" applyBorder="1"/>
    <xf numFmtId="0" fontId="39" fillId="0" borderId="0" xfId="0" applyFont="1" applyAlignment="1">
      <alignment horizontal="center"/>
    </xf>
    <xf numFmtId="0" fontId="41" fillId="0" borderId="15" xfId="0" applyFont="1" applyBorder="1"/>
    <xf numFmtId="0" fontId="41" fillId="0" borderId="15" xfId="0" applyFont="1" applyBorder="1" applyAlignment="1">
      <alignment horizontal="center"/>
    </xf>
    <xf numFmtId="0" fontId="41" fillId="0" borderId="15" xfId="0" applyFont="1" applyBorder="1" applyAlignment="1">
      <alignment wrapText="1"/>
    </xf>
    <xf numFmtId="164" fontId="40" fillId="45" borderId="15" xfId="0" applyNumberFormat="1" applyFont="1" applyFill="1" applyBorder="1" applyAlignment="1">
      <alignment horizontal="centerContinuous"/>
    </xf>
    <xf numFmtId="2" fontId="42" fillId="45" borderId="15" xfId="0" applyNumberFormat="1" applyFont="1" applyFill="1" applyBorder="1" applyAlignment="1">
      <alignment horizontal="centerContinuous"/>
    </xf>
    <xf numFmtId="164" fontId="42" fillId="45" borderId="15" xfId="0" applyNumberFormat="1" applyFont="1" applyFill="1" applyBorder="1" applyAlignment="1">
      <alignment horizontal="centerContinuous"/>
    </xf>
    <xf numFmtId="2" fontId="40" fillId="45" borderId="15" xfId="0" applyNumberFormat="1" applyFont="1" applyFill="1" applyBorder="1" applyAlignment="1">
      <alignment horizontal="centerContinuous"/>
    </xf>
    <xf numFmtId="0" fontId="40" fillId="43" borderId="15" xfId="0" applyFont="1" applyFill="1" applyBorder="1"/>
    <xf numFmtId="0" fontId="41" fillId="0" borderId="10" xfId="0" applyFont="1" applyBorder="1" applyAlignment="1">
      <alignment horizontal="center" vertical="top" wrapText="1"/>
    </xf>
    <xf numFmtId="0" fontId="41" fillId="0" borderId="11" xfId="0" applyFont="1" applyBorder="1" applyAlignment="1">
      <alignment horizontal="center" vertical="top" wrapText="1"/>
    </xf>
    <xf numFmtId="0" fontId="41" fillId="0" borderId="0" xfId="0" applyFont="1" applyAlignment="1">
      <alignment horizontal="center" vertical="top" wrapText="1"/>
    </xf>
    <xf numFmtId="0" fontId="28" fillId="4" borderId="78" xfId="0" applyFont="1" applyFill="1" applyBorder="1" applyAlignment="1">
      <alignment horizontal="left" vertical="top"/>
    </xf>
    <xf numFmtId="0" fontId="41" fillId="50" borderId="0" xfId="0" applyFont="1" applyFill="1" applyAlignment="1">
      <alignment horizontal="center"/>
    </xf>
    <xf numFmtId="0" fontId="41" fillId="50" borderId="0" xfId="0" applyFont="1" applyFill="1" applyAlignment="1">
      <alignment horizontal="left" vertical="top"/>
    </xf>
    <xf numFmtId="0" fontId="41" fillId="50" borderId="0" xfId="0" applyFont="1" applyFill="1"/>
    <xf numFmtId="0" fontId="41" fillId="50" borderId="0" xfId="0" applyFont="1" applyFill="1" applyAlignment="1">
      <alignment wrapText="1"/>
    </xf>
    <xf numFmtId="0" fontId="39" fillId="50" borderId="0" xfId="0" applyFont="1" applyFill="1"/>
    <xf numFmtId="0" fontId="1" fillId="50" borderId="0" xfId="0" applyFont="1" applyFill="1"/>
    <xf numFmtId="0" fontId="1" fillId="4" borderId="0" xfId="0" applyFont="1" applyFill="1" applyAlignment="1">
      <alignment horizontal="center" vertical="top" wrapText="1"/>
    </xf>
    <xf numFmtId="164" fontId="40" fillId="51" borderId="5" xfId="0" applyNumberFormat="1" applyFont="1" applyFill="1" applyBorder="1" applyAlignment="1">
      <alignment horizontal="center" vertical="center"/>
    </xf>
    <xf numFmtId="1" fontId="40" fillId="60" borderId="5" xfId="0" applyNumberFormat="1" applyFont="1" applyFill="1" applyBorder="1" applyAlignment="1">
      <alignment horizontal="center" vertical="center"/>
    </xf>
    <xf numFmtId="165" fontId="39" fillId="0" borderId="0" xfId="0" applyNumberFormat="1" applyFont="1"/>
    <xf numFmtId="0" fontId="24" fillId="0" borderId="0" xfId="0" applyFont="1"/>
    <xf numFmtId="0" fontId="10" fillId="0" borderId="2" xfId="0" quotePrefix="1" applyFont="1" applyBorder="1" applyAlignment="1">
      <alignment horizontal="center" vertical="center"/>
    </xf>
    <xf numFmtId="0" fontId="10" fillId="0" borderId="0" xfId="0" applyFont="1" applyAlignment="1">
      <alignment horizontal="left"/>
    </xf>
    <xf numFmtId="0" fontId="11" fillId="0" borderId="0" xfId="0" applyFont="1" applyAlignment="1">
      <alignment horizontal="left"/>
    </xf>
    <xf numFmtId="49" fontId="0" fillId="0" borderId="0" xfId="0" applyNumberFormat="1" applyAlignment="1">
      <alignment textRotation="90" wrapText="1"/>
    </xf>
    <xf numFmtId="0" fontId="41" fillId="50" borderId="0" xfId="0" applyFont="1" applyFill="1" applyAlignment="1">
      <alignment horizontal="center"/>
    </xf>
    <xf numFmtId="0" fontId="41" fillId="0" borderId="12" xfId="0" applyFont="1" applyBorder="1" applyAlignment="1">
      <alignment horizontal="center"/>
    </xf>
    <xf numFmtId="0" fontId="41" fillId="0" borderId="0" xfId="0" applyFont="1" applyAlignment="1">
      <alignment horizontal="center"/>
    </xf>
    <xf numFmtId="0" fontId="1" fillId="52" borderId="15" xfId="43" applyFont="1" applyFill="1" applyBorder="1" applyAlignment="1">
      <alignment horizontal="center"/>
    </xf>
    <xf numFmtId="0" fontId="1" fillId="52" borderId="15" xfId="43" applyFont="1" applyFill="1" applyBorder="1" applyAlignment="1">
      <alignment horizontal="center" vertical="center"/>
    </xf>
    <xf numFmtId="0" fontId="1" fillId="52" borderId="0" xfId="43" applyFont="1" applyFill="1" applyAlignment="1">
      <alignment horizontal="center" vertical="center"/>
    </xf>
    <xf numFmtId="0" fontId="0" fillId="0" borderId="0" xfId="0" applyAlignment="1">
      <alignment horizontal="center"/>
    </xf>
    <xf numFmtId="0" fontId="0" fillId="0" borderId="56" xfId="0" applyBorder="1" applyAlignment="1">
      <alignment horizontal="right"/>
    </xf>
    <xf numFmtId="0" fontId="0" fillId="0" borderId="69" xfId="0" applyBorder="1" applyAlignment="1">
      <alignment horizontal="center"/>
    </xf>
    <xf numFmtId="0" fontId="0" fillId="0" borderId="72" xfId="0" applyBorder="1" applyAlignment="1">
      <alignment horizontal="center"/>
    </xf>
    <xf numFmtId="0" fontId="0" fillId="0" borderId="59" xfId="0" applyBorder="1" applyAlignment="1">
      <alignment horizontal="center"/>
    </xf>
    <xf numFmtId="0" fontId="30" fillId="50" borderId="0" xfId="0" applyFont="1" applyFill="1" applyAlignment="1">
      <alignment horizontal="center" vertical="top" textRotation="90" wrapText="1"/>
    </xf>
    <xf numFmtId="0" fontId="10" fillId="0" borderId="15" xfId="0" applyFont="1" applyBorder="1" applyAlignment="1">
      <alignment horizontal="center"/>
    </xf>
    <xf numFmtId="0" fontId="10" fillId="0" borderId="58" xfId="0" applyFont="1" applyBorder="1" applyAlignment="1">
      <alignment horizontal="center"/>
    </xf>
    <xf numFmtId="0" fontId="10" fillId="0" borderId="59" xfId="0" applyFont="1" applyBorder="1" applyAlignment="1">
      <alignment horizontal="center"/>
    </xf>
    <xf numFmtId="0" fontId="10" fillId="0" borderId="46" xfId="0" applyFont="1" applyBorder="1" applyAlignment="1">
      <alignment horizontal="center"/>
    </xf>
    <xf numFmtId="0" fontId="10" fillId="0" borderId="63" xfId="0" applyFont="1" applyBorder="1" applyAlignment="1">
      <alignment horizontal="center"/>
    </xf>
    <xf numFmtId="0" fontId="0" fillId="4" borderId="41" xfId="0" applyFill="1" applyBorder="1" applyAlignment="1">
      <alignment horizontal="center" vertical="top" wrapText="1"/>
    </xf>
    <xf numFmtId="0" fontId="0" fillId="4" borderId="67" xfId="0" applyFill="1" applyBorder="1" applyAlignment="1">
      <alignment horizontal="center" vertical="top" wrapText="1"/>
    </xf>
    <xf numFmtId="0" fontId="0" fillId="4" borderId="64" xfId="0" applyFill="1" applyBorder="1" applyAlignment="1">
      <alignment horizontal="center" vertical="top" wrapText="1"/>
    </xf>
    <xf numFmtId="0" fontId="0" fillId="4" borderId="39" xfId="0" applyFill="1" applyBorder="1" applyAlignment="1">
      <alignment horizontal="center"/>
    </xf>
    <xf numFmtId="0" fontId="0" fillId="4" borderId="38" xfId="0" applyFill="1" applyBorder="1" applyAlignment="1">
      <alignment horizontal="center"/>
    </xf>
    <xf numFmtId="0" fontId="0" fillId="4" borderId="33" xfId="0" applyFill="1" applyBorder="1" applyAlignment="1">
      <alignment horizontal="center" vertical="center" wrapText="1"/>
    </xf>
    <xf numFmtId="0" fontId="0" fillId="4" borderId="1" xfId="0" applyFill="1" applyBorder="1" applyAlignment="1">
      <alignment horizontal="center" vertical="center" wrapText="1"/>
    </xf>
    <xf numFmtId="0" fontId="0" fillId="4" borderId="34" xfId="0" applyFill="1" applyBorder="1" applyAlignment="1">
      <alignment horizontal="center" vertical="center" wrapText="1"/>
    </xf>
    <xf numFmtId="0" fontId="0" fillId="4" borderId="31" xfId="0" applyFill="1" applyBorder="1" applyAlignment="1">
      <alignment horizontal="center" vertical="center" wrapText="1"/>
    </xf>
    <xf numFmtId="0" fontId="0" fillId="4" borderId="6" xfId="0" applyFill="1" applyBorder="1" applyAlignment="1">
      <alignment horizontal="center" vertical="center" wrapText="1"/>
    </xf>
    <xf numFmtId="0" fontId="0" fillId="0" borderId="30" xfId="0" applyBorder="1" applyAlignment="1">
      <alignment horizontal="center" vertical="center" wrapText="1"/>
    </xf>
    <xf numFmtId="0" fontId="0" fillId="0" borderId="28" xfId="0" applyBorder="1" applyAlignment="1">
      <alignment horizontal="center" vertical="center" wrapText="1"/>
    </xf>
    <xf numFmtId="0" fontId="10" fillId="0" borderId="9" xfId="0" applyFont="1" applyBorder="1" applyAlignment="1">
      <alignment horizontal="center"/>
    </xf>
    <xf numFmtId="0" fontId="10" fillId="0" borderId="11" xfId="0" applyFont="1" applyBorder="1" applyAlignment="1">
      <alignment horizontal="center"/>
    </xf>
    <xf numFmtId="0" fontId="14" fillId="4" borderId="36" xfId="0" applyFont="1" applyFill="1" applyBorder="1" applyAlignment="1">
      <alignment horizontal="center" vertical="center" wrapText="1"/>
    </xf>
    <xf numFmtId="0" fontId="14" fillId="4" borderId="37" xfId="0" applyFont="1" applyFill="1" applyBorder="1" applyAlignment="1">
      <alignment horizontal="center" vertical="center" wrapText="1"/>
    </xf>
    <xf numFmtId="0" fontId="14" fillId="4" borderId="64" xfId="0" applyFont="1" applyFill="1" applyBorder="1" applyAlignment="1">
      <alignment horizontal="center" vertical="center" wrapText="1"/>
    </xf>
    <xf numFmtId="0" fontId="0" fillId="59" borderId="0" xfId="0" applyFill="1" applyAlignment="1">
      <alignment horizontal="center" vertical="center" textRotation="90" wrapText="1"/>
    </xf>
    <xf numFmtId="0" fontId="11" fillId="59" borderId="0" xfId="0" applyFont="1" applyFill="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0" xfId="0" applyAlignment="1">
      <alignment horizontal="center" textRotation="90"/>
    </xf>
    <xf numFmtId="0" fontId="0" fillId="56" borderId="0" xfId="0" applyFill="1" applyAlignment="1">
      <alignment horizontal="center" vertical="center"/>
    </xf>
    <xf numFmtId="0" fontId="0" fillId="4" borderId="0" xfId="0" applyFill="1" applyAlignment="1">
      <alignment horizontal="center"/>
    </xf>
  </cellXfs>
  <cellStyles count="51">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5" builtinId="27" customBuiltin="1"/>
    <cellStyle name="Calculation" xfId="3" builtinId="22" customBuiltin="1"/>
    <cellStyle name="Check Cell" xfId="14" builtinId="23" customBuiltin="1"/>
    <cellStyle name="Comma 2" xfId="49" xr:uid="{00000000-0005-0000-0000-00001B000000}"/>
    <cellStyle name="Explanatory Text" xfId="17" builtinId="53" customBuiltin="1"/>
    <cellStyle name="Good" xfId="4"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7" builtinId="8" hidden="1"/>
    <cellStyle name="Hyperlink" xfId="48" builtinId="8"/>
    <cellStyle name="Input" xfId="1" builtinId="20" customBuiltin="1"/>
    <cellStyle name="Linked Cell" xfId="13" builtinId="24" customBuiltin="1"/>
    <cellStyle name="Neutral" xfId="6" builtinId="28" customBuiltin="1"/>
    <cellStyle name="Normal" xfId="0" builtinId="0"/>
    <cellStyle name="Normal 2" xfId="43" xr:uid="{00000000-0005-0000-0000-000028000000}"/>
    <cellStyle name="Normal 3" xfId="46" xr:uid="{00000000-0005-0000-0000-000029000000}"/>
    <cellStyle name="Normal 4" xfId="50" xr:uid="{00000000-0005-0000-0000-00002A000000}"/>
    <cellStyle name="Note" xfId="16" builtinId="10" customBuiltin="1"/>
    <cellStyle name="Output" xfId="2" builtinId="21" customBuiltin="1"/>
    <cellStyle name="Percent" xfId="45" builtinId="5"/>
    <cellStyle name="Percent 2" xfId="44" xr:uid="{00000000-0005-0000-0000-00002E000000}"/>
    <cellStyle name="Title" xfId="8" builtinId="15" customBuiltin="1"/>
    <cellStyle name="Title 2" xfId="47" xr:uid="{00000000-0005-0000-0000-000030000000}"/>
    <cellStyle name="Total" xfId="18" builtinId="25" customBuiltin="1"/>
    <cellStyle name="Warning Text" xfId="15" builtinId="11" customBuiltin="1"/>
  </cellStyles>
  <dxfs count="0"/>
  <tableStyles count="0" defaultTableStyle="TableStyleMedium9" defaultPivotStyle="PivotStyleLight16"/>
  <colors>
    <mruColors>
      <color rgb="FFF11A09"/>
      <color rgb="FF0996FF"/>
      <color rgb="FFCCC0DA"/>
      <color rgb="FFC4BD97"/>
      <color rgb="FFE6B8B7"/>
      <color rgb="FF3AC441"/>
      <color rgb="FFF39307"/>
      <color rgb="FF027418"/>
      <color rgb="FF04CC2A"/>
      <color rgb="FF3BE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a:t>
            </a:r>
            <a:r>
              <a:rPr lang="en-US" sz="2400" baseline="0"/>
              <a:t> </a:t>
            </a:r>
            <a:r>
              <a:rPr lang="en-US" sz="2400"/>
              <a:t>[AC Wh/mi]</a:t>
            </a:r>
          </a:p>
        </c:rich>
      </c:tx>
      <c:layout>
        <c:manualLayout>
          <c:xMode val="edge"/>
          <c:yMode val="edge"/>
          <c:x val="0.34597659346833848"/>
          <c:y val="1.9912385503783353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a:lstStyle/>
                  <a:p>
                    <a:fld id="{B0945F62-8997-4AC0-A2D7-322D125A555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{B0945F62-8997-4AC0-A2D7-322D125A555E}</c15:txfldGUID>
                      <c15:f>'J1634 Calcs'!$AD$18</c15:f>
                      <c15:dlblFieldTableCache>
                        <c:ptCount val="1"/>
                        <c:pt idx="0">
                          <c:v>163%</c:v>
                        </c:pt>
                      </c15:dlblFieldTableCache>
                    </c15:dlblFTEntry>
                  </c15:dlblFieldTable>
                  <c15:showDataLabelsRange val="0"/>
                </c:ext>
                <c:ext xmlns:c16="http://schemas.microsoft.com/office/drawing/2014/chart" uri="{C3380CC4-5D6E-409C-BE32-E72D297353CC}">
                  <c16:uniqueId val="{00000000-9190-469D-8158-42D0C98D9DC0}"/>
                </c:ext>
              </c:extLst>
            </c:dLbl>
            <c:dLbl>
              <c:idx val="1"/>
              <c:tx>
                <c:rich>
                  <a:bodyPr/>
                  <a:lstStyle/>
                  <a:p>
                    <a:fld id="{14E10095-01E0-40E2-BF85-F19478A01C2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{14E10095-01E0-40E2-BF85-F19478A01C28}</c15:txfldGUID>
                      <c15:f>'J1634 Calcs'!$AD$19</c15:f>
                      <c15:dlblFieldTableCache>
                        <c:ptCount val="1"/>
                        <c:pt idx="0">
                          <c:v>67%</c:v>
                        </c:pt>
                      </c15:dlblFieldTableCache>
                    </c15:dlblFTEntry>
                  </c15:dlblFieldTable>
                  <c15:showDataLabelsRange val="0"/>
                </c:ext>
                <c:ext xmlns:c16="http://schemas.microsoft.com/office/drawing/2014/chart" uri="{C3380CC4-5D6E-409C-BE32-E72D297353CC}">
                  <c16:uniqueId val="{00000001-9190-469D-8158-42D0C98D9DC0}"/>
                </c:ext>
              </c:extLst>
            </c:dLbl>
            <c:dLbl>
              <c:idx val="2"/>
              <c:tx>
                <c:rich>
                  <a:bodyPr/>
                  <a:lstStyle/>
                  <a:p>
                    <a:fld id="{3784444F-7979-445F-B3D6-AEBFD582BD9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{3784444F-7979-445F-B3D6-AEBFD582BD98}</c15:txfldGUID>
                      <c15:f>'J1634 Calcs'!$AD$20</c15:f>
                      <c15:dlblFieldTableCache>
                        <c:ptCount val="1"/>
                        <c:pt idx="0">
                          <c:v>53%</c:v>
                        </c:pt>
                      </c15:dlblFieldTableCache>
                    </c15:dlblFTEntry>
                  </c15:dlblFieldTable>
                  <c15:showDataLabelsRange val="0"/>
                </c:ext>
                <c:ext xmlns:c16="http://schemas.microsoft.com/office/drawing/2014/chart" uri="{C3380CC4-5D6E-409C-BE32-E72D297353CC}">
                  <c16:uniqueId val="{00000002-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Calcs'!$AD$13:$AD$15</c:f>
              <c:numCache>
                <c:formatCode>0</c:formatCode>
                <c:ptCount val="3"/>
                <c:pt idx="0">
                  <c:v>556.7934297474161</c:v>
                </c:pt>
                <c:pt idx="1">
                  <c:v>423.7706622327882</c:v>
                </c:pt>
                <c:pt idx="2">
                  <c:v>529.90296913092311</c:v>
                </c:pt>
              </c:numCache>
            </c:numRef>
          </c:val>
          <c:extLst>
            <c:ext xmlns:c16="http://schemas.microsoft.com/office/drawing/2014/chart" uri="{C3380CC4-5D6E-409C-BE32-E72D297353CC}">
              <c16:uniqueId val="{00000003-9190-469D-8158-42D0C98D9DC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2.9775165847087644E-3"/>
                  <c:y val="2.662992994441264E-3"/>
                </c:manualLayout>
              </c:layout>
              <c:tx>
                <c:rich>
                  <a:bodyPr/>
                  <a:lstStyle/>
                  <a:p>
                    <a:fld id="{CF963985-D3E1-4705-A63C-6308912A1BA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{CF963985-D3E1-4705-A63C-6308912A1BA1}</c15:txfldGUID>
                      <c15:f>'J1634 Calcs'!$AE$18</c15:f>
                      <c15:dlblFieldTableCache>
                        <c:ptCount val="1"/>
                        <c:pt idx="0">
                          <c:v>103%</c:v>
                        </c:pt>
                      </c15:dlblFieldTableCache>
                    </c15:dlblFTEntry>
                  </c15:dlblFieldTable>
                  <c15:showDataLabelsRange val="0"/>
                </c:ext>
                <c:ext xmlns:c16="http://schemas.microsoft.com/office/drawing/2014/chart" uri="{C3380CC4-5D6E-409C-BE32-E72D297353CC}">
                  <c16:uniqueId val="{00000004-9190-469D-8158-42D0C98D9DC0}"/>
                </c:ext>
              </c:extLst>
            </c:dLbl>
            <c:dLbl>
              <c:idx val="1"/>
              <c:layout>
                <c:manualLayout>
                  <c:x val="2.9775165847086551E-3"/>
                  <c:y val="2.6629929944412154E-3"/>
                </c:manualLayout>
              </c:layout>
              <c:tx>
                <c:rich>
                  <a:bodyPr/>
                  <a:lstStyle/>
                  <a:p>
                    <a:fld id="{E0F95126-373F-4982-8A26-A1187FDA1A7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{E0F95126-373F-4982-8A26-A1187FDA1A7E}</c15:txfldGUID>
                      <c15:f>'J1634 Calcs'!$AE$19</c15:f>
                      <c15:dlblFieldTableCache>
                        <c:ptCount val="1"/>
                        <c:pt idx="0">
                          <c:v>42%</c:v>
                        </c:pt>
                      </c15:dlblFieldTableCache>
                    </c15:dlblFTEntry>
                  </c15:dlblFieldTable>
                  <c15:showDataLabelsRange val="0"/>
                </c:ext>
                <c:ext xmlns:c16="http://schemas.microsoft.com/office/drawing/2014/chart" uri="{C3380CC4-5D6E-409C-BE32-E72D297353CC}">
                  <c16:uniqueId val="{00000005-9190-469D-8158-42D0C98D9DC0}"/>
                </c:ext>
              </c:extLst>
            </c:dLbl>
            <c:dLbl>
              <c:idx val="2"/>
              <c:layout>
                <c:manualLayout>
                  <c:x val="1.4887582923543822E-3"/>
                  <c:y val="2.662992994441264E-3"/>
                </c:manualLayout>
              </c:layout>
              <c:tx>
                <c:rich>
                  <a:bodyPr/>
                  <a:lstStyle/>
                  <a:p>
                    <a:fld id="{E540FF63-EEA2-452B-AF6B-2E02EC30DA3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{E540FF63-EEA2-452B-AF6B-2E02EC30DA3D}</c15:txfldGUID>
                      <c15:f>'J1634 Calcs'!$AE$20</c15:f>
                      <c15:dlblFieldTableCache>
                        <c:ptCount val="1"/>
                        <c:pt idx="0">
                          <c:v>28%</c:v>
                        </c:pt>
                      </c15:dlblFieldTableCache>
                    </c15:dlblFTEntry>
                  </c15:dlblFieldTable>
                  <c15:showDataLabelsRange val="0"/>
                </c:ext>
                <c:ext xmlns:c16="http://schemas.microsoft.com/office/drawing/2014/chart" uri="{C3380CC4-5D6E-409C-BE32-E72D297353CC}">
                  <c16:uniqueId val="{00000006-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Calcs'!$AE$13:$AE$15</c:f>
              <c:numCache>
                <c:formatCode>0</c:formatCode>
                <c:ptCount val="3"/>
                <c:pt idx="0">
                  <c:v>428.12528840674207</c:v>
                </c:pt>
                <c:pt idx="1">
                  <c:v>360.39112052801261</c:v>
                </c:pt>
                <c:pt idx="2">
                  <c:v>445.97462496259811</c:v>
                </c:pt>
              </c:numCache>
            </c:numRef>
          </c:val>
          <c:extLst>
            <c:ext xmlns:c16="http://schemas.microsoft.com/office/drawing/2014/chart" uri="{C3380CC4-5D6E-409C-BE32-E72D297353CC}">
              <c16:uniqueId val="{00000007-9190-469D-8158-42D0C98D9DC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5E7F7213-2C7E-496E-A759-A0B373A798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{5E7F7213-2C7E-496E-A759-A0B373A79861}</c15:txfldGUID>
                      <c15:f>'J1634 Calcs'!$AF$18</c15:f>
                      <c15:dlblFieldTableCache>
                        <c:ptCount val="1"/>
                        <c:pt idx="0">
                          <c:v>88%</c:v>
                        </c:pt>
                      </c15:dlblFieldTableCache>
                    </c15:dlblFTEntry>
                  </c15:dlblFieldTable>
                  <c15:showDataLabelsRange val="0"/>
                </c:ext>
                <c:ext xmlns:c16="http://schemas.microsoft.com/office/drawing/2014/chart" uri="{C3380CC4-5D6E-409C-BE32-E72D297353CC}">
                  <c16:uniqueId val="{00000008-9190-469D-8158-42D0C98D9DC0}"/>
                </c:ext>
              </c:extLst>
            </c:dLbl>
            <c:dLbl>
              <c:idx val="1"/>
              <c:layout>
                <c:manualLayout>
                  <c:x val="4.4662748770631462E-3"/>
                  <c:y val="-4.8820974247362615E-17"/>
                </c:manualLayout>
              </c:layout>
              <c:tx>
                <c:rich>
                  <a:bodyPr/>
                  <a:lstStyle/>
                  <a:p>
                    <a:fld id="{1994E76F-5E3D-403A-8AC8-3AFEFA9C706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{1994E76F-5E3D-403A-8AC8-3AFEFA9C7061}</c15:txfldGUID>
                      <c15:f>'J1634 Calcs'!$AF$19</c15:f>
                      <c15:dlblFieldTableCache>
                        <c:ptCount val="1"/>
                        <c:pt idx="0">
                          <c:v>34%</c:v>
                        </c:pt>
                      </c15:dlblFieldTableCache>
                    </c15:dlblFTEntry>
                  </c15:dlblFieldTable>
                  <c15:showDataLabelsRange val="0"/>
                </c:ext>
                <c:ext xmlns:c16="http://schemas.microsoft.com/office/drawing/2014/chart" uri="{C3380CC4-5D6E-409C-BE32-E72D297353CC}">
                  <c16:uniqueId val="{00000009-9190-469D-8158-42D0C98D9DC0}"/>
                </c:ext>
              </c:extLst>
            </c:dLbl>
            <c:dLbl>
              <c:idx val="2"/>
              <c:layout>
                <c:manualLayout>
                  <c:x val="2.9775165847087644E-3"/>
                  <c:y val="2.6629929944412154E-3"/>
                </c:manualLayout>
              </c:layout>
              <c:tx>
                <c:rich>
                  <a:bodyPr/>
                  <a:lstStyle/>
                  <a:p>
                    <a:fld id="{07A6E231-2A68-439E-AAC8-52ED36449D4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{07A6E231-2A68-439E-AAC8-52ED36449D45}</c15:txfldGUID>
                      <c15:f>'J1634 Calcs'!$AF$20</c15:f>
                      <c15:dlblFieldTableCache>
                        <c:ptCount val="1"/>
                        <c:pt idx="0">
                          <c:v>25%</c:v>
                        </c:pt>
                      </c15:dlblFieldTableCache>
                    </c15:dlblFTEntry>
                  </c15:dlblFieldTable>
                  <c15:showDataLabelsRange val="0"/>
                </c:ext>
                <c:ext xmlns:c16="http://schemas.microsoft.com/office/drawing/2014/chart" uri="{C3380CC4-5D6E-409C-BE32-E72D297353CC}">
                  <c16:uniqueId val="{0000000A-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Calcs'!$AF$13:$AF$15</c:f>
              <c:numCache>
                <c:formatCode>0</c:formatCode>
                <c:ptCount val="3"/>
                <c:pt idx="0">
                  <c:v>397.3951693217457</c:v>
                </c:pt>
                <c:pt idx="1">
                  <c:v>340.94564306964344</c:v>
                </c:pt>
                <c:pt idx="2">
                  <c:v>433.40526316707746</c:v>
                </c:pt>
              </c:numCache>
            </c:numRef>
          </c:val>
          <c:extLst>
            <c:ext xmlns:c16="http://schemas.microsoft.com/office/drawing/2014/chart" uri="{C3380CC4-5D6E-409C-BE32-E72D297353CC}">
              <c16:uniqueId val="{0000000B-9190-469D-8158-42D0C98D9DC0}"/>
            </c:ext>
          </c:extLst>
        </c:ser>
        <c:ser>
          <c:idx val="0"/>
          <c:order val="3"/>
          <c:tx>
            <c:strRef>
              <c:f>'J1634 Calcs'!$AG$6</c:f>
              <c:strCache>
                <c:ptCount val="1"/>
                <c:pt idx="0">
                  <c:v>22C Ambient with Climate off</c:v>
                </c:pt>
              </c:strCache>
            </c:strRef>
          </c:tx>
          <c:spPr>
            <a:solidFill>
              <a:schemeClr val="accent3"/>
            </a:solidFill>
          </c:spPr>
          <c:invertIfNegative val="0"/>
          <c:cat>
            <c:strRef>
              <c:f>'J1634 Calcs'!$AC$13:$AC$15</c:f>
              <c:strCache>
                <c:ptCount val="3"/>
                <c:pt idx="0">
                  <c:v>UDDS</c:v>
                </c:pt>
                <c:pt idx="1">
                  <c:v>HWY</c:v>
                </c:pt>
                <c:pt idx="2">
                  <c:v>US06</c:v>
                </c:pt>
              </c:strCache>
            </c:strRef>
          </c:cat>
          <c:val>
            <c:numRef>
              <c:f>'J1634 Calcs'!$AG$13:$AG$15</c:f>
              <c:numCache>
                <c:formatCode>0</c:formatCode>
                <c:ptCount val="3"/>
                <c:pt idx="0">
                  <c:v>211.31564960585933</c:v>
                </c:pt>
                <c:pt idx="1">
                  <c:v>254.22899515125798</c:v>
                </c:pt>
                <c:pt idx="2">
                  <c:v>347.15814678052328</c:v>
                </c:pt>
              </c:numCache>
            </c:numRef>
          </c:val>
          <c:extLst>
            <c:ext xmlns:c16="http://schemas.microsoft.com/office/drawing/2014/chart" uri="{C3380CC4-5D6E-409C-BE32-E72D297353CC}">
              <c16:uniqueId val="{0000000C-9190-469D-8158-42D0C98D9DC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F78FDACD-EBF6-42C8-8A5C-DABB4D21E63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{F78FDACD-EBF6-42C8-8A5C-DABB4D21E633}</c15:txfldGUID>
                      <c15:f>'J1634 Calcs'!$AH$18</c15:f>
                      <c15:dlblFieldTableCache>
                        <c:ptCount val="1"/>
                        <c:pt idx="0">
                          <c:v>33%</c:v>
                        </c:pt>
                      </c15:dlblFieldTableCache>
                    </c15:dlblFTEntry>
                  </c15:dlblFieldTable>
                  <c15:showDataLabelsRange val="0"/>
                </c:ext>
                <c:ext xmlns:c16="http://schemas.microsoft.com/office/drawing/2014/chart" uri="{C3380CC4-5D6E-409C-BE32-E72D297353CC}">
                  <c16:uniqueId val="{0000000D-9190-469D-8158-42D0C98D9DC0}"/>
                </c:ext>
              </c:extLst>
            </c:dLbl>
            <c:dLbl>
              <c:idx val="1"/>
              <c:tx>
                <c:rich>
                  <a:bodyPr/>
                  <a:lstStyle/>
                  <a:p>
                    <a:fld id="{E0400D18-C037-4BDC-94A0-88505510BF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{E0400D18-C037-4BDC-94A0-88505510BFE6}</c15:txfldGUID>
                      <c15:f>'J1634 Calcs'!$AH$19</c15:f>
                      <c15:dlblFieldTableCache>
                        <c:ptCount val="1"/>
                        <c:pt idx="0">
                          <c:v>3%</c:v>
                        </c:pt>
                      </c15:dlblFieldTableCache>
                    </c15:dlblFTEntry>
                  </c15:dlblFieldTable>
                  <c15:showDataLabelsRange val="0"/>
                </c:ext>
                <c:ext xmlns:c16="http://schemas.microsoft.com/office/drawing/2014/chart" uri="{C3380CC4-5D6E-409C-BE32-E72D297353CC}">
                  <c16:uniqueId val="{0000000E-9190-469D-8158-42D0C98D9DC0}"/>
                </c:ext>
              </c:extLst>
            </c:dLbl>
            <c:dLbl>
              <c:idx val="2"/>
              <c:tx>
                <c:rich>
                  <a:bodyPr/>
                  <a:lstStyle/>
                  <a:p>
                    <a:fld id="{9745F343-DA76-4EDC-9AD6-356F2B869D74}"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{9745F343-DA76-4EDC-9AD6-356F2B869D74}</c15:txfldGUID>
                      <c15:f>'J1634 Calcs'!$AH$20</c15:f>
                      <c15:dlblFieldTableCache>
                        <c:ptCount val="1"/>
                        <c:pt idx="0">
                          <c:v>2%</c:v>
                        </c:pt>
                      </c15:dlblFieldTableCache>
                    </c15:dlblFTEntry>
                  </c15:dlblFieldTable>
                  <c15:showDataLabelsRange val="0"/>
                </c:ext>
                <c:ext xmlns:c16="http://schemas.microsoft.com/office/drawing/2014/chart" uri="{C3380CC4-5D6E-409C-BE32-E72D297353CC}">
                  <c16:uniqueId val="{0000000F-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Calcs'!$AH$13:$AH$15</c:f>
              <c:numCache>
                <c:formatCode>0</c:formatCode>
                <c:ptCount val="3"/>
                <c:pt idx="0">
                  <c:v>282.06883181782172</c:v>
                </c:pt>
                <c:pt idx="1">
                  <c:v>263.09274687639231</c:v>
                </c:pt>
                <c:pt idx="2">
                  <c:v>352.42982095696743</c:v>
                </c:pt>
              </c:numCache>
            </c:numRef>
          </c:val>
          <c:extLst>
            <c:ext xmlns:c16="http://schemas.microsoft.com/office/drawing/2014/chart" uri="{C3380CC4-5D6E-409C-BE32-E72D297353CC}">
              <c16:uniqueId val="{00000010-9190-469D-8158-42D0C98D9DC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D05ED8B4-28B4-4400-9E0F-70BE6ECC557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{D05ED8B4-28B4-4400-9E0F-70BE6ECC5576}</c15:txfldGUID>
                      <c15:f>'J1634 Calcs'!$AI$18</c15:f>
                      <c15:dlblFieldTableCache>
                        <c:ptCount val="1"/>
                        <c:pt idx="0">
                          <c:v>13%</c:v>
                        </c:pt>
                      </c15:dlblFieldTableCache>
                    </c15:dlblFTEntry>
                  </c15:dlblFieldTable>
                  <c15:showDataLabelsRange val="0"/>
                </c:ext>
                <c:ext xmlns:c16="http://schemas.microsoft.com/office/drawing/2014/chart" uri="{C3380CC4-5D6E-409C-BE32-E72D297353CC}">
                  <c16:uniqueId val="{00000011-9190-469D-8158-42D0C98D9DC0}"/>
                </c:ext>
              </c:extLst>
            </c:dLbl>
            <c:dLbl>
              <c:idx val="1"/>
              <c:tx>
                <c:rich>
                  <a:bodyPr/>
                  <a:lstStyle/>
                  <a:p>
                    <a:fld id="{D7CA0D8C-E7C0-4ED8-9940-F9EC5A722D9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{D7CA0D8C-E7C0-4ED8-9940-F9EC5A722D99}</c15:txfldGUID>
                      <c15:f>'J1634 Calcs'!$AI$19</c15:f>
                      <c15:dlblFieldTableCache>
                        <c:ptCount val="1"/>
                        <c:pt idx="0">
                          <c:v>-1%</c:v>
                        </c:pt>
                      </c15:dlblFieldTableCache>
                    </c15:dlblFTEntry>
                  </c15:dlblFieldTable>
                  <c15:showDataLabelsRange val="0"/>
                </c:ext>
                <c:ext xmlns:c16="http://schemas.microsoft.com/office/drawing/2014/chart" uri="{C3380CC4-5D6E-409C-BE32-E72D297353CC}">
                  <c16:uniqueId val="{00000012-9190-469D-8158-42D0C98D9DC0}"/>
                </c:ext>
              </c:extLst>
            </c:dLbl>
            <c:dLbl>
              <c:idx val="2"/>
              <c:tx>
                <c:rich>
                  <a:bodyPr/>
                  <a:lstStyle/>
                  <a:p>
                    <a:fld id="{3F3D7368-4A49-4C7A-9D10-0C6FBF8BDB2C}"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{3F3D7368-4A49-4C7A-9D10-0C6FBF8BDB2C}</c15:txfldGUID>
                      <c15:f>'J1634 Calcs'!$AI$20</c15:f>
                      <c15:dlblFieldTableCache>
                        <c:ptCount val="1"/>
                        <c:pt idx="0">
                          <c:v>-2%</c:v>
                        </c:pt>
                      </c15:dlblFieldTableCache>
                    </c15:dlblFTEntry>
                  </c15:dlblFieldTable>
                  <c15:showDataLabelsRange val="0"/>
                </c:ext>
                <c:ext xmlns:c16="http://schemas.microsoft.com/office/drawing/2014/chart" uri="{C3380CC4-5D6E-409C-BE32-E72D297353CC}">
                  <c16:uniqueId val="{00000013-9190-469D-8158-42D0C98D9DC0}"/>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Calcs'!$AC$13:$AC$15</c:f>
              <c:strCache>
                <c:ptCount val="3"/>
                <c:pt idx="0">
                  <c:v>UDDS</c:v>
                </c:pt>
                <c:pt idx="1">
                  <c:v>HWY</c:v>
                </c:pt>
                <c:pt idx="2">
                  <c:v>US06</c:v>
                </c:pt>
              </c:strCache>
            </c:strRef>
          </c:cat>
          <c:val>
            <c:numRef>
              <c:f>'J1634 Calcs'!$AI$13:$AI$15</c:f>
              <c:numCache>
                <c:formatCode>0</c:formatCode>
                <c:ptCount val="3"/>
                <c:pt idx="0">
                  <c:v>238.88661062261102</c:v>
                </c:pt>
                <c:pt idx="1">
                  <c:v>252.60442496290372</c:v>
                </c:pt>
                <c:pt idx="2">
                  <c:v>341.44764670704228</c:v>
                </c:pt>
              </c:numCache>
            </c:numRef>
          </c:val>
          <c:extLst>
            <c:ext xmlns:c16="http://schemas.microsoft.com/office/drawing/2014/chart" uri="{C3380CC4-5D6E-409C-BE32-E72D297353CC}">
              <c16:uniqueId val="{00000014-9190-469D-8158-42D0C98D9DC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 - Range [mi]</a:t>
            </a:r>
          </a:p>
        </c:rich>
      </c:tx>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2"/>
              <c:layout>
                <c:manualLayout>
                  <c:x val="0"/>
                  <c:y val="4.97809637594574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FDE-497A-9BE8-CA9F126816E7}"/>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Calcs'!$AD$37:$AD$39</c:f>
              <c:numCache>
                <c:formatCode>0</c:formatCode>
                <c:ptCount val="3"/>
                <c:pt idx="0">
                  <c:v>125.55883340318425</c:v>
                </c:pt>
                <c:pt idx="1">
                  <c:v>164.97209390875634</c:v>
                </c:pt>
                <c:pt idx="2">
                  <c:v>131.93044303997976</c:v>
                </c:pt>
              </c:numCache>
            </c:numRef>
          </c:val>
          <c:extLst>
            <c:ext xmlns:c16="http://schemas.microsoft.com/office/drawing/2014/chart" uri="{C3380CC4-5D6E-409C-BE32-E72D297353CC}">
              <c16:uniqueId val="{00000000-493A-4C31-822B-826D379B44AF}"/>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Calcs'!$AE$37:$AE$39</c:f>
              <c:numCache>
                <c:formatCode>0</c:formatCode>
                <c:ptCount val="3"/>
                <c:pt idx="0">
                  <c:v>164.39210073882853</c:v>
                </c:pt>
                <c:pt idx="1">
                  <c:v>195.28898336198213</c:v>
                </c:pt>
                <c:pt idx="2">
                  <c:v>157.81260098935817</c:v>
                </c:pt>
              </c:numCache>
            </c:numRef>
          </c:val>
          <c:extLst>
            <c:ext xmlns:c16="http://schemas.microsoft.com/office/drawing/2014/chart" uri="{C3380CC4-5D6E-409C-BE32-E72D297353CC}">
              <c16:uniqueId val="{00000001-493A-4C31-822B-826D379B44AF}"/>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Calcs'!$AF$37:$AF$39</c:f>
              <c:numCache>
                <c:formatCode>0</c:formatCode>
                <c:ptCount val="3"/>
                <c:pt idx="0">
                  <c:v>177.10435600091202</c:v>
                </c:pt>
                <c:pt idx="1">
                  <c:v>206.42708587487323</c:v>
                </c:pt>
                <c:pt idx="2">
                  <c:v>162.38938822824019</c:v>
                </c:pt>
              </c:numCache>
            </c:numRef>
          </c:val>
          <c:extLst>
            <c:ext xmlns:c16="http://schemas.microsoft.com/office/drawing/2014/chart" uri="{C3380CC4-5D6E-409C-BE32-E72D297353CC}">
              <c16:uniqueId val="{00000002-493A-4C31-822B-826D379B44AF}"/>
            </c:ext>
          </c:extLst>
        </c:ser>
        <c:ser>
          <c:idx val="0"/>
          <c:order val="3"/>
          <c:tx>
            <c:strRef>
              <c:f>'J1634 Calcs'!$AG$6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Calcs'!$AG$37:$AG$39</c:f>
              <c:numCache>
                <c:formatCode>0</c:formatCode>
                <c:ptCount val="3"/>
                <c:pt idx="0">
                  <c:v>321.70186986621434</c:v>
                </c:pt>
                <c:pt idx="1">
                  <c:v>266.79260702189009</c:v>
                </c:pt>
                <c:pt idx="2">
                  <c:v>196.54268496803653</c:v>
                </c:pt>
              </c:numCache>
            </c:numRef>
          </c:val>
          <c:extLst>
            <c:ext xmlns:c16="http://schemas.microsoft.com/office/drawing/2014/chart" uri="{C3380CC4-5D6E-409C-BE32-E72D297353CC}">
              <c16:uniqueId val="{00000003-493A-4C31-822B-826D379B44AF}"/>
            </c:ext>
          </c:extLst>
        </c:ser>
        <c:ser>
          <c:idx val="1"/>
          <c:order val="4"/>
          <c:tx>
            <c:strRef>
              <c:f>'J1634 Calcs'!$AH$6</c:f>
              <c:strCache>
                <c:ptCount val="1"/>
                <c:pt idx="0">
                  <c:v>35C Ambient with 22C Cabin</c:v>
                </c:pt>
              </c:strCache>
            </c:strRef>
          </c:tx>
          <c:spPr>
            <a:solidFill>
              <a:schemeClr val="accent2"/>
            </a:solidFill>
          </c:spPr>
          <c:invertIfNegative val="0"/>
          <c:dLbls>
            <c:dLbl>
              <c:idx val="0"/>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0-CFDE-497A-9BE8-CA9F126816E7}"/>
                </c:ext>
              </c:extLst>
            </c:dLbl>
            <c:dLbl>
              <c:idx val="2"/>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1-CFDE-497A-9BE8-CA9F126816E7}"/>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Calcs'!$AH$37:$AH$39</c:f>
              <c:numCache>
                <c:formatCode>0</c:formatCode>
                <c:ptCount val="3"/>
                <c:pt idx="0">
                  <c:v>237.36188162410329</c:v>
                </c:pt>
                <c:pt idx="1">
                  <c:v>254.48207699639414</c:v>
                </c:pt>
                <c:pt idx="2">
                  <c:v>189.97367613782589</c:v>
                </c:pt>
              </c:numCache>
            </c:numRef>
          </c:val>
          <c:extLst>
            <c:ext xmlns:c16="http://schemas.microsoft.com/office/drawing/2014/chart" uri="{C3380CC4-5D6E-409C-BE32-E72D297353CC}">
              <c16:uniqueId val="{00000004-493A-4C31-822B-826D379B44AF}"/>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Calcs'!$AC$37:$AC$39</c:f>
              <c:strCache>
                <c:ptCount val="3"/>
                <c:pt idx="0">
                  <c:v>UDDS</c:v>
                </c:pt>
                <c:pt idx="1">
                  <c:v>HWY</c:v>
                </c:pt>
                <c:pt idx="2">
                  <c:v>US06</c:v>
                </c:pt>
              </c:strCache>
            </c:strRef>
          </c:cat>
          <c:val>
            <c:numRef>
              <c:f>'J1634 Calcs'!$AI$37:$AI$39</c:f>
              <c:numCache>
                <c:formatCode>0</c:formatCode>
                <c:ptCount val="3"/>
                <c:pt idx="0">
                  <c:v>280.26848592850246</c:v>
                </c:pt>
                <c:pt idx="1">
                  <c:v>265.04836040628823</c:v>
                </c:pt>
                <c:pt idx="2">
                  <c:v>196.08390719188407</c:v>
                </c:pt>
              </c:numCache>
            </c:numRef>
          </c:val>
          <c:extLst>
            <c:ext xmlns:c16="http://schemas.microsoft.com/office/drawing/2014/chart" uri="{C3380CC4-5D6E-409C-BE32-E72D297353CC}">
              <c16:uniqueId val="{00000005-493A-4C31-822B-826D379B44AF}"/>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350"/>
          <c:min val="0"/>
        </c:scaling>
        <c:delete val="0"/>
        <c:axPos val="l"/>
        <c:majorGridlines/>
        <c:title>
          <c:tx>
            <c:rich>
              <a:bodyPr/>
              <a:lstStyle/>
              <a:p>
                <a:pPr>
                  <a:defRPr sz="2400"/>
                </a:pPr>
                <a:r>
                  <a:rPr lang="en-US" sz="2400"/>
                  <a:t>Range [miles]</a:t>
                </a:r>
              </a:p>
            </c:rich>
          </c:tx>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a:t>
            </a:r>
            <a:r>
              <a:rPr lang="en-US" sz="2400" baseline="0"/>
              <a:t> Plus- [DC Wh/mi]</a:t>
            </a:r>
            <a:endParaRPr lang="en-US" sz="2400"/>
          </a:p>
        </c:rich>
      </c:tx>
      <c:layout>
        <c:manualLayout>
          <c:xMode val="edge"/>
          <c:yMode val="edge"/>
          <c:x val="0.33800193460016464"/>
          <c:y val="1.7435899045163881E-2"/>
        </c:manualLayout>
      </c:layout>
      <c:overlay val="0"/>
    </c:title>
    <c:autoTitleDeleted val="0"/>
    <c:plotArea>
      <c:layout/>
      <c:barChart>
        <c:barDir val="col"/>
        <c:grouping val="clustered"/>
        <c:varyColors val="0"/>
        <c:ser>
          <c:idx val="3"/>
          <c:order val="0"/>
          <c:tx>
            <c:strRef>
              <c:f>'J1634 Calcs'!$AD$6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wrap="square" lIns="38100" tIns="19050" rIns="38100" bIns="19050" anchor="ctr">
                    <a:spAutoFit/>
                  </a:bodyPr>
                  <a:lstStyle/>
                  <a:p>
                    <a:pPr>
                      <a:defRPr sz="1000" b="1"/>
                    </a:pPr>
                    <a:fld id="{52E43E02-3978-4016-A209-E6333B24FF45}" type="CELLREF">
                      <a:rPr lang="en-US"/>
                      <a:pPr>
                        <a:defRPr sz="1000" b="1"/>
                      </a:pPr>
                      <a:t>[CELLREF]</a:t>
                    </a:fld>
                    <a:endParaRPr lang="en-US"/>
                  </a:p>
                </c:rich>
              </c:tx>
              <c:numFmt formatCode="0.0" sourceLinked="0"/>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Calcs'!$AD$31</c15:f>
                      <c15:dlblFieldTableCache>
                        <c:ptCount val="1"/>
                        <c:pt idx="0">
                          <c:v>158%</c:v>
                        </c:pt>
                      </c15:dlblFieldTableCache>
                    </c15:dlblFTEntry>
                  </c15:dlblFieldTable>
                  <c15:showDataLabelsRange val="0"/>
                </c:ext>
                <c:ext xmlns:c16="http://schemas.microsoft.com/office/drawing/2014/chart" uri="{C3380CC4-5D6E-409C-BE32-E72D297353CC}">
                  <c16:uniqueId val="{00000000-DB61-490B-8BCB-D20C9B1BD130}"/>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Calcs'!$AD$32</c15:f>
                      <c15:dlblFieldTableCache>
                        <c:ptCount val="1"/>
                        <c:pt idx="0">
                          <c:v>64%</c:v>
                        </c:pt>
                      </c15:dlblFieldTableCache>
                    </c15:dlblFTEntry>
                  </c15:dlblFieldTable>
                  <c15:showDataLabelsRange val="0"/>
                </c:ext>
                <c:ext xmlns:c16="http://schemas.microsoft.com/office/drawing/2014/chart" uri="{C3380CC4-5D6E-409C-BE32-E72D297353CC}">
                  <c16:uniqueId val="{00000001-DB61-490B-8BCB-D20C9B1BD130}"/>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Calcs'!$AD$33</c15:f>
                      <c15:dlblFieldTableCache>
                        <c:ptCount val="1"/>
                        <c:pt idx="0">
                          <c:v>154%</c:v>
                        </c:pt>
                      </c15:dlblFieldTableCache>
                    </c15:dlblFTEntry>
                  </c15:dlblFieldTable>
                  <c15:showDataLabelsRange val="0"/>
                </c:ext>
                <c:ext xmlns:c16="http://schemas.microsoft.com/office/drawing/2014/chart" uri="{C3380CC4-5D6E-409C-BE32-E72D297353CC}">
                  <c16:uniqueId val="{00000002-DB61-490B-8BCB-D20C9B1BD130}"/>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Calcs'!$AD$34</c15:f>
                      <c15:dlblFieldTableCache>
                        <c:ptCount val="1"/>
                        <c:pt idx="0">
                          <c:v>49%</c:v>
                        </c:pt>
                      </c15:dlblFieldTableCache>
                    </c15:dlblFTEntry>
                  </c15:dlblFieldTable>
                  <c15:showDataLabelsRange val="0"/>
                </c:ext>
                <c:ext xmlns:c16="http://schemas.microsoft.com/office/drawing/2014/chart" uri="{C3380CC4-5D6E-409C-BE32-E72D297353CC}">
                  <c16:uniqueId val="{00000003-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Calcs'!$AD$7:$AD$10</c:f>
              <c:numCache>
                <c:formatCode>0</c:formatCode>
                <c:ptCount val="4"/>
                <c:pt idx="0">
                  <c:v>539.57030404629222</c:v>
                </c:pt>
                <c:pt idx="1">
                  <c:v>359.09103531634133</c:v>
                </c:pt>
                <c:pt idx="2">
                  <c:v>468.77459057259136</c:v>
                </c:pt>
                <c:pt idx="3">
                  <c:v>449.02449074659825</c:v>
                </c:pt>
              </c:numCache>
            </c:numRef>
          </c:val>
          <c:extLst>
            <c:ext xmlns:c16="http://schemas.microsoft.com/office/drawing/2014/chart" uri="{C3380CC4-5D6E-409C-BE32-E72D297353CC}">
              <c16:uniqueId val="{00000004-DB61-490B-8BCB-D20C9B1BD130}"/>
            </c:ext>
          </c:extLst>
        </c:ser>
        <c:ser>
          <c:idx val="4"/>
          <c:order val="1"/>
          <c:tx>
            <c:strRef>
              <c:f>'J1634 Calcs'!$AE$6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Calcs'!$AE$31</c15:f>
                      <c15:dlblFieldTableCache>
                        <c:ptCount val="1"/>
                        <c:pt idx="0">
                          <c:v>117%</c:v>
                        </c:pt>
                      </c15:dlblFieldTableCache>
                    </c15:dlblFTEntry>
                  </c15:dlblFieldTable>
                  <c15:showDataLabelsRange val="0"/>
                </c:ext>
                <c:ext xmlns:c16="http://schemas.microsoft.com/office/drawing/2014/chart" uri="{C3380CC4-5D6E-409C-BE32-E72D297353CC}">
                  <c16:uniqueId val="{00000005-DB61-490B-8BCB-D20C9B1BD130}"/>
                </c:ext>
              </c:extLst>
            </c:dLbl>
            <c:dLbl>
              <c:idx val="1"/>
              <c:layout>
                <c:manualLayout>
                  <c:x val="2.9774922838920427E-3"/>
                  <c:y val="-4.8094838738527417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Calcs'!$AE$32</c15:f>
                      <c15:dlblFieldTableCache>
                        <c:ptCount val="1"/>
                        <c:pt idx="0">
                          <c:v>38%</c:v>
                        </c:pt>
                      </c15:dlblFieldTableCache>
                    </c15:dlblFTEntry>
                  </c15:dlblFieldTable>
                  <c15:showDataLabelsRange val="0"/>
                </c:ext>
                <c:ext xmlns:c16="http://schemas.microsoft.com/office/drawing/2014/chart" uri="{C3380CC4-5D6E-409C-BE32-E72D297353CC}">
                  <c16:uniqueId val="{00000006-DB61-490B-8BCB-D20C9B1BD130}"/>
                </c:ext>
              </c:extLst>
            </c:dLbl>
            <c:dLbl>
              <c:idx val="2"/>
              <c:layout>
                <c:manualLayout>
                  <c:x val="1.4887461419460213E-3"/>
                  <c:y val="-7.3003265945904847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Calcs'!$AE$33</c15:f>
                      <c15:dlblFieldTableCache>
                        <c:ptCount val="1"/>
                        <c:pt idx="0">
                          <c:v>93%</c:v>
                        </c:pt>
                      </c15:dlblFieldTableCache>
                    </c15:dlblFTEntry>
                  </c15:dlblFieldTable>
                  <c15:showDataLabelsRange val="0"/>
                </c:ext>
                <c:ext xmlns:c16="http://schemas.microsoft.com/office/drawing/2014/chart" uri="{C3380CC4-5D6E-409C-BE32-E72D297353CC}">
                  <c16:uniqueId val="{00000007-DB61-490B-8BCB-D20C9B1BD130}"/>
                </c:ext>
              </c:extLst>
            </c:dLbl>
            <c:dLbl>
              <c:idx val="3"/>
              <c:layout>
                <c:manualLayout>
                  <c:x val="3.4346797661501992E-3"/>
                  <c:y val="-1.2454213603688487E-2"/>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Calcs'!$AE$34</c15:f>
                      <c15:dlblFieldTableCache>
                        <c:ptCount val="1"/>
                        <c:pt idx="0">
                          <c:v>25%</c:v>
                        </c:pt>
                      </c15:dlblFieldTableCache>
                    </c15:dlblFTEntry>
                  </c15:dlblFieldTable>
                  <c15:showDataLabelsRange val="0"/>
                </c:ext>
                <c:ext xmlns:c16="http://schemas.microsoft.com/office/drawing/2014/chart" uri="{C3380CC4-5D6E-409C-BE32-E72D297353CC}">
                  <c16:uniqueId val="{00000008-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'J1634 Calcs'!$AC$7:$AC$10</c:f>
              <c:strCache>
                <c:ptCount val="4"/>
                <c:pt idx="0">
                  <c:v>UDDS#1</c:v>
                </c:pt>
                <c:pt idx="1">
                  <c:v>HWY#1</c:v>
                </c:pt>
                <c:pt idx="2">
                  <c:v>UDDS#2</c:v>
                </c:pt>
                <c:pt idx="3">
                  <c:v>US06#1</c:v>
                </c:pt>
              </c:strCache>
            </c:strRef>
          </c:cat>
          <c:val>
            <c:numRef>
              <c:f>'J1634 Calcs'!$AE$7:$AE$10</c:f>
              <c:numCache>
                <c:formatCode>0</c:formatCode>
                <c:ptCount val="4"/>
                <c:pt idx="0">
                  <c:v>454.22105247703433</c:v>
                </c:pt>
                <c:pt idx="1">
                  <c:v>303.34532435039824</c:v>
                </c:pt>
                <c:pt idx="2">
                  <c:v>355.65285258307136</c:v>
                </c:pt>
                <c:pt idx="3">
                  <c:v>375.3819379986947</c:v>
                </c:pt>
              </c:numCache>
            </c:numRef>
          </c:val>
          <c:extLst>
            <c:ext xmlns:c16="http://schemas.microsoft.com/office/drawing/2014/chart" uri="{C3380CC4-5D6E-409C-BE32-E72D297353CC}">
              <c16:uniqueId val="{00000009-DB61-490B-8BCB-D20C9B1BD130}"/>
            </c:ext>
          </c:extLst>
        </c:ser>
        <c:ser>
          <c:idx val="6"/>
          <c:order val="2"/>
          <c:tx>
            <c:strRef>
              <c:f>'J1634 Calcs'!$AF$6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Calcs'!$AF$31</c15:f>
                      <c15:dlblFieldTableCache>
                        <c:ptCount val="1"/>
                        <c:pt idx="0">
                          <c:v>73%</c:v>
                        </c:pt>
                      </c15:dlblFieldTableCache>
                    </c15:dlblFTEntry>
                  </c15:dlblFieldTable>
                  <c15:showDataLabelsRange val="0"/>
                </c:ext>
                <c:ext xmlns:c16="http://schemas.microsoft.com/office/drawing/2014/chart" uri="{C3380CC4-5D6E-409C-BE32-E72D297353CC}">
                  <c16:uniqueId val="{0000000A-DB61-490B-8BCB-D20C9B1BD130}"/>
                </c:ext>
              </c:extLst>
            </c:dLbl>
            <c:dLbl>
              <c:idx val="1"/>
              <c:layout>
                <c:manualLayout>
                  <c:x val="4.4662748770631462E-3"/>
                  <c:y val="-4.8820974247362615E-17"/>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Calcs'!$AF$32</c15:f>
                      <c15:dlblFieldTableCache>
                        <c:ptCount val="1"/>
                        <c:pt idx="0">
                          <c:v>31%</c:v>
                        </c:pt>
                      </c15:dlblFieldTableCache>
                    </c15:dlblFTEntry>
                  </c15:dlblFieldTable>
                  <c15:showDataLabelsRange val="0"/>
                </c:ext>
                <c:ext xmlns:c16="http://schemas.microsoft.com/office/drawing/2014/chart" uri="{C3380CC4-5D6E-409C-BE32-E72D297353CC}">
                  <c16:uniqueId val="{0000000B-DB61-490B-8BCB-D20C9B1BD130}"/>
                </c:ext>
              </c:extLst>
            </c:dLbl>
            <c:dLbl>
              <c:idx val="2"/>
              <c:layout>
                <c:manualLayout>
                  <c:x val="2.9775165847087644E-3"/>
                  <c:y val="2.6629929944412154E-3"/>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Calcs'!$AF$33</c15:f>
                      <c15:dlblFieldTableCache>
                        <c:ptCount val="1"/>
                        <c:pt idx="0">
                          <c:v>81%</c:v>
                        </c:pt>
                      </c15:dlblFieldTableCache>
                    </c15:dlblFTEntry>
                  </c15:dlblFieldTable>
                  <c15:showDataLabelsRange val="0"/>
                </c:ext>
                <c:ext xmlns:c16="http://schemas.microsoft.com/office/drawing/2014/chart" uri="{C3380CC4-5D6E-409C-BE32-E72D297353CC}">
                  <c16:uniqueId val="{0000000C-DB61-490B-8BCB-D20C9B1BD130}"/>
                </c:ext>
              </c:extLst>
            </c:dLbl>
            <c:dLbl>
              <c:idx val="3"/>
              <c:layout>
                <c:manualLayout>
                  <c:x val="-9.957647873211931E-17"/>
                  <c:y val="4.9816854414753949E-3"/>
                </c:manualLayout>
              </c:layout>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Calcs'!$AF$34</c15:f>
                      <c15:dlblFieldTableCache>
                        <c:ptCount val="1"/>
                        <c:pt idx="0">
                          <c:v>21%</c:v>
                        </c:pt>
                      </c15:dlblFieldTableCache>
                    </c15:dlblFTEntry>
                  </c15:dlblFieldTable>
                  <c15:showDataLabelsRange val="0"/>
                </c:ext>
                <c:ext xmlns:c16="http://schemas.microsoft.com/office/drawing/2014/chart" uri="{C3380CC4-5D6E-409C-BE32-E72D297353CC}">
                  <c16:uniqueId val="{0000000D-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Calcs'!$AF$7:$AF$10</c:f>
              <c:numCache>
                <c:formatCode>0</c:formatCode>
                <c:ptCount val="4"/>
                <c:pt idx="0">
                  <c:v>362.12279082035781</c:v>
                </c:pt>
                <c:pt idx="1">
                  <c:v>286.97784376953621</c:v>
                </c:pt>
                <c:pt idx="2">
                  <c:v>333.17954577589052</c:v>
                </c:pt>
                <c:pt idx="3">
                  <c:v>364.80216254486703</c:v>
                </c:pt>
              </c:numCache>
            </c:numRef>
          </c:val>
          <c:extLst>
            <c:ext xmlns:c16="http://schemas.microsoft.com/office/drawing/2014/chart" uri="{C3380CC4-5D6E-409C-BE32-E72D297353CC}">
              <c16:uniqueId val="{0000000E-DB61-490B-8BCB-D20C9B1BD130}"/>
            </c:ext>
          </c:extLst>
        </c:ser>
        <c:ser>
          <c:idx val="0"/>
          <c:order val="3"/>
          <c:tx>
            <c:strRef>
              <c:f>'J1634 Calcs'!$AG$6</c:f>
              <c:strCache>
                <c:ptCount val="1"/>
                <c:pt idx="0">
                  <c:v>22C Ambient with Climate off</c:v>
                </c:pt>
              </c:strCache>
            </c:strRef>
          </c:tx>
          <c:spPr>
            <a:solidFill>
              <a:schemeClr val="accent3"/>
            </a:solidFill>
          </c:spPr>
          <c:invertIfNegative val="0"/>
          <c:cat>
            <c:strRef>
              <c:f>'J1634 Calcs'!$AC$7:$AC$10</c:f>
              <c:strCache>
                <c:ptCount val="4"/>
                <c:pt idx="0">
                  <c:v>UDDS#1</c:v>
                </c:pt>
                <c:pt idx="1">
                  <c:v>HWY#1</c:v>
                </c:pt>
                <c:pt idx="2">
                  <c:v>UDDS#2</c:v>
                </c:pt>
                <c:pt idx="3">
                  <c:v>US06#1</c:v>
                </c:pt>
              </c:strCache>
            </c:strRef>
          </c:cat>
          <c:val>
            <c:numRef>
              <c:f>'J1634 Calcs'!$AG$7:$AG$10</c:f>
              <c:numCache>
                <c:formatCode>0</c:formatCode>
                <c:ptCount val="4"/>
                <c:pt idx="0">
                  <c:v>209.4282460330657</c:v>
                </c:pt>
                <c:pt idx="1">
                  <c:v>219.60358492135728</c:v>
                </c:pt>
                <c:pt idx="2">
                  <c:v>184.48504647904815</c:v>
                </c:pt>
                <c:pt idx="3">
                  <c:v>301.41035271617523</c:v>
                </c:pt>
              </c:numCache>
            </c:numRef>
          </c:val>
          <c:extLst>
            <c:ext xmlns:c16="http://schemas.microsoft.com/office/drawing/2014/chart" uri="{C3380CC4-5D6E-409C-BE32-E72D297353CC}">
              <c16:uniqueId val="{0000000F-DB61-490B-8BCB-D20C9B1BD130}"/>
            </c:ext>
          </c:extLst>
        </c:ser>
        <c:ser>
          <c:idx val="1"/>
          <c:order val="4"/>
          <c:tx>
            <c:strRef>
              <c:f>'J1634 Calcs'!$AH$6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Calcs'!$AH$31</c15:f>
                      <c15:dlblFieldTableCache>
                        <c:ptCount val="1"/>
                        <c:pt idx="0">
                          <c:v>48%</c:v>
                        </c:pt>
                      </c15:dlblFieldTableCache>
                    </c15:dlblFTEntry>
                  </c15:dlblFieldTable>
                  <c15:showDataLabelsRange val="0"/>
                </c:ext>
                <c:ext xmlns:c16="http://schemas.microsoft.com/office/drawing/2014/chart" uri="{C3380CC4-5D6E-409C-BE32-E72D297353CC}">
                  <c16:uniqueId val="{00000010-DB61-490B-8BCB-D20C9B1BD130}"/>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Calcs'!$AH$32</c15:f>
                      <c15:dlblFieldTableCache>
                        <c:ptCount val="1"/>
                        <c:pt idx="0">
                          <c:v>6%</c:v>
                        </c:pt>
                      </c15:dlblFieldTableCache>
                    </c15:dlblFTEntry>
                  </c15:dlblFieldTable>
                  <c15:showDataLabelsRange val="0"/>
                </c:ext>
                <c:ext xmlns:c16="http://schemas.microsoft.com/office/drawing/2014/chart" uri="{C3380CC4-5D6E-409C-BE32-E72D297353CC}">
                  <c16:uniqueId val="{00000011-DB61-490B-8BCB-D20C9B1BD130}"/>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Calcs'!$AH$33</c15:f>
                      <c15:dlblFieldTableCache>
                        <c:ptCount val="1"/>
                        <c:pt idx="0">
                          <c:v>34%</c:v>
                        </c:pt>
                      </c15:dlblFieldTableCache>
                    </c15:dlblFTEntry>
                  </c15:dlblFieldTable>
                  <c15:showDataLabelsRange val="0"/>
                </c:ext>
                <c:ext xmlns:c16="http://schemas.microsoft.com/office/drawing/2014/chart" uri="{C3380CC4-5D6E-409C-BE32-E72D297353CC}">
                  <c16:uniqueId val="{00000012-DB61-490B-8BCB-D20C9B1BD130}"/>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Calcs'!$AH$34</c15:f>
                      <c15:dlblFieldTableCache>
                        <c:ptCount val="1"/>
                        <c:pt idx="0">
                          <c:v>3%</c:v>
                        </c:pt>
                      </c15:dlblFieldTableCache>
                    </c15:dlblFTEntry>
                  </c15:dlblFieldTable>
                  <c15:showDataLabelsRange val="0"/>
                </c:ext>
                <c:ext xmlns:c16="http://schemas.microsoft.com/office/drawing/2014/chart" uri="{C3380CC4-5D6E-409C-BE32-E72D297353CC}">
                  <c16:uniqueId val="{00000013-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Calcs'!$AH$7:$AH$10</c:f>
              <c:numCache>
                <c:formatCode>0</c:formatCode>
                <c:ptCount val="4"/>
                <c:pt idx="0">
                  <c:v>310.37308558405277</c:v>
                </c:pt>
                <c:pt idx="1">
                  <c:v>232.78653137069216</c:v>
                </c:pt>
                <c:pt idx="2">
                  <c:v>247.11909501717622</c:v>
                </c:pt>
                <c:pt idx="3">
                  <c:v>311.83267705480091</c:v>
                </c:pt>
              </c:numCache>
            </c:numRef>
          </c:val>
          <c:extLst>
            <c:ext xmlns:c16="http://schemas.microsoft.com/office/drawing/2014/chart" uri="{C3380CC4-5D6E-409C-BE32-E72D297353CC}">
              <c16:uniqueId val="{00000014-DB61-490B-8BCB-D20C9B1BD130}"/>
            </c:ext>
          </c:extLst>
        </c:ser>
        <c:ser>
          <c:idx val="2"/>
          <c:order val="5"/>
          <c:tx>
            <c:strRef>
              <c:f>'J1634 Calcs'!$AI$6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Calcs'!$AI$31</c15:f>
                      <c15:dlblFieldTableCache>
                        <c:ptCount val="1"/>
                        <c:pt idx="0">
                          <c:v>22%</c:v>
                        </c:pt>
                      </c15:dlblFieldTableCache>
                    </c15:dlblFTEntry>
                  </c15:dlblFieldTable>
                  <c15:showDataLabelsRange val="0"/>
                </c:ext>
                <c:ext xmlns:c16="http://schemas.microsoft.com/office/drawing/2014/chart" uri="{C3380CC4-5D6E-409C-BE32-E72D297353CC}">
                  <c16:uniqueId val="{00000015-DB61-490B-8BCB-D20C9B1BD130}"/>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Calcs'!$AI$32</c15:f>
                      <c15:dlblFieldTableCache>
                        <c:ptCount val="1"/>
                        <c:pt idx="0">
                          <c:v>2%</c:v>
                        </c:pt>
                      </c15:dlblFieldTableCache>
                    </c15:dlblFTEntry>
                  </c15:dlblFieldTable>
                  <c15:showDataLabelsRange val="0"/>
                </c:ext>
                <c:ext xmlns:c16="http://schemas.microsoft.com/office/drawing/2014/chart" uri="{C3380CC4-5D6E-409C-BE32-E72D297353CC}">
                  <c16:uniqueId val="{00000016-DB61-490B-8BCB-D20C9B1BD130}"/>
                </c:ext>
              </c:extLst>
            </c:dLbl>
            <c:dLbl>
              <c:idx val="2"/>
              <c:layout>
                <c:manualLayout>
                  <c:x val="2.715753519493604E-3"/>
                  <c:y val="0"/>
                </c:manualLayout>
              </c:layout>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Calcs'!$AI$33</c15:f>
                      <c15:dlblFieldTableCache>
                        <c:ptCount val="1"/>
                        <c:pt idx="0">
                          <c:v>14%</c:v>
                        </c:pt>
                      </c15:dlblFieldTableCache>
                    </c15:dlblFTEntry>
                  </c15:dlblFieldTable>
                  <c15:showDataLabelsRange val="0"/>
                </c:ext>
                <c:ext xmlns:c16="http://schemas.microsoft.com/office/drawing/2014/chart" uri="{C3380CC4-5D6E-409C-BE32-E72D297353CC}">
                  <c16:uniqueId val="{00000017-DB61-490B-8BCB-D20C9B1BD130}"/>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Calcs'!$AI$34</c15:f>
                      <c15:dlblFieldTableCache>
                        <c:ptCount val="1"/>
                        <c:pt idx="0">
                          <c:v>0%</c:v>
                        </c:pt>
                      </c15:dlblFieldTableCache>
                    </c15:dlblFTEntry>
                  </c15:dlblFieldTable>
                  <c15:showDataLabelsRange val="0"/>
                </c:ext>
                <c:ext xmlns:c16="http://schemas.microsoft.com/office/drawing/2014/chart" uri="{C3380CC4-5D6E-409C-BE32-E72D297353CC}">
                  <c16:uniqueId val="{00000018-DB61-490B-8BCB-D20C9B1BD130}"/>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Calcs'!$AC$7:$AC$10</c:f>
              <c:strCache>
                <c:ptCount val="4"/>
                <c:pt idx="0">
                  <c:v>UDDS#1</c:v>
                </c:pt>
                <c:pt idx="1">
                  <c:v>HWY#1</c:v>
                </c:pt>
                <c:pt idx="2">
                  <c:v>UDDS#2</c:v>
                </c:pt>
                <c:pt idx="3">
                  <c:v>US06#1</c:v>
                </c:pt>
              </c:strCache>
            </c:strRef>
          </c:cat>
          <c:val>
            <c:numRef>
              <c:f>'J1634 Calcs'!$AI$7:$AI$10</c:f>
              <c:numCache>
                <c:formatCode>0</c:formatCode>
                <c:ptCount val="4"/>
                <c:pt idx="0">
                  <c:v>255.36671523792654</c:v>
                </c:pt>
                <c:pt idx="1">
                  <c:v>223.50638166254637</c:v>
                </c:pt>
                <c:pt idx="2">
                  <c:v>209.91474861171858</c:v>
                </c:pt>
                <c:pt idx="3">
                  <c:v>302.11556291577176</c:v>
                </c:pt>
              </c:numCache>
            </c:numRef>
          </c:val>
          <c:extLst>
            <c:ext xmlns:c16="http://schemas.microsoft.com/office/drawing/2014/chart" uri="{C3380CC4-5D6E-409C-BE32-E72D297353CC}">
              <c16:uniqueId val="{00000019-DB61-490B-8BCB-D20C9B1BD130}"/>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a:t>
            </a:r>
            <a:r>
              <a:rPr lang="en-US" sz="2400" baseline="0"/>
              <a:t> </a:t>
            </a:r>
            <a:r>
              <a:rPr lang="en-US" sz="2400"/>
              <a:t>[AC Wh/mi]</a:t>
            </a:r>
          </a:p>
        </c:rich>
      </c:tx>
      <c:layout>
        <c:manualLayout>
          <c:xMode val="edge"/>
          <c:yMode val="edge"/>
          <c:x val="0.34597659346833848"/>
          <c:y val="1.9912385503783353E-2"/>
        </c:manualLayout>
      </c:layout>
      <c:overlay val="0"/>
    </c:title>
    <c:autoTitleDeleted val="0"/>
    <c:plotArea>
      <c:layout/>
      <c:barChart>
        <c:barDir val="col"/>
        <c:grouping val="clustered"/>
        <c:varyColors val="0"/>
        <c:ser>
          <c:idx val="3"/>
          <c:order val="0"/>
          <c:tx>
            <c:strRef>
              <c:f>'J1634 Calcs no precondition'!$AD$6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a:lstStyle/>
                  <a:p>
                    <a:fld id="{B0945F62-8997-4AC0-A2D7-322D125A555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{B0945F62-8997-4AC0-A2D7-322D125A555E}</c15:txfldGUID>
                      <c15:f>'J1634 Calcs no precondition'!$AD$18</c15:f>
                      <c15:dlblFieldTableCache>
                        <c:ptCount val="1"/>
                        <c:pt idx="0">
                          <c:v>223%</c:v>
                        </c:pt>
                      </c15:dlblFieldTableCache>
                    </c15:dlblFTEntry>
                  </c15:dlblFieldTable>
                  <c15:showDataLabelsRange val="0"/>
                </c:ext>
                <c:ext xmlns:c16="http://schemas.microsoft.com/office/drawing/2014/chart" uri="{C3380CC4-5D6E-409C-BE32-E72D297353CC}">
                  <c16:uniqueId val="{00000000-E707-42C2-A4C6-2C2F31D39B87}"/>
                </c:ext>
              </c:extLst>
            </c:dLbl>
            <c:dLbl>
              <c:idx val="1"/>
              <c:tx>
                <c:rich>
                  <a:bodyPr/>
                  <a:lstStyle/>
                  <a:p>
                    <a:fld id="{14E10095-01E0-40E2-BF85-F19478A01C2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{14E10095-01E0-40E2-BF85-F19478A01C28}</c15:txfldGUID>
                      <c15:f>'J1634 Calcs no precondition'!$AD$19</c15:f>
                      <c15:dlblFieldTableCache>
                        <c:ptCount val="1"/>
                        <c:pt idx="0">
                          <c:v>104%</c:v>
                        </c:pt>
                      </c15:dlblFieldTableCache>
                    </c15:dlblFTEntry>
                  </c15:dlblFieldTable>
                  <c15:showDataLabelsRange val="0"/>
                </c:ext>
                <c:ext xmlns:c16="http://schemas.microsoft.com/office/drawing/2014/chart" uri="{C3380CC4-5D6E-409C-BE32-E72D297353CC}">
                  <c16:uniqueId val="{00000001-E707-42C2-A4C6-2C2F31D39B87}"/>
                </c:ext>
              </c:extLst>
            </c:dLbl>
            <c:dLbl>
              <c:idx val="2"/>
              <c:tx>
                <c:rich>
                  <a:bodyPr/>
                  <a:lstStyle/>
                  <a:p>
                    <a:fld id="{3784444F-7979-445F-B3D6-AEBFD582BD9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{3784444F-7979-445F-B3D6-AEBFD582BD98}</c15:txfldGUID>
                      <c15:f>'J1634 Calcs no precondition'!$AD$20</c15:f>
                      <c15:dlblFieldTableCache>
                        <c:ptCount val="1"/>
                        <c:pt idx="0">
                          <c:v>87%</c:v>
                        </c:pt>
                      </c15:dlblFieldTableCache>
                    </c15:dlblFTEntry>
                  </c15:dlblFieldTable>
                  <c15:showDataLabelsRange val="0"/>
                </c:ext>
                <c:ext xmlns:c16="http://schemas.microsoft.com/office/drawing/2014/chart" uri="{C3380CC4-5D6E-409C-BE32-E72D297353CC}">
                  <c16:uniqueId val="{00000002-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precondition'!$AD$13:$AD$15</c:f>
              <c:numCache>
                <c:formatCode>0</c:formatCode>
                <c:ptCount val="3"/>
                <c:pt idx="0">
                  <c:v>681.63838847964848</c:v>
                </c:pt>
                <c:pt idx="1">
                  <c:v>518.04744251025829</c:v>
                </c:pt>
                <c:pt idx="2">
                  <c:v>647.79113421983163</c:v>
                </c:pt>
              </c:numCache>
            </c:numRef>
          </c:val>
          <c:extLst>
            <c:ext xmlns:c16="http://schemas.microsoft.com/office/drawing/2014/chart" uri="{C3380CC4-5D6E-409C-BE32-E72D297353CC}">
              <c16:uniqueId val="{00000003-E707-42C2-A4C6-2C2F31D39B87}"/>
            </c:ext>
          </c:extLst>
        </c:ser>
        <c:ser>
          <c:idx val="4"/>
          <c:order val="1"/>
          <c:tx>
            <c:strRef>
              <c:f>'J1634 Calcs no precondition'!$AE$6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2.9775165847087644E-3"/>
                  <c:y val="2.662992994441264E-3"/>
                </c:manualLayout>
              </c:layout>
              <c:tx>
                <c:rich>
                  <a:bodyPr/>
                  <a:lstStyle/>
                  <a:p>
                    <a:fld id="{CF963985-D3E1-4705-A63C-6308912A1BA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{CF963985-D3E1-4705-A63C-6308912A1BA1}</c15:txfldGUID>
                      <c15:f>'J1634 Calcs no precondition'!$AE$18</c15:f>
                      <c15:dlblFieldTableCache>
                        <c:ptCount val="1"/>
                        <c:pt idx="0">
                          <c:v>103%</c:v>
                        </c:pt>
                      </c15:dlblFieldTableCache>
                    </c15:dlblFTEntry>
                  </c15:dlblFieldTable>
                  <c15:showDataLabelsRange val="0"/>
                </c:ext>
                <c:ext xmlns:c16="http://schemas.microsoft.com/office/drawing/2014/chart" uri="{C3380CC4-5D6E-409C-BE32-E72D297353CC}">
                  <c16:uniqueId val="{00000004-E707-42C2-A4C6-2C2F31D39B87}"/>
                </c:ext>
              </c:extLst>
            </c:dLbl>
            <c:dLbl>
              <c:idx val="1"/>
              <c:layout>
                <c:manualLayout>
                  <c:x val="2.9775165847086551E-3"/>
                  <c:y val="2.6629929944412154E-3"/>
                </c:manualLayout>
              </c:layout>
              <c:tx>
                <c:rich>
                  <a:bodyPr/>
                  <a:lstStyle/>
                  <a:p>
                    <a:fld id="{E0F95126-373F-4982-8A26-A1187FDA1A7E}"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{E0F95126-373F-4982-8A26-A1187FDA1A7E}</c15:txfldGUID>
                      <c15:f>'J1634 Calcs no precondition'!$AE$19</c15:f>
                      <c15:dlblFieldTableCache>
                        <c:ptCount val="1"/>
                        <c:pt idx="0">
                          <c:v>42%</c:v>
                        </c:pt>
                      </c15:dlblFieldTableCache>
                    </c15:dlblFTEntry>
                  </c15:dlblFieldTable>
                  <c15:showDataLabelsRange val="0"/>
                </c:ext>
                <c:ext xmlns:c16="http://schemas.microsoft.com/office/drawing/2014/chart" uri="{C3380CC4-5D6E-409C-BE32-E72D297353CC}">
                  <c16:uniqueId val="{00000005-E707-42C2-A4C6-2C2F31D39B87}"/>
                </c:ext>
              </c:extLst>
            </c:dLbl>
            <c:dLbl>
              <c:idx val="2"/>
              <c:layout>
                <c:manualLayout>
                  <c:x val="1.4887582923543822E-3"/>
                  <c:y val="2.662992994441264E-3"/>
                </c:manualLayout>
              </c:layout>
              <c:tx>
                <c:rich>
                  <a:bodyPr/>
                  <a:lstStyle/>
                  <a:p>
                    <a:fld id="{E540FF63-EEA2-452B-AF6B-2E02EC30DA3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{E540FF63-EEA2-452B-AF6B-2E02EC30DA3D}</c15:txfldGUID>
                      <c15:f>'J1634 Calcs no precondition'!$AE$20</c15:f>
                      <c15:dlblFieldTableCache>
                        <c:ptCount val="1"/>
                        <c:pt idx="0">
                          <c:v>28%</c:v>
                        </c:pt>
                      </c15:dlblFieldTableCache>
                    </c15:dlblFTEntry>
                  </c15:dlblFieldTable>
                  <c15:showDataLabelsRange val="0"/>
                </c:ext>
                <c:ext xmlns:c16="http://schemas.microsoft.com/office/drawing/2014/chart" uri="{C3380CC4-5D6E-409C-BE32-E72D297353CC}">
                  <c16:uniqueId val="{00000006-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precondition'!$AE$13:$AE$15</c:f>
              <c:numCache>
                <c:formatCode>0</c:formatCode>
                <c:ptCount val="3"/>
                <c:pt idx="0">
                  <c:v>428.12528840674207</c:v>
                </c:pt>
                <c:pt idx="1">
                  <c:v>360.39112052801261</c:v>
                </c:pt>
                <c:pt idx="2">
                  <c:v>445.97462496259811</c:v>
                </c:pt>
              </c:numCache>
            </c:numRef>
          </c:val>
          <c:extLst>
            <c:ext xmlns:c16="http://schemas.microsoft.com/office/drawing/2014/chart" uri="{C3380CC4-5D6E-409C-BE32-E72D297353CC}">
              <c16:uniqueId val="{00000007-E707-42C2-A4C6-2C2F31D39B87}"/>
            </c:ext>
          </c:extLst>
        </c:ser>
        <c:ser>
          <c:idx val="0"/>
          <c:order val="3"/>
          <c:tx>
            <c:strRef>
              <c:f>'J1634 Calcs no precondition'!$AG$6</c:f>
              <c:strCache>
                <c:ptCount val="1"/>
                <c:pt idx="0">
                  <c:v>22C Ambient with Climate off</c:v>
                </c:pt>
              </c:strCache>
            </c:strRef>
          </c:tx>
          <c:spPr>
            <a:solidFill>
              <a:schemeClr val="accent3"/>
            </a:solidFill>
          </c:spPr>
          <c:invertIfNegative val="0"/>
          <c:cat>
            <c:strRef>
              <c:f>'J1634 Calcs no precondition'!$AC$13:$AC$15</c:f>
              <c:strCache>
                <c:ptCount val="3"/>
                <c:pt idx="0">
                  <c:v>UDDS</c:v>
                </c:pt>
                <c:pt idx="1">
                  <c:v>HWY</c:v>
                </c:pt>
                <c:pt idx="2">
                  <c:v>US06</c:v>
                </c:pt>
              </c:strCache>
            </c:strRef>
          </c:cat>
          <c:val>
            <c:numRef>
              <c:f>'J1634 Calcs no precondition'!$AG$13:$AG$15</c:f>
              <c:numCache>
                <c:formatCode>0</c:formatCode>
                <c:ptCount val="3"/>
                <c:pt idx="0">
                  <c:v>211.31564960585933</c:v>
                </c:pt>
                <c:pt idx="1">
                  <c:v>254.22899515125798</c:v>
                </c:pt>
                <c:pt idx="2">
                  <c:v>347.15814678052328</c:v>
                </c:pt>
              </c:numCache>
            </c:numRef>
          </c:val>
          <c:extLst>
            <c:ext xmlns:c16="http://schemas.microsoft.com/office/drawing/2014/chart" uri="{C3380CC4-5D6E-409C-BE32-E72D297353CC}">
              <c16:uniqueId val="{0000000C-E707-42C2-A4C6-2C2F31D39B87}"/>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F78FDACD-EBF6-42C8-8A5C-DABB4D21E63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{F78FDACD-EBF6-42C8-8A5C-DABB4D21E633}</c15:txfldGUID>
                      <c15:f>'J1634 Calcs no precondition'!$AH$18</c15:f>
                      <c15:dlblFieldTableCache>
                        <c:ptCount val="1"/>
                        <c:pt idx="0">
                          <c:v>33%</c:v>
                        </c:pt>
                      </c15:dlblFieldTableCache>
                    </c15:dlblFTEntry>
                  </c15:dlblFieldTable>
                  <c15:showDataLabelsRange val="0"/>
                </c:ext>
                <c:ext xmlns:c16="http://schemas.microsoft.com/office/drawing/2014/chart" uri="{C3380CC4-5D6E-409C-BE32-E72D297353CC}">
                  <c16:uniqueId val="{0000000D-E707-42C2-A4C6-2C2F31D39B87}"/>
                </c:ext>
              </c:extLst>
            </c:dLbl>
            <c:dLbl>
              <c:idx val="1"/>
              <c:tx>
                <c:rich>
                  <a:bodyPr/>
                  <a:lstStyle/>
                  <a:p>
                    <a:fld id="{E0400D18-C037-4BDC-94A0-88505510BF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{E0400D18-C037-4BDC-94A0-88505510BFE6}</c15:txfldGUID>
                      <c15:f>'J1634 Calcs no precondition'!$AH$19</c15:f>
                      <c15:dlblFieldTableCache>
                        <c:ptCount val="1"/>
                        <c:pt idx="0">
                          <c:v>3%</c:v>
                        </c:pt>
                      </c15:dlblFieldTableCache>
                    </c15:dlblFTEntry>
                  </c15:dlblFieldTable>
                  <c15:showDataLabelsRange val="0"/>
                </c:ext>
                <c:ext xmlns:c16="http://schemas.microsoft.com/office/drawing/2014/chart" uri="{C3380CC4-5D6E-409C-BE32-E72D297353CC}">
                  <c16:uniqueId val="{0000000E-E707-42C2-A4C6-2C2F31D39B87}"/>
                </c:ext>
              </c:extLst>
            </c:dLbl>
            <c:dLbl>
              <c:idx val="2"/>
              <c:tx>
                <c:rich>
                  <a:bodyPr/>
                  <a:lstStyle/>
                  <a:p>
                    <a:fld id="{9745F343-DA76-4EDC-9AD6-356F2B869D74}"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{9745F343-DA76-4EDC-9AD6-356F2B869D74}</c15:txfldGUID>
                      <c15:f>'J1634 Calcs no precondition'!$AH$20</c15:f>
                      <c15:dlblFieldTableCache>
                        <c:ptCount val="1"/>
                        <c:pt idx="0">
                          <c:v>2%</c:v>
                        </c:pt>
                      </c15:dlblFieldTableCache>
                    </c15:dlblFTEntry>
                  </c15:dlblFieldTable>
                  <c15:showDataLabelsRange val="0"/>
                </c:ext>
                <c:ext xmlns:c16="http://schemas.microsoft.com/office/drawing/2014/chart" uri="{C3380CC4-5D6E-409C-BE32-E72D297353CC}">
                  <c16:uniqueId val="{0000000F-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precondition'!$AH$13:$AH$15</c:f>
              <c:numCache>
                <c:formatCode>0</c:formatCode>
                <c:ptCount val="3"/>
                <c:pt idx="0">
                  <c:v>282.06883181782172</c:v>
                </c:pt>
                <c:pt idx="1">
                  <c:v>263.09274687639231</c:v>
                </c:pt>
                <c:pt idx="2">
                  <c:v>352.42982095696743</c:v>
                </c:pt>
              </c:numCache>
            </c:numRef>
          </c:val>
          <c:extLst>
            <c:ext xmlns:c16="http://schemas.microsoft.com/office/drawing/2014/chart" uri="{C3380CC4-5D6E-409C-BE32-E72D297353CC}">
              <c16:uniqueId val="{00000010-E707-42C2-A4C6-2C2F31D39B87}"/>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D05ED8B4-28B4-4400-9E0F-70BE6ECC557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{D05ED8B4-28B4-4400-9E0F-70BE6ECC5576}</c15:txfldGUID>
                      <c15:f>'J1634 Calcs no precondition'!$AI$18</c15:f>
                      <c15:dlblFieldTableCache>
                        <c:ptCount val="1"/>
                        <c:pt idx="0">
                          <c:v>13%</c:v>
                        </c:pt>
                      </c15:dlblFieldTableCache>
                    </c15:dlblFTEntry>
                  </c15:dlblFieldTable>
                  <c15:showDataLabelsRange val="0"/>
                </c:ext>
                <c:ext xmlns:c16="http://schemas.microsoft.com/office/drawing/2014/chart" uri="{C3380CC4-5D6E-409C-BE32-E72D297353CC}">
                  <c16:uniqueId val="{00000011-E707-42C2-A4C6-2C2F31D39B87}"/>
                </c:ext>
              </c:extLst>
            </c:dLbl>
            <c:dLbl>
              <c:idx val="1"/>
              <c:tx>
                <c:rich>
                  <a:bodyPr/>
                  <a:lstStyle/>
                  <a:p>
                    <a:fld id="{D7CA0D8C-E7C0-4ED8-9940-F9EC5A722D9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{D7CA0D8C-E7C0-4ED8-9940-F9EC5A722D99}</c15:txfldGUID>
                      <c15:f>'J1634 Calcs no precondition'!$AI$19</c15:f>
                      <c15:dlblFieldTableCache>
                        <c:ptCount val="1"/>
                        <c:pt idx="0">
                          <c:v>-1%</c:v>
                        </c:pt>
                      </c15:dlblFieldTableCache>
                    </c15:dlblFTEntry>
                  </c15:dlblFieldTable>
                  <c15:showDataLabelsRange val="0"/>
                </c:ext>
                <c:ext xmlns:c16="http://schemas.microsoft.com/office/drawing/2014/chart" uri="{C3380CC4-5D6E-409C-BE32-E72D297353CC}">
                  <c16:uniqueId val="{00000012-E707-42C2-A4C6-2C2F31D39B87}"/>
                </c:ext>
              </c:extLst>
            </c:dLbl>
            <c:dLbl>
              <c:idx val="2"/>
              <c:tx>
                <c:rich>
                  <a:bodyPr/>
                  <a:lstStyle/>
                  <a:p>
                    <a:fld id="{3F3D7368-4A49-4C7A-9D10-0C6FBF8BDB2C}"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{3F3D7368-4A49-4C7A-9D10-0C6FBF8BDB2C}</c15:txfldGUID>
                      <c15:f>'J1634 Calcs no precondition'!$AI$20</c15:f>
                      <c15:dlblFieldTableCache>
                        <c:ptCount val="1"/>
                        <c:pt idx="0">
                          <c:v>-2%</c:v>
                        </c:pt>
                      </c15:dlblFieldTableCache>
                    </c15:dlblFTEntry>
                  </c15:dlblFieldTable>
                  <c15:showDataLabelsRange val="0"/>
                </c:ext>
                <c:ext xmlns:c16="http://schemas.microsoft.com/office/drawing/2014/chart" uri="{C3380CC4-5D6E-409C-BE32-E72D297353CC}">
                  <c16:uniqueId val="{00000013-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precondition'!$AC$13:$AC$15</c:f>
              <c:strCache>
                <c:ptCount val="3"/>
                <c:pt idx="0">
                  <c:v>UDDS</c:v>
                </c:pt>
                <c:pt idx="1">
                  <c:v>HWY</c:v>
                </c:pt>
                <c:pt idx="2">
                  <c:v>US06</c:v>
                </c:pt>
              </c:strCache>
            </c:strRef>
          </c:cat>
          <c:val>
            <c:numRef>
              <c:f>'J1634 Calcs no precondition'!$AI$13:$AI$15</c:f>
              <c:numCache>
                <c:formatCode>0</c:formatCode>
                <c:ptCount val="3"/>
                <c:pt idx="0">
                  <c:v>238.88661062261102</c:v>
                </c:pt>
                <c:pt idx="1">
                  <c:v>252.60442496290372</c:v>
                </c:pt>
                <c:pt idx="2">
                  <c:v>341.44764670704228</c:v>
                </c:pt>
              </c:numCache>
            </c:numRef>
          </c:val>
          <c:extLst>
            <c:ext xmlns:c16="http://schemas.microsoft.com/office/drawing/2014/chart" uri="{C3380CC4-5D6E-409C-BE32-E72D297353CC}">
              <c16:uniqueId val="{00000014-E707-42C2-A4C6-2C2F31D39B87}"/>
            </c:ext>
          </c:extLst>
        </c:ser>
        <c:dLbls>
          <c:showLegendKey val="0"/>
          <c:showVal val="0"/>
          <c:showCatName val="0"/>
          <c:showSerName val="0"/>
          <c:showPercent val="0"/>
          <c:showBubbleSize val="0"/>
        </c:dLbls>
        <c:gapWidth val="150"/>
        <c:axId val="866531520"/>
        <c:axId val="866535048"/>
        <c:extLst>
          <c:ext xmlns:c15="http://schemas.microsoft.com/office/drawing/2012/chart" uri="{02D57815-91ED-43cb-92C2-25804820EDAC}">
            <c15:filteredBarSeries>
              <c15:ser>
                <c:idx val="6"/>
                <c:order val="2"/>
                <c:tx>
                  <c:strRef>
                    <c:extLst>
                      <c:ext uri="{02D57815-91ED-43cb-92C2-25804820EDAC}">
                        <c15:formulaRef>
                          <c15:sqref>'J1634 Calcs no precondition'!$AF$6</c15:sqref>
                        </c15:formulaRef>
                      </c:ext>
                    </c:extLst>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5E7F7213-2C7E-496E-A759-A0B373A79861}"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{5E7F7213-2C7E-496E-A759-A0B373A79861}</c15:txfldGUID>
                            <c15:f>'J1634 Calcs no precondition'!$AF$18</c15:f>
                            <c15:dlblFieldTableCache>
                              <c:ptCount val="1"/>
                              <c:pt idx="0">
                                <c:v>88%</c:v>
                              </c:pt>
                            </c15:dlblFieldTableCache>
                          </c15:dlblFTEntry>
                        </c15:dlblFieldTable>
                        <c15:showDataLabelsRange val="0"/>
                      </c:ext>
                      <c:ext xmlns:c16="http://schemas.microsoft.com/office/drawing/2014/chart" uri="{C3380CC4-5D6E-409C-BE32-E72D297353CC}">
                        <c16:uniqueId val="{00000008-E707-42C2-A4C6-2C2F31D39B87}"/>
                      </c:ext>
                    </c:extLst>
                  </c:dLbl>
                  <c:dLbl>
                    <c:idx val="1"/>
                    <c:layout>
                      <c:manualLayout>
                        <c:x val="4.4662748770631462E-3"/>
                        <c:y val="-4.8820974247362615E-17"/>
                      </c:manualLayout>
                    </c:layout>
                    <c:tx>
                      <c:rich>
                        <a:bodyPr/>
                        <a:lstStyle/>
                        <a:p>
                          <a:fld id="{1994E76F-5E3D-403A-8AC8-3AFEFA9C7061}"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{1994E76F-5E3D-403A-8AC8-3AFEFA9C7061}</c15:txfldGUID>
                            <c15:f>'J1634 Calcs no precondition'!$AF$19</c15:f>
                            <c15:dlblFieldTableCache>
                              <c:ptCount val="1"/>
                              <c:pt idx="0">
                                <c:v>34%</c:v>
                              </c:pt>
                            </c15:dlblFieldTableCache>
                          </c15:dlblFTEntry>
                        </c15:dlblFieldTable>
                        <c15:showDataLabelsRange val="0"/>
                      </c:ext>
                      <c:ext xmlns:c16="http://schemas.microsoft.com/office/drawing/2014/chart" uri="{C3380CC4-5D6E-409C-BE32-E72D297353CC}">
                        <c16:uniqueId val="{00000009-E707-42C2-A4C6-2C2F31D39B87}"/>
                      </c:ext>
                    </c:extLst>
                  </c:dLbl>
                  <c:dLbl>
                    <c:idx val="2"/>
                    <c:layout>
                      <c:manualLayout>
                        <c:x val="2.9775165847087644E-3"/>
                        <c:y val="2.6629929944412154E-3"/>
                      </c:manualLayout>
                    </c:layout>
                    <c:tx>
                      <c:rich>
                        <a:bodyPr/>
                        <a:lstStyle/>
                        <a:p>
                          <a:fld id="{07A6E231-2A68-439E-AAC8-52ED36449D45}" type="CELLREF">
                            <a:rPr lang="en-US"/>
                            <a:pPr/>
                            <a:t>[CELLREF]</a:t>
                          </a:fld>
                          <a:endParaRPr lang="en-US"/>
                        </a:p>
                      </c:rich>
                    </c:tx>
                    <c:showLegendKey val="0"/>
                    <c:showVal val="1"/>
                    <c:showCatName val="0"/>
                    <c:showSerName val="0"/>
                    <c:showPercent val="0"/>
                    <c:showBubbleSize val="0"/>
                    <c:extLst>
                      <c:ext uri="{CE6537A1-D6FC-4f65-9D91-7224C49458BB}">
                        <c15:dlblFieldTable>
                          <c15:dlblFTEntry>
                            <c15:txfldGUID>{07A6E231-2A68-439E-AAC8-52ED36449D45}</c15:txfldGUID>
                            <c15:f>'J1634 Calcs no precondition'!$AF$20</c15:f>
                            <c15:dlblFieldTableCache>
                              <c:ptCount val="1"/>
                              <c:pt idx="0">
                                <c:v>25%</c:v>
                              </c:pt>
                            </c15:dlblFieldTableCache>
                          </c15:dlblFTEntry>
                        </c15:dlblFieldTable>
                        <c15:showDataLabelsRange val="0"/>
                      </c:ext>
                      <c:ext xmlns:c16="http://schemas.microsoft.com/office/drawing/2014/chart" uri="{C3380CC4-5D6E-409C-BE32-E72D297353CC}">
                        <c16:uniqueId val="{0000000A-E707-42C2-A4C6-2C2F31D39B87}"/>
                      </c:ext>
                    </c:extLst>
                  </c:dLbl>
                  <c:spPr>
                    <a:solidFill>
                      <a:schemeClr val="bg1"/>
                    </a:solid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uri="{CE6537A1-D6FC-4f65-9D91-7224C49458BB}">
                      <c15:showLeaderLines val="1"/>
                    </c:ext>
                  </c:extLst>
                </c:dLbls>
                <c:cat>
                  <c:strRef>
                    <c:extLst>
                      <c:ext uri="{02D57815-91ED-43cb-92C2-25804820EDAC}">
                        <c15:formulaRef>
                          <c15:sqref>'J1634 Calcs no precondition'!$AC$13:$AC$15</c15:sqref>
                        </c15:formulaRef>
                      </c:ext>
                    </c:extLst>
                    <c:strCache>
                      <c:ptCount val="3"/>
                      <c:pt idx="0">
                        <c:v>UDDS</c:v>
                      </c:pt>
                      <c:pt idx="1">
                        <c:v>HWY</c:v>
                      </c:pt>
                      <c:pt idx="2">
                        <c:v>US06</c:v>
                      </c:pt>
                    </c:strCache>
                  </c:strRef>
                </c:cat>
                <c:val>
                  <c:numRef>
                    <c:extLst>
                      <c:ext uri="{02D57815-91ED-43cb-92C2-25804820EDAC}">
                        <c15:formulaRef>
                          <c15:sqref>'J1634 Calcs no precondition'!$AF$13:$AF$15</c15:sqref>
                        </c15:formulaRef>
                      </c:ext>
                    </c:extLst>
                    <c:numCache>
                      <c:formatCode>0</c:formatCode>
                      <c:ptCount val="3"/>
                      <c:pt idx="0">
                        <c:v>397.3951693217457</c:v>
                      </c:pt>
                      <c:pt idx="1">
                        <c:v>340.94564306964344</c:v>
                      </c:pt>
                      <c:pt idx="2">
                        <c:v>433.40526316707746</c:v>
                      </c:pt>
                    </c:numCache>
                  </c:numRef>
                </c:val>
                <c:extLst>
                  <c:ext xmlns:c16="http://schemas.microsoft.com/office/drawing/2014/chart" uri="{C3380CC4-5D6E-409C-BE32-E72D297353CC}">
                    <c16:uniqueId val="{0000000B-E707-42C2-A4C6-2C2F31D39B87}"/>
                  </c:ext>
                </c:extLst>
              </c15:ser>
            </c15:filteredBarSeries>
          </c:ext>
        </c:extLst>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[AC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Plus - Range [mi]</a:t>
            </a:r>
          </a:p>
        </c:rich>
      </c:tx>
      <c:overlay val="0"/>
    </c:title>
    <c:autoTitleDeleted val="0"/>
    <c:plotArea>
      <c:layout/>
      <c:barChart>
        <c:barDir val="col"/>
        <c:grouping val="clustered"/>
        <c:varyColors val="0"/>
        <c:ser>
          <c:idx val="3"/>
          <c:order val="0"/>
          <c:tx>
            <c:strRef>
              <c:f>'J1634 Calcs no precondition'!$AD$6</c:f>
              <c:strCache>
                <c:ptCount val="1"/>
                <c:pt idx="0">
                  <c:v>-18C Ambient with 22C Cabin</c:v>
                </c:pt>
              </c:strCache>
            </c:strRef>
          </c:tx>
          <c:spPr>
            <a:solidFill>
              <a:schemeClr val="accent4"/>
            </a:solidFill>
          </c:spPr>
          <c:invertIfNegative val="0"/>
          <c:dLbls>
            <c:dLbl>
              <c:idx val="2"/>
              <c:layout>
                <c:manualLayout>
                  <c:x val="0"/>
                  <c:y val="4.978096375945747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9A5-4E2F-8C34-C2187796F6BE}"/>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precondition'!$AD$37:$AD$39</c:f>
              <c:numCache>
                <c:formatCode>0</c:formatCode>
                <c:ptCount val="3"/>
                <c:pt idx="0">
                  <c:v>125.37934010086205</c:v>
                </c:pt>
                <c:pt idx="1">
                  <c:v>164.97209390875634</c:v>
                </c:pt>
                <c:pt idx="2">
                  <c:v>131.93044303997976</c:v>
                </c:pt>
              </c:numCache>
            </c:numRef>
          </c:val>
          <c:extLst>
            <c:ext xmlns:c16="http://schemas.microsoft.com/office/drawing/2014/chart" uri="{C3380CC4-5D6E-409C-BE32-E72D297353CC}">
              <c16:uniqueId val="{00000001-E9A5-4E2F-8C34-C2187796F6BE}"/>
            </c:ext>
          </c:extLst>
        </c:ser>
        <c:ser>
          <c:idx val="4"/>
          <c:order val="1"/>
          <c:tx>
            <c:strRef>
              <c:f>'J1634 Calcs no precondition'!$AE$6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precondition'!$AE$37:$AE$39</c:f>
              <c:numCache>
                <c:formatCode>0</c:formatCode>
                <c:ptCount val="3"/>
                <c:pt idx="0">
                  <c:v>164.39210073882853</c:v>
                </c:pt>
                <c:pt idx="1">
                  <c:v>195.28898336198213</c:v>
                </c:pt>
                <c:pt idx="2">
                  <c:v>157.81260098935817</c:v>
                </c:pt>
              </c:numCache>
            </c:numRef>
          </c:val>
          <c:extLst>
            <c:ext xmlns:c16="http://schemas.microsoft.com/office/drawing/2014/chart" uri="{C3380CC4-5D6E-409C-BE32-E72D297353CC}">
              <c16:uniqueId val="{00000002-E9A5-4E2F-8C34-C2187796F6BE}"/>
            </c:ext>
          </c:extLst>
        </c:ser>
        <c:ser>
          <c:idx val="6"/>
          <c:order val="2"/>
          <c:tx>
            <c:strRef>
              <c:f>'J1634 Calcs no precondition'!$AF$6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precondition'!$AF$37:$AF$39</c:f>
              <c:numCache>
                <c:formatCode>0</c:formatCode>
                <c:ptCount val="3"/>
                <c:pt idx="0">
                  <c:v>177.10435600091202</c:v>
                </c:pt>
                <c:pt idx="1">
                  <c:v>206.42708587487323</c:v>
                </c:pt>
                <c:pt idx="2">
                  <c:v>162.38938822824019</c:v>
                </c:pt>
              </c:numCache>
            </c:numRef>
          </c:val>
          <c:extLst>
            <c:ext xmlns:c16="http://schemas.microsoft.com/office/drawing/2014/chart" uri="{C3380CC4-5D6E-409C-BE32-E72D297353CC}">
              <c16:uniqueId val="{00000003-E9A5-4E2F-8C34-C2187796F6BE}"/>
            </c:ext>
          </c:extLst>
        </c:ser>
        <c:ser>
          <c:idx val="0"/>
          <c:order val="3"/>
          <c:tx>
            <c:strRef>
              <c:f>'J1634 Calcs no precondition'!$AG$6</c:f>
              <c:strCache>
                <c:ptCount val="1"/>
                <c:pt idx="0">
                  <c:v>22C Ambient with Climate off</c:v>
                </c:pt>
              </c:strCache>
            </c:strRef>
          </c:tx>
          <c:spPr>
            <a:solidFill>
              <a:schemeClr val="accent3"/>
            </a:solid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precondition'!$AG$37:$AG$39</c:f>
              <c:numCache>
                <c:formatCode>0</c:formatCode>
                <c:ptCount val="3"/>
                <c:pt idx="0">
                  <c:v>321.70186986621434</c:v>
                </c:pt>
                <c:pt idx="1">
                  <c:v>266.79260702189009</c:v>
                </c:pt>
                <c:pt idx="2">
                  <c:v>196.54268496803653</c:v>
                </c:pt>
              </c:numCache>
            </c:numRef>
          </c:val>
          <c:extLst>
            <c:ext xmlns:c16="http://schemas.microsoft.com/office/drawing/2014/chart" uri="{C3380CC4-5D6E-409C-BE32-E72D297353CC}">
              <c16:uniqueId val="{00000004-E9A5-4E2F-8C34-C2187796F6BE}"/>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5-E9A5-4E2F-8C34-C2187796F6BE}"/>
                </c:ext>
              </c:extLst>
            </c:dLbl>
            <c:dLbl>
              <c:idx val="2"/>
              <c:numFmt formatCode="#,##0" sourceLinked="0"/>
              <c:spPr>
                <a:solidFill>
                  <a:schemeClr val="bg1"/>
                </a:solid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extLst>
                <c:ext xmlns:c16="http://schemas.microsoft.com/office/drawing/2014/chart" uri="{C3380CC4-5D6E-409C-BE32-E72D297353CC}">
                  <c16:uniqueId val="{00000006-E9A5-4E2F-8C34-C2187796F6BE}"/>
                </c:ext>
              </c:extLst>
            </c:dLbl>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precondition'!$AH$37:$AH$39</c:f>
              <c:numCache>
                <c:formatCode>0</c:formatCode>
                <c:ptCount val="3"/>
                <c:pt idx="0">
                  <c:v>237.36188162410329</c:v>
                </c:pt>
                <c:pt idx="1">
                  <c:v>254.48207699639414</c:v>
                </c:pt>
                <c:pt idx="2">
                  <c:v>189.97367613782589</c:v>
                </c:pt>
              </c:numCache>
            </c:numRef>
          </c:val>
          <c:extLst>
            <c:ext xmlns:c16="http://schemas.microsoft.com/office/drawing/2014/chart" uri="{C3380CC4-5D6E-409C-BE32-E72D297353CC}">
              <c16:uniqueId val="{00000007-E9A5-4E2F-8C34-C2187796F6BE}"/>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numFmt formatCode="#,##0" sourceLinked="0"/>
            <c:spPr>
              <a:noFill/>
              <a:ln>
                <a:noFill/>
              </a:ln>
              <a:effectLst/>
            </c:spPr>
            <c:txPr>
              <a:bodyPr wrap="square" lIns="38100" tIns="19050" rIns="38100" bIns="19050" anchor="ctr">
                <a:spAutoFit/>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precondition'!$AC$37:$AC$39</c:f>
              <c:strCache>
                <c:ptCount val="3"/>
                <c:pt idx="0">
                  <c:v>UDDS</c:v>
                </c:pt>
                <c:pt idx="1">
                  <c:v>HWY</c:v>
                </c:pt>
                <c:pt idx="2">
                  <c:v>US06</c:v>
                </c:pt>
              </c:strCache>
            </c:strRef>
          </c:cat>
          <c:val>
            <c:numRef>
              <c:f>'J1634 Calcs no precondition'!$AI$37:$AI$39</c:f>
              <c:numCache>
                <c:formatCode>0</c:formatCode>
                <c:ptCount val="3"/>
                <c:pt idx="0">
                  <c:v>280.26848592850246</c:v>
                </c:pt>
                <c:pt idx="1">
                  <c:v>265.04836040628823</c:v>
                </c:pt>
                <c:pt idx="2">
                  <c:v>196.08390719188407</c:v>
                </c:pt>
              </c:numCache>
            </c:numRef>
          </c:val>
          <c:extLst>
            <c:ext xmlns:c16="http://schemas.microsoft.com/office/drawing/2014/chart" uri="{C3380CC4-5D6E-409C-BE32-E72D297353CC}">
              <c16:uniqueId val="{00000008-E9A5-4E2F-8C34-C2187796F6BE}"/>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350"/>
          <c:min val="0"/>
        </c:scaling>
        <c:delete val="0"/>
        <c:axPos val="l"/>
        <c:majorGridlines/>
        <c:title>
          <c:tx>
            <c:rich>
              <a:bodyPr/>
              <a:lstStyle/>
              <a:p>
                <a:pPr>
                  <a:defRPr sz="2400"/>
                </a:pPr>
                <a:r>
                  <a:rPr lang="en-US" sz="2400"/>
                  <a:t>Range [miles]</a:t>
                </a:r>
              </a:p>
            </c:rich>
          </c:tx>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2019 Nissan Leaf </a:t>
            </a:r>
            <a:r>
              <a:rPr lang="en-US" sz="2400" baseline="0"/>
              <a:t> Plus- [DC Wh/mi]</a:t>
            </a:r>
            <a:endParaRPr lang="en-US" sz="2400"/>
          </a:p>
        </c:rich>
      </c:tx>
      <c:layout>
        <c:manualLayout>
          <c:xMode val="edge"/>
          <c:yMode val="edge"/>
          <c:x val="0.33800193460016464"/>
          <c:y val="1.7435899045163881E-2"/>
        </c:manualLayout>
      </c:layout>
      <c:overlay val="0"/>
    </c:title>
    <c:autoTitleDeleted val="0"/>
    <c:plotArea>
      <c:layout/>
      <c:barChart>
        <c:barDir val="col"/>
        <c:grouping val="clustered"/>
        <c:varyColors val="0"/>
        <c:ser>
          <c:idx val="3"/>
          <c:order val="0"/>
          <c:tx>
            <c:strRef>
              <c:f>'J1634 Calcs no precondition'!$AD$6</c:f>
              <c:strCache>
                <c:ptCount val="1"/>
                <c:pt idx="0">
                  <c:v>-18C Ambient with 22C Cabin</c:v>
                </c:pt>
              </c:strCache>
            </c:strRef>
          </c:tx>
          <c:spPr>
            <a:solidFill>
              <a:schemeClr val="accent4"/>
            </a:solidFill>
          </c:spPr>
          <c:invertIfNegative val="0"/>
          <c:dLbls>
            <c:dLbl>
              <c:idx val="0"/>
              <c:layout>
                <c:manualLayout>
                  <c:x val="1.4887582923543822E-3"/>
                  <c:y val="7.9889789833237929E-3"/>
                </c:manualLayout>
              </c:layout>
              <c:tx>
                <c:rich>
                  <a:bodyPr wrap="square" lIns="38100" tIns="19050" rIns="38100" bIns="19050" anchor="ctr">
                    <a:spAutoFit/>
                  </a:bodyPr>
                  <a:lstStyle/>
                  <a:p>
                    <a:pPr>
                      <a:defRPr sz="1000" b="1"/>
                    </a:pPr>
                    <a:fld id="{52E43E02-3978-4016-A209-E6333B24FF45}" type="CELLREF">
                      <a:rPr lang="en-US"/>
                      <a:pPr>
                        <a:defRPr sz="1000" b="1"/>
                      </a:pPr>
                      <a:t>[CELLREF]</a:t>
                    </a:fld>
                    <a:endParaRPr lang="en-US"/>
                  </a:p>
                </c:rich>
              </c:tx>
              <c:numFmt formatCode="0.0" sourceLinked="0"/>
              <c:spPr>
                <a:noFill/>
                <a:ln>
                  <a:noFill/>
                </a:ln>
                <a:effectLst/>
              </c:spPr>
              <c:showLegendKey val="0"/>
              <c:showVal val="1"/>
              <c:showCatName val="0"/>
              <c:showSerName val="0"/>
              <c:showPercent val="0"/>
              <c:showBubbleSize val="0"/>
              <c:extLst>
                <c:ext xmlns:c15="http://schemas.microsoft.com/office/drawing/2012/chart" uri="{CE6537A1-D6FC-4f65-9D91-7224C49458BB}">
                  <c15:dlblFieldTable>
                    <c15:dlblFTEntry>
                      <c15:txfldGUID>{52E43E02-3978-4016-A209-E6333B24FF45}</c15:txfldGUID>
                      <c15:f>'J1634 Calcs no precondition'!$AD$31</c15:f>
                      <c15:dlblFieldTableCache>
                        <c:ptCount val="1"/>
                        <c:pt idx="0">
                          <c:v>158%</c:v>
                        </c:pt>
                      </c15:dlblFieldTableCache>
                    </c15:dlblFTEntry>
                  </c15:dlblFieldTable>
                  <c15:showDataLabelsRange val="0"/>
                </c:ext>
                <c:ext xmlns:c16="http://schemas.microsoft.com/office/drawing/2014/chart" uri="{C3380CC4-5D6E-409C-BE32-E72D297353CC}">
                  <c16:uniqueId val="{00000000-0DD2-4312-9695-048E2B56BB68}"/>
                </c:ext>
              </c:extLst>
            </c:dLbl>
            <c:dLbl>
              <c:idx val="1"/>
              <c:tx>
                <c:rich>
                  <a:bodyPr/>
                  <a:lstStyle/>
                  <a:p>
                    <a:fld id="{278C50B6-F0A0-4D9D-8499-A95AE0147AB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{278C50B6-F0A0-4D9D-8499-A95AE0147AB8}</c15:txfldGUID>
                      <c15:f>'J1634 Calcs no precondition'!$AD$32</c15:f>
                      <c15:dlblFieldTableCache>
                        <c:ptCount val="1"/>
                        <c:pt idx="0">
                          <c:v>64%</c:v>
                        </c:pt>
                      </c15:dlblFieldTableCache>
                    </c15:dlblFTEntry>
                  </c15:dlblFieldTable>
                  <c15:showDataLabelsRange val="0"/>
                </c:ext>
                <c:ext xmlns:c16="http://schemas.microsoft.com/office/drawing/2014/chart" uri="{C3380CC4-5D6E-409C-BE32-E72D297353CC}">
                  <c16:uniqueId val="{00000001-0DD2-4312-9695-048E2B56BB68}"/>
                </c:ext>
              </c:extLst>
            </c:dLbl>
            <c:dLbl>
              <c:idx val="2"/>
              <c:tx>
                <c:rich>
                  <a:bodyPr/>
                  <a:lstStyle/>
                  <a:p>
                    <a:fld id="{442F3CF2-3A01-456C-B60A-76C81495117F}"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{442F3CF2-3A01-456C-B60A-76C81495117F}</c15:txfldGUID>
                      <c15:f>'J1634 Calcs no precondition'!$AD$33</c15:f>
                      <c15:dlblFieldTableCache>
                        <c:ptCount val="1"/>
                        <c:pt idx="0">
                          <c:v>154%</c:v>
                        </c:pt>
                      </c15:dlblFieldTableCache>
                    </c15:dlblFTEntry>
                  </c15:dlblFieldTable>
                  <c15:showDataLabelsRange val="0"/>
                </c:ext>
                <c:ext xmlns:c16="http://schemas.microsoft.com/office/drawing/2014/chart" uri="{C3380CC4-5D6E-409C-BE32-E72D297353CC}">
                  <c16:uniqueId val="{00000002-0DD2-4312-9695-048E2B56BB68}"/>
                </c:ext>
              </c:extLst>
            </c:dLbl>
            <c:dLbl>
              <c:idx val="3"/>
              <c:tx>
                <c:rich>
                  <a:bodyPr/>
                  <a:lstStyle/>
                  <a:p>
                    <a:fld id="{AFC1A4FD-059A-4D03-835F-B30A5A73936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{AFC1A4FD-059A-4D03-835F-B30A5A739363}</c15:txfldGUID>
                      <c15:f>'J1634 Calcs no precondition'!$AD$34</c15:f>
                      <c15:dlblFieldTableCache>
                        <c:ptCount val="1"/>
                        <c:pt idx="0">
                          <c:v>49%</c:v>
                        </c:pt>
                      </c15:dlblFieldTableCache>
                    </c15:dlblFTEntry>
                  </c15:dlblFieldTable>
                  <c15:showDataLabelsRange val="0"/>
                </c:ext>
                <c:ext xmlns:c16="http://schemas.microsoft.com/office/drawing/2014/chart" uri="{C3380CC4-5D6E-409C-BE32-E72D297353CC}">
                  <c16:uniqueId val="{00000003-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precondition'!$AD$7:$AD$10</c:f>
              <c:numCache>
                <c:formatCode>0</c:formatCode>
                <c:ptCount val="4"/>
                <c:pt idx="0">
                  <c:v>539.57030404629222</c:v>
                </c:pt>
                <c:pt idx="1">
                  <c:v>359.09103531634133</c:v>
                </c:pt>
                <c:pt idx="2">
                  <c:v>468.77459057259136</c:v>
                </c:pt>
                <c:pt idx="3">
                  <c:v>449.02449074659825</c:v>
                </c:pt>
              </c:numCache>
            </c:numRef>
          </c:val>
          <c:extLst>
            <c:ext xmlns:c16="http://schemas.microsoft.com/office/drawing/2014/chart" uri="{C3380CC4-5D6E-409C-BE32-E72D297353CC}">
              <c16:uniqueId val="{00000004-0DD2-4312-9695-048E2B56BB68}"/>
            </c:ext>
          </c:extLst>
        </c:ser>
        <c:ser>
          <c:idx val="4"/>
          <c:order val="1"/>
          <c:tx>
            <c:strRef>
              <c:f>'J1634 Calcs no precondition'!$AE$6</c:f>
              <c:strCache>
                <c:ptCount val="1"/>
                <c:pt idx="0">
                  <c:v>-7C Ambient with 22C Cabin</c:v>
                </c:pt>
              </c:strCache>
            </c:strRef>
          </c:tx>
          <c:spPr>
            <a:solidFill>
              <a:schemeClr val="tx2">
                <a:lumMod val="60000"/>
                <a:lumOff val="40000"/>
              </a:schemeClr>
            </a:solidFill>
            <a:ln>
              <a:solidFill>
                <a:sysClr val="windowText" lastClr="000000"/>
              </a:solidFill>
            </a:ln>
          </c:spPr>
          <c:invertIfNegative val="0"/>
          <c:dLbls>
            <c:dLbl>
              <c:idx val="0"/>
              <c:layout>
                <c:manualLayout>
                  <c:x val="5.2672885953812523E-3"/>
                  <c:y val="5.5504930544144184E-4"/>
                </c:manualLayout>
              </c:layout>
              <c:tx>
                <c:rich>
                  <a:bodyPr/>
                  <a:lstStyle/>
                  <a:p>
                    <a:fld id="{EE280A60-2456-4D2E-BB6A-F8C1F9FCF6B2}"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{EE280A60-2456-4D2E-BB6A-F8C1F9FCF6B2}</c15:txfldGUID>
                      <c15:f>'J1634 Calcs no precondition'!$AE$31</c15:f>
                      <c15:dlblFieldTableCache>
                        <c:ptCount val="1"/>
                        <c:pt idx="0">
                          <c:v>117%</c:v>
                        </c:pt>
                      </c15:dlblFieldTableCache>
                    </c15:dlblFTEntry>
                  </c15:dlblFieldTable>
                  <c15:showDataLabelsRange val="0"/>
                </c:ext>
                <c:ext xmlns:c16="http://schemas.microsoft.com/office/drawing/2014/chart" uri="{C3380CC4-5D6E-409C-BE32-E72D297353CC}">
                  <c16:uniqueId val="{00000005-0DD2-4312-9695-048E2B56BB68}"/>
                </c:ext>
              </c:extLst>
            </c:dLbl>
            <c:dLbl>
              <c:idx val="1"/>
              <c:layout>
                <c:manualLayout>
                  <c:x val="2.9774922838920427E-3"/>
                  <c:y val="-4.8094838738527417E-3"/>
                </c:manualLayout>
              </c:layout>
              <c:tx>
                <c:rich>
                  <a:bodyPr/>
                  <a:lstStyle/>
                  <a:p>
                    <a:fld id="{9FECD5AD-BD6C-4254-AA0C-06FAB75325B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{9FECD5AD-BD6C-4254-AA0C-06FAB75325B9}</c15:txfldGUID>
                      <c15:f>'J1634 Calcs no precondition'!$AE$32</c15:f>
                      <c15:dlblFieldTableCache>
                        <c:ptCount val="1"/>
                        <c:pt idx="0">
                          <c:v>38%</c:v>
                        </c:pt>
                      </c15:dlblFieldTableCache>
                    </c15:dlblFTEntry>
                  </c15:dlblFieldTable>
                  <c15:showDataLabelsRange val="0"/>
                </c:ext>
                <c:ext xmlns:c16="http://schemas.microsoft.com/office/drawing/2014/chart" uri="{C3380CC4-5D6E-409C-BE32-E72D297353CC}">
                  <c16:uniqueId val="{00000006-0DD2-4312-9695-048E2B56BB68}"/>
                </c:ext>
              </c:extLst>
            </c:dLbl>
            <c:dLbl>
              <c:idx val="2"/>
              <c:layout>
                <c:manualLayout>
                  <c:x val="1.4887461419460213E-3"/>
                  <c:y val="-7.3003265945904847E-3"/>
                </c:manualLayout>
              </c:layout>
              <c:tx>
                <c:rich>
                  <a:bodyPr/>
                  <a:lstStyle/>
                  <a:p>
                    <a:fld id="{75230619-B04C-4725-9A36-D6B8E292A4A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{75230619-B04C-4725-9A36-D6B8E292A4A6}</c15:txfldGUID>
                      <c15:f>'J1634 Calcs no precondition'!$AE$33</c15:f>
                      <c15:dlblFieldTableCache>
                        <c:ptCount val="1"/>
                        <c:pt idx="0">
                          <c:v>93%</c:v>
                        </c:pt>
                      </c15:dlblFieldTableCache>
                    </c15:dlblFTEntry>
                  </c15:dlblFieldTable>
                  <c15:showDataLabelsRange val="0"/>
                </c:ext>
                <c:ext xmlns:c16="http://schemas.microsoft.com/office/drawing/2014/chart" uri="{C3380CC4-5D6E-409C-BE32-E72D297353CC}">
                  <c16:uniqueId val="{00000007-0DD2-4312-9695-048E2B56BB68}"/>
                </c:ext>
              </c:extLst>
            </c:dLbl>
            <c:dLbl>
              <c:idx val="3"/>
              <c:layout>
                <c:manualLayout>
                  <c:x val="3.4346797661501992E-3"/>
                  <c:y val="-1.2454213603688487E-2"/>
                </c:manualLayout>
              </c:layout>
              <c:tx>
                <c:rich>
                  <a:bodyPr/>
                  <a:lstStyle/>
                  <a:p>
                    <a:fld id="{FB648D01-B296-4880-8704-DB4D503FBF20}"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{FB648D01-B296-4880-8704-DB4D503FBF20}</c15:txfldGUID>
                      <c15:f>'J1634 Calcs no precondition'!$AE$34</c15:f>
                      <c15:dlblFieldTableCache>
                        <c:ptCount val="1"/>
                        <c:pt idx="0">
                          <c:v>25%</c:v>
                        </c:pt>
                      </c15:dlblFieldTableCache>
                    </c15:dlblFTEntry>
                  </c15:dlblFieldTable>
                  <c15:showDataLabelsRange val="0"/>
                </c:ext>
                <c:ext xmlns:c16="http://schemas.microsoft.com/office/drawing/2014/chart" uri="{C3380CC4-5D6E-409C-BE32-E72D297353CC}">
                  <c16:uniqueId val="{00000008-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'J1634 Calcs no precondition'!$AC$7:$AC$10</c:f>
              <c:strCache>
                <c:ptCount val="4"/>
                <c:pt idx="0">
                  <c:v>UDDS#1</c:v>
                </c:pt>
                <c:pt idx="1">
                  <c:v>HWY#1</c:v>
                </c:pt>
                <c:pt idx="2">
                  <c:v>UDDS#2</c:v>
                </c:pt>
                <c:pt idx="3">
                  <c:v>US06#1</c:v>
                </c:pt>
              </c:strCache>
            </c:strRef>
          </c:cat>
          <c:val>
            <c:numRef>
              <c:f>'J1634 Calcs no precondition'!$AE$7:$AE$10</c:f>
              <c:numCache>
                <c:formatCode>0</c:formatCode>
                <c:ptCount val="4"/>
                <c:pt idx="0">
                  <c:v>454.22105247703433</c:v>
                </c:pt>
                <c:pt idx="1">
                  <c:v>303.34532435039824</c:v>
                </c:pt>
                <c:pt idx="2">
                  <c:v>355.65285258307136</c:v>
                </c:pt>
                <c:pt idx="3">
                  <c:v>375.3819379986947</c:v>
                </c:pt>
              </c:numCache>
            </c:numRef>
          </c:val>
          <c:extLst>
            <c:ext xmlns:c16="http://schemas.microsoft.com/office/drawing/2014/chart" uri="{C3380CC4-5D6E-409C-BE32-E72D297353CC}">
              <c16:uniqueId val="{00000009-0DD2-4312-9695-048E2B56BB68}"/>
            </c:ext>
          </c:extLst>
        </c:ser>
        <c:ser>
          <c:idx val="6"/>
          <c:order val="2"/>
          <c:tx>
            <c:strRef>
              <c:f>'J1634 Calcs no precondition'!$AF$6</c:f>
              <c:strCache>
                <c:ptCount val="1"/>
                <c:pt idx="0">
                  <c:v>-7CF Ambient with 22C Cabin (preconditioned)</c:v>
                </c:pt>
              </c:strCache>
            </c:strRef>
          </c:tx>
          <c:spPr>
            <a:pattFill prst="dkDnDiag">
              <a:fgClr>
                <a:schemeClr val="accent1"/>
              </a:fgClr>
              <a:bgClr>
                <a:schemeClr val="bg1"/>
              </a:bgClr>
            </a:pattFill>
            <a:ln>
              <a:solidFill>
                <a:sysClr val="windowText" lastClr="000000"/>
              </a:solidFill>
            </a:ln>
          </c:spPr>
          <c:invertIfNegative val="0"/>
          <c:dLbls>
            <c:dLbl>
              <c:idx val="0"/>
              <c:layout>
                <c:manualLayout>
                  <c:x val="2.9775165847087644E-3"/>
                  <c:y val="2.662992994441264E-3"/>
                </c:manualLayout>
              </c:layout>
              <c:tx>
                <c:rich>
                  <a:bodyPr/>
                  <a:lstStyle/>
                  <a:p>
                    <a:fld id="{B7E1C937-2013-4F43-A17D-8202EF311EC5}"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{B7E1C937-2013-4F43-A17D-8202EF311EC5}</c15:txfldGUID>
                      <c15:f>'J1634 Calcs no precondition'!$AF$31</c15:f>
                      <c15:dlblFieldTableCache>
                        <c:ptCount val="1"/>
                        <c:pt idx="0">
                          <c:v>73%</c:v>
                        </c:pt>
                      </c15:dlblFieldTableCache>
                    </c15:dlblFTEntry>
                  </c15:dlblFieldTable>
                  <c15:showDataLabelsRange val="0"/>
                </c:ext>
                <c:ext xmlns:c16="http://schemas.microsoft.com/office/drawing/2014/chart" uri="{C3380CC4-5D6E-409C-BE32-E72D297353CC}">
                  <c16:uniqueId val="{0000000A-0DD2-4312-9695-048E2B56BB68}"/>
                </c:ext>
              </c:extLst>
            </c:dLbl>
            <c:dLbl>
              <c:idx val="1"/>
              <c:layout>
                <c:manualLayout>
                  <c:x val="4.4662748770631462E-3"/>
                  <c:y val="-4.8820974247362615E-17"/>
                </c:manualLayout>
              </c:layout>
              <c:tx>
                <c:rich>
                  <a:bodyPr/>
                  <a:lstStyle/>
                  <a:p>
                    <a:fld id="{127E56AE-8973-4D0F-9264-AAE3E8664441}"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{127E56AE-8973-4D0F-9264-AAE3E8664441}</c15:txfldGUID>
                      <c15:f>'J1634 Calcs no precondition'!$AF$32</c15:f>
                      <c15:dlblFieldTableCache>
                        <c:ptCount val="1"/>
                        <c:pt idx="0">
                          <c:v>31%</c:v>
                        </c:pt>
                      </c15:dlblFieldTableCache>
                    </c15:dlblFTEntry>
                  </c15:dlblFieldTable>
                  <c15:showDataLabelsRange val="0"/>
                </c:ext>
                <c:ext xmlns:c16="http://schemas.microsoft.com/office/drawing/2014/chart" uri="{C3380CC4-5D6E-409C-BE32-E72D297353CC}">
                  <c16:uniqueId val="{0000000B-0DD2-4312-9695-048E2B56BB68}"/>
                </c:ext>
              </c:extLst>
            </c:dLbl>
            <c:dLbl>
              <c:idx val="2"/>
              <c:layout>
                <c:manualLayout>
                  <c:x val="2.9775165847087644E-3"/>
                  <c:y val="2.6629929944412154E-3"/>
                </c:manualLayout>
              </c:layout>
              <c:tx>
                <c:rich>
                  <a:bodyPr/>
                  <a:lstStyle/>
                  <a:p>
                    <a:fld id="{F2FE6A01-4D7C-46FB-94C2-09AD76DF338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{F2FE6A01-4D7C-46FB-94C2-09AD76DF338D}</c15:txfldGUID>
                      <c15:f>'J1634 Calcs no precondition'!$AF$33</c15:f>
                      <c15:dlblFieldTableCache>
                        <c:ptCount val="1"/>
                        <c:pt idx="0">
                          <c:v>81%</c:v>
                        </c:pt>
                      </c15:dlblFieldTableCache>
                    </c15:dlblFTEntry>
                  </c15:dlblFieldTable>
                  <c15:showDataLabelsRange val="0"/>
                </c:ext>
                <c:ext xmlns:c16="http://schemas.microsoft.com/office/drawing/2014/chart" uri="{C3380CC4-5D6E-409C-BE32-E72D297353CC}">
                  <c16:uniqueId val="{0000000C-0DD2-4312-9695-048E2B56BB68}"/>
                </c:ext>
              </c:extLst>
            </c:dLbl>
            <c:dLbl>
              <c:idx val="3"/>
              <c:layout>
                <c:manualLayout>
                  <c:x val="-9.957647873211931E-17"/>
                  <c:y val="4.9816854414753949E-3"/>
                </c:manualLayout>
              </c:layout>
              <c:tx>
                <c:rich>
                  <a:bodyPr/>
                  <a:lstStyle/>
                  <a:p>
                    <a:fld id="{762A62A6-AE4A-419F-BE75-2F501898271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{762A62A6-AE4A-419F-BE75-2F5018982713}</c15:txfldGUID>
                      <c15:f>'J1634 Calcs no precondition'!$AF$34</c15:f>
                      <c15:dlblFieldTableCache>
                        <c:ptCount val="1"/>
                        <c:pt idx="0">
                          <c:v>21%</c:v>
                        </c:pt>
                      </c15:dlblFieldTableCache>
                    </c15:dlblFTEntry>
                  </c15:dlblFieldTable>
                  <c15:showDataLabelsRange val="0"/>
                </c:ext>
                <c:ext xmlns:c16="http://schemas.microsoft.com/office/drawing/2014/chart" uri="{C3380CC4-5D6E-409C-BE32-E72D297353CC}">
                  <c16:uniqueId val="{0000000D-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precondition'!$AF$7:$AF$10</c:f>
              <c:numCache>
                <c:formatCode>0</c:formatCode>
                <c:ptCount val="4"/>
                <c:pt idx="0">
                  <c:v>362.12279082035781</c:v>
                </c:pt>
                <c:pt idx="1">
                  <c:v>286.97784376953621</c:v>
                </c:pt>
                <c:pt idx="2">
                  <c:v>333.17954577589052</c:v>
                </c:pt>
                <c:pt idx="3">
                  <c:v>364.80216254486703</c:v>
                </c:pt>
              </c:numCache>
            </c:numRef>
          </c:val>
          <c:extLst>
            <c:ext xmlns:c16="http://schemas.microsoft.com/office/drawing/2014/chart" uri="{C3380CC4-5D6E-409C-BE32-E72D297353CC}">
              <c16:uniqueId val="{0000000E-0DD2-4312-9695-048E2B56BB68}"/>
            </c:ext>
          </c:extLst>
        </c:ser>
        <c:ser>
          <c:idx val="0"/>
          <c:order val="3"/>
          <c:tx>
            <c:strRef>
              <c:f>'J1634 Calcs no precondition'!$AG$6</c:f>
              <c:strCache>
                <c:ptCount val="1"/>
                <c:pt idx="0">
                  <c:v>22C Ambient with Climate off</c:v>
                </c:pt>
              </c:strCache>
            </c:strRef>
          </c:tx>
          <c:spPr>
            <a:solidFill>
              <a:schemeClr val="accent3"/>
            </a:solidFill>
          </c:spPr>
          <c:invertIfNegative val="0"/>
          <c:cat>
            <c:strRef>
              <c:f>'J1634 Calcs no precondition'!$AC$7:$AC$10</c:f>
              <c:strCache>
                <c:ptCount val="4"/>
                <c:pt idx="0">
                  <c:v>UDDS#1</c:v>
                </c:pt>
                <c:pt idx="1">
                  <c:v>HWY#1</c:v>
                </c:pt>
                <c:pt idx="2">
                  <c:v>UDDS#2</c:v>
                </c:pt>
                <c:pt idx="3">
                  <c:v>US06#1</c:v>
                </c:pt>
              </c:strCache>
            </c:strRef>
          </c:cat>
          <c:val>
            <c:numRef>
              <c:f>'J1634 Calcs no precondition'!$AG$7:$AG$10</c:f>
              <c:numCache>
                <c:formatCode>0</c:formatCode>
                <c:ptCount val="4"/>
                <c:pt idx="0">
                  <c:v>209.4282460330657</c:v>
                </c:pt>
                <c:pt idx="1">
                  <c:v>219.60358492135728</c:v>
                </c:pt>
                <c:pt idx="2">
                  <c:v>184.48504647904815</c:v>
                </c:pt>
                <c:pt idx="3">
                  <c:v>301.41035271617523</c:v>
                </c:pt>
              </c:numCache>
            </c:numRef>
          </c:val>
          <c:extLst>
            <c:ext xmlns:c16="http://schemas.microsoft.com/office/drawing/2014/chart" uri="{C3380CC4-5D6E-409C-BE32-E72D297353CC}">
              <c16:uniqueId val="{0000000F-0DD2-4312-9695-048E2B56BB68}"/>
            </c:ext>
          </c:extLst>
        </c:ser>
        <c:ser>
          <c:idx val="1"/>
          <c:order val="4"/>
          <c:tx>
            <c:strRef>
              <c:f>'J1634 Calcs no precondition'!$AH$6</c:f>
              <c:strCache>
                <c:ptCount val="1"/>
                <c:pt idx="0">
                  <c:v>35C Ambient with 22C Cabin</c:v>
                </c:pt>
              </c:strCache>
            </c:strRef>
          </c:tx>
          <c:spPr>
            <a:solidFill>
              <a:schemeClr val="accent2"/>
            </a:solidFill>
          </c:spPr>
          <c:invertIfNegative val="0"/>
          <c:dLbls>
            <c:dLbl>
              <c:idx val="0"/>
              <c:layout>
                <c:manualLayout>
                  <c:x val="-6.0044151362795388E-3"/>
                  <c:y val="-2.6365959097054688E-3"/>
                </c:manualLayout>
              </c:layout>
              <c:tx>
                <c:rich>
                  <a:bodyPr/>
                  <a:lstStyle/>
                  <a:p>
                    <a:fld id="{6D1B4943-BBAB-4942-A8FF-49E2995AC5EA}"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{6D1B4943-BBAB-4942-A8FF-49E2995AC5EA}</c15:txfldGUID>
                      <c15:f>'J1634 Calcs no precondition'!$AH$31</c15:f>
                      <c15:dlblFieldTableCache>
                        <c:ptCount val="1"/>
                        <c:pt idx="0">
                          <c:v>48%</c:v>
                        </c:pt>
                      </c15:dlblFieldTableCache>
                    </c15:dlblFTEntry>
                  </c15:dlblFieldTable>
                  <c15:showDataLabelsRange val="0"/>
                </c:ext>
                <c:ext xmlns:c16="http://schemas.microsoft.com/office/drawing/2014/chart" uri="{C3380CC4-5D6E-409C-BE32-E72D297353CC}">
                  <c16:uniqueId val="{00000010-0DD2-4312-9695-048E2B56BB68}"/>
                </c:ext>
              </c:extLst>
            </c:dLbl>
            <c:dLbl>
              <c:idx val="1"/>
              <c:tx>
                <c:rich>
                  <a:bodyPr/>
                  <a:lstStyle/>
                  <a:p>
                    <a:fld id="{26842B5A-D389-4A5F-A18F-79E697E6BD77}"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{26842B5A-D389-4A5F-A18F-79E697E6BD77}</c15:txfldGUID>
                      <c15:f>'J1634 Calcs no precondition'!$AH$32</c15:f>
                      <c15:dlblFieldTableCache>
                        <c:ptCount val="1"/>
                        <c:pt idx="0">
                          <c:v>6%</c:v>
                        </c:pt>
                      </c15:dlblFieldTableCache>
                    </c15:dlblFTEntry>
                  </c15:dlblFieldTable>
                  <c15:showDataLabelsRange val="0"/>
                </c:ext>
                <c:ext xmlns:c16="http://schemas.microsoft.com/office/drawing/2014/chart" uri="{C3380CC4-5D6E-409C-BE32-E72D297353CC}">
                  <c16:uniqueId val="{00000011-0DD2-4312-9695-048E2B56BB68}"/>
                </c:ext>
              </c:extLst>
            </c:dLbl>
            <c:dLbl>
              <c:idx val="2"/>
              <c:tx>
                <c:rich>
                  <a:bodyPr/>
                  <a:lstStyle/>
                  <a:p>
                    <a:fld id="{5B2549FF-5755-4525-BF79-3B89BB1386E3}"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{5B2549FF-5755-4525-BF79-3B89BB1386E3}</c15:txfldGUID>
                      <c15:f>'J1634 Calcs no precondition'!$AH$33</c15:f>
                      <c15:dlblFieldTableCache>
                        <c:ptCount val="1"/>
                        <c:pt idx="0">
                          <c:v>34%</c:v>
                        </c:pt>
                      </c15:dlblFieldTableCache>
                    </c15:dlblFTEntry>
                  </c15:dlblFieldTable>
                  <c15:showDataLabelsRange val="0"/>
                </c:ext>
                <c:ext xmlns:c16="http://schemas.microsoft.com/office/drawing/2014/chart" uri="{C3380CC4-5D6E-409C-BE32-E72D297353CC}">
                  <c16:uniqueId val="{00000012-0DD2-4312-9695-048E2B56BB68}"/>
                </c:ext>
              </c:extLst>
            </c:dLbl>
            <c:dLbl>
              <c:idx val="3"/>
              <c:tx>
                <c:rich>
                  <a:bodyPr/>
                  <a:lstStyle/>
                  <a:p>
                    <a:fld id="{477A16E0-06E9-4E77-9235-E98B58BDEC09}"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{477A16E0-06E9-4E77-9235-E98B58BDEC09}</c15:txfldGUID>
                      <c15:f>'J1634 Calcs no precondition'!$AH$34</c15:f>
                      <c15:dlblFieldTableCache>
                        <c:ptCount val="1"/>
                        <c:pt idx="0">
                          <c:v>3%</c:v>
                        </c:pt>
                      </c15:dlblFieldTableCache>
                    </c15:dlblFTEntry>
                  </c15:dlblFieldTable>
                  <c15:showDataLabelsRange val="0"/>
                </c:ext>
                <c:ext xmlns:c16="http://schemas.microsoft.com/office/drawing/2014/chart" uri="{C3380CC4-5D6E-409C-BE32-E72D297353CC}">
                  <c16:uniqueId val="{00000013-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precondition'!$AH$7:$AH$10</c:f>
              <c:numCache>
                <c:formatCode>0</c:formatCode>
                <c:ptCount val="4"/>
                <c:pt idx="0">
                  <c:v>310.37308558405277</c:v>
                </c:pt>
                <c:pt idx="1">
                  <c:v>232.78653137069216</c:v>
                </c:pt>
                <c:pt idx="2">
                  <c:v>247.11909501717622</c:v>
                </c:pt>
                <c:pt idx="3">
                  <c:v>311.83267705480091</c:v>
                </c:pt>
              </c:numCache>
            </c:numRef>
          </c:val>
          <c:extLst>
            <c:ext xmlns:c16="http://schemas.microsoft.com/office/drawing/2014/chart" uri="{C3380CC4-5D6E-409C-BE32-E72D297353CC}">
              <c16:uniqueId val="{00000014-0DD2-4312-9695-048E2B56BB68}"/>
            </c:ext>
          </c:extLst>
        </c:ser>
        <c:ser>
          <c:idx val="2"/>
          <c:order val="5"/>
          <c:tx>
            <c:strRef>
              <c:f>'J1634 Calcs no precondition'!$AI$6</c:f>
              <c:strCache>
                <c:ptCount val="1"/>
                <c:pt idx="0">
                  <c:v>35C w/o solar with 22C Cabin</c:v>
                </c:pt>
              </c:strCache>
            </c:strRef>
          </c:tx>
          <c:spPr>
            <a:pattFill prst="dkDnDiag">
              <a:fgClr>
                <a:schemeClr val="accent2"/>
              </a:fgClr>
              <a:bgClr>
                <a:schemeClr val="bg1"/>
              </a:bgClr>
            </a:pattFill>
          </c:spPr>
          <c:invertIfNegative val="0"/>
          <c:dLbls>
            <c:dLbl>
              <c:idx val="0"/>
              <c:layout>
                <c:manualLayout>
                  <c:x val="3.0022075681397694E-3"/>
                  <c:y val="-4.833703328440122E-17"/>
                </c:manualLayout>
              </c:layout>
              <c:tx>
                <c:rich>
                  <a:bodyPr/>
                  <a:lstStyle/>
                  <a:p>
                    <a:fld id="{262F8C60-5F18-4571-9B9B-CD28507D148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{262F8C60-5F18-4571-9B9B-CD28507D1488}</c15:txfldGUID>
                      <c15:f>'J1634 Calcs no precondition'!$AI$31</c15:f>
                      <c15:dlblFieldTableCache>
                        <c:ptCount val="1"/>
                        <c:pt idx="0">
                          <c:v>22%</c:v>
                        </c:pt>
                      </c15:dlblFieldTableCache>
                    </c15:dlblFTEntry>
                  </c15:dlblFieldTable>
                  <c15:showDataLabelsRange val="0"/>
                </c:ext>
                <c:ext xmlns:c16="http://schemas.microsoft.com/office/drawing/2014/chart" uri="{C3380CC4-5D6E-409C-BE32-E72D297353CC}">
                  <c16:uniqueId val="{00000015-0DD2-4312-9695-048E2B56BB68}"/>
                </c:ext>
              </c:extLst>
            </c:dLbl>
            <c:dLbl>
              <c:idx val="1"/>
              <c:tx>
                <c:rich>
                  <a:bodyPr/>
                  <a:lstStyle/>
                  <a:p>
                    <a:fld id="{BFE461CE-778B-4C1C-BB7A-D60BCAD641F8}"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{BFE461CE-778B-4C1C-BB7A-D60BCAD641F8}</c15:txfldGUID>
                      <c15:f>'J1634 Calcs no precondition'!$AI$32</c15:f>
                      <c15:dlblFieldTableCache>
                        <c:ptCount val="1"/>
                        <c:pt idx="0">
                          <c:v>2%</c:v>
                        </c:pt>
                      </c15:dlblFieldTableCache>
                    </c15:dlblFTEntry>
                  </c15:dlblFieldTable>
                  <c15:showDataLabelsRange val="0"/>
                </c:ext>
                <c:ext xmlns:c16="http://schemas.microsoft.com/office/drawing/2014/chart" uri="{C3380CC4-5D6E-409C-BE32-E72D297353CC}">
                  <c16:uniqueId val="{00000016-0DD2-4312-9695-048E2B56BB68}"/>
                </c:ext>
              </c:extLst>
            </c:dLbl>
            <c:dLbl>
              <c:idx val="2"/>
              <c:layout>
                <c:manualLayout>
                  <c:x val="2.715753519493604E-3"/>
                  <c:y val="0"/>
                </c:manualLayout>
              </c:layout>
              <c:tx>
                <c:rich>
                  <a:bodyPr/>
                  <a:lstStyle/>
                  <a:p>
                    <a:fld id="{293DD5E2-9595-4034-9DA9-087504F650E6}"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{293DD5E2-9595-4034-9DA9-087504F650E6}</c15:txfldGUID>
                      <c15:f>'J1634 Calcs no precondition'!$AI$33</c15:f>
                      <c15:dlblFieldTableCache>
                        <c:ptCount val="1"/>
                        <c:pt idx="0">
                          <c:v>14%</c:v>
                        </c:pt>
                      </c15:dlblFieldTableCache>
                    </c15:dlblFTEntry>
                  </c15:dlblFieldTable>
                  <c15:showDataLabelsRange val="0"/>
                </c:ext>
                <c:ext xmlns:c16="http://schemas.microsoft.com/office/drawing/2014/chart" uri="{C3380CC4-5D6E-409C-BE32-E72D297353CC}">
                  <c16:uniqueId val="{00000017-0DD2-4312-9695-048E2B56BB68}"/>
                </c:ext>
              </c:extLst>
            </c:dLbl>
            <c:dLbl>
              <c:idx val="3"/>
              <c:tx>
                <c:rich>
                  <a:bodyPr/>
                  <a:lstStyle/>
                  <a:p>
                    <a:fld id="{97184EC5-AE69-4A7E-A4AD-AAEA9F0557DD}" type="CELLREF">
                      <a:rPr lang="en-US"/>
                      <a:pPr/>
                      <a:t>[CELLREF]</a:t>
                    </a:fld>
                    <a:endParaRPr lang="en-US"/>
                  </a:p>
                </c:rich>
              </c:tx>
              <c:showLegendKey val="0"/>
              <c:showVal val="1"/>
              <c:showCatName val="0"/>
              <c:showSerName val="0"/>
              <c:showPercent val="0"/>
              <c:showBubbleSize val="0"/>
              <c:extLst>
                <c:ext xmlns:c15="http://schemas.microsoft.com/office/drawing/2012/chart" uri="{CE6537A1-D6FC-4f65-9D91-7224C49458BB}">
                  <c15:dlblFieldTable>
                    <c15:dlblFTEntry>
                      <c15:txfldGUID>{97184EC5-AE69-4A7E-A4AD-AAEA9F0557DD}</c15:txfldGUID>
                      <c15:f>'J1634 Calcs no precondition'!$AI$34</c15:f>
                      <c15:dlblFieldTableCache>
                        <c:ptCount val="1"/>
                        <c:pt idx="0">
                          <c:v>0%</c:v>
                        </c:pt>
                      </c15:dlblFieldTableCache>
                    </c15:dlblFTEntry>
                  </c15:dlblFieldTable>
                  <c15:showDataLabelsRange val="0"/>
                </c:ext>
                <c:ext xmlns:c16="http://schemas.microsoft.com/office/drawing/2014/chart" uri="{C3380CC4-5D6E-409C-BE32-E72D297353CC}">
                  <c16:uniqueId val="{00000018-0DD2-4312-9695-048E2B56BB68}"/>
                </c:ext>
              </c:extLst>
            </c:dLbl>
            <c:spPr>
              <a:noFill/>
              <a:ln>
                <a:noFill/>
              </a:ln>
              <a:effectLst/>
            </c:spPr>
            <c:txPr>
              <a:bodyPr wrap="square" lIns="38100" tIns="19050" rIns="38100" bIns="19050" anchor="ctr">
                <a:spAutoFit/>
              </a:bodyPr>
              <a:lstStyle/>
              <a:p>
                <a:pPr>
                  <a:defRPr sz="1000" b="1"/>
                </a:pPr>
                <a:endParaRPr lang="en-US"/>
              </a:p>
            </c:txPr>
            <c:showLegendKey val="0"/>
            <c:showVal val="0"/>
            <c:showCatName val="0"/>
            <c:showSerName val="0"/>
            <c:showPercent val="0"/>
            <c:showBubbleSize val="0"/>
            <c:extLst>
              <c:ext xmlns:c15="http://schemas.microsoft.com/office/drawing/2012/chart" uri="{CE6537A1-D6FC-4f65-9D91-7224C49458BB}">
                <c15:showLeaderLines val="1"/>
              </c:ext>
            </c:extLst>
          </c:dLbls>
          <c:cat>
            <c:strRef>
              <c:f>'J1634 Calcs no precondition'!$AC$7:$AC$10</c:f>
              <c:strCache>
                <c:ptCount val="4"/>
                <c:pt idx="0">
                  <c:v>UDDS#1</c:v>
                </c:pt>
                <c:pt idx="1">
                  <c:v>HWY#1</c:v>
                </c:pt>
                <c:pt idx="2">
                  <c:v>UDDS#2</c:v>
                </c:pt>
                <c:pt idx="3">
                  <c:v>US06#1</c:v>
                </c:pt>
              </c:strCache>
            </c:strRef>
          </c:cat>
          <c:val>
            <c:numRef>
              <c:f>'J1634 Calcs no precondition'!$AI$7:$AI$10</c:f>
              <c:numCache>
                <c:formatCode>0</c:formatCode>
                <c:ptCount val="4"/>
                <c:pt idx="0">
                  <c:v>255.36671523792654</c:v>
                </c:pt>
                <c:pt idx="1">
                  <c:v>223.50638166254637</c:v>
                </c:pt>
                <c:pt idx="2">
                  <c:v>209.91474861171858</c:v>
                </c:pt>
                <c:pt idx="3">
                  <c:v>302.11556291577176</c:v>
                </c:pt>
              </c:numCache>
            </c:numRef>
          </c:val>
          <c:extLst>
            <c:ext xmlns:c16="http://schemas.microsoft.com/office/drawing/2014/chart" uri="{C3380CC4-5D6E-409C-BE32-E72D297353CC}">
              <c16:uniqueId val="{00000019-0DD2-4312-9695-048E2B56BB68}"/>
            </c:ext>
          </c:extLst>
        </c:ser>
        <c:dLbls>
          <c:showLegendKey val="0"/>
          <c:showVal val="0"/>
          <c:showCatName val="0"/>
          <c:showSerName val="0"/>
          <c:showPercent val="0"/>
          <c:showBubbleSize val="0"/>
        </c:dLbls>
        <c:gapWidth val="150"/>
        <c:axId val="866531520"/>
        <c:axId val="866535048"/>
      </c:barChart>
      <c:catAx>
        <c:axId val="866531520"/>
        <c:scaling>
          <c:orientation val="minMax"/>
        </c:scaling>
        <c:delete val="0"/>
        <c:axPos val="b"/>
        <c:numFmt formatCode="General" sourceLinked="1"/>
        <c:majorTickMark val="none"/>
        <c:minorTickMark val="none"/>
        <c:tickLblPos val="nextTo"/>
        <c:crossAx val="866535048"/>
        <c:crosses val="autoZero"/>
        <c:auto val="1"/>
        <c:lblAlgn val="ctr"/>
        <c:lblOffset val="100"/>
        <c:noMultiLvlLbl val="0"/>
      </c:catAx>
      <c:valAx>
        <c:axId val="866535048"/>
        <c:scaling>
          <c:orientation val="minMax"/>
          <c:max val="700"/>
          <c:min val="0"/>
        </c:scaling>
        <c:delete val="0"/>
        <c:axPos val="l"/>
        <c:majorGridlines/>
        <c:title>
          <c:tx>
            <c:rich>
              <a:bodyPr/>
              <a:lstStyle/>
              <a:p>
                <a:pPr>
                  <a:defRPr sz="2400"/>
                </a:pPr>
                <a:r>
                  <a:rPr lang="en-US" sz="2400"/>
                  <a:t>Energy Consumption</a:t>
                </a:r>
              </a:p>
              <a:p>
                <a:pPr>
                  <a:defRPr sz="2400"/>
                </a:pPr>
                <a:r>
                  <a:rPr lang="en-US" sz="2400"/>
                  <a:t> [DC Wh/mi]</a:t>
                </a:r>
              </a:p>
            </c:rich>
          </c:tx>
          <c:layout>
            <c:manualLayout>
              <c:xMode val="edge"/>
              <c:yMode val="edge"/>
              <c:x val="2.5033694465730203E-2"/>
              <c:y val="0.14519605463823951"/>
            </c:manualLayout>
          </c:layout>
          <c:overlay val="0"/>
        </c:title>
        <c:numFmt formatCode="0" sourceLinked="0"/>
        <c:majorTickMark val="none"/>
        <c:minorTickMark val="none"/>
        <c:tickLblPos val="nextTo"/>
        <c:crossAx val="866531520"/>
        <c:crosses val="autoZero"/>
        <c:crossBetween val="between"/>
      </c:valAx>
      <c:dTable>
        <c:showHorzBorder val="1"/>
        <c:showVertBorder val="1"/>
        <c:showOutline val="1"/>
        <c:showKeys val="1"/>
      </c:dTable>
    </c:plotArea>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baseline="0">
                <a:effectLst/>
              </a:rPr>
              <a:t>2019 Nissan Leaf Plus Steady State Energy Consumption</a:t>
            </a:r>
          </a:p>
        </c:rich>
      </c:tx>
      <c:layout>
        <c:manualLayout>
          <c:xMode val="edge"/>
          <c:yMode val="edge"/>
          <c:x val="0.17908342458435084"/>
          <c:y val="2.0782393287319696E-2"/>
        </c:manualLayout>
      </c:layout>
      <c:overlay val="0"/>
    </c:title>
    <c:autoTitleDeleted val="0"/>
    <c:plotArea>
      <c:layout>
        <c:manualLayout>
          <c:layoutTarget val="inner"/>
          <c:xMode val="edge"/>
          <c:yMode val="edge"/>
          <c:x val="0.10723480431832659"/>
          <c:y val="0.17916092150768245"/>
          <c:w val="0.82107257113565391"/>
          <c:h val="0.63937049312528249"/>
        </c:manualLayout>
      </c:layout>
      <c:scatterChart>
        <c:scatterStyle val="lineMarker"/>
        <c:varyColors val="0"/>
        <c:ser>
          <c:idx val="0"/>
          <c:order val="0"/>
          <c:tx>
            <c:strRef>
              <c:f>AVTEReporting!$D$15</c:f>
              <c:strCache>
                <c:ptCount val="1"/>
                <c:pt idx="0">
                  <c:v>0% grade</c:v>
                </c:pt>
              </c:strCache>
            </c:strRef>
          </c:tx>
          <c:spPr>
            <a:ln>
              <a:solidFill>
                <a:srgbClr val="92D050"/>
              </a:solidFill>
            </a:ln>
          </c:spPr>
          <c:marker>
            <c:spPr>
              <a:solidFill>
                <a:srgbClr val="92D050"/>
              </a:solidFill>
              <a:ln>
                <a:solidFill>
                  <a:srgbClr val="92D050"/>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AVTEReporting!$D$16:$D$23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117A-4FD5-8569-2F5474880881}"/>
            </c:ext>
          </c:extLst>
        </c:ser>
        <c:ser>
          <c:idx val="2"/>
          <c:order val="1"/>
          <c:tx>
            <c:strRef>
              <c:f>AVTEReporting!$E$15</c:f>
              <c:strCache>
                <c:ptCount val="1"/>
                <c:pt idx="0">
                  <c:v>6% grade</c:v>
                </c:pt>
              </c:strCache>
            </c:strRef>
          </c:tx>
          <c:spPr>
            <a:ln>
              <a:solidFill>
                <a:schemeClr val="accent2">
                  <a:lumMod val="75000"/>
                </a:schemeClr>
              </a:solidFill>
            </a:ln>
          </c:spPr>
          <c:marker>
            <c:spPr>
              <a:solidFill>
                <a:schemeClr val="accent2">
                  <a:lumMod val="75000"/>
                </a:schemeClr>
              </a:solidFill>
              <a:ln>
                <a:solidFill>
                  <a:schemeClr val="accent2">
                    <a:lumMod val="75000"/>
                  </a:schemeClr>
                </a:solidFill>
              </a:ln>
            </c:spPr>
          </c:marker>
          <c:xVal>
            <c:numRef>
              <c:f>AVTEReporting!$A$16:$A$23</c:f>
              <c:numCache>
                <c:formatCode>General</c:formatCode>
                <c:ptCount val="8"/>
                <c:pt idx="0">
                  <c:v>10</c:v>
                </c:pt>
                <c:pt idx="1">
                  <c:v>20</c:v>
                </c:pt>
                <c:pt idx="2">
                  <c:v>30</c:v>
                </c:pt>
                <c:pt idx="3">
                  <c:v>40</c:v>
                </c:pt>
                <c:pt idx="4">
                  <c:v>50</c:v>
                </c:pt>
                <c:pt idx="5">
                  <c:v>60</c:v>
                </c:pt>
                <c:pt idx="6">
                  <c:v>70</c:v>
                </c:pt>
                <c:pt idx="7">
                  <c:v>80</c:v>
                </c:pt>
              </c:numCache>
            </c:numRef>
          </c:xVal>
          <c:yVal>
            <c:numRef>
              <c:f>AVTEReporting!$E$16:$E$23</c:f>
              <c:numCache>
                <c:formatCode>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117A-4FD5-8569-2F5474880881}"/>
            </c:ext>
          </c:extLst>
        </c:ser>
        <c:dLbls>
          <c:showLegendKey val="0"/>
          <c:showVal val="0"/>
          <c:showCatName val="0"/>
          <c:showSerName val="0"/>
          <c:showPercent val="0"/>
          <c:showBubbleSize val="0"/>
        </c:dLbls>
        <c:axId val="429209760"/>
        <c:axId val="901367136"/>
        <c:extLst/>
      </c:scatterChart>
      <c:valAx>
        <c:axId val="429209760"/>
        <c:scaling>
          <c:orientation val="minMax"/>
          <c:max val="80"/>
        </c:scaling>
        <c:delete val="0"/>
        <c:axPos val="b"/>
        <c:minorGridlines/>
        <c:title>
          <c:tx>
            <c:rich>
              <a:bodyPr/>
              <a:lstStyle/>
              <a:p>
                <a:pPr>
                  <a:defRPr/>
                </a:pPr>
                <a:r>
                  <a:rPr lang="en-US"/>
                  <a:t>Vehicle speed [mph]</a:t>
                </a:r>
              </a:p>
            </c:rich>
          </c:tx>
          <c:overlay val="0"/>
        </c:title>
        <c:numFmt formatCode="General" sourceLinked="1"/>
        <c:majorTickMark val="out"/>
        <c:minorTickMark val="none"/>
        <c:tickLblPos val="nextTo"/>
        <c:crossAx val="901367136"/>
        <c:crosses val="autoZero"/>
        <c:crossBetween val="midCat"/>
        <c:majorUnit val="20"/>
        <c:minorUnit val="10"/>
      </c:valAx>
      <c:valAx>
        <c:axId val="901367136"/>
        <c:scaling>
          <c:orientation val="minMax"/>
        </c:scaling>
        <c:delete val="0"/>
        <c:axPos val="l"/>
        <c:majorGridlines/>
        <c:title>
          <c:tx>
            <c:rich>
              <a:bodyPr rot="-5400000" vert="horz"/>
              <a:lstStyle/>
              <a:p>
                <a:pPr>
                  <a:defRPr/>
                </a:pPr>
                <a:r>
                  <a:rPr lang="en-US"/>
                  <a:t>Energy Consumption (AC Wh/mi)</a:t>
                </a:r>
              </a:p>
            </c:rich>
          </c:tx>
          <c:overlay val="0"/>
        </c:title>
        <c:numFmt formatCode="General" sourceLinked="0"/>
        <c:majorTickMark val="out"/>
        <c:minorTickMark val="none"/>
        <c:tickLblPos val="nextTo"/>
        <c:crossAx val="429209760"/>
        <c:crosses val="autoZero"/>
        <c:crossBetween val="midCat"/>
      </c:valAx>
    </c:plotArea>
    <c:legend>
      <c:legendPos val="r"/>
      <c:layout>
        <c:manualLayout>
          <c:xMode val="edge"/>
          <c:yMode val="edge"/>
          <c:x val="0.10990075934254655"/>
          <c:y val="0.13633740919157802"/>
          <c:w val="0.14529150664993024"/>
          <c:h val="0.15032248710591592"/>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i="0" u="none" strike="noStrike" baseline="0">
                <a:effectLst/>
              </a:rPr>
              <a:t>2019 Nissan Leaf Plus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AF2A-4F29-B7B2-9CBBD93EF0B3}"/>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F2A-4F29-B7B2-9CBBD93EF0B3}"/>
            </c:ext>
          </c:extLst>
        </c:ser>
        <c:ser>
          <c:idx val="0"/>
          <c:order val="2"/>
          <c:tx>
            <c:strRef>
              <c:f>AVTEReporting!$A$39</c:f>
              <c:strCache>
                <c:ptCount val="1"/>
                <c:pt idx="0">
                  <c:v>72F with Climate Off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F2A-4F29-B7B2-9CBBD93EF0B3}"/>
            </c:ext>
          </c:extLst>
        </c:ser>
        <c:ser>
          <c:idx val="1"/>
          <c:order val="3"/>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F2A-4F29-B7B2-9CBBD93EF0B3}"/>
            </c:ext>
          </c:extLst>
        </c:ser>
        <c:dLbls>
          <c:showLegendKey val="0"/>
          <c:showVal val="0"/>
          <c:showCatName val="0"/>
          <c:showSerName val="0"/>
          <c:showPercent val="0"/>
          <c:showBubbleSize val="0"/>
        </c:dLbls>
        <c:gapWidth val="243"/>
        <c:axId val="901364392"/>
        <c:axId val="901362432"/>
      </c:barChart>
      <c:catAx>
        <c:axId val="901364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2432"/>
        <c:crosses val="autoZero"/>
        <c:auto val="1"/>
        <c:lblAlgn val="ctr"/>
        <c:lblOffset val="100"/>
        <c:noMultiLvlLbl val="0"/>
      </c:catAx>
      <c:valAx>
        <c:axId val="901362432"/>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901364392"/>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Energy Consumption Increase Relative to 72F</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AVTEReporting!$K$69:$K$74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21-4C05-91E3-B3F58081C477}"/>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AVTEReporting!$J$69:$J$74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821-4C05-91E3-B3F58081C477}"/>
            </c:ext>
          </c:extLst>
        </c:ser>
        <c:ser>
          <c:idx val="1"/>
          <c:order val="2"/>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AVTEReporting!$I$69:$I$74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2821-4C05-91E3-B3F58081C477}"/>
            </c:ext>
          </c:extLst>
        </c:ser>
        <c:dLbls>
          <c:showLegendKey val="0"/>
          <c:showVal val="0"/>
          <c:showCatName val="0"/>
          <c:showSerName val="0"/>
          <c:showPercent val="0"/>
          <c:showBubbleSize val="0"/>
        </c:dLbls>
        <c:gapWidth val="243"/>
        <c:axId val="366901296"/>
        <c:axId val="866523680"/>
      </c:barChart>
      <c:catAx>
        <c:axId val="36690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3680"/>
        <c:crosses val="autoZero"/>
        <c:auto val="1"/>
        <c:lblAlgn val="ctr"/>
        <c:lblOffset val="100"/>
        <c:noMultiLvlLbl val="0"/>
      </c:catAx>
      <c:valAx>
        <c:axId val="86652368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Increase</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6690129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2019 Nissan</a:t>
            </a:r>
            <a:r>
              <a:rPr lang="en-US" sz="2000" b="1" baseline="0"/>
              <a:t> Leaf Plus</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4AB-49E1-AC9A-492523AACB2C}"/>
            </c:ext>
          </c:extLst>
        </c:ser>
        <c:ser>
          <c:idx val="2"/>
          <c:order val="1"/>
          <c:tx>
            <c:strRef>
              <c:f>AVTEReporting!$A$58</c:f>
              <c:strCache>
                <c:ptCount val="1"/>
                <c:pt idx="0">
                  <c:v>20F Ambient with 72F Cabin</c:v>
                </c:pt>
              </c:strCache>
            </c:strRef>
          </c:tx>
          <c:spPr>
            <a:solidFill>
              <a:schemeClr val="accent1"/>
            </a:solidFill>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4AB-49E1-AC9A-492523AACB2C}"/>
            </c:ext>
          </c:extLst>
        </c:ser>
        <c:ser>
          <c:idx val="0"/>
          <c:order val="2"/>
          <c:tx>
            <c:strRef>
              <c:f>AVTEReporting!$A$39</c:f>
              <c:strCache>
                <c:ptCount val="1"/>
                <c:pt idx="0">
                  <c:v>72F with Climate Off</c:v>
                </c:pt>
              </c:strCache>
            </c:strRef>
          </c:tx>
          <c:spPr>
            <a:solidFill>
              <a:srgbClr val="92D050"/>
            </a:solidFill>
            <a:ln>
              <a:noFill/>
            </a:ln>
            <a:effectLst/>
          </c:spPr>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4AB-49E1-AC9A-492523AACB2C}"/>
            </c:ext>
          </c:extLst>
        </c:ser>
        <c:ser>
          <c:idx val="1"/>
          <c:order val="3"/>
          <c:tx>
            <c:strRef>
              <c:f>AVTEReporting!$A$48</c:f>
              <c:strCache>
                <c:ptCount val="1"/>
                <c:pt idx="0">
                  <c:v>95F Ambient with 72F Cabin</c:v>
                </c:pt>
              </c:strCache>
            </c:strRef>
          </c:tx>
          <c:invertIfNegative val="0"/>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14AB-49E1-AC9A-492523AACB2C}"/>
            </c:ext>
          </c:extLst>
        </c:ser>
        <c:dLbls>
          <c:showLegendKey val="0"/>
          <c:showVal val="0"/>
          <c:showCatName val="0"/>
          <c:showSerName val="0"/>
          <c:showPercent val="0"/>
          <c:showBubbleSize val="0"/>
        </c:dLbls>
        <c:gapWidth val="243"/>
        <c:axId val="866526032"/>
        <c:axId val="866533480"/>
      </c:barChart>
      <c:catAx>
        <c:axId val="86652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3480"/>
        <c:crosses val="autoZero"/>
        <c:auto val="1"/>
        <c:lblAlgn val="ctr"/>
        <c:lblOffset val="100"/>
        <c:noMultiLvlLbl val="0"/>
      </c:catAx>
      <c:valAx>
        <c:axId val="866533480"/>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[DC</a:t>
                </a:r>
                <a:r>
                  <a:rPr lang="en-US" sz="1600" baseline="0"/>
                  <a:t> Wh/mi]</a:t>
                </a:r>
                <a:endParaRPr lang="en-US" sz="1600"/>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6032"/>
        <c:crosses val="autoZero"/>
        <c:crossBetween val="between"/>
      </c:valAx>
      <c:dTable>
        <c:showHorzBorder val="1"/>
        <c:showVertBorder val="1"/>
        <c:showOutline val="1"/>
        <c:showKeys val="1"/>
      </c:dTable>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2015 VW EGolf </a:t>
            </a:r>
            <a:r>
              <a:rPr lang="en-US" sz="2000" b="1" baseline="0"/>
              <a:t>Energy Consumption</a:t>
            </a:r>
          </a:p>
        </c:rich>
      </c:tx>
      <c:overlay val="0"/>
      <c:spPr>
        <a:noFill/>
        <a:ln>
          <a:noFill/>
        </a:ln>
        <a:effectLst/>
      </c:spPr>
    </c:title>
    <c:autoTitleDeleted val="0"/>
    <c:plotArea>
      <c:layout>
        <c:manualLayout>
          <c:layoutTarget val="inner"/>
          <c:xMode val="edge"/>
          <c:yMode val="edge"/>
          <c:x val="0.13353431775653765"/>
          <c:y val="0.11903983300564566"/>
          <c:w val="0.83228383842761466"/>
          <c:h val="0.67325783958831864"/>
        </c:manualLayout>
      </c:layout>
      <c:barChart>
        <c:barDir val="col"/>
        <c:grouping val="clustered"/>
        <c:varyColors val="0"/>
        <c:ser>
          <c:idx val="3"/>
          <c:order val="0"/>
          <c:tx>
            <c:strRef>
              <c:f>AVTEReporting!$A$67</c:f>
              <c:strCache>
                <c:ptCount val="1"/>
                <c:pt idx="0">
                  <c:v>0F Ambient with 72F Cabin</c:v>
                </c:pt>
              </c:strCache>
            </c:strRef>
          </c:tx>
          <c:invertIfNegative val="0"/>
          <c:dLbls>
            <c:spPr>
              <a:noFill/>
              <a:ln>
                <a:noFill/>
              </a:ln>
              <a:effectLst/>
            </c:spPr>
            <c:txPr>
              <a:bodyPr rot="-5400000" vert="horz" wrap="square" lIns="38100" tIns="19050" rIns="38100" bIns="19050" anchor="t" anchorCtr="1">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AVTEReporting!$D$69:$D$74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6C9-49A1-8EFB-5F065680CD1D}"/>
            </c:ext>
          </c:extLst>
        </c:ser>
        <c:ser>
          <c:idx val="2"/>
          <c:order val="1"/>
          <c:tx>
            <c:strRef>
              <c:f>AVTEReporting!$A$58</c:f>
              <c:strCache>
                <c:ptCount val="1"/>
                <c:pt idx="0">
                  <c:v>20F Ambient with 72F Cabin</c:v>
                </c:pt>
              </c:strCache>
            </c:strRef>
          </c:tx>
          <c:spPr>
            <a:solidFill>
              <a:schemeClr val="accent1"/>
            </a:solidFill>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AVTEReporting!$D$60:$D$65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76C9-49A1-8EFB-5F065680CD1D}"/>
            </c:ext>
          </c:extLst>
        </c:ser>
        <c:ser>
          <c:idx val="0"/>
          <c:order val="2"/>
          <c:tx>
            <c:strRef>
              <c:f>AVTEReporting!$A$39</c:f>
              <c:strCache>
                <c:ptCount val="1"/>
                <c:pt idx="0">
                  <c:v>72F with Climate Off</c:v>
                </c:pt>
              </c:strCache>
            </c:strRef>
          </c:tx>
          <c:spPr>
            <a:solidFill>
              <a:srgbClr val="92D050"/>
            </a:solidFill>
            <a:ln>
              <a:noFill/>
            </a:ln>
            <a:effectLst/>
          </c:spPr>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AVTEReporting!$C$41:$C$46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76C9-49A1-8EFB-5F065680CD1D}"/>
            </c:ext>
          </c:extLst>
        </c:ser>
        <c:ser>
          <c:idx val="1"/>
          <c:order val="3"/>
          <c:tx>
            <c:strRef>
              <c:f>AVTEReporting!$A$48</c:f>
              <c:strCache>
                <c:ptCount val="1"/>
                <c:pt idx="0">
                  <c:v>95F Ambient with 72F Cabin</c:v>
                </c:pt>
              </c:strCache>
            </c:strRef>
          </c:tx>
          <c:invertIfNegative val="0"/>
          <c:dLbls>
            <c:spPr>
              <a:noFill/>
              <a:ln>
                <a:noFill/>
              </a:ln>
              <a:effectLst/>
            </c:spPr>
            <c:txPr>
              <a:bodyPr rot="-5400000" vert="horz"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AVTEReporting!$A$50:$A$56</c:f>
              <c:strCache>
                <c:ptCount val="7"/>
                <c:pt idx="0">
                  <c:v>UDDS cold start* </c:v>
                </c:pt>
                <c:pt idx="1">
                  <c:v>UDDS</c:v>
                </c:pt>
                <c:pt idx="2">
                  <c:v>Highway</c:v>
                </c:pt>
                <c:pt idx="3">
                  <c:v>US06 </c:v>
                </c:pt>
                <c:pt idx="4">
                  <c:v>US06 City</c:v>
                </c:pt>
                <c:pt idx="5">
                  <c:v>US06 Highway </c:v>
                </c:pt>
                <c:pt idx="6">
                  <c:v>SC03</c:v>
                </c:pt>
              </c:strCache>
            </c:strRef>
          </c:cat>
          <c:val>
            <c:numRef>
              <c:f>AVTEReporting!$D$50:$D$56</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76C9-49A1-8EFB-5F065680CD1D}"/>
            </c:ext>
          </c:extLst>
        </c:ser>
        <c:dLbls>
          <c:showLegendKey val="0"/>
          <c:showVal val="1"/>
          <c:showCatName val="0"/>
          <c:showSerName val="0"/>
          <c:showPercent val="0"/>
          <c:showBubbleSize val="0"/>
        </c:dLbls>
        <c:gapWidth val="243"/>
        <c:axId val="866534656"/>
        <c:axId val="866527208"/>
      </c:barChart>
      <c:catAx>
        <c:axId val="86653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27208"/>
        <c:crosses val="autoZero"/>
        <c:auto val="1"/>
        <c:lblAlgn val="ctr"/>
        <c:lblOffset val="100"/>
        <c:noMultiLvlLbl val="0"/>
      </c:catAx>
      <c:valAx>
        <c:axId val="866527208"/>
        <c:scaling>
          <c:orientation val="minMax"/>
          <c:max val="700"/>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sz="1600"/>
                </a:pPr>
                <a:r>
                  <a:rPr lang="en-US" sz="1600"/>
                  <a:t>Energy Consumption (AC Wh/mi)</a:t>
                </a:r>
              </a:p>
            </c:rich>
          </c:tx>
          <c:layout>
            <c:manualLayout>
              <c:xMode val="edge"/>
              <c:yMode val="edge"/>
              <c:x val="1.6304064305792981E-2"/>
              <c:y val="0.16949063344826712"/>
            </c:manualLayout>
          </c:layout>
          <c:overlay val="0"/>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866534656"/>
        <c:crosses val="autoZero"/>
        <c:crossBetween val="between"/>
      </c:valAx>
      <c:spPr>
        <a:noFill/>
        <a:ln>
          <a:noFill/>
        </a:ln>
        <a:effectLst/>
      </c:spPr>
    </c:plotArea>
    <c:legend>
      <c:legendPos val="r"/>
      <c:layout>
        <c:manualLayout>
          <c:xMode val="edge"/>
          <c:yMode val="edge"/>
          <c:x val="0.81187891628895414"/>
          <c:y val="0.12435901552931003"/>
          <c:w val="8.1940870209786118E-2"/>
          <c:h val="0.24528012057033061"/>
        </c:manualLayout>
      </c:layout>
      <c:overlay val="0"/>
      <c:spPr>
        <a:solidFill>
          <a:schemeClr val="bg1"/>
        </a:solidFill>
        <a:ln>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Road</a:t>
            </a:r>
            <a:r>
              <a:rPr lang="en-US" baseline="0"/>
              <a:t> L</a:t>
            </a:r>
            <a:r>
              <a:rPr lang="en-US"/>
              <a:t>oad</a:t>
            </a:r>
            <a:r>
              <a:rPr lang="en-US" baseline="0"/>
              <a:t> Power vs. Vehicle Speed</a:t>
            </a:r>
            <a:endParaRPr lang="en-US"/>
          </a:p>
        </c:rich>
      </c:tx>
      <c:overlay val="0"/>
    </c:title>
    <c:autoTitleDeleted val="0"/>
    <c:plotArea>
      <c:layout>
        <c:manualLayout>
          <c:layoutTarget val="inner"/>
          <c:xMode val="edge"/>
          <c:yMode val="edge"/>
          <c:x val="9.6498699788719916E-2"/>
          <c:y val="0.11072658508272543"/>
          <c:w val="0.87801349177189358"/>
          <c:h val="0.74563881047376424"/>
        </c:manualLayout>
      </c:layout>
      <c:scatterChart>
        <c:scatterStyle val="lineMarker"/>
        <c:varyColors val="0"/>
        <c:ser>
          <c:idx val="0"/>
          <c:order val="0"/>
          <c:tx>
            <c:strRef>
              <c:f>TestInfoInstru!$O$28</c:f>
              <c:strCache>
                <c:ptCount val="1"/>
                <c:pt idx="0">
                  <c:v>AVTE Power [kW]</c:v>
                </c:pt>
              </c:strCache>
            </c:strRef>
          </c:tx>
          <c:spPr>
            <a:ln>
              <a:solidFill>
                <a:schemeClr val="accent6">
                  <a:lumMod val="75000"/>
                </a:schemeClr>
              </a:solidFill>
            </a:ln>
          </c:spPr>
          <c:marker>
            <c:symbol val="none"/>
          </c:marker>
          <c:xVal>
            <c:numRef>
              <c:f>TestInfoInstru!$N$29:$N$37</c:f>
              <c:numCache>
                <c:formatCode>General</c:formatCode>
                <c:ptCount val="9"/>
                <c:pt idx="0">
                  <c:v>0</c:v>
                </c:pt>
                <c:pt idx="1">
                  <c:v>10</c:v>
                </c:pt>
                <c:pt idx="2">
                  <c:v>20</c:v>
                </c:pt>
                <c:pt idx="3">
                  <c:v>30</c:v>
                </c:pt>
                <c:pt idx="4">
                  <c:v>40</c:v>
                </c:pt>
                <c:pt idx="5">
                  <c:v>55</c:v>
                </c:pt>
                <c:pt idx="6">
                  <c:v>65</c:v>
                </c:pt>
                <c:pt idx="7">
                  <c:v>70</c:v>
                </c:pt>
                <c:pt idx="8">
                  <c:v>80</c:v>
                </c:pt>
              </c:numCache>
            </c:numRef>
          </c:xVal>
          <c:yVal>
            <c:numRef>
              <c:f>TestInfoInstru!$O$29:$O$37</c:f>
              <c:numCache>
                <c:formatCode>0.0</c:formatCode>
                <c:ptCount val="9"/>
                <c:pt idx="0">
                  <c:v>0</c:v>
                </c:pt>
                <c:pt idx="1">
                  <c:v>0.7062672631255148</c:v>
                </c:pt>
                <c:pt idx="2">
                  <c:v>1.77321464052224</c:v>
                </c:pt>
                <c:pt idx="3">
                  <c:v>3.4342163642492198</c:v>
                </c:pt>
                <c:pt idx="4">
                  <c:v>5.9226466663654964</c:v>
                </c:pt>
                <c:pt idx="5">
                  <c:v>11.717226836649003</c:v>
                </c:pt>
                <c:pt idx="6">
                  <c:v>17.295240849996837</c:v>
                </c:pt>
                <c:pt idx="7">
                  <c:v>20.68625136364054</c:v>
                </c:pt>
                <c:pt idx="8">
                  <c:v>28.818138299904437</c:v>
                </c:pt>
              </c:numCache>
            </c:numRef>
          </c:yVal>
          <c:smooth val="0"/>
          <c:extLst>
            <c:ext xmlns:c16="http://schemas.microsoft.com/office/drawing/2014/chart" uri="{C3380CC4-5D6E-409C-BE32-E72D297353CC}">
              <c16:uniqueId val="{00000000-AC4D-4BE9-A059-B3BA8A67A811}"/>
            </c:ext>
          </c:extLst>
        </c:ser>
        <c:ser>
          <c:idx val="1"/>
          <c:order val="1"/>
          <c:tx>
            <c:strRef>
              <c:f>TestInfoInstru!$O$28</c:f>
              <c:strCache>
                <c:ptCount val="1"/>
                <c:pt idx="0">
                  <c:v>AVTE Power [kW]</c:v>
                </c:pt>
              </c:strCache>
            </c:strRef>
          </c:tx>
          <c:marker>
            <c:symbol val="none"/>
          </c:marker>
          <c:xVal>
            <c:numRef>
              <c:f>TestInfoInstru!$N$29:$N$37</c:f>
              <c:numCache>
                <c:formatCode>General</c:formatCode>
                <c:ptCount val="9"/>
                <c:pt idx="0">
                  <c:v>0</c:v>
                </c:pt>
                <c:pt idx="1">
                  <c:v>10</c:v>
                </c:pt>
                <c:pt idx="2">
                  <c:v>20</c:v>
                </c:pt>
                <c:pt idx="3">
                  <c:v>30</c:v>
                </c:pt>
                <c:pt idx="4">
                  <c:v>40</c:v>
                </c:pt>
                <c:pt idx="5">
                  <c:v>55</c:v>
                </c:pt>
                <c:pt idx="6">
                  <c:v>65</c:v>
                </c:pt>
                <c:pt idx="7">
                  <c:v>70</c:v>
                </c:pt>
                <c:pt idx="8">
                  <c:v>80</c:v>
                </c:pt>
              </c:numCache>
            </c:numRef>
          </c:xVal>
          <c:yVal>
            <c:numRef>
              <c:f>TestInfoInstru!$P$29:$P$37</c:f>
              <c:numCache>
                <c:formatCode>0.0</c:formatCode>
                <c:ptCount val="9"/>
                <c:pt idx="0">
                  <c:v>0</c:v>
                </c:pt>
                <c:pt idx="1">
                  <c:v>0.8056541421158947</c:v>
                </c:pt>
                <c:pt idx="2">
                  <c:v>1.8024063048595507</c:v>
                </c:pt>
                <c:pt idx="3">
                  <c:v>3.1692244576013997</c:v>
                </c:pt>
                <c:pt idx="4">
                  <c:v>5.0850765697118741</c:v>
                </c:pt>
                <c:pt idx="5">
                  <c:v>9.3797858446915789</c:v>
                </c:pt>
                <c:pt idx="6">
                  <c:v>13.451207721219257</c:v>
                </c:pt>
                <c:pt idx="7">
                  <c:v>15.916516355959372</c:v>
                </c:pt>
                <c:pt idx="8">
                  <c:v>21.818183999248667</c:v>
                </c:pt>
              </c:numCache>
            </c:numRef>
          </c:yVal>
          <c:smooth val="0"/>
          <c:extLst>
            <c:ext xmlns:c16="http://schemas.microsoft.com/office/drawing/2014/chart" uri="{C3380CC4-5D6E-409C-BE32-E72D297353CC}">
              <c16:uniqueId val="{00000000-6F6F-4EB6-8BB6-804A5C6B712A}"/>
            </c:ext>
          </c:extLst>
        </c:ser>
        <c:dLbls>
          <c:showLegendKey val="0"/>
          <c:showVal val="0"/>
          <c:showCatName val="0"/>
          <c:showSerName val="0"/>
          <c:showPercent val="0"/>
          <c:showBubbleSize val="0"/>
        </c:dLbls>
        <c:axId val="408112088"/>
        <c:axId val="461518768"/>
      </c:scatterChart>
      <c:valAx>
        <c:axId val="408112088"/>
        <c:scaling>
          <c:orientation val="minMax"/>
          <c:max val="80"/>
          <c:min val="0"/>
        </c:scaling>
        <c:delete val="0"/>
        <c:axPos val="b"/>
        <c:title>
          <c:tx>
            <c:rich>
              <a:bodyPr/>
              <a:lstStyle/>
              <a:p>
                <a:pPr>
                  <a:defRPr sz="1050"/>
                </a:pPr>
                <a:r>
                  <a:rPr lang="en-US" sz="1050"/>
                  <a:t>Vehicle speed [mph]</a:t>
                </a:r>
              </a:p>
            </c:rich>
          </c:tx>
          <c:overlay val="0"/>
        </c:title>
        <c:numFmt formatCode="General" sourceLinked="1"/>
        <c:majorTickMark val="out"/>
        <c:minorTickMark val="none"/>
        <c:tickLblPos val="nextTo"/>
        <c:crossAx val="461518768"/>
        <c:crosses val="autoZero"/>
        <c:crossBetween val="midCat"/>
      </c:valAx>
      <c:valAx>
        <c:axId val="461518768"/>
        <c:scaling>
          <c:orientation val="minMax"/>
        </c:scaling>
        <c:delete val="0"/>
        <c:axPos val="l"/>
        <c:majorGridlines/>
        <c:title>
          <c:tx>
            <c:rich>
              <a:bodyPr rot="-5400000" vert="horz"/>
              <a:lstStyle/>
              <a:p>
                <a:pPr>
                  <a:defRPr sz="1100"/>
                </a:pPr>
                <a:r>
                  <a:rPr lang="en-US" sz="1100"/>
                  <a:t>Road load power [kW]</a:t>
                </a:r>
              </a:p>
            </c:rich>
          </c:tx>
          <c:overlay val="0"/>
        </c:title>
        <c:numFmt formatCode="0.0" sourceLinked="1"/>
        <c:majorTickMark val="out"/>
        <c:minorTickMark val="none"/>
        <c:tickLblPos val="nextTo"/>
        <c:crossAx val="408112088"/>
        <c:crosses val="autoZero"/>
        <c:crossBetween val="midCat"/>
      </c:valAx>
    </c:plotArea>
    <c:legend>
      <c:legendPos val="r"/>
      <c:layout>
        <c:manualLayout>
          <c:xMode val="edge"/>
          <c:yMode val="edge"/>
          <c:x val="0.11460934124177445"/>
          <c:y val="0.14716225830727214"/>
          <c:w val="0.14550987597481585"/>
          <c:h val="0.11070764957449337"/>
        </c:manualLayout>
      </c:layout>
      <c:overlay val="0"/>
      <c:spPr>
        <a:solidFill>
          <a:schemeClr val="bg1"/>
        </a:solidFill>
        <a:ln>
          <a:solidFill>
            <a:sysClr val="windowText" lastClr="000000"/>
          </a:solidFill>
        </a:ln>
      </c:sp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6.4019790806919732E-2"/>
          <c:y val="0.15962931741615491"/>
          <c:w val="0.62350100594091296"/>
          <c:h val="0.74533241408481499"/>
        </c:manualLayout>
      </c:layout>
      <c:scatterChart>
        <c:scatterStyle val="smoothMarker"/>
        <c:varyColors val="0"/>
        <c:ser>
          <c:idx val="0"/>
          <c:order val="0"/>
          <c:tx>
            <c:strRef>
              <c:f>TestInfoInstru!$O$46</c:f>
              <c:strCache>
                <c:ptCount val="1"/>
                <c:pt idx="0">
                  <c:v>Wheel Speed [rpm]</c:v>
                </c:pt>
              </c:strCache>
            </c:strRef>
          </c:tx>
          <c:marker>
            <c:symbol val="none"/>
          </c:marker>
          <c:trendline>
            <c:trendlineType val="linear"/>
            <c:dispRSqr val="0"/>
            <c:dispEq val="1"/>
            <c:trendlineLbl>
              <c:numFmt formatCode="General" sourceLinked="0"/>
            </c:trendlineLbl>
          </c:trendline>
          <c:xVal>
            <c:numRef>
              <c:f>TestInfoInstru!$N$47:$N$54</c:f>
              <c:numCache>
                <c:formatCode>General</c:formatCode>
                <c:ptCount val="8"/>
                <c:pt idx="0">
                  <c:v>10</c:v>
                </c:pt>
                <c:pt idx="1">
                  <c:v>20</c:v>
                </c:pt>
                <c:pt idx="2">
                  <c:v>30</c:v>
                </c:pt>
                <c:pt idx="3">
                  <c:v>40</c:v>
                </c:pt>
                <c:pt idx="4">
                  <c:v>50</c:v>
                </c:pt>
                <c:pt idx="5">
                  <c:v>60</c:v>
                </c:pt>
                <c:pt idx="6">
                  <c:v>70</c:v>
                </c:pt>
                <c:pt idx="7">
                  <c:v>80</c:v>
                </c:pt>
              </c:numCache>
            </c:numRef>
          </c:xVal>
          <c:yVal>
            <c:numRef>
              <c:f>TestInfoInstru!$O$47:$O$54</c:f>
              <c:numCache>
                <c:formatCode>General</c:formatCode>
                <c:ptCount val="8"/>
                <c:pt idx="0">
                  <c:v>138.9</c:v>
                </c:pt>
                <c:pt idx="1">
                  <c:v>278</c:v>
                </c:pt>
                <c:pt idx="2">
                  <c:v>416.9</c:v>
                </c:pt>
                <c:pt idx="3">
                  <c:v>555.5</c:v>
                </c:pt>
                <c:pt idx="4">
                  <c:v>697.3</c:v>
                </c:pt>
                <c:pt idx="5">
                  <c:v>832.7</c:v>
                </c:pt>
                <c:pt idx="6">
                  <c:v>970.6</c:v>
                </c:pt>
                <c:pt idx="7">
                  <c:v>1108</c:v>
                </c:pt>
              </c:numCache>
            </c:numRef>
          </c:yVal>
          <c:smooth val="1"/>
          <c:extLst>
            <c:ext xmlns:c16="http://schemas.microsoft.com/office/drawing/2014/chart" uri="{C3380CC4-5D6E-409C-BE32-E72D297353CC}">
              <c16:uniqueId val="{00000000-B0D5-4250-97AB-0B020EB1CAD2}"/>
            </c:ext>
          </c:extLst>
        </c:ser>
        <c:dLbls>
          <c:showLegendKey val="0"/>
          <c:showVal val="0"/>
          <c:showCatName val="0"/>
          <c:showSerName val="0"/>
          <c:showPercent val="0"/>
          <c:showBubbleSize val="0"/>
        </c:dLbls>
        <c:axId val="461515632"/>
        <c:axId val="461516808"/>
      </c:scatterChart>
      <c:valAx>
        <c:axId val="461515632"/>
        <c:scaling>
          <c:orientation val="minMax"/>
        </c:scaling>
        <c:delete val="0"/>
        <c:axPos val="b"/>
        <c:numFmt formatCode="General" sourceLinked="1"/>
        <c:majorTickMark val="out"/>
        <c:minorTickMark val="none"/>
        <c:tickLblPos val="nextTo"/>
        <c:crossAx val="461516808"/>
        <c:crosses val="autoZero"/>
        <c:crossBetween val="midCat"/>
      </c:valAx>
      <c:valAx>
        <c:axId val="461516808"/>
        <c:scaling>
          <c:orientation val="minMax"/>
        </c:scaling>
        <c:delete val="0"/>
        <c:axPos val="l"/>
        <c:majorGridlines/>
        <c:numFmt formatCode="General" sourceLinked="1"/>
        <c:majorTickMark val="out"/>
        <c:minorTickMark val="none"/>
        <c:tickLblPos val="nextTo"/>
        <c:crossAx val="4615156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'Accessory Load'!$L$6</c:f>
              <c:strCache>
                <c:ptCount val="1"/>
                <c:pt idx="0">
                  <c:v>HV Watts</c:v>
                </c:pt>
              </c:strCache>
            </c:strRef>
          </c:tx>
          <c:spPr>
            <a:solidFill>
              <a:schemeClr val="accent3">
                <a:lumMod val="50000"/>
              </a:schemeClr>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x2</c:v>
                </c:pt>
                <c:pt idx="44">
                  <c:v> PF window down/up hold</c:v>
                </c:pt>
                <c:pt idx="46">
                  <c:v>radio max (no signal)</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Load'!$L$7:$L$77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0-4510-48A0-BF98-2911A67D1D1E}"/>
            </c:ext>
          </c:extLst>
        </c:ser>
        <c:ser>
          <c:idx val="1"/>
          <c:order val="1"/>
          <c:tx>
            <c:v>12V watts</c:v>
          </c:tx>
          <c:spPr>
            <a:solidFill>
              <a:schemeClr val="accent3"/>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x2</c:v>
                </c:pt>
                <c:pt idx="44">
                  <c:v> PF window down/up hold</c:v>
                </c:pt>
                <c:pt idx="46">
                  <c:v>radio max (no signal)</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Load'!$M$7:$M$77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1-4510-48A0-BF98-2911A67D1D1E}"/>
            </c:ext>
          </c:extLst>
        </c:ser>
        <c:ser>
          <c:idx val="2"/>
          <c:order val="2"/>
          <c:tx>
            <c:v>DC-DC Loss</c:v>
          </c:tx>
          <c:spPr>
            <a:solidFill>
              <a:schemeClr val="accent6">
                <a:lumMod val="75000"/>
              </a:schemeClr>
            </a:solidFill>
            <a:ln>
              <a:noFill/>
            </a:ln>
            <a:effectLst/>
          </c:spPr>
          <c:invertIfNegative val="0"/>
          <c:cat>
            <c:strRef>
              <c:f>'Accessory Load'!$A$7:$A$77</c:f>
              <c:strCache>
                <c:ptCount val="67"/>
                <c:pt idx="0">
                  <c:v>Unlock</c:v>
                </c:pt>
                <c:pt idx="2">
                  <c:v>open door</c:v>
                </c:pt>
                <c:pt idx="4">
                  <c:v>close door</c:v>
                </c:pt>
                <c:pt idx="6">
                  <c:v>key on</c:v>
                </c:pt>
                <c:pt idx="8">
                  <c:v>hold for dc dc stable 12V batt charge</c:v>
                </c:pt>
                <c:pt idx="10">
                  <c:v>parking lights</c:v>
                </c:pt>
                <c:pt idx="12">
                  <c:v>headlights </c:v>
                </c:pt>
                <c:pt idx="14">
                  <c:v>brights</c:v>
                </c:pt>
                <c:pt idx="16">
                  <c:v>lights off</c:v>
                </c:pt>
                <c:pt idx="18">
                  <c:v>blinkers</c:v>
                </c:pt>
                <c:pt idx="20">
                  <c:v>hazzard</c:v>
                </c:pt>
                <c:pt idx="22">
                  <c:v>ac max cool 60°F, low fan</c:v>
                </c:pt>
                <c:pt idx="24">
                  <c:v>ac max cool, high fan</c:v>
                </c:pt>
                <c:pt idx="26">
                  <c:v>ac off</c:v>
                </c:pt>
                <c:pt idx="28">
                  <c:v>rear def</c:v>
                </c:pt>
                <c:pt idx="30">
                  <c:v>heater 90°F, max heat, fan low</c:v>
                </c:pt>
                <c:pt idx="32">
                  <c:v>heater 90°F, max heat, fan hi</c:v>
                </c:pt>
                <c:pt idx="34">
                  <c:v>Reduce Heat dial to mid 75°F</c:v>
                </c:pt>
                <c:pt idx="36">
                  <c:v>return to full 90°F</c:v>
                </c:pt>
                <c:pt idx="38">
                  <c:v>Ramp heat off</c:v>
                </c:pt>
                <c:pt idx="40">
                  <c:v>mirror </c:v>
                </c:pt>
                <c:pt idx="42">
                  <c:v>door lock/unlock x2</c:v>
                </c:pt>
                <c:pt idx="44">
                  <c:v> PF window down/up hold</c:v>
                </c:pt>
                <c:pt idx="46">
                  <c:v>radio max (no signal)</c:v>
                </c:pt>
                <c:pt idx="48">
                  <c:v>radio off</c:v>
                </c:pt>
                <c:pt idx="50">
                  <c:v>horn</c:v>
                </c:pt>
                <c:pt idx="52">
                  <c:v>wipers int</c:v>
                </c:pt>
                <c:pt idx="54">
                  <c:v>wipers full on-low</c:v>
                </c:pt>
                <c:pt idx="56">
                  <c:v>wipers max</c:v>
                </c:pt>
                <c:pt idx="58">
                  <c:v>rear wiper</c:v>
                </c:pt>
                <c:pt idx="60">
                  <c:v>defrost max @72°F heat setting</c:v>
                </c:pt>
                <c:pt idx="62">
                  <c:v>key off</c:v>
                </c:pt>
                <c:pt idx="64">
                  <c:v>door open and close</c:v>
                </c:pt>
                <c:pt idx="66">
                  <c:v>full off</c:v>
                </c:pt>
              </c:strCache>
            </c:strRef>
          </c:cat>
          <c:val>
            <c:numRef>
              <c:f>'Accessory Load'!$Q$7:$Q$77</c:f>
              <c:numCache>
                <c:formatCode>0.00</c:formatCode>
                <c:ptCount val="71"/>
                <c:pt idx="0">
                  <c:v>0</c:v>
                </c:pt>
                <c:pt idx="2">
                  <c:v>0</c:v>
                </c:pt>
                <c:pt idx="4">
                  <c:v>0</c:v>
                </c:pt>
                <c:pt idx="6">
                  <c:v>0</c:v>
                </c:pt>
                <c:pt idx="8">
                  <c:v>0</c:v>
                </c:pt>
                <c:pt idx="10">
                  <c:v>0</c:v>
                </c:pt>
                <c:pt idx="12">
                  <c:v>0</c:v>
                </c:pt>
                <c:pt idx="14">
                  <c:v>0</c:v>
                </c:pt>
                <c:pt idx="16">
                  <c:v>0</c:v>
                </c:pt>
                <c:pt idx="18">
                  <c:v>0</c:v>
                </c:pt>
                <c:pt idx="20">
                  <c:v>0</c:v>
                </c:pt>
                <c:pt idx="22">
                  <c:v>0</c:v>
                </c:pt>
                <c:pt idx="24">
                  <c:v>0</c:v>
                </c:pt>
                <c:pt idx="26">
                  <c:v>0</c:v>
                </c:pt>
                <c:pt idx="28">
                  <c:v>0</c:v>
                </c:pt>
                <c:pt idx="30">
                  <c:v>0</c:v>
                </c:pt>
                <c:pt idx="32">
                  <c:v>0</c:v>
                </c:pt>
                <c:pt idx="34">
                  <c:v>0</c:v>
                </c:pt>
                <c:pt idx="36">
                  <c:v>0</c:v>
                </c:pt>
                <c:pt idx="38">
                  <c:v>0</c:v>
                </c:pt>
                <c:pt idx="40">
                  <c:v>0</c:v>
                </c:pt>
                <c:pt idx="42">
                  <c:v>0</c:v>
                </c:pt>
                <c:pt idx="44">
                  <c:v>0</c:v>
                </c:pt>
                <c:pt idx="46">
                  <c:v>0</c:v>
                </c:pt>
                <c:pt idx="48">
                  <c:v>0</c:v>
                </c:pt>
                <c:pt idx="50">
                  <c:v>0</c:v>
                </c:pt>
                <c:pt idx="52">
                  <c:v>0</c:v>
                </c:pt>
                <c:pt idx="54">
                  <c:v>0</c:v>
                </c:pt>
                <c:pt idx="56">
                  <c:v>0</c:v>
                </c:pt>
                <c:pt idx="58">
                  <c:v>0</c:v>
                </c:pt>
                <c:pt idx="60">
                  <c:v>0</c:v>
                </c:pt>
                <c:pt idx="62">
                  <c:v>0</c:v>
                </c:pt>
                <c:pt idx="64">
                  <c:v>0</c:v>
                </c:pt>
                <c:pt idx="66">
                  <c:v>0</c:v>
                </c:pt>
                <c:pt idx="68">
                  <c:v>0</c:v>
                </c:pt>
                <c:pt idx="70">
                  <c:v>0</c:v>
                </c:pt>
              </c:numCache>
            </c:numRef>
          </c:val>
          <c:extLst>
            <c:ext xmlns:c16="http://schemas.microsoft.com/office/drawing/2014/chart" uri="{C3380CC4-5D6E-409C-BE32-E72D297353CC}">
              <c16:uniqueId val="{00000002-4510-48A0-BF98-2911A67D1D1E}"/>
            </c:ext>
          </c:extLst>
        </c:ser>
        <c:dLbls>
          <c:showLegendKey val="0"/>
          <c:showVal val="0"/>
          <c:showCatName val="0"/>
          <c:showSerName val="0"/>
          <c:showPercent val="0"/>
          <c:showBubbleSize val="0"/>
        </c:dLbls>
        <c:gapWidth val="75"/>
        <c:overlap val="100"/>
        <c:axId val="866528384"/>
        <c:axId val="866530736"/>
      </c:barChart>
      <c:catAx>
        <c:axId val="8665283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Accessory Selected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30736"/>
        <c:crosses val="autoZero"/>
        <c:auto val="1"/>
        <c:lblAlgn val="ctr"/>
        <c:lblOffset val="100"/>
        <c:noMultiLvlLbl val="0"/>
      </c:catAx>
      <c:valAx>
        <c:axId val="866530736"/>
        <c:scaling>
          <c:orientation val="minMax"/>
          <c:max val="525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Consumption</a:t>
                </a:r>
                <a:r>
                  <a:rPr lang="en-US" baseline="0"/>
                  <a:t> (Watts)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6528384"/>
        <c:crosses val="autoZero"/>
        <c:crossBetween val="between"/>
      </c:valAx>
      <c:spPr>
        <a:gradFill>
          <a:gsLst>
            <a:gs pos="55000">
              <a:schemeClr val="accent1">
                <a:lumMod val="5000"/>
                <a:lumOff val="95000"/>
              </a:schemeClr>
            </a:gs>
            <a:gs pos="0">
              <a:schemeClr val="bg1">
                <a:lumMod val="65000"/>
              </a:schemeClr>
            </a:gs>
            <a:gs pos="15000">
              <a:schemeClr val="bg1">
                <a:lumMod val="75000"/>
              </a:schemeClr>
            </a:gs>
            <a:gs pos="72358">
              <a:schemeClr val="bg1">
                <a:lumMod val="95000"/>
              </a:schemeClr>
            </a:gs>
            <a:gs pos="91000">
              <a:schemeClr val="accent1">
                <a:lumMod val="30000"/>
                <a:lumOff val="70000"/>
              </a:schemeClr>
            </a:gs>
          </a:gsLst>
          <a:lin ang="5400000" scaled="1"/>
        </a:grad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14</xdr:col>
      <xdr:colOff>1595438</xdr:colOff>
      <xdr:row>0</xdr:row>
      <xdr:rowOff>0</xdr:rowOff>
    </xdr:from>
    <xdr:to>
      <xdr:col>15</xdr:col>
      <xdr:colOff>7938</xdr:colOff>
      <xdr:row>3</xdr:row>
      <xdr:rowOff>148079</xdr:rowOff>
    </xdr:to>
    <xdr:pic>
      <xdr:nvPicPr>
        <xdr:cNvPr id="4" name="Picture 3" descr="https://docs.anl.gov/main/groups/intranet/@shared/@cpa/@div/documents/multimedia/114726.jp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192251" y="0"/>
          <a:ext cx="2155825" cy="6910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35</xdr:col>
      <xdr:colOff>523258</xdr:colOff>
      <xdr:row>21</xdr:row>
      <xdr:rowOff>148044</xdr:rowOff>
    </xdr:from>
    <xdr:to>
      <xdr:col>50</xdr:col>
      <xdr:colOff>184481</xdr:colOff>
      <xdr:row>46</xdr:row>
      <xdr:rowOff>95690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88049</xdr:colOff>
      <xdr:row>47</xdr:row>
      <xdr:rowOff>123265</xdr:rowOff>
    </xdr:from>
    <xdr:to>
      <xdr:col>47</xdr:col>
      <xdr:colOff>354390</xdr:colOff>
      <xdr:row>73</xdr:row>
      <xdr:rowOff>171764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519546</xdr:colOff>
      <xdr:row>1</xdr:row>
      <xdr:rowOff>123265</xdr:rowOff>
    </xdr:from>
    <xdr:to>
      <xdr:col>50</xdr:col>
      <xdr:colOff>179294</xdr:colOff>
      <xdr:row>21</xdr:row>
      <xdr:rowOff>78441</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515471</xdr:colOff>
      <xdr:row>67</xdr:row>
      <xdr:rowOff>89649</xdr:rowOff>
    </xdr:from>
    <xdr:to>
      <xdr:col>16</xdr:col>
      <xdr:colOff>257736</xdr:colOff>
      <xdr:row>72</xdr:row>
      <xdr:rowOff>33619</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3928912" y="14679708"/>
          <a:ext cx="3709148" cy="896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No UBE</a:t>
          </a:r>
          <a:r>
            <a:rPr lang="en-US" sz="1100" baseline="0">
              <a:solidFill>
                <a:srgbClr val="FF0000"/>
              </a:solidFill>
            </a:rPr>
            <a:t> and Hioki charge data </a:t>
          </a:r>
        </a:p>
        <a:p>
          <a:endParaRPr lang="en-US" sz="1100" baseline="0">
            <a:solidFill>
              <a:srgbClr val="FF0000"/>
            </a:solidFill>
          </a:endParaRPr>
        </a:p>
        <a:p>
          <a:r>
            <a:rPr lang="en-US" sz="1100" baseline="0">
              <a:solidFill>
                <a:srgbClr val="FF0000"/>
              </a:solidFill>
            </a:rPr>
            <a:t>used the +850W/m2 data here</a:t>
          </a:r>
          <a:endParaRPr lang="en-US" sz="1100">
            <a:solidFill>
              <a:srgbClr val="FF0000"/>
            </a:solidFill>
          </a:endParaRPr>
        </a:p>
      </xdr:txBody>
    </xdr:sp>
    <xdr:clientData/>
  </xdr:twoCellAnchor>
  <xdr:twoCellAnchor>
    <xdr:from>
      <xdr:col>18</xdr:col>
      <xdr:colOff>537882</xdr:colOff>
      <xdr:row>2</xdr:row>
      <xdr:rowOff>112059</xdr:rowOff>
    </xdr:from>
    <xdr:to>
      <xdr:col>23</xdr:col>
      <xdr:colOff>705970</xdr:colOff>
      <xdr:row>5</xdr:row>
      <xdr:rowOff>549088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9195676" y="493059"/>
          <a:ext cx="4403912" cy="10197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UBE: Usable battery energy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35</xdr:col>
      <xdr:colOff>523258</xdr:colOff>
      <xdr:row>21</xdr:row>
      <xdr:rowOff>148044</xdr:rowOff>
    </xdr:from>
    <xdr:to>
      <xdr:col>50</xdr:col>
      <xdr:colOff>184481</xdr:colOff>
      <xdr:row>46</xdr:row>
      <xdr:rowOff>95690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88049</xdr:colOff>
      <xdr:row>47</xdr:row>
      <xdr:rowOff>123265</xdr:rowOff>
    </xdr:from>
    <xdr:to>
      <xdr:col>47</xdr:col>
      <xdr:colOff>354390</xdr:colOff>
      <xdr:row>73</xdr:row>
      <xdr:rowOff>171764</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519546</xdr:colOff>
      <xdr:row>1</xdr:row>
      <xdr:rowOff>123265</xdr:rowOff>
    </xdr:from>
    <xdr:to>
      <xdr:col>50</xdr:col>
      <xdr:colOff>179294</xdr:colOff>
      <xdr:row>21</xdr:row>
      <xdr:rowOff>78441</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515471</xdr:colOff>
      <xdr:row>67</xdr:row>
      <xdr:rowOff>89649</xdr:rowOff>
    </xdr:from>
    <xdr:to>
      <xdr:col>16</xdr:col>
      <xdr:colOff>257736</xdr:colOff>
      <xdr:row>72</xdr:row>
      <xdr:rowOff>33619</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907621" y="14662899"/>
          <a:ext cx="3704665" cy="8964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No UBE</a:t>
          </a:r>
          <a:r>
            <a:rPr lang="en-US" sz="1100" baseline="0">
              <a:solidFill>
                <a:srgbClr val="FF0000"/>
              </a:solidFill>
            </a:rPr>
            <a:t> and Hioki charge data </a:t>
          </a:r>
        </a:p>
        <a:p>
          <a:endParaRPr lang="en-US" sz="1100" baseline="0">
            <a:solidFill>
              <a:srgbClr val="FF0000"/>
            </a:solidFill>
          </a:endParaRPr>
        </a:p>
        <a:p>
          <a:r>
            <a:rPr lang="en-US" sz="1100" baseline="0">
              <a:solidFill>
                <a:srgbClr val="FF0000"/>
              </a:solidFill>
            </a:rPr>
            <a:t>used the +850W/m2 data here</a:t>
          </a:r>
          <a:endParaRPr lang="en-US" sz="1100">
            <a:solidFill>
              <a:srgbClr val="FF0000"/>
            </a:solidFill>
          </a:endParaRPr>
        </a:p>
      </xdr:txBody>
    </xdr:sp>
    <xdr:clientData/>
  </xdr:twoCellAnchor>
  <xdr:twoCellAnchor>
    <xdr:from>
      <xdr:col>18</xdr:col>
      <xdr:colOff>537882</xdr:colOff>
      <xdr:row>2</xdr:row>
      <xdr:rowOff>112059</xdr:rowOff>
    </xdr:from>
    <xdr:to>
      <xdr:col>23</xdr:col>
      <xdr:colOff>705970</xdr:colOff>
      <xdr:row>5</xdr:row>
      <xdr:rowOff>549088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9168782" y="493059"/>
          <a:ext cx="4406713" cy="10180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UBE: Usable battery energy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1004607</xdr:colOff>
      <xdr:row>12</xdr:row>
      <xdr:rowOff>136153</xdr:rowOff>
    </xdr:from>
    <xdr:to>
      <xdr:col>14</xdr:col>
      <xdr:colOff>1120</xdr:colOff>
      <xdr:row>34</xdr:row>
      <xdr:rowOff>123703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141945</xdr:colOff>
      <xdr:row>36</xdr:row>
      <xdr:rowOff>176547</xdr:rowOff>
    </xdr:from>
    <xdr:to>
      <xdr:col>13</xdr:col>
      <xdr:colOff>586480</xdr:colOff>
      <xdr:row>64</xdr:row>
      <xdr:rowOff>33579</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76</xdr:row>
      <xdr:rowOff>0</xdr:rowOff>
    </xdr:from>
    <xdr:to>
      <xdr:col>13</xdr:col>
      <xdr:colOff>444535</xdr:colOff>
      <xdr:row>104</xdr:row>
      <xdr:rowOff>85632</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75</xdr:row>
      <xdr:rowOff>171450</xdr:rowOff>
    </xdr:from>
    <xdr:to>
      <xdr:col>22</xdr:col>
      <xdr:colOff>196885</xdr:colOff>
      <xdr:row>104</xdr:row>
      <xdr:rowOff>66582</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447675</xdr:colOff>
      <xdr:row>76</xdr:row>
      <xdr:rowOff>0</xdr:rowOff>
    </xdr:from>
    <xdr:to>
      <xdr:col>28</xdr:col>
      <xdr:colOff>958885</xdr:colOff>
      <xdr:row>104</xdr:row>
      <xdr:rowOff>85632</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179294</xdr:colOff>
      <xdr:row>20</xdr:row>
      <xdr:rowOff>136473</xdr:rowOff>
    </xdr:from>
    <xdr:to>
      <xdr:col>24</xdr:col>
      <xdr:colOff>694765</xdr:colOff>
      <xdr:row>42</xdr:row>
      <xdr:rowOff>56192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124891</xdr:colOff>
      <xdr:row>44</xdr:row>
      <xdr:rowOff>3021</xdr:rowOff>
    </xdr:from>
    <xdr:to>
      <xdr:col>24</xdr:col>
      <xdr:colOff>33961</xdr:colOff>
      <xdr:row>61</xdr:row>
      <xdr:rowOff>28979</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342899</xdr:colOff>
      <xdr:row>94</xdr:row>
      <xdr:rowOff>63499</xdr:rowOff>
    </xdr:from>
    <xdr:to>
      <xdr:col>15</xdr:col>
      <xdr:colOff>372533</xdr:colOff>
      <xdr:row>115</xdr:row>
      <xdr:rowOff>110067</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wales\APTF%20Docs\Users\kstutenberg\AppData\Local\Microsoft\Windows\INetCache\Content.Outlook\ZUJC1O24\Lightweight\FEvsMass_Leafonlypower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LABC"/>
      <sheetName val="INLcoef"/>
      <sheetName val="THEOcoef"/>
      <sheetName val="LEAFTheoreticalRL"/>
      <sheetName val="FusionConvTheoreticalRL"/>
      <sheetName val="SpdtoABCcalcFocus"/>
    </sheetNames>
    <sheetDataSet>
      <sheetData sheetId="0" refreshError="1"/>
      <sheetData sheetId="1" refreshError="1"/>
      <sheetData sheetId="2" refreshError="1"/>
      <sheetData sheetId="3">
        <row r="2">
          <cell r="H2">
            <v>0</v>
          </cell>
        </row>
      </sheetData>
      <sheetData sheetId="4" refreshError="1"/>
      <sheetData sheetId="5">
        <row r="2">
          <cell r="P2">
            <v>3125</v>
          </cell>
          <cell r="Q2">
            <v>30.85</v>
          </cell>
          <cell r="R2">
            <v>0.50800000000000001</v>
          </cell>
          <cell r="S2">
            <v>1.6490000000000001E-2</v>
          </cell>
        </row>
        <row r="3">
          <cell r="Q3">
            <v>34.296999999999997</v>
          </cell>
          <cell r="R3">
            <v>0.56420000000000003</v>
          </cell>
          <cell r="S3">
            <v>1.84E-2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s://www.epa.gov/compliance-and-fuel-economy-data/data-cars-used-testing-fuel-economy"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file:///C:\Users\kstutenberg\AppData\All%20Daq\Drive%20Cycles\J1634%20Combined" TargetMode="External"/><Relationship Id="rId1" Type="http://schemas.openxmlformats.org/officeDocument/2006/relationships/hyperlink" Target="file:///C:\Users\kstutenberg\AppData\All%20Daq\Drive%20Cycles\J1634%20Combined"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77"/>
  <sheetViews>
    <sheetView zoomScale="85" zoomScaleNormal="85" workbookViewId="0">
      <pane ySplit="5" topLeftCell="A33" activePane="bottomLeft" state="frozen"/>
      <selection pane="bottomLeft" activeCell="E4" sqref="E4"/>
    </sheetView>
  </sheetViews>
  <sheetFormatPr defaultColWidth="9.140625" defaultRowHeight="15" x14ac:dyDescent="0.25"/>
  <cols>
    <col min="1" max="1" width="66.28515625" customWidth="1"/>
    <col min="2" max="2" width="9.42578125" style="17" customWidth="1"/>
    <col min="3" max="3" width="6.5703125" customWidth="1"/>
    <col min="4" max="4" width="8.5703125" customWidth="1"/>
    <col min="5" max="5" width="5.5703125" customWidth="1"/>
    <col min="6" max="6" width="8.5703125" customWidth="1"/>
    <col min="7" max="7" width="5.5703125" customWidth="1"/>
    <col min="8" max="8" width="9.42578125" customWidth="1"/>
    <col min="9" max="10" width="5.5703125" customWidth="1"/>
    <col min="11" max="11" width="12.5703125" customWidth="1"/>
    <col min="12" max="12" width="11" customWidth="1"/>
    <col min="13" max="13" width="8.5703125" customWidth="1"/>
    <col min="14" max="14" width="12.85546875" customWidth="1"/>
    <col min="15" max="15" width="52.42578125" customWidth="1"/>
    <col min="16" max="16" width="19.140625" customWidth="1"/>
    <col min="22" max="22" width="14.5703125" customWidth="1"/>
  </cols>
  <sheetData>
    <row r="1" spans="1:25" ht="14.45" customHeight="1" x14ac:dyDescent="0.25">
      <c r="A1" s="27" t="s">
        <v>5</v>
      </c>
      <c r="B1" s="498" t="s">
        <v>552</v>
      </c>
      <c r="C1" s="27"/>
      <c r="K1" s="27" t="s">
        <v>6</v>
      </c>
      <c r="L1" s="27" t="s">
        <v>417</v>
      </c>
    </row>
    <row r="2" spans="1:25" ht="14.45" customHeight="1" x14ac:dyDescent="0.25">
      <c r="A2" s="27" t="s">
        <v>7</v>
      </c>
      <c r="B2" s="498" t="s">
        <v>418</v>
      </c>
      <c r="C2" s="27"/>
      <c r="K2" s="27" t="s">
        <v>307</v>
      </c>
      <c r="L2" s="16">
        <v>43754</v>
      </c>
    </row>
    <row r="3" spans="1:25" ht="14.45" customHeight="1" x14ac:dyDescent="0.25">
      <c r="A3" s="1" t="s">
        <v>8</v>
      </c>
      <c r="B3" s="499" t="s">
        <v>1016</v>
      </c>
      <c r="C3" s="1"/>
      <c r="D3" s="140"/>
      <c r="E3" s="141" t="s">
        <v>1017</v>
      </c>
      <c r="K3" s="27" t="s">
        <v>302</v>
      </c>
      <c r="L3" s="16">
        <f ca="1">TODAY()</f>
        <v>44944</v>
      </c>
    </row>
    <row r="4" spans="1:25" ht="14.45" customHeight="1" x14ac:dyDescent="0.25">
      <c r="C4" s="2"/>
    </row>
    <row r="5" spans="1:25" s="3" customFormat="1" ht="99.95" customHeight="1" x14ac:dyDescent="0.25">
      <c r="A5" s="142" t="s">
        <v>9</v>
      </c>
      <c r="B5" s="451" t="s">
        <v>10</v>
      </c>
      <c r="C5" s="143" t="s">
        <v>11</v>
      </c>
      <c r="D5" s="143" t="s">
        <v>303</v>
      </c>
      <c r="E5" s="143" t="s">
        <v>12</v>
      </c>
      <c r="F5" s="143" t="s">
        <v>13</v>
      </c>
      <c r="G5" s="143" t="s">
        <v>304</v>
      </c>
      <c r="H5" s="144" t="s">
        <v>14</v>
      </c>
      <c r="I5" s="144" t="s">
        <v>15</v>
      </c>
      <c r="J5" s="144" t="s">
        <v>16</v>
      </c>
      <c r="K5" s="145" t="s">
        <v>17</v>
      </c>
      <c r="L5" s="145" t="s">
        <v>18</v>
      </c>
      <c r="M5" s="145" t="s">
        <v>19</v>
      </c>
      <c r="N5" s="145" t="s">
        <v>20</v>
      </c>
      <c r="O5" s="146" t="s">
        <v>305</v>
      </c>
    </row>
    <row r="6" spans="1:25" ht="14.45" customHeight="1" x14ac:dyDescent="0.25">
      <c r="A6" s="275" t="s">
        <v>612</v>
      </c>
      <c r="B6" s="452"/>
      <c r="C6" s="217"/>
      <c r="D6" s="217"/>
      <c r="E6" s="217"/>
      <c r="F6" s="217"/>
      <c r="G6" s="217"/>
      <c r="H6" s="217"/>
      <c r="I6" s="217"/>
      <c r="J6" s="217"/>
      <c r="K6" s="217"/>
      <c r="L6" s="217"/>
      <c r="M6" s="217"/>
      <c r="N6" s="217"/>
      <c r="O6" s="218"/>
    </row>
    <row r="7" spans="1:25" ht="15" customHeight="1" x14ac:dyDescent="0.25">
      <c r="A7" s="258" t="s">
        <v>362</v>
      </c>
      <c r="B7" s="453"/>
      <c r="C7" s="259"/>
      <c r="D7" s="259"/>
      <c r="E7" s="259"/>
      <c r="F7" s="259"/>
      <c r="G7" s="259"/>
      <c r="H7" s="259"/>
      <c r="I7" s="259"/>
      <c r="J7" s="259"/>
      <c r="K7" s="259"/>
      <c r="L7" s="259"/>
      <c r="M7" s="259"/>
      <c r="N7" s="259"/>
      <c r="O7" s="260"/>
    </row>
    <row r="8" spans="1:25" ht="30" x14ac:dyDescent="0.25">
      <c r="A8" s="258" t="s">
        <v>371</v>
      </c>
      <c r="B8" s="453"/>
      <c r="C8" s="259"/>
      <c r="D8" s="259"/>
      <c r="E8" s="259"/>
      <c r="F8" s="259"/>
      <c r="G8" s="259"/>
      <c r="H8" s="259"/>
      <c r="I8" s="259"/>
      <c r="J8" s="259"/>
      <c r="K8" s="259"/>
      <c r="L8" s="259"/>
      <c r="M8" s="259"/>
      <c r="N8" s="259"/>
      <c r="O8" s="260"/>
    </row>
    <row r="9" spans="1:25" ht="15" customHeight="1" x14ac:dyDescent="0.25">
      <c r="A9" s="28" t="s">
        <v>356</v>
      </c>
      <c r="B9" s="360" t="s">
        <v>610</v>
      </c>
      <c r="C9" s="29" t="s">
        <v>21</v>
      </c>
      <c r="D9" s="29" t="s">
        <v>344</v>
      </c>
      <c r="E9" s="29" t="s">
        <v>22</v>
      </c>
      <c r="F9" s="29" t="s">
        <v>50</v>
      </c>
      <c r="G9" s="29" t="s">
        <v>23</v>
      </c>
      <c r="H9" s="30" t="s">
        <v>23</v>
      </c>
      <c r="I9" s="30" t="s">
        <v>24</v>
      </c>
      <c r="J9" s="30" t="s">
        <v>25</v>
      </c>
      <c r="K9" s="31" t="s">
        <v>26</v>
      </c>
      <c r="L9" s="31" t="s">
        <v>51</v>
      </c>
      <c r="M9" s="31" t="s">
        <v>27</v>
      </c>
      <c r="N9" s="31" t="s">
        <v>411</v>
      </c>
      <c r="O9" s="32" t="s">
        <v>29</v>
      </c>
    </row>
    <row r="10" spans="1:25" ht="15" customHeight="1" x14ac:dyDescent="0.25">
      <c r="A10" s="28" t="s">
        <v>380</v>
      </c>
      <c r="B10" s="360"/>
      <c r="C10" s="29" t="s">
        <v>21</v>
      </c>
      <c r="D10" s="29" t="s">
        <v>344</v>
      </c>
      <c r="E10" s="29" t="s">
        <v>22</v>
      </c>
      <c r="F10" s="29" t="s">
        <v>50</v>
      </c>
      <c r="G10" s="29" t="s">
        <v>23</v>
      </c>
      <c r="H10" s="30" t="s">
        <v>23</v>
      </c>
      <c r="I10" s="30" t="s">
        <v>24</v>
      </c>
      <c r="J10" s="30" t="s">
        <v>25</v>
      </c>
      <c r="K10" s="31" t="s">
        <v>26</v>
      </c>
      <c r="L10" s="31" t="s">
        <v>51</v>
      </c>
      <c r="M10" s="31" t="s">
        <v>27</v>
      </c>
      <c r="N10" s="31" t="s">
        <v>411</v>
      </c>
      <c r="O10" s="32"/>
    </row>
    <row r="11" spans="1:25" x14ac:dyDescent="0.25">
      <c r="A11" s="272" t="s">
        <v>412</v>
      </c>
      <c r="B11" s="273"/>
      <c r="C11" s="274"/>
      <c r="D11" s="274" t="s">
        <v>344</v>
      </c>
      <c r="E11" s="274" t="s">
        <v>344</v>
      </c>
      <c r="F11" s="274"/>
      <c r="G11" s="274"/>
      <c r="H11" s="274"/>
      <c r="I11" s="274"/>
      <c r="J11" s="274" t="s">
        <v>25</v>
      </c>
      <c r="K11" s="274"/>
      <c r="L11" s="274" t="s">
        <v>51</v>
      </c>
      <c r="M11" s="274" t="s">
        <v>27</v>
      </c>
      <c r="N11" s="274"/>
      <c r="O11" s="272" t="s">
        <v>553</v>
      </c>
      <c r="X11" s="18"/>
      <c r="Y11" s="27"/>
    </row>
    <row r="12" spans="1:25" ht="14.45" customHeight="1" x14ac:dyDescent="0.25">
      <c r="A12" s="4"/>
      <c r="B12" s="5"/>
      <c r="C12" s="5"/>
      <c r="D12" s="5"/>
      <c r="E12" s="5"/>
      <c r="F12" s="5"/>
      <c r="G12" s="5"/>
      <c r="H12" s="5"/>
      <c r="I12" s="5"/>
      <c r="J12" s="5"/>
      <c r="K12" s="5"/>
      <c r="L12" s="5"/>
      <c r="M12" s="5"/>
      <c r="N12" s="5"/>
      <c r="O12" s="4"/>
    </row>
    <row r="13" spans="1:25" ht="14.45" customHeight="1" x14ac:dyDescent="0.25">
      <c r="A13" s="275" t="s">
        <v>415</v>
      </c>
      <c r="B13" s="452"/>
      <c r="C13" s="217"/>
      <c r="D13" s="217"/>
      <c r="E13" s="217"/>
      <c r="F13" s="217"/>
      <c r="G13" s="217"/>
      <c r="H13" s="217"/>
      <c r="I13" s="217"/>
      <c r="J13" s="217"/>
      <c r="K13" s="217"/>
      <c r="L13" s="217"/>
      <c r="M13" s="217"/>
      <c r="N13" s="217"/>
      <c r="O13" s="218"/>
      <c r="X13" s="18"/>
      <c r="Y13" s="27"/>
    </row>
    <row r="14" spans="1:25" ht="14.45" customHeight="1" x14ac:dyDescent="0.25">
      <c r="A14" s="262" t="s">
        <v>419</v>
      </c>
      <c r="B14" s="360" t="s">
        <v>610</v>
      </c>
      <c r="C14" s="256" t="s">
        <v>30</v>
      </c>
      <c r="D14" s="256" t="s">
        <v>344</v>
      </c>
      <c r="E14" s="256" t="s">
        <v>344</v>
      </c>
      <c r="F14" s="256" t="s">
        <v>50</v>
      </c>
      <c r="G14" s="256" t="s">
        <v>23</v>
      </c>
      <c r="H14" s="257" t="s">
        <v>23</v>
      </c>
      <c r="I14" s="257" t="s">
        <v>24</v>
      </c>
      <c r="J14" s="257" t="s">
        <v>25</v>
      </c>
      <c r="K14" s="263" t="s">
        <v>26</v>
      </c>
      <c r="L14" s="263" t="s">
        <v>51</v>
      </c>
      <c r="M14" s="263" t="s">
        <v>306</v>
      </c>
      <c r="N14" s="31" t="s">
        <v>411</v>
      </c>
      <c r="O14" s="271"/>
      <c r="X14" s="18"/>
      <c r="Y14" s="27"/>
    </row>
    <row r="15" spans="1:25" ht="15" customHeight="1" x14ac:dyDescent="0.25">
      <c r="A15" s="28" t="s">
        <v>310</v>
      </c>
      <c r="B15" s="360" t="s">
        <v>610</v>
      </c>
      <c r="C15" s="29" t="s">
        <v>249</v>
      </c>
      <c r="D15" s="29" t="s">
        <v>344</v>
      </c>
      <c r="E15" s="29" t="s">
        <v>344</v>
      </c>
      <c r="F15" s="29" t="s">
        <v>50</v>
      </c>
      <c r="G15" s="29" t="s">
        <v>23</v>
      </c>
      <c r="H15" s="30" t="s">
        <v>23</v>
      </c>
      <c r="I15" s="30" t="s">
        <v>24</v>
      </c>
      <c r="J15" s="30" t="s">
        <v>25</v>
      </c>
      <c r="K15" s="31" t="s">
        <v>26</v>
      </c>
      <c r="L15" s="31" t="s">
        <v>51</v>
      </c>
      <c r="M15" s="31" t="s">
        <v>306</v>
      </c>
      <c r="N15" s="31" t="s">
        <v>411</v>
      </c>
      <c r="O15" s="101" t="s">
        <v>348</v>
      </c>
    </row>
    <row r="16" spans="1:25" ht="15.6" customHeight="1" x14ac:dyDescent="0.25">
      <c r="A16" s="262" t="s">
        <v>420</v>
      </c>
      <c r="B16" s="361" t="s">
        <v>610</v>
      </c>
      <c r="C16" s="29" t="s">
        <v>249</v>
      </c>
      <c r="D16" s="29" t="s">
        <v>344</v>
      </c>
      <c r="E16" s="29" t="s">
        <v>344</v>
      </c>
      <c r="F16" s="29" t="s">
        <v>50</v>
      </c>
      <c r="G16" s="29" t="s">
        <v>23</v>
      </c>
      <c r="H16" s="30" t="s">
        <v>23</v>
      </c>
      <c r="I16" s="30" t="s">
        <v>24</v>
      </c>
      <c r="J16" s="30" t="s">
        <v>25</v>
      </c>
      <c r="K16" s="31" t="s">
        <v>26</v>
      </c>
      <c r="L16" s="31" t="s">
        <v>51</v>
      </c>
      <c r="M16" s="31" t="s">
        <v>306</v>
      </c>
      <c r="N16" s="31" t="s">
        <v>411</v>
      </c>
      <c r="O16" s="101"/>
      <c r="X16" s="27"/>
      <c r="Y16" s="27"/>
    </row>
    <row r="17" spans="1:25" ht="14.45" customHeight="1" x14ac:dyDescent="0.25">
      <c r="A17" s="28" t="s">
        <v>349</v>
      </c>
      <c r="B17" s="360" t="s">
        <v>610</v>
      </c>
      <c r="C17" s="29" t="s">
        <v>249</v>
      </c>
      <c r="D17" s="29" t="s">
        <v>344</v>
      </c>
      <c r="E17" s="29" t="s">
        <v>344</v>
      </c>
      <c r="F17" s="29" t="s">
        <v>50</v>
      </c>
      <c r="G17" s="29" t="s">
        <v>23</v>
      </c>
      <c r="H17" s="30" t="s">
        <v>23</v>
      </c>
      <c r="I17" s="30" t="s">
        <v>24</v>
      </c>
      <c r="J17" s="30" t="s">
        <v>25</v>
      </c>
      <c r="K17" s="31" t="s">
        <v>26</v>
      </c>
      <c r="L17" s="31" t="s">
        <v>51</v>
      </c>
      <c r="M17" s="31" t="s">
        <v>306</v>
      </c>
      <c r="N17" s="31" t="s">
        <v>411</v>
      </c>
      <c r="O17" s="101"/>
      <c r="X17" s="27"/>
      <c r="Y17" s="27"/>
    </row>
    <row r="18" spans="1:25" ht="14.45" customHeight="1" x14ac:dyDescent="0.25">
      <c r="A18" s="272" t="s">
        <v>412</v>
      </c>
      <c r="B18" s="273" t="s">
        <v>610</v>
      </c>
      <c r="C18" s="274"/>
      <c r="D18" s="274" t="s">
        <v>344</v>
      </c>
      <c r="E18" s="274" t="s">
        <v>344</v>
      </c>
      <c r="F18" s="274"/>
      <c r="G18" s="274"/>
      <c r="H18" s="274"/>
      <c r="I18" s="274"/>
      <c r="J18" s="274" t="s">
        <v>25</v>
      </c>
      <c r="K18" s="274" t="s">
        <v>406</v>
      </c>
      <c r="L18" s="274" t="s">
        <v>51</v>
      </c>
      <c r="M18" s="274" t="s">
        <v>27</v>
      </c>
      <c r="N18" s="274"/>
      <c r="O18" s="272" t="s">
        <v>553</v>
      </c>
      <c r="X18" s="27"/>
      <c r="Y18" s="27"/>
    </row>
    <row r="19" spans="1:25" ht="14.45" customHeight="1" x14ac:dyDescent="0.25">
      <c r="A19" s="275" t="s">
        <v>611</v>
      </c>
      <c r="B19" s="452"/>
      <c r="C19" s="217"/>
      <c r="D19" s="217"/>
      <c r="E19" s="217"/>
      <c r="F19" s="217"/>
      <c r="G19" s="217"/>
      <c r="H19" s="217"/>
      <c r="I19" s="217"/>
      <c r="J19" s="217"/>
      <c r="K19" s="217"/>
      <c r="L19" s="217"/>
      <c r="M19" s="217"/>
      <c r="N19" s="217"/>
      <c r="O19" s="218"/>
      <c r="X19" s="18"/>
      <c r="Y19" s="27"/>
    </row>
    <row r="20" spans="1:25" ht="14.45" customHeight="1" x14ac:dyDescent="0.25">
      <c r="A20" s="262" t="s">
        <v>419</v>
      </c>
      <c r="B20" s="360" t="s">
        <v>610</v>
      </c>
      <c r="C20" s="256" t="s">
        <v>30</v>
      </c>
      <c r="D20" s="256" t="s">
        <v>344</v>
      </c>
      <c r="E20" s="256" t="s">
        <v>344</v>
      </c>
      <c r="F20" s="256" t="s">
        <v>50</v>
      </c>
      <c r="G20" s="256" t="s">
        <v>23</v>
      </c>
      <c r="H20" s="257" t="s">
        <v>23</v>
      </c>
      <c r="I20" s="257" t="s">
        <v>24</v>
      </c>
      <c r="J20" s="257" t="s">
        <v>25</v>
      </c>
      <c r="K20" s="263" t="s">
        <v>26</v>
      </c>
      <c r="L20" s="263" t="s">
        <v>51</v>
      </c>
      <c r="M20" s="263" t="s">
        <v>306</v>
      </c>
      <c r="N20" s="31" t="s">
        <v>411</v>
      </c>
      <c r="O20" s="271"/>
      <c r="X20" s="18"/>
      <c r="Y20" s="27"/>
    </row>
    <row r="21" spans="1:25" ht="15" customHeight="1" x14ac:dyDescent="0.25">
      <c r="A21" s="28" t="s">
        <v>310</v>
      </c>
      <c r="B21" s="360" t="s">
        <v>610</v>
      </c>
      <c r="C21" s="29" t="s">
        <v>249</v>
      </c>
      <c r="D21" s="29" t="s">
        <v>344</v>
      </c>
      <c r="E21" s="29" t="s">
        <v>344</v>
      </c>
      <c r="F21" s="29" t="s">
        <v>50</v>
      </c>
      <c r="G21" s="29" t="s">
        <v>23</v>
      </c>
      <c r="H21" s="30" t="s">
        <v>23</v>
      </c>
      <c r="I21" s="30" t="s">
        <v>24</v>
      </c>
      <c r="J21" s="30" t="s">
        <v>25</v>
      </c>
      <c r="K21" s="31" t="s">
        <v>26</v>
      </c>
      <c r="L21" s="31" t="s">
        <v>51</v>
      </c>
      <c r="M21" s="31" t="s">
        <v>306</v>
      </c>
      <c r="N21" s="31" t="s">
        <v>411</v>
      </c>
      <c r="O21" s="101" t="s">
        <v>348</v>
      </c>
    </row>
    <row r="22" spans="1:25" ht="15.6" customHeight="1" x14ac:dyDescent="0.25">
      <c r="A22" s="262" t="s">
        <v>420</v>
      </c>
      <c r="B22" s="361" t="s">
        <v>610</v>
      </c>
      <c r="C22" s="29" t="s">
        <v>249</v>
      </c>
      <c r="D22" s="29" t="s">
        <v>344</v>
      </c>
      <c r="E22" s="29" t="s">
        <v>344</v>
      </c>
      <c r="F22" s="29" t="s">
        <v>50</v>
      </c>
      <c r="G22" s="29" t="s">
        <v>23</v>
      </c>
      <c r="H22" s="30" t="s">
        <v>23</v>
      </c>
      <c r="I22" s="30" t="s">
        <v>24</v>
      </c>
      <c r="J22" s="30" t="s">
        <v>25</v>
      </c>
      <c r="K22" s="31" t="s">
        <v>26</v>
      </c>
      <c r="L22" s="31" t="s">
        <v>51</v>
      </c>
      <c r="M22" s="31" t="s">
        <v>306</v>
      </c>
      <c r="N22" s="31" t="s">
        <v>411</v>
      </c>
      <c r="O22" s="101"/>
      <c r="X22" s="27"/>
      <c r="Y22" s="27"/>
    </row>
    <row r="23" spans="1:25" ht="14.25" customHeight="1" x14ac:dyDescent="0.25">
      <c r="A23" s="28" t="s">
        <v>349</v>
      </c>
      <c r="B23" s="360" t="s">
        <v>610</v>
      </c>
      <c r="C23" s="29" t="s">
        <v>249</v>
      </c>
      <c r="D23" s="29" t="s">
        <v>344</v>
      </c>
      <c r="E23" s="29" t="s">
        <v>344</v>
      </c>
      <c r="F23" s="29" t="s">
        <v>50</v>
      </c>
      <c r="G23" s="29" t="s">
        <v>23</v>
      </c>
      <c r="H23" s="30" t="s">
        <v>23</v>
      </c>
      <c r="I23" s="30" t="s">
        <v>24</v>
      </c>
      <c r="J23" s="30" t="s">
        <v>25</v>
      </c>
      <c r="K23" s="31" t="s">
        <v>26</v>
      </c>
      <c r="L23" s="31" t="s">
        <v>51</v>
      </c>
      <c r="M23" s="31" t="s">
        <v>306</v>
      </c>
      <c r="N23" s="31" t="s">
        <v>411</v>
      </c>
      <c r="O23" s="101"/>
      <c r="X23" s="27"/>
      <c r="Y23" s="27"/>
    </row>
    <row r="24" spans="1:25" ht="14.45" customHeight="1" x14ac:dyDescent="0.25">
      <c r="A24" s="272" t="s">
        <v>412</v>
      </c>
      <c r="B24" s="273"/>
      <c r="C24" s="274"/>
      <c r="D24" s="274" t="s">
        <v>308</v>
      </c>
      <c r="E24" s="274" t="s">
        <v>308</v>
      </c>
      <c r="F24" s="274"/>
      <c r="G24" s="274"/>
      <c r="H24" s="274"/>
      <c r="I24" s="274"/>
      <c r="J24" s="274" t="s">
        <v>25</v>
      </c>
      <c r="K24" s="274"/>
      <c r="L24" s="274" t="s">
        <v>51</v>
      </c>
      <c r="M24" s="274" t="s">
        <v>27</v>
      </c>
      <c r="N24" s="274"/>
      <c r="O24" s="272" t="s">
        <v>553</v>
      </c>
      <c r="X24" s="27"/>
      <c r="Y24" s="27"/>
    </row>
    <row r="25" spans="1:25" ht="14.45" customHeight="1" x14ac:dyDescent="0.25">
      <c r="A25" s="76" t="s">
        <v>614</v>
      </c>
      <c r="B25" s="452"/>
      <c r="C25" s="217"/>
      <c r="D25" s="217"/>
      <c r="E25" s="217"/>
      <c r="F25" s="217"/>
      <c r="G25" s="217"/>
      <c r="H25" s="217"/>
      <c r="I25" s="217"/>
      <c r="J25" s="217"/>
      <c r="K25" s="217"/>
      <c r="L25" s="217"/>
      <c r="M25" s="217"/>
      <c r="N25" s="217"/>
      <c r="O25" s="218"/>
    </row>
    <row r="26" spans="1:25" ht="15" customHeight="1" x14ac:dyDescent="0.25">
      <c r="A26" s="28" t="s">
        <v>528</v>
      </c>
      <c r="B26" s="360" t="s">
        <v>610</v>
      </c>
      <c r="C26" s="29"/>
      <c r="D26" s="29"/>
      <c r="E26" s="29"/>
      <c r="F26" s="29"/>
      <c r="G26" s="29"/>
      <c r="H26" s="30"/>
      <c r="I26" s="30"/>
      <c r="J26" s="30"/>
      <c r="K26" s="31"/>
      <c r="L26" s="31"/>
      <c r="M26" s="31"/>
      <c r="N26" s="31"/>
      <c r="O26" s="32"/>
      <c r="P26" t="s">
        <v>619</v>
      </c>
    </row>
    <row r="27" spans="1:25" ht="14.45" customHeight="1" x14ac:dyDescent="0.25">
      <c r="A27" s="28" t="s">
        <v>620</v>
      </c>
      <c r="B27" s="359" t="s">
        <v>610</v>
      </c>
      <c r="C27" s="29" t="s">
        <v>21</v>
      </c>
      <c r="D27" s="29" t="s">
        <v>344</v>
      </c>
      <c r="E27" s="29" t="s">
        <v>344</v>
      </c>
      <c r="F27" s="29" t="s">
        <v>50</v>
      </c>
      <c r="G27" s="29" t="s">
        <v>23</v>
      </c>
      <c r="H27" s="30" t="s">
        <v>24</v>
      </c>
      <c r="I27" s="30" t="s">
        <v>24</v>
      </c>
      <c r="J27" s="30" t="s">
        <v>25</v>
      </c>
      <c r="K27" s="31" t="s">
        <v>26</v>
      </c>
      <c r="L27" s="31" t="s">
        <v>51</v>
      </c>
      <c r="M27" s="31" t="s">
        <v>27</v>
      </c>
      <c r="N27" s="31" t="s">
        <v>411</v>
      </c>
      <c r="O27" s="32"/>
      <c r="P27" s="355" t="s">
        <v>621</v>
      </c>
      <c r="X27" s="18"/>
      <c r="Y27" s="27"/>
    </row>
    <row r="28" spans="1:25" x14ac:dyDescent="0.25">
      <c r="A28" s="28" t="s">
        <v>382</v>
      </c>
      <c r="B28" s="359" t="s">
        <v>610</v>
      </c>
      <c r="C28" s="29" t="s">
        <v>21</v>
      </c>
      <c r="D28" s="29" t="s">
        <v>344</v>
      </c>
      <c r="E28" s="29" t="s">
        <v>344</v>
      </c>
      <c r="F28" s="29" t="s">
        <v>50</v>
      </c>
      <c r="G28" s="29" t="s">
        <v>23</v>
      </c>
      <c r="H28" s="30" t="s">
        <v>24</v>
      </c>
      <c r="I28" s="30" t="s">
        <v>24</v>
      </c>
      <c r="J28" s="30" t="s">
        <v>25</v>
      </c>
      <c r="K28" s="31" t="s">
        <v>26</v>
      </c>
      <c r="L28" s="31" t="s">
        <v>51</v>
      </c>
      <c r="M28" s="31" t="s">
        <v>27</v>
      </c>
      <c r="N28" s="31" t="s">
        <v>411</v>
      </c>
      <c r="O28" s="32" t="s">
        <v>467</v>
      </c>
      <c r="X28" s="18"/>
      <c r="Y28" s="27"/>
    </row>
    <row r="29" spans="1:25" ht="14.45" customHeight="1" x14ac:dyDescent="0.25">
      <c r="A29" s="28" t="s">
        <v>345</v>
      </c>
      <c r="B29" s="359" t="s">
        <v>610</v>
      </c>
      <c r="C29" s="29" t="s">
        <v>21</v>
      </c>
      <c r="D29" s="29" t="s">
        <v>344</v>
      </c>
      <c r="E29" s="29" t="s">
        <v>344</v>
      </c>
      <c r="F29" s="29" t="s">
        <v>50</v>
      </c>
      <c r="G29" s="29" t="s">
        <v>23</v>
      </c>
      <c r="H29" s="30" t="s">
        <v>24</v>
      </c>
      <c r="I29" s="30" t="s">
        <v>24</v>
      </c>
      <c r="J29" s="30" t="s">
        <v>25</v>
      </c>
      <c r="K29" s="31" t="s">
        <v>26</v>
      </c>
      <c r="L29" s="31" t="s">
        <v>51</v>
      </c>
      <c r="M29" s="31" t="s">
        <v>27</v>
      </c>
      <c r="N29" s="31" t="s">
        <v>411</v>
      </c>
      <c r="O29" s="32" t="s">
        <v>346</v>
      </c>
      <c r="X29" s="27"/>
      <c r="Y29" s="27"/>
    </row>
    <row r="30" spans="1:25" x14ac:dyDescent="0.25">
      <c r="A30" s="28" t="s">
        <v>414</v>
      </c>
      <c r="B30" s="359" t="s">
        <v>610</v>
      </c>
      <c r="C30" s="29" t="s">
        <v>21</v>
      </c>
      <c r="D30" s="29" t="s">
        <v>344</v>
      </c>
      <c r="E30" s="29" t="s">
        <v>344</v>
      </c>
      <c r="F30" s="29" t="s">
        <v>50</v>
      </c>
      <c r="G30" s="29" t="s">
        <v>23</v>
      </c>
      <c r="H30" s="30" t="s">
        <v>24</v>
      </c>
      <c r="I30" s="30" t="s">
        <v>24</v>
      </c>
      <c r="J30" s="30" t="s">
        <v>25</v>
      </c>
      <c r="K30" s="31" t="s">
        <v>26</v>
      </c>
      <c r="L30" s="31" t="s">
        <v>51</v>
      </c>
      <c r="M30" s="31" t="s">
        <v>27</v>
      </c>
      <c r="N30" s="31" t="s">
        <v>411</v>
      </c>
      <c r="O30" s="32" t="s">
        <v>467</v>
      </c>
      <c r="X30" s="18"/>
      <c r="Y30" s="27"/>
    </row>
    <row r="31" spans="1:25" ht="15" customHeight="1" x14ac:dyDescent="0.25">
      <c r="A31" s="28" t="s">
        <v>211</v>
      </c>
      <c r="B31" s="359" t="s">
        <v>610</v>
      </c>
      <c r="C31" s="29" t="s">
        <v>21</v>
      </c>
      <c r="D31" s="29" t="s">
        <v>344</v>
      </c>
      <c r="E31" s="29" t="s">
        <v>344</v>
      </c>
      <c r="F31" s="29" t="s">
        <v>50</v>
      </c>
      <c r="G31" s="29" t="s">
        <v>23</v>
      </c>
      <c r="H31" s="30" t="s">
        <v>24</v>
      </c>
      <c r="I31" s="30" t="s">
        <v>24</v>
      </c>
      <c r="J31" s="30" t="s">
        <v>25</v>
      </c>
      <c r="K31" s="31" t="s">
        <v>26</v>
      </c>
      <c r="L31" s="31" t="s">
        <v>51</v>
      </c>
      <c r="M31" s="31" t="s">
        <v>27</v>
      </c>
      <c r="N31" s="31" t="s">
        <v>411</v>
      </c>
      <c r="O31" s="32"/>
    </row>
    <row r="32" spans="1:25" ht="14.45" customHeight="1" x14ac:dyDescent="0.25">
      <c r="A32" s="272" t="s">
        <v>412</v>
      </c>
      <c r="B32" s="273"/>
      <c r="C32" s="274"/>
      <c r="D32" s="274" t="s">
        <v>344</v>
      </c>
      <c r="E32" s="274" t="s">
        <v>344</v>
      </c>
      <c r="F32" s="274"/>
      <c r="G32" s="274"/>
      <c r="H32" s="274"/>
      <c r="I32" s="274"/>
      <c r="J32" s="274" t="s">
        <v>25</v>
      </c>
      <c r="K32" s="274" t="s">
        <v>406</v>
      </c>
      <c r="L32" s="274" t="s">
        <v>51</v>
      </c>
      <c r="M32" s="274" t="s">
        <v>27</v>
      </c>
      <c r="N32" s="274"/>
      <c r="O32" s="272" t="s">
        <v>413</v>
      </c>
      <c r="X32" s="27"/>
      <c r="Y32" s="27"/>
    </row>
    <row r="33" spans="1:25" ht="14.45" customHeight="1" x14ac:dyDescent="0.25">
      <c r="A33" s="275" t="s">
        <v>768</v>
      </c>
      <c r="B33" s="452"/>
      <c r="C33" s="217"/>
      <c r="D33" s="217"/>
      <c r="E33" s="217"/>
      <c r="F33" s="217"/>
      <c r="G33" s="217"/>
      <c r="H33" s="217"/>
      <c r="I33" s="217"/>
      <c r="J33" s="217"/>
      <c r="K33" s="217"/>
      <c r="L33" s="217"/>
      <c r="M33" s="217"/>
      <c r="N33" s="217"/>
      <c r="O33" s="218"/>
      <c r="X33" s="18"/>
      <c r="Y33" s="27"/>
    </row>
    <row r="34" spans="1:25" ht="14.45" customHeight="1" x14ac:dyDescent="0.25">
      <c r="A34" s="262" t="s">
        <v>419</v>
      </c>
      <c r="B34" s="360" t="s">
        <v>610</v>
      </c>
      <c r="C34" s="256" t="s">
        <v>30</v>
      </c>
      <c r="D34" s="256" t="s">
        <v>344</v>
      </c>
      <c r="E34" s="256" t="s">
        <v>344</v>
      </c>
      <c r="F34" s="256" t="s">
        <v>50</v>
      </c>
      <c r="G34" s="256" t="s">
        <v>23</v>
      </c>
      <c r="H34" s="257" t="s">
        <v>23</v>
      </c>
      <c r="I34" s="257" t="s">
        <v>24</v>
      </c>
      <c r="J34" s="257" t="s">
        <v>25</v>
      </c>
      <c r="K34" s="263" t="s">
        <v>26</v>
      </c>
      <c r="L34" s="263" t="s">
        <v>51</v>
      </c>
      <c r="M34" s="263" t="s">
        <v>306</v>
      </c>
      <c r="N34" s="31" t="s">
        <v>411</v>
      </c>
      <c r="O34" s="271"/>
      <c r="X34" s="18"/>
      <c r="Y34" s="27"/>
    </row>
    <row r="35" spans="1:25" ht="14.45" customHeight="1" x14ac:dyDescent="0.25">
      <c r="A35" s="262" t="s">
        <v>437</v>
      </c>
      <c r="B35" s="361" t="s">
        <v>610</v>
      </c>
      <c r="C35" s="29" t="s">
        <v>21</v>
      </c>
      <c r="D35" s="29" t="s">
        <v>344</v>
      </c>
      <c r="E35" s="29" t="s">
        <v>344</v>
      </c>
      <c r="F35" s="29" t="s">
        <v>50</v>
      </c>
      <c r="G35" s="29" t="s">
        <v>23</v>
      </c>
      <c r="H35" s="30" t="s">
        <v>23</v>
      </c>
      <c r="I35" s="30" t="s">
        <v>24</v>
      </c>
      <c r="J35" s="30" t="s">
        <v>25</v>
      </c>
      <c r="K35" s="31" t="s">
        <v>26</v>
      </c>
      <c r="L35" s="31" t="s">
        <v>51</v>
      </c>
      <c r="M35" s="31" t="s">
        <v>306</v>
      </c>
      <c r="N35" s="31" t="s">
        <v>411</v>
      </c>
      <c r="O35" s="271"/>
      <c r="X35" s="18"/>
      <c r="Y35" s="27"/>
    </row>
    <row r="36" spans="1:25" ht="15" customHeight="1" x14ac:dyDescent="0.25">
      <c r="A36" s="28" t="s">
        <v>767</v>
      </c>
      <c r="B36" s="360" t="s">
        <v>610</v>
      </c>
      <c r="C36" s="29" t="s">
        <v>21</v>
      </c>
      <c r="D36" s="29" t="s">
        <v>344</v>
      </c>
      <c r="E36" s="29" t="s">
        <v>344</v>
      </c>
      <c r="F36" s="29" t="s">
        <v>50</v>
      </c>
      <c r="G36" s="29" t="s">
        <v>23</v>
      </c>
      <c r="H36" s="30" t="s">
        <v>23</v>
      </c>
      <c r="I36" s="30" t="s">
        <v>24</v>
      </c>
      <c r="J36" s="30" t="s">
        <v>25</v>
      </c>
      <c r="K36" s="31" t="s">
        <v>26</v>
      </c>
      <c r="L36" s="31" t="s">
        <v>51</v>
      </c>
      <c r="M36" s="31" t="s">
        <v>306</v>
      </c>
      <c r="N36" s="31" t="s">
        <v>411</v>
      </c>
      <c r="O36" s="101" t="s">
        <v>436</v>
      </c>
    </row>
    <row r="37" spans="1:25" ht="14.25" customHeight="1" x14ac:dyDescent="0.25">
      <c r="A37" s="272" t="s">
        <v>412</v>
      </c>
      <c r="B37" s="273"/>
      <c r="C37" s="274"/>
      <c r="D37" s="274" t="s">
        <v>344</v>
      </c>
      <c r="E37" s="274" t="s">
        <v>344</v>
      </c>
      <c r="F37" s="274"/>
      <c r="G37" s="274"/>
      <c r="H37" s="274"/>
      <c r="I37" s="274"/>
      <c r="J37" s="274" t="s">
        <v>25</v>
      </c>
      <c r="K37" s="274" t="s">
        <v>406</v>
      </c>
      <c r="L37" s="274" t="s">
        <v>51</v>
      </c>
      <c r="M37" s="274" t="s">
        <v>27</v>
      </c>
      <c r="N37" s="274"/>
      <c r="O37" s="272" t="s">
        <v>553</v>
      </c>
      <c r="X37" s="27"/>
      <c r="Y37" s="27"/>
    </row>
    <row r="38" spans="1:25" ht="14.45" customHeight="1" x14ac:dyDescent="0.25">
      <c r="A38" s="275" t="s">
        <v>615</v>
      </c>
      <c r="B38" s="452"/>
      <c r="C38" s="217"/>
      <c r="D38" s="217"/>
      <c r="E38" s="217"/>
      <c r="F38" s="217"/>
      <c r="G38" s="217"/>
      <c r="H38" s="217"/>
      <c r="I38" s="217"/>
      <c r="J38" s="217"/>
      <c r="K38" s="217"/>
      <c r="L38" s="217"/>
      <c r="M38" s="217"/>
      <c r="N38" s="217"/>
      <c r="O38" s="218"/>
      <c r="X38" s="18"/>
      <c r="Y38" s="27"/>
    </row>
    <row r="39" spans="1:25" ht="14.45" customHeight="1" x14ac:dyDescent="0.25">
      <c r="A39" s="262" t="s">
        <v>551</v>
      </c>
      <c r="B39" s="361" t="s">
        <v>610</v>
      </c>
      <c r="C39" s="256" t="s">
        <v>30</v>
      </c>
      <c r="D39" s="256" t="s">
        <v>344</v>
      </c>
      <c r="E39" s="256" t="s">
        <v>344</v>
      </c>
      <c r="F39" s="256" t="s">
        <v>50</v>
      </c>
      <c r="G39" s="256" t="s">
        <v>23</v>
      </c>
      <c r="H39" s="257" t="s">
        <v>23</v>
      </c>
      <c r="I39" s="257" t="s">
        <v>24</v>
      </c>
      <c r="J39" s="257" t="s">
        <v>25</v>
      </c>
      <c r="K39" s="263" t="s">
        <v>26</v>
      </c>
      <c r="L39" s="263" t="s">
        <v>51</v>
      </c>
      <c r="M39" s="263" t="s">
        <v>306</v>
      </c>
      <c r="N39" s="31" t="s">
        <v>411</v>
      </c>
      <c r="O39" s="271"/>
      <c r="X39" s="18"/>
      <c r="Y39" s="27"/>
    </row>
    <row r="40" spans="1:25" ht="14.45" customHeight="1" x14ac:dyDescent="0.25">
      <c r="A40" s="28" t="s">
        <v>349</v>
      </c>
      <c r="B40" s="360" t="s">
        <v>610</v>
      </c>
      <c r="C40" s="29" t="s">
        <v>249</v>
      </c>
      <c r="D40" s="29" t="s">
        <v>344</v>
      </c>
      <c r="E40" s="29" t="s">
        <v>344</v>
      </c>
      <c r="F40" s="29" t="s">
        <v>50</v>
      </c>
      <c r="G40" s="29" t="s">
        <v>23</v>
      </c>
      <c r="H40" s="30" t="s">
        <v>23</v>
      </c>
      <c r="I40" s="30" t="s">
        <v>24</v>
      </c>
      <c r="J40" s="30" t="s">
        <v>25</v>
      </c>
      <c r="K40" s="31" t="s">
        <v>26</v>
      </c>
      <c r="L40" s="31" t="s">
        <v>51</v>
      </c>
      <c r="M40" s="31" t="s">
        <v>306</v>
      </c>
      <c r="N40" s="31" t="s">
        <v>411</v>
      </c>
      <c r="O40" s="101"/>
      <c r="X40" s="27"/>
      <c r="Y40" s="27"/>
    </row>
    <row r="41" spans="1:25" ht="14.45" customHeight="1" x14ac:dyDescent="0.25">
      <c r="A41" s="272" t="s">
        <v>412</v>
      </c>
      <c r="B41" s="273"/>
      <c r="C41" s="274"/>
      <c r="D41" s="274" t="s">
        <v>344</v>
      </c>
      <c r="E41" s="274" t="s">
        <v>344</v>
      </c>
      <c r="F41" s="274"/>
      <c r="G41" s="274"/>
      <c r="H41" s="274"/>
      <c r="I41" s="274"/>
      <c r="J41" s="274" t="s">
        <v>25</v>
      </c>
      <c r="K41" s="274" t="s">
        <v>406</v>
      </c>
      <c r="L41" s="274" t="s">
        <v>51</v>
      </c>
      <c r="M41" s="274" t="s">
        <v>27</v>
      </c>
      <c r="N41" s="274"/>
      <c r="O41" s="272" t="s">
        <v>550</v>
      </c>
      <c r="X41" s="27"/>
      <c r="Y41" s="27"/>
    </row>
    <row r="42" spans="1:25" ht="14.45" customHeight="1" x14ac:dyDescent="0.25">
      <c r="A42" s="275" t="s">
        <v>804</v>
      </c>
      <c r="B42" s="452"/>
      <c r="C42" s="217"/>
      <c r="D42" s="217"/>
      <c r="E42" s="217"/>
      <c r="F42" s="217"/>
      <c r="G42" s="217"/>
      <c r="H42" s="217"/>
      <c r="I42" s="217"/>
      <c r="J42" s="217"/>
      <c r="K42" s="217"/>
      <c r="L42" s="217"/>
      <c r="M42" s="217"/>
      <c r="N42" s="217"/>
      <c r="O42" s="218"/>
      <c r="X42" s="18"/>
      <c r="Y42" s="27"/>
    </row>
    <row r="43" spans="1:25" ht="14.45" customHeight="1" x14ac:dyDescent="0.25">
      <c r="A43" s="436" t="s">
        <v>352</v>
      </c>
      <c r="B43" s="437" t="s">
        <v>610</v>
      </c>
      <c r="C43" s="438" t="s">
        <v>30</v>
      </c>
      <c r="D43" s="439" t="s">
        <v>344</v>
      </c>
      <c r="E43" s="439" t="s">
        <v>344</v>
      </c>
      <c r="F43" s="438" t="s">
        <v>50</v>
      </c>
      <c r="G43" s="438" t="s">
        <v>24</v>
      </c>
      <c r="H43" s="440" t="s">
        <v>24</v>
      </c>
      <c r="I43" s="440" t="s">
        <v>24</v>
      </c>
      <c r="J43" s="440" t="s">
        <v>25</v>
      </c>
      <c r="K43" s="441" t="s">
        <v>26</v>
      </c>
      <c r="L43" s="442" t="s">
        <v>51</v>
      </c>
      <c r="M43" s="442" t="s">
        <v>306</v>
      </c>
      <c r="N43" s="442" t="s">
        <v>28</v>
      </c>
      <c r="O43" s="435" t="s">
        <v>618</v>
      </c>
      <c r="X43" s="18"/>
      <c r="Y43" s="27"/>
    </row>
    <row r="44" spans="1:25" ht="15" customHeight="1" x14ac:dyDescent="0.25">
      <c r="A44" s="28" t="s">
        <v>356</v>
      </c>
      <c r="B44" s="360" t="s">
        <v>610</v>
      </c>
      <c r="C44" s="29" t="s">
        <v>21</v>
      </c>
      <c r="D44" s="29" t="s">
        <v>344</v>
      </c>
      <c r="E44" s="29" t="s">
        <v>22</v>
      </c>
      <c r="F44" s="29" t="s">
        <v>50</v>
      </c>
      <c r="G44" s="29" t="s">
        <v>23</v>
      </c>
      <c r="H44" s="30" t="s">
        <v>23</v>
      </c>
      <c r="I44" s="30" t="s">
        <v>24</v>
      </c>
      <c r="J44" s="30" t="s">
        <v>25</v>
      </c>
      <c r="K44" s="31" t="s">
        <v>26</v>
      </c>
      <c r="L44" s="31" t="s">
        <v>51</v>
      </c>
      <c r="M44" s="31" t="s">
        <v>27</v>
      </c>
      <c r="N44" s="31" t="s">
        <v>411</v>
      </c>
      <c r="O44" s="32" t="s">
        <v>29</v>
      </c>
    </row>
    <row r="45" spans="1:25" ht="15.75" x14ac:dyDescent="0.25">
      <c r="A45" s="261" t="s">
        <v>805</v>
      </c>
      <c r="B45" s="452"/>
      <c r="C45" s="217"/>
      <c r="D45" s="217"/>
      <c r="E45" s="217"/>
      <c r="F45" s="217"/>
      <c r="G45" s="217"/>
      <c r="H45" s="217"/>
      <c r="I45" s="217"/>
      <c r="J45" s="217"/>
      <c r="K45" s="217"/>
      <c r="L45" s="217"/>
      <c r="M45" s="217"/>
      <c r="N45" s="217"/>
      <c r="O45" s="218"/>
    </row>
    <row r="46" spans="1:25" ht="14.45" customHeight="1" x14ac:dyDescent="0.25">
      <c r="A46" s="272" t="s">
        <v>412</v>
      </c>
      <c r="B46" s="273"/>
      <c r="C46" s="274"/>
      <c r="D46" s="274" t="s">
        <v>308</v>
      </c>
      <c r="E46" s="274" t="s">
        <v>344</v>
      </c>
      <c r="F46" s="274"/>
      <c r="G46" s="274"/>
      <c r="H46" s="274"/>
      <c r="I46" s="274"/>
      <c r="J46" s="274" t="s">
        <v>529</v>
      </c>
      <c r="K46" s="274" t="s">
        <v>406</v>
      </c>
      <c r="L46" s="274" t="s">
        <v>51</v>
      </c>
      <c r="M46" s="274" t="s">
        <v>27</v>
      </c>
      <c r="N46" s="274"/>
      <c r="O46" s="272" t="s">
        <v>553</v>
      </c>
      <c r="X46" s="27"/>
      <c r="Y46" s="27"/>
    </row>
    <row r="47" spans="1:25" ht="14.45" customHeight="1" x14ac:dyDescent="0.25">
      <c r="A47" s="262" t="s">
        <v>352</v>
      </c>
      <c r="B47" s="361" t="s">
        <v>610</v>
      </c>
      <c r="C47" s="256" t="s">
        <v>30</v>
      </c>
      <c r="D47" s="256" t="s">
        <v>308</v>
      </c>
      <c r="E47" s="256" t="s">
        <v>308</v>
      </c>
      <c r="F47" s="256" t="s">
        <v>50</v>
      </c>
      <c r="G47" s="29">
        <v>850</v>
      </c>
      <c r="H47" s="257" t="s">
        <v>24</v>
      </c>
      <c r="I47" s="257" t="s">
        <v>24</v>
      </c>
      <c r="J47" s="257" t="s">
        <v>25</v>
      </c>
      <c r="K47" s="263" t="s">
        <v>309</v>
      </c>
      <c r="L47" s="263" t="s">
        <v>51</v>
      </c>
      <c r="M47" s="263" t="s">
        <v>51</v>
      </c>
      <c r="N47" s="31" t="s">
        <v>411</v>
      </c>
      <c r="O47" s="271" t="s">
        <v>361</v>
      </c>
      <c r="X47" s="18"/>
      <c r="Y47" s="27"/>
    </row>
    <row r="48" spans="1:25" ht="15" customHeight="1" x14ac:dyDescent="0.25">
      <c r="A48" s="28" t="s">
        <v>310</v>
      </c>
      <c r="B48" s="361" t="s">
        <v>610</v>
      </c>
      <c r="C48" s="29" t="s">
        <v>249</v>
      </c>
      <c r="D48" s="256" t="s">
        <v>308</v>
      </c>
      <c r="E48" s="29" t="s">
        <v>308</v>
      </c>
      <c r="F48" s="29" t="s">
        <v>50</v>
      </c>
      <c r="G48" s="29">
        <v>850</v>
      </c>
      <c r="H48" s="30" t="s">
        <v>24</v>
      </c>
      <c r="I48" s="30" t="s">
        <v>24</v>
      </c>
      <c r="J48" s="30" t="s">
        <v>25</v>
      </c>
      <c r="K48" s="31" t="s">
        <v>309</v>
      </c>
      <c r="L48" s="31" t="s">
        <v>51</v>
      </c>
      <c r="M48" s="31" t="s">
        <v>51</v>
      </c>
      <c r="N48" s="31" t="s">
        <v>411</v>
      </c>
      <c r="O48" s="101" t="s">
        <v>350</v>
      </c>
    </row>
    <row r="49" spans="1:25" x14ac:dyDescent="0.25">
      <c r="A49" s="358" t="s">
        <v>616</v>
      </c>
      <c r="B49" s="359" t="s">
        <v>610</v>
      </c>
      <c r="C49" s="29" t="s">
        <v>249</v>
      </c>
      <c r="D49" s="256" t="s">
        <v>308</v>
      </c>
      <c r="E49" s="29" t="s">
        <v>308</v>
      </c>
      <c r="F49" s="29" t="s">
        <v>50</v>
      </c>
      <c r="G49" s="29">
        <v>850</v>
      </c>
      <c r="H49" s="30" t="s">
        <v>24</v>
      </c>
      <c r="I49" s="30" t="s">
        <v>24</v>
      </c>
      <c r="J49" s="30" t="s">
        <v>25</v>
      </c>
      <c r="K49" s="31" t="s">
        <v>309</v>
      </c>
      <c r="L49" s="31" t="s">
        <v>51</v>
      </c>
      <c r="M49" s="31" t="s">
        <v>51</v>
      </c>
      <c r="N49" s="31" t="s">
        <v>411</v>
      </c>
      <c r="O49" s="357" t="s">
        <v>617</v>
      </c>
      <c r="X49" s="18"/>
      <c r="Y49" s="27"/>
    </row>
    <row r="50" spans="1:25" x14ac:dyDescent="0.25">
      <c r="A50" s="28" t="s">
        <v>363</v>
      </c>
      <c r="B50" s="359" t="s">
        <v>610</v>
      </c>
      <c r="C50" s="29" t="s">
        <v>249</v>
      </c>
      <c r="D50" s="256" t="s">
        <v>308</v>
      </c>
      <c r="E50" s="29" t="s">
        <v>308</v>
      </c>
      <c r="F50" s="29" t="s">
        <v>50</v>
      </c>
      <c r="G50" s="29">
        <v>850</v>
      </c>
      <c r="H50" s="30" t="s">
        <v>24</v>
      </c>
      <c r="I50" s="30" t="s">
        <v>24</v>
      </c>
      <c r="J50" s="30" t="s">
        <v>25</v>
      </c>
      <c r="K50" s="31" t="s">
        <v>309</v>
      </c>
      <c r="L50" s="31" t="s">
        <v>51</v>
      </c>
      <c r="M50" s="31" t="s">
        <v>51</v>
      </c>
      <c r="N50" s="31" t="s">
        <v>411</v>
      </c>
      <c r="O50" s="354"/>
      <c r="X50" s="18"/>
      <c r="Y50" s="27"/>
    </row>
    <row r="51" spans="1:25" x14ac:dyDescent="0.25">
      <c r="A51" s="28" t="s">
        <v>267</v>
      </c>
      <c r="B51" s="359" t="s">
        <v>610</v>
      </c>
      <c r="C51" s="29" t="s">
        <v>249</v>
      </c>
      <c r="D51" s="256" t="s">
        <v>308</v>
      </c>
      <c r="E51" s="29" t="s">
        <v>308</v>
      </c>
      <c r="F51" s="29" t="s">
        <v>50</v>
      </c>
      <c r="G51" s="29">
        <v>850</v>
      </c>
      <c r="H51" s="30" t="s">
        <v>24</v>
      </c>
      <c r="I51" s="30" t="s">
        <v>24</v>
      </c>
      <c r="J51" s="30" t="s">
        <v>25</v>
      </c>
      <c r="K51" s="31" t="s">
        <v>309</v>
      </c>
      <c r="L51" s="31" t="s">
        <v>51</v>
      </c>
      <c r="M51" s="31" t="s">
        <v>51</v>
      </c>
      <c r="N51" s="31" t="s">
        <v>411</v>
      </c>
      <c r="O51" s="101"/>
      <c r="X51" s="18"/>
      <c r="Y51" s="27"/>
    </row>
    <row r="52" spans="1:25" ht="15" customHeight="1" x14ac:dyDescent="0.25">
      <c r="A52" s="28" t="s">
        <v>349</v>
      </c>
      <c r="B52" s="359" t="s">
        <v>610</v>
      </c>
      <c r="C52" s="29" t="s">
        <v>249</v>
      </c>
      <c r="D52" s="256" t="s">
        <v>308</v>
      </c>
      <c r="E52" s="29" t="s">
        <v>308</v>
      </c>
      <c r="F52" s="29" t="s">
        <v>50</v>
      </c>
      <c r="G52" s="29">
        <v>850</v>
      </c>
      <c r="H52" s="30" t="s">
        <v>24</v>
      </c>
      <c r="I52" s="30" t="s">
        <v>24</v>
      </c>
      <c r="J52" s="30" t="s">
        <v>25</v>
      </c>
      <c r="K52" s="31" t="s">
        <v>309</v>
      </c>
      <c r="L52" s="31" t="s">
        <v>51</v>
      </c>
      <c r="M52" s="31" t="s">
        <v>51</v>
      </c>
      <c r="N52" s="31" t="s">
        <v>411</v>
      </c>
      <c r="O52" s="101"/>
    </row>
    <row r="53" spans="1:25" ht="14.45" customHeight="1" x14ac:dyDescent="0.25">
      <c r="A53" s="272" t="s">
        <v>412</v>
      </c>
      <c r="B53" s="273"/>
      <c r="C53" s="274"/>
      <c r="D53" s="274" t="s">
        <v>308</v>
      </c>
      <c r="E53" s="274" t="s">
        <v>308</v>
      </c>
      <c r="F53" s="274"/>
      <c r="G53" s="274"/>
      <c r="H53" s="274"/>
      <c r="I53" s="274"/>
      <c r="J53" s="274" t="s">
        <v>25</v>
      </c>
      <c r="K53" s="274" t="s">
        <v>406</v>
      </c>
      <c r="L53" s="274" t="s">
        <v>51</v>
      </c>
      <c r="M53" s="274" t="s">
        <v>27</v>
      </c>
      <c r="N53" s="274"/>
      <c r="O53" s="272" t="s">
        <v>553</v>
      </c>
      <c r="X53" s="27"/>
      <c r="Y53" s="27"/>
    </row>
    <row r="54" spans="1:25" ht="15.75" x14ac:dyDescent="0.25">
      <c r="A54" s="261" t="s">
        <v>806</v>
      </c>
      <c r="B54" s="452"/>
      <c r="C54" s="217"/>
      <c r="D54" s="217"/>
      <c r="E54" s="217"/>
      <c r="F54" s="217"/>
      <c r="G54" s="217"/>
      <c r="H54" s="217"/>
      <c r="I54" s="217"/>
      <c r="J54" s="217"/>
      <c r="K54" s="217"/>
      <c r="L54" s="217"/>
      <c r="M54" s="217"/>
      <c r="N54" s="217"/>
      <c r="O54" s="218"/>
    </row>
    <row r="55" spans="1:25" ht="14.45" customHeight="1" x14ac:dyDescent="0.25">
      <c r="A55" s="262" t="s">
        <v>352</v>
      </c>
      <c r="B55" s="361" t="s">
        <v>610</v>
      </c>
      <c r="C55" s="256" t="s">
        <v>30</v>
      </c>
      <c r="D55" s="256" t="s">
        <v>308</v>
      </c>
      <c r="E55" s="256" t="s">
        <v>308</v>
      </c>
      <c r="F55" s="256" t="s">
        <v>50</v>
      </c>
      <c r="G55" s="356">
        <v>0</v>
      </c>
      <c r="H55" s="257" t="s">
        <v>24</v>
      </c>
      <c r="I55" s="257" t="s">
        <v>24</v>
      </c>
      <c r="J55" s="257" t="s">
        <v>25</v>
      </c>
      <c r="K55" s="263" t="s">
        <v>309</v>
      </c>
      <c r="L55" s="263" t="s">
        <v>51</v>
      </c>
      <c r="M55" s="263" t="s">
        <v>51</v>
      </c>
      <c r="N55" s="31" t="s">
        <v>411</v>
      </c>
      <c r="O55" s="271" t="s">
        <v>361</v>
      </c>
      <c r="X55" s="18"/>
      <c r="Y55" s="27"/>
    </row>
    <row r="56" spans="1:25" ht="14.45" customHeight="1" x14ac:dyDescent="0.25">
      <c r="A56" s="272" t="s">
        <v>412</v>
      </c>
      <c r="B56" s="273"/>
      <c r="C56" s="274"/>
      <c r="D56" s="274" t="s">
        <v>308</v>
      </c>
      <c r="E56" s="274" t="s">
        <v>344</v>
      </c>
      <c r="F56" s="274"/>
      <c r="G56" s="274"/>
      <c r="H56" s="274"/>
      <c r="I56" s="274"/>
      <c r="J56" s="274" t="s">
        <v>529</v>
      </c>
      <c r="K56" s="274" t="s">
        <v>406</v>
      </c>
      <c r="L56" s="274" t="s">
        <v>51</v>
      </c>
      <c r="M56" s="274" t="s">
        <v>27</v>
      </c>
      <c r="N56" s="274"/>
      <c r="O56" s="272" t="s">
        <v>553</v>
      </c>
      <c r="X56" s="27"/>
      <c r="Y56" s="27"/>
    </row>
    <row r="57" spans="1:25" ht="14.45" customHeight="1" x14ac:dyDescent="0.25">
      <c r="A57" s="275" t="s">
        <v>807</v>
      </c>
      <c r="B57" s="452"/>
      <c r="C57" s="217"/>
      <c r="D57" s="217"/>
      <c r="E57" s="217"/>
      <c r="F57" s="217"/>
      <c r="G57" s="217"/>
      <c r="H57" s="217"/>
      <c r="I57" s="217"/>
      <c r="J57" s="217"/>
      <c r="K57" s="217"/>
      <c r="L57" s="217"/>
      <c r="M57" s="217"/>
      <c r="N57" s="217"/>
      <c r="O57" s="218"/>
      <c r="X57" s="18"/>
      <c r="Y57" s="27"/>
    </row>
    <row r="58" spans="1:25" ht="14.45" customHeight="1" x14ac:dyDescent="0.25">
      <c r="A58" s="262" t="s">
        <v>352</v>
      </c>
      <c r="B58" s="361" t="s">
        <v>610</v>
      </c>
      <c r="C58" s="256" t="s">
        <v>30</v>
      </c>
      <c r="D58" s="256" t="s">
        <v>341</v>
      </c>
      <c r="E58" s="256" t="s">
        <v>341</v>
      </c>
      <c r="F58" s="256" t="s">
        <v>50</v>
      </c>
      <c r="G58" s="256" t="s">
        <v>24</v>
      </c>
      <c r="H58" s="257" t="s">
        <v>24</v>
      </c>
      <c r="I58" s="257" t="s">
        <v>24</v>
      </c>
      <c r="J58" s="257" t="s">
        <v>25</v>
      </c>
      <c r="K58" s="263" t="s">
        <v>309</v>
      </c>
      <c r="L58" s="263" t="s">
        <v>51</v>
      </c>
      <c r="M58" s="263" t="s">
        <v>306</v>
      </c>
      <c r="N58" s="263" t="s">
        <v>28</v>
      </c>
      <c r="O58" s="271"/>
      <c r="X58" s="18"/>
      <c r="Y58" s="27"/>
    </row>
    <row r="59" spans="1:25" ht="15" customHeight="1" x14ac:dyDescent="0.25">
      <c r="A59" s="28" t="s">
        <v>310</v>
      </c>
      <c r="B59" s="361" t="s">
        <v>610</v>
      </c>
      <c r="C59" s="29" t="s">
        <v>249</v>
      </c>
      <c r="D59" s="29" t="s">
        <v>341</v>
      </c>
      <c r="E59" s="29" t="s">
        <v>341</v>
      </c>
      <c r="F59" s="29" t="s">
        <v>50</v>
      </c>
      <c r="G59" s="29" t="s">
        <v>24</v>
      </c>
      <c r="H59" s="180" t="s">
        <v>24</v>
      </c>
      <c r="I59" s="30" t="s">
        <v>24</v>
      </c>
      <c r="J59" s="30" t="s">
        <v>25</v>
      </c>
      <c r="K59" s="181" t="s">
        <v>309</v>
      </c>
      <c r="L59" s="31" t="s">
        <v>51</v>
      </c>
      <c r="M59" s="31" t="s">
        <v>306</v>
      </c>
      <c r="N59" s="31" t="s">
        <v>28</v>
      </c>
      <c r="O59" s="182"/>
    </row>
    <row r="60" spans="1:25" ht="15.6" customHeight="1" x14ac:dyDescent="0.25">
      <c r="A60" s="262" t="s">
        <v>353</v>
      </c>
      <c r="B60" s="361" t="s">
        <v>610</v>
      </c>
      <c r="C60" s="29" t="s">
        <v>249</v>
      </c>
      <c r="D60" s="29" t="s">
        <v>341</v>
      </c>
      <c r="E60" s="29" t="s">
        <v>341</v>
      </c>
      <c r="F60" s="29" t="s">
        <v>50</v>
      </c>
      <c r="G60" s="29" t="s">
        <v>24</v>
      </c>
      <c r="H60" s="180" t="s">
        <v>24</v>
      </c>
      <c r="I60" s="30" t="s">
        <v>24</v>
      </c>
      <c r="J60" s="30" t="s">
        <v>25</v>
      </c>
      <c r="K60" s="181" t="s">
        <v>309</v>
      </c>
      <c r="L60" s="31" t="s">
        <v>51</v>
      </c>
      <c r="M60" s="31" t="s">
        <v>306</v>
      </c>
      <c r="N60" s="31" t="s">
        <v>28</v>
      </c>
      <c r="O60" s="101"/>
      <c r="X60" s="27"/>
      <c r="Y60" s="27"/>
    </row>
    <row r="61" spans="1:25" ht="14.45" customHeight="1" x14ac:dyDescent="0.25">
      <c r="A61" s="28" t="s">
        <v>349</v>
      </c>
      <c r="B61" s="361" t="s">
        <v>610</v>
      </c>
      <c r="C61" s="29" t="s">
        <v>249</v>
      </c>
      <c r="D61" s="29" t="s">
        <v>341</v>
      </c>
      <c r="E61" s="29" t="s">
        <v>341</v>
      </c>
      <c r="F61" s="29" t="s">
        <v>50</v>
      </c>
      <c r="G61" s="29" t="s">
        <v>24</v>
      </c>
      <c r="H61" s="30" t="s">
        <v>24</v>
      </c>
      <c r="I61" s="30" t="s">
        <v>24</v>
      </c>
      <c r="J61" s="30" t="s">
        <v>25</v>
      </c>
      <c r="K61" s="31" t="s">
        <v>309</v>
      </c>
      <c r="L61" s="31" t="s">
        <v>51</v>
      </c>
      <c r="M61" s="31" t="s">
        <v>306</v>
      </c>
      <c r="N61" s="31" t="s">
        <v>28</v>
      </c>
      <c r="O61" s="101"/>
      <c r="X61" s="27"/>
      <c r="Y61" s="27"/>
    </row>
    <row r="62" spans="1:25" ht="14.45" customHeight="1" x14ac:dyDescent="0.25">
      <c r="A62" s="272" t="s">
        <v>412</v>
      </c>
      <c r="B62" s="273"/>
      <c r="C62" s="274"/>
      <c r="D62" s="274" t="s">
        <v>341</v>
      </c>
      <c r="E62" s="274" t="s">
        <v>341</v>
      </c>
      <c r="F62" s="274"/>
      <c r="G62" s="274"/>
      <c r="H62" s="274"/>
      <c r="I62" s="274"/>
      <c r="J62" s="274" t="s">
        <v>25</v>
      </c>
      <c r="K62" s="274" t="s">
        <v>406</v>
      </c>
      <c r="L62" s="274" t="s">
        <v>51</v>
      </c>
      <c r="M62" s="274" t="s">
        <v>27</v>
      </c>
      <c r="N62" s="274"/>
      <c r="O62" s="272" t="s">
        <v>553</v>
      </c>
      <c r="X62" s="27"/>
      <c r="Y62" s="27"/>
    </row>
    <row r="63" spans="1:25" ht="15" customHeight="1" x14ac:dyDescent="0.25">
      <c r="A63" s="258" t="s">
        <v>377</v>
      </c>
      <c r="B63" s="453"/>
      <c r="C63" s="259"/>
      <c r="D63" s="259"/>
      <c r="E63" s="259"/>
      <c r="F63" s="259"/>
      <c r="G63" s="259"/>
      <c r="H63" s="259"/>
      <c r="I63" s="259"/>
      <c r="J63" s="259"/>
      <c r="K63" s="259"/>
      <c r="L63" s="259"/>
      <c r="M63" s="259"/>
      <c r="N63" s="259"/>
      <c r="O63" s="260"/>
    </row>
    <row r="64" spans="1:25" ht="14.45" customHeight="1" x14ac:dyDescent="0.25">
      <c r="A64" s="275" t="s">
        <v>808</v>
      </c>
      <c r="B64" s="452"/>
      <c r="C64" s="217"/>
      <c r="D64" s="217"/>
      <c r="E64" s="217"/>
      <c r="F64" s="217"/>
      <c r="G64" s="217"/>
      <c r="H64" s="217"/>
      <c r="I64" s="217"/>
      <c r="J64" s="217"/>
      <c r="K64" s="217"/>
      <c r="L64" s="217"/>
      <c r="M64" s="217"/>
      <c r="N64" s="217"/>
      <c r="O64" s="218"/>
      <c r="X64" s="18"/>
      <c r="Y64" s="27"/>
    </row>
    <row r="65" spans="1:25" ht="14.45" customHeight="1" x14ac:dyDescent="0.25">
      <c r="A65" s="262" t="s">
        <v>531</v>
      </c>
      <c r="B65" s="361" t="s">
        <v>610</v>
      </c>
      <c r="C65" s="256" t="s">
        <v>30</v>
      </c>
      <c r="D65" s="256" t="s">
        <v>341</v>
      </c>
      <c r="E65" s="256" t="s">
        <v>341</v>
      </c>
      <c r="F65" s="256" t="s">
        <v>50</v>
      </c>
      <c r="G65" s="256" t="s">
        <v>24</v>
      </c>
      <c r="H65" s="257" t="s">
        <v>24</v>
      </c>
      <c r="I65" s="257" t="s">
        <v>24</v>
      </c>
      <c r="J65" s="257" t="s">
        <v>25</v>
      </c>
      <c r="K65" s="263" t="s">
        <v>309</v>
      </c>
      <c r="L65" s="263" t="s">
        <v>51</v>
      </c>
      <c r="M65" s="263" t="s">
        <v>306</v>
      </c>
      <c r="N65" s="263" t="s">
        <v>28</v>
      </c>
      <c r="O65" s="271"/>
      <c r="X65" s="18"/>
      <c r="Y65" s="27"/>
    </row>
    <row r="66" spans="1:25" ht="14.45" customHeight="1" x14ac:dyDescent="0.25">
      <c r="A66" s="262" t="s">
        <v>352</v>
      </c>
      <c r="B66" s="361" t="s">
        <v>610</v>
      </c>
      <c r="C66" s="256" t="s">
        <v>30</v>
      </c>
      <c r="D66" s="256" t="s">
        <v>341</v>
      </c>
      <c r="E66" s="256" t="s">
        <v>341</v>
      </c>
      <c r="F66" s="256" t="s">
        <v>50</v>
      </c>
      <c r="G66" s="256" t="s">
        <v>24</v>
      </c>
      <c r="H66" s="257" t="s">
        <v>24</v>
      </c>
      <c r="I66" s="257" t="s">
        <v>24</v>
      </c>
      <c r="J66" s="257" t="s">
        <v>25</v>
      </c>
      <c r="K66" s="263" t="s">
        <v>309</v>
      </c>
      <c r="L66" s="263" t="s">
        <v>51</v>
      </c>
      <c r="M66" s="263" t="s">
        <v>306</v>
      </c>
      <c r="N66" s="263" t="s">
        <v>28</v>
      </c>
      <c r="O66" s="271"/>
      <c r="X66" s="18"/>
      <c r="Y66" s="27"/>
    </row>
    <row r="67" spans="1:25" ht="14.45" customHeight="1" x14ac:dyDescent="0.25">
      <c r="A67" s="272" t="s">
        <v>412</v>
      </c>
      <c r="B67" s="273"/>
      <c r="C67" s="274"/>
      <c r="D67" s="274" t="s">
        <v>341</v>
      </c>
      <c r="E67" s="274" t="s">
        <v>341</v>
      </c>
      <c r="F67" s="274"/>
      <c r="G67" s="274"/>
      <c r="H67" s="274"/>
      <c r="I67" s="274"/>
      <c r="J67" s="274" t="s">
        <v>25</v>
      </c>
      <c r="K67" s="274" t="s">
        <v>406</v>
      </c>
      <c r="L67" s="274" t="s">
        <v>51</v>
      </c>
      <c r="M67" s="274" t="s">
        <v>27</v>
      </c>
      <c r="N67" s="274"/>
      <c r="O67" s="272" t="s">
        <v>553</v>
      </c>
      <c r="X67" s="27"/>
      <c r="Y67" s="27"/>
    </row>
    <row r="68" spans="1:25" ht="14.45" customHeight="1" x14ac:dyDescent="0.25">
      <c r="A68" s="275" t="s">
        <v>809</v>
      </c>
      <c r="B68" s="452"/>
      <c r="C68" s="217"/>
      <c r="D68" s="217"/>
      <c r="E68" s="217"/>
      <c r="F68" s="217"/>
      <c r="G68" s="217"/>
      <c r="H68" s="217"/>
      <c r="I68" s="217"/>
      <c r="J68" s="217"/>
      <c r="K68" s="217"/>
      <c r="L68" s="217"/>
      <c r="M68" s="217"/>
      <c r="N68" s="217"/>
      <c r="O68" s="218"/>
      <c r="X68" s="18"/>
      <c r="Y68" s="27"/>
    </row>
    <row r="69" spans="1:25" ht="14.45" customHeight="1" x14ac:dyDescent="0.25">
      <c r="A69" s="262" t="s">
        <v>352</v>
      </c>
      <c r="B69" s="361" t="s">
        <v>610</v>
      </c>
      <c r="C69" s="256" t="s">
        <v>30</v>
      </c>
      <c r="D69" s="256" t="s">
        <v>372</v>
      </c>
      <c r="E69" s="256" t="s">
        <v>372</v>
      </c>
      <c r="F69" s="256" t="s">
        <v>50</v>
      </c>
      <c r="G69" s="256" t="s">
        <v>24</v>
      </c>
      <c r="H69" s="257" t="s">
        <v>24</v>
      </c>
      <c r="I69" s="257" t="s">
        <v>24</v>
      </c>
      <c r="J69" s="257" t="s">
        <v>25</v>
      </c>
      <c r="K69" s="263" t="s">
        <v>309</v>
      </c>
      <c r="L69" s="263" t="s">
        <v>51</v>
      </c>
      <c r="M69" s="263" t="s">
        <v>306</v>
      </c>
      <c r="N69" s="263" t="s">
        <v>28</v>
      </c>
      <c r="O69" s="271"/>
      <c r="X69" s="18"/>
      <c r="Y69" s="27"/>
    </row>
    <row r="70" spans="1:25" ht="15" customHeight="1" x14ac:dyDescent="0.25">
      <c r="A70" s="28" t="s">
        <v>310</v>
      </c>
      <c r="B70" s="361" t="s">
        <v>610</v>
      </c>
      <c r="C70" s="29" t="s">
        <v>249</v>
      </c>
      <c r="D70" s="29" t="s">
        <v>372</v>
      </c>
      <c r="E70" s="29" t="s">
        <v>372</v>
      </c>
      <c r="F70" s="29" t="s">
        <v>50</v>
      </c>
      <c r="G70" s="29" t="s">
        <v>24</v>
      </c>
      <c r="H70" s="180" t="s">
        <v>24</v>
      </c>
      <c r="I70" s="30" t="s">
        <v>24</v>
      </c>
      <c r="J70" s="30" t="s">
        <v>25</v>
      </c>
      <c r="K70" s="181" t="s">
        <v>309</v>
      </c>
      <c r="L70" s="31" t="s">
        <v>51</v>
      </c>
      <c r="M70" s="31" t="s">
        <v>306</v>
      </c>
      <c r="N70" s="31" t="s">
        <v>28</v>
      </c>
      <c r="O70" s="182" t="s">
        <v>350</v>
      </c>
    </row>
    <row r="71" spans="1:25" ht="15.6" customHeight="1" x14ac:dyDescent="0.25">
      <c r="A71" s="262" t="s">
        <v>353</v>
      </c>
      <c r="B71" s="361" t="s">
        <v>610</v>
      </c>
      <c r="C71" s="29" t="s">
        <v>249</v>
      </c>
      <c r="D71" s="29" t="s">
        <v>372</v>
      </c>
      <c r="E71" s="29" t="s">
        <v>372</v>
      </c>
      <c r="F71" s="29" t="s">
        <v>50</v>
      </c>
      <c r="G71" s="29" t="s">
        <v>24</v>
      </c>
      <c r="H71" s="180" t="s">
        <v>24</v>
      </c>
      <c r="I71" s="30" t="s">
        <v>24</v>
      </c>
      <c r="J71" s="30" t="s">
        <v>25</v>
      </c>
      <c r="K71" s="181" t="s">
        <v>309</v>
      </c>
      <c r="L71" s="31" t="s">
        <v>51</v>
      </c>
      <c r="M71" s="31" t="s">
        <v>306</v>
      </c>
      <c r="N71" s="31" t="s">
        <v>28</v>
      </c>
      <c r="O71" s="101"/>
      <c r="X71" s="27"/>
      <c r="Y71" s="27"/>
    </row>
    <row r="72" spans="1:25" ht="14.45" customHeight="1" x14ac:dyDescent="0.25">
      <c r="A72" s="28" t="s">
        <v>349</v>
      </c>
      <c r="B72" s="361" t="s">
        <v>610</v>
      </c>
      <c r="C72" s="29" t="s">
        <v>249</v>
      </c>
      <c r="D72" s="29" t="s">
        <v>372</v>
      </c>
      <c r="E72" s="29" t="s">
        <v>372</v>
      </c>
      <c r="F72" s="29" t="s">
        <v>50</v>
      </c>
      <c r="G72" s="29" t="s">
        <v>24</v>
      </c>
      <c r="H72" s="30" t="s">
        <v>24</v>
      </c>
      <c r="I72" s="30" t="s">
        <v>24</v>
      </c>
      <c r="J72" s="30" t="s">
        <v>25</v>
      </c>
      <c r="K72" s="31" t="s">
        <v>309</v>
      </c>
      <c r="L72" s="31" t="s">
        <v>51</v>
      </c>
      <c r="M72" s="31" t="s">
        <v>306</v>
      </c>
      <c r="N72" s="31" t="s">
        <v>28</v>
      </c>
      <c r="O72" s="101"/>
      <c r="X72" s="27"/>
      <c r="Y72" s="27"/>
    </row>
    <row r="73" spans="1:25" ht="15" customHeight="1" x14ac:dyDescent="0.25">
      <c r="A73" s="258" t="s">
        <v>378</v>
      </c>
      <c r="B73" s="453"/>
      <c r="C73" s="259"/>
      <c r="D73" s="259"/>
      <c r="E73" s="259"/>
      <c r="F73" s="259"/>
      <c r="G73" s="259"/>
      <c r="H73" s="259"/>
      <c r="I73" s="259"/>
      <c r="J73" s="259"/>
      <c r="K73" s="259"/>
      <c r="L73" s="259"/>
      <c r="M73" s="259"/>
      <c r="N73" s="259"/>
      <c r="O73" s="260"/>
      <c r="X73" s="18"/>
      <c r="Y73" s="27"/>
    </row>
    <row r="74" spans="1:25" ht="14.25" customHeight="1" x14ac:dyDescent="0.25">
      <c r="A74" s="272" t="s">
        <v>412</v>
      </c>
      <c r="B74" s="273"/>
      <c r="C74" s="274"/>
      <c r="D74" s="274" t="s">
        <v>372</v>
      </c>
      <c r="E74" s="274" t="s">
        <v>344</v>
      </c>
      <c r="F74" s="274"/>
      <c r="G74" s="274"/>
      <c r="H74" s="274"/>
      <c r="I74" s="274"/>
      <c r="J74" s="274" t="s">
        <v>25</v>
      </c>
      <c r="K74" s="274" t="s">
        <v>406</v>
      </c>
      <c r="L74" s="274" t="s">
        <v>51</v>
      </c>
      <c r="M74" s="274" t="s">
        <v>27</v>
      </c>
      <c r="N74" s="274"/>
      <c r="O74" s="272" t="s">
        <v>553</v>
      </c>
      <c r="X74" s="27"/>
      <c r="Y74" s="27"/>
    </row>
    <row r="75" spans="1:25" ht="14.25" customHeight="1" x14ac:dyDescent="0.25">
      <c r="A75" s="275" t="s">
        <v>862</v>
      </c>
      <c r="B75" s="452"/>
      <c r="C75" s="217"/>
      <c r="D75" s="217"/>
      <c r="E75" s="217"/>
      <c r="F75" s="217"/>
      <c r="G75" s="217"/>
      <c r="H75" s="217"/>
      <c r="I75" s="217"/>
      <c r="J75" s="217"/>
      <c r="K75" s="217"/>
      <c r="L75" s="217"/>
      <c r="M75" s="217"/>
      <c r="N75" s="217"/>
      <c r="O75" s="218"/>
      <c r="X75" s="18"/>
      <c r="Y75" s="27"/>
    </row>
    <row r="76" spans="1:25" ht="14.45" customHeight="1" x14ac:dyDescent="0.25">
      <c r="A76" s="28" t="s">
        <v>613</v>
      </c>
      <c r="B76" s="360"/>
      <c r="C76" s="29" t="s">
        <v>21</v>
      </c>
      <c r="D76" s="29" t="s">
        <v>344</v>
      </c>
      <c r="E76" s="29" t="s">
        <v>344</v>
      </c>
      <c r="F76" s="29" t="s">
        <v>50</v>
      </c>
      <c r="G76" s="29" t="s">
        <v>23</v>
      </c>
      <c r="H76" s="30" t="s">
        <v>23</v>
      </c>
      <c r="I76" s="30" t="s">
        <v>24</v>
      </c>
      <c r="J76" s="30" t="s">
        <v>25</v>
      </c>
      <c r="K76" s="31" t="s">
        <v>26</v>
      </c>
      <c r="L76" s="31" t="s">
        <v>51</v>
      </c>
      <c r="M76" s="31" t="s">
        <v>306</v>
      </c>
      <c r="N76" s="31" t="s">
        <v>411</v>
      </c>
      <c r="O76" s="101" t="s">
        <v>532</v>
      </c>
      <c r="X76" s="18"/>
      <c r="Y76" s="27"/>
    </row>
    <row r="77" spans="1:25" ht="15" customHeight="1" x14ac:dyDescent="0.25">
      <c r="A77" s="28" t="s">
        <v>356</v>
      </c>
      <c r="B77" s="360"/>
      <c r="C77" s="29" t="s">
        <v>21</v>
      </c>
      <c r="D77" s="29" t="s">
        <v>344</v>
      </c>
      <c r="E77" s="29" t="s">
        <v>22</v>
      </c>
      <c r="F77" s="29" t="s">
        <v>50</v>
      </c>
      <c r="G77" s="29" t="s">
        <v>23</v>
      </c>
      <c r="H77" s="30" t="s">
        <v>23</v>
      </c>
      <c r="I77" s="30" t="s">
        <v>24</v>
      </c>
      <c r="J77" s="30" t="s">
        <v>25</v>
      </c>
      <c r="K77" s="31" t="s">
        <v>26</v>
      </c>
      <c r="L77" s="31" t="s">
        <v>51</v>
      </c>
      <c r="M77" s="31" t="s">
        <v>27</v>
      </c>
      <c r="N77" s="31" t="s">
        <v>411</v>
      </c>
      <c r="O77" s="32" t="s">
        <v>29</v>
      </c>
    </row>
  </sheetData>
  <pageMargins left="0.7" right="0.7" top="0.75" bottom="0.75" header="0.3" footer="0.3"/>
  <pageSetup scale="53" fitToHeight="0" orientation="landscape"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R312"/>
  <sheetViews>
    <sheetView zoomScaleNormal="100" workbookViewId="0">
      <pane xSplit="2" ySplit="7" topLeftCell="Z249" activePane="bottomRight" state="frozen"/>
      <selection pane="topRight" activeCell="C1" sqref="C1"/>
      <selection pane="bottomLeft" activeCell="A8" sqref="A8"/>
      <selection pane="bottomRight" activeCell="W275" sqref="W275"/>
    </sheetView>
  </sheetViews>
  <sheetFormatPr defaultColWidth="9.140625" defaultRowHeight="11.25" x14ac:dyDescent="0.2"/>
  <cols>
    <col min="1" max="1" width="16" style="461" customWidth="1"/>
    <col min="2" max="2" width="50.140625" style="462" customWidth="1"/>
    <col min="3" max="3" width="14.42578125" style="462" customWidth="1"/>
    <col min="4" max="4" width="64.5703125" style="461" customWidth="1"/>
    <col min="5" max="5" width="16.42578125" style="462" customWidth="1"/>
    <col min="6" max="6" width="8.42578125" style="470" bestFit="1" customWidth="1"/>
    <col min="7" max="7" width="118" style="462" customWidth="1"/>
    <col min="8" max="8" width="59" style="461" customWidth="1"/>
    <col min="9" max="12" width="10" style="461" customWidth="1"/>
    <col min="13" max="13" width="10.85546875" style="461" customWidth="1"/>
    <col min="14" max="14" width="5.42578125" style="461" customWidth="1"/>
    <col min="15" max="15" width="6" style="461" customWidth="1"/>
    <col min="16" max="16" width="5.5703125" style="461" customWidth="1"/>
    <col min="17" max="17" width="8.5703125" style="461" customWidth="1"/>
    <col min="18" max="18" width="9" style="461" customWidth="1"/>
    <col min="19" max="19" width="9.5703125" style="467" customWidth="1"/>
    <col min="20" max="20" width="10" style="467" customWidth="1"/>
    <col min="21" max="21" width="11.42578125" style="467" bestFit="1" customWidth="1"/>
    <col min="22" max="23" width="14.42578125" style="468" customWidth="1"/>
    <col min="24" max="24" width="9.5703125" style="467" customWidth="1"/>
    <col min="25" max="25" width="12.5703125" style="467" customWidth="1"/>
    <col min="26" max="26" width="11.42578125" style="469" bestFit="1" customWidth="1"/>
    <col min="27" max="27" width="14.42578125" style="468" customWidth="1"/>
    <col min="28" max="29" width="12.42578125" style="461" customWidth="1"/>
    <col min="30" max="31" width="9.5703125" style="468" customWidth="1"/>
    <col min="32" max="37" width="9.5703125" style="461" customWidth="1"/>
    <col min="38" max="39" width="9.5703125" style="468" customWidth="1"/>
    <col min="40" max="41" width="9.42578125" style="461" customWidth="1"/>
    <col min="42" max="44" width="9.140625" style="461"/>
    <col min="45" max="45" width="11" style="461" customWidth="1"/>
    <col min="46" max="46" width="13.140625" style="461" bestFit="1" customWidth="1"/>
    <col min="47" max="47" width="26.28515625" style="461" customWidth="1"/>
    <col min="48" max="48" width="14.5703125" style="461" customWidth="1"/>
    <col min="49" max="49" width="12.42578125" style="461" customWidth="1"/>
    <col min="50" max="16384" width="9.140625" style="461"/>
  </cols>
  <sheetData>
    <row r="1" spans="1:64" x14ac:dyDescent="0.2">
      <c r="A1" s="461">
        <v>1</v>
      </c>
      <c r="B1" s="462">
        <v>2</v>
      </c>
      <c r="C1" s="462">
        <v>3</v>
      </c>
      <c r="D1" s="461">
        <v>4</v>
      </c>
      <c r="E1" s="462">
        <v>5</v>
      </c>
      <c r="F1" s="462">
        <v>6</v>
      </c>
      <c r="G1" s="461">
        <v>7</v>
      </c>
      <c r="H1" s="462">
        <v>8</v>
      </c>
      <c r="I1" s="462">
        <v>9</v>
      </c>
      <c r="J1" s="461">
        <v>10</v>
      </c>
      <c r="K1" s="462">
        <v>11</v>
      </c>
      <c r="L1" s="462">
        <v>12</v>
      </c>
      <c r="M1" s="461">
        <v>13</v>
      </c>
      <c r="N1" s="462">
        <v>14</v>
      </c>
      <c r="O1" s="462">
        <v>15</v>
      </c>
      <c r="P1" s="461">
        <v>16</v>
      </c>
      <c r="Q1" s="462">
        <v>17</v>
      </c>
      <c r="R1" s="462">
        <v>18</v>
      </c>
      <c r="S1" s="461">
        <v>19</v>
      </c>
      <c r="T1" s="462">
        <v>20</v>
      </c>
      <c r="U1" s="462">
        <v>21</v>
      </c>
      <c r="V1" s="461">
        <v>22</v>
      </c>
      <c r="W1" s="462">
        <v>23</v>
      </c>
      <c r="X1" s="462">
        <v>24</v>
      </c>
      <c r="Y1" s="461">
        <v>25</v>
      </c>
      <c r="Z1" s="462">
        <v>26</v>
      </c>
      <c r="AA1" s="462">
        <v>27</v>
      </c>
      <c r="AB1" s="461">
        <v>28</v>
      </c>
      <c r="AC1" s="462">
        <v>29</v>
      </c>
      <c r="AD1" s="462">
        <v>30</v>
      </c>
      <c r="AE1" s="461">
        <v>31</v>
      </c>
      <c r="AF1" s="462">
        <v>32</v>
      </c>
      <c r="AG1" s="462">
        <v>33</v>
      </c>
      <c r="AH1" s="461">
        <v>34</v>
      </c>
      <c r="AI1" s="462">
        <v>35</v>
      </c>
      <c r="AJ1" s="462">
        <v>36</v>
      </c>
      <c r="AK1" s="461">
        <v>37</v>
      </c>
      <c r="AL1" s="462">
        <v>38</v>
      </c>
      <c r="AM1" s="462">
        <v>39</v>
      </c>
      <c r="AN1" s="461">
        <v>40</v>
      </c>
      <c r="AO1" s="462">
        <v>41</v>
      </c>
      <c r="AP1" s="462">
        <v>42</v>
      </c>
      <c r="AQ1" s="461">
        <v>43</v>
      </c>
      <c r="AR1" s="462">
        <v>44</v>
      </c>
      <c r="AS1" s="462">
        <v>45</v>
      </c>
      <c r="AT1" s="461">
        <v>46</v>
      </c>
      <c r="AU1" s="462">
        <v>47</v>
      </c>
      <c r="AV1" s="462">
        <v>48</v>
      </c>
      <c r="AW1" s="461">
        <v>49</v>
      </c>
      <c r="AX1" s="462">
        <v>50</v>
      </c>
      <c r="AY1" s="462">
        <v>51</v>
      </c>
      <c r="AZ1" s="461">
        <v>52</v>
      </c>
      <c r="BA1" s="462">
        <v>53</v>
      </c>
      <c r="BB1" s="462">
        <v>54</v>
      </c>
      <c r="BC1" s="461">
        <v>55</v>
      </c>
      <c r="BD1" s="462">
        <v>56</v>
      </c>
      <c r="BE1" s="462">
        <v>57</v>
      </c>
      <c r="BF1" s="461">
        <v>58</v>
      </c>
      <c r="BG1" s="462">
        <v>59</v>
      </c>
      <c r="BH1" s="462">
        <v>60</v>
      </c>
      <c r="BI1" s="461">
        <v>61</v>
      </c>
      <c r="BJ1" s="462">
        <v>62</v>
      </c>
      <c r="BK1" s="462">
        <v>63</v>
      </c>
      <c r="BL1" s="461">
        <v>64</v>
      </c>
    </row>
    <row r="2" spans="1:64" ht="12" thickBot="1" x14ac:dyDescent="0.25">
      <c r="A2" s="463" t="s">
        <v>5</v>
      </c>
      <c r="B2" s="464" t="str">
        <f>TestPlan!B1</f>
        <v>2019 Nissan Leaf E-Plus</v>
      </c>
      <c r="C2" s="464"/>
      <c r="F2" s="465" t="s">
        <v>6</v>
      </c>
      <c r="G2" s="466" t="s">
        <v>337</v>
      </c>
      <c r="H2" s="466"/>
      <c r="I2" s="466"/>
      <c r="J2" s="466"/>
      <c r="K2" s="466"/>
      <c r="L2" s="466"/>
      <c r="N2" s="463"/>
      <c r="O2" s="463"/>
      <c r="P2" s="463"/>
    </row>
    <row r="3" spans="1:64" ht="12" thickBot="1" x14ac:dyDescent="0.25">
      <c r="A3" s="463" t="s">
        <v>7</v>
      </c>
      <c r="B3" s="464" t="str">
        <f>TestPlan!B2</f>
        <v>NHTSA 2020 Vehicle Technology Assessment</v>
      </c>
      <c r="C3" s="464"/>
      <c r="H3" s="471"/>
      <c r="I3" s="471"/>
      <c r="J3" s="471"/>
      <c r="K3" s="471"/>
      <c r="L3" s="471"/>
      <c r="N3" s="15"/>
      <c r="O3" s="15"/>
      <c r="P3" s="15"/>
      <c r="S3" s="472"/>
      <c r="T3" s="502" t="s">
        <v>944</v>
      </c>
      <c r="U3" s="503"/>
      <c r="X3" s="472"/>
      <c r="Y3" s="502" t="s">
        <v>944</v>
      </c>
      <c r="Z3" s="503"/>
      <c r="AE3" s="473" t="s">
        <v>405</v>
      </c>
      <c r="AF3" s="462" t="s">
        <v>403</v>
      </c>
      <c r="AG3" s="462" t="s">
        <v>404</v>
      </c>
      <c r="AH3" s="461" t="e">
        <f>#REF!/#REF!</f>
        <v>#REF!</v>
      </c>
      <c r="AK3" s="462"/>
      <c r="AL3" s="473"/>
      <c r="AM3" s="473"/>
    </row>
    <row r="4" spans="1:64" x14ac:dyDescent="0.2">
      <c r="A4" s="461" t="s">
        <v>381</v>
      </c>
    </row>
    <row r="5" spans="1:64" x14ac:dyDescent="0.2">
      <c r="A5" s="461" t="s">
        <v>381</v>
      </c>
    </row>
    <row r="6" spans="1:64" s="474" customFormat="1" ht="15" customHeight="1" thickBot="1" x14ac:dyDescent="0.25">
      <c r="A6" s="474" t="s">
        <v>381</v>
      </c>
      <c r="B6" s="475"/>
      <c r="C6" s="475"/>
      <c r="E6" s="475"/>
      <c r="F6" s="476"/>
      <c r="G6" s="475"/>
      <c r="S6" s="477" t="s">
        <v>104</v>
      </c>
      <c r="T6" s="477"/>
      <c r="U6" s="477"/>
      <c r="V6" s="478"/>
      <c r="W6" s="478"/>
      <c r="X6" s="477" t="s">
        <v>104</v>
      </c>
      <c r="Y6" s="477"/>
      <c r="Z6" s="479"/>
      <c r="AA6" s="478"/>
      <c r="AB6" s="480"/>
      <c r="AC6" s="480"/>
      <c r="AD6" s="478"/>
      <c r="AE6" s="478"/>
      <c r="AF6" s="480"/>
      <c r="AG6" s="480"/>
      <c r="AH6" s="480"/>
      <c r="AI6" s="480"/>
      <c r="AJ6" s="480"/>
      <c r="AK6" s="480"/>
      <c r="AL6" s="478"/>
      <c r="AM6" s="478"/>
      <c r="AN6" s="480"/>
      <c r="AO6" s="480"/>
      <c r="AP6" s="505" t="s">
        <v>106</v>
      </c>
      <c r="AQ6" s="506"/>
      <c r="AR6" s="505"/>
      <c r="AS6" s="481" t="s">
        <v>370</v>
      </c>
      <c r="AT6" s="481"/>
      <c r="AU6" s="481"/>
      <c r="AV6" s="504" t="s">
        <v>370</v>
      </c>
      <c r="AW6" s="504"/>
      <c r="AX6" s="504"/>
      <c r="AY6" s="504"/>
    </row>
    <row r="7" spans="1:64" s="484" customFormat="1" ht="56.25" x14ac:dyDescent="0.25">
      <c r="A7" s="333" t="s">
        <v>369</v>
      </c>
      <c r="B7" s="315" t="s">
        <v>1</v>
      </c>
      <c r="C7" s="315" t="s">
        <v>505</v>
      </c>
      <c r="D7" s="327" t="s">
        <v>98</v>
      </c>
      <c r="E7" s="315" t="s">
        <v>506</v>
      </c>
      <c r="F7" s="315" t="s">
        <v>393</v>
      </c>
      <c r="G7" s="315" t="s">
        <v>2</v>
      </c>
      <c r="H7" s="315" t="s">
        <v>3</v>
      </c>
      <c r="I7" s="316" t="s">
        <v>90</v>
      </c>
      <c r="J7" s="317" t="s">
        <v>368</v>
      </c>
      <c r="K7" s="317" t="s">
        <v>299</v>
      </c>
      <c r="L7" s="317" t="s">
        <v>300</v>
      </c>
      <c r="M7" s="317" t="s">
        <v>507</v>
      </c>
      <c r="N7" s="318" t="s">
        <v>207</v>
      </c>
      <c r="O7" s="318" t="s">
        <v>46</v>
      </c>
      <c r="P7" s="318" t="s">
        <v>47</v>
      </c>
      <c r="Q7" s="318" t="s">
        <v>48</v>
      </c>
      <c r="R7" s="319" t="s">
        <v>301</v>
      </c>
      <c r="S7" s="319" t="s">
        <v>113</v>
      </c>
      <c r="T7" s="337" t="s">
        <v>508</v>
      </c>
      <c r="U7" s="337" t="s">
        <v>509</v>
      </c>
      <c r="V7" s="370" t="s">
        <v>510</v>
      </c>
      <c r="W7" s="370" t="s">
        <v>511</v>
      </c>
      <c r="X7" s="371" t="s">
        <v>670</v>
      </c>
      <c r="Y7" s="371" t="s">
        <v>671</v>
      </c>
      <c r="Z7" s="370" t="s">
        <v>648</v>
      </c>
      <c r="AA7" s="370" t="s">
        <v>649</v>
      </c>
      <c r="AB7" s="371" t="s">
        <v>662</v>
      </c>
      <c r="AC7" s="371" t="s">
        <v>663</v>
      </c>
      <c r="AD7" s="370" t="s">
        <v>652</v>
      </c>
      <c r="AE7" s="370" t="s">
        <v>653</v>
      </c>
      <c r="AF7" s="320" t="s">
        <v>664</v>
      </c>
      <c r="AG7" s="320" t="s">
        <v>665</v>
      </c>
      <c r="AH7" s="368" t="s">
        <v>658</v>
      </c>
      <c r="AI7" s="368" t="s">
        <v>659</v>
      </c>
      <c r="AJ7" s="320" t="s">
        <v>668</v>
      </c>
      <c r="AK7" s="320" t="s">
        <v>669</v>
      </c>
      <c r="AL7" s="368" t="s">
        <v>656</v>
      </c>
      <c r="AM7" s="368" t="s">
        <v>657</v>
      </c>
      <c r="AN7" s="320" t="s">
        <v>666</v>
      </c>
      <c r="AO7" s="320" t="s">
        <v>667</v>
      </c>
      <c r="AP7" s="304" t="s">
        <v>508</v>
      </c>
      <c r="AQ7" s="306" t="s">
        <v>509</v>
      </c>
      <c r="AR7" s="304" t="s">
        <v>526</v>
      </c>
      <c r="AS7" s="372" t="s">
        <v>651</v>
      </c>
      <c r="AT7" s="372" t="s">
        <v>650</v>
      </c>
      <c r="AU7" s="340" t="s">
        <v>527</v>
      </c>
      <c r="AV7" s="302" t="s">
        <v>366</v>
      </c>
      <c r="AW7" s="302" t="s">
        <v>530</v>
      </c>
      <c r="AX7" s="302"/>
      <c r="AY7" s="302"/>
      <c r="AZ7" s="482" t="s">
        <v>512</v>
      </c>
      <c r="BA7" s="482" t="s">
        <v>513</v>
      </c>
      <c r="BB7" s="482" t="s">
        <v>514</v>
      </c>
      <c r="BC7" s="482" t="s">
        <v>515</v>
      </c>
      <c r="BD7" s="482" t="s">
        <v>516</v>
      </c>
      <c r="BE7" s="482" t="s">
        <v>517</v>
      </c>
      <c r="BF7" s="482" t="s">
        <v>518</v>
      </c>
      <c r="BG7" s="482" t="s">
        <v>519</v>
      </c>
      <c r="BH7" s="482" t="s">
        <v>520</v>
      </c>
      <c r="BI7" s="482" t="s">
        <v>521</v>
      </c>
      <c r="BJ7" s="482" t="s">
        <v>522</v>
      </c>
      <c r="BK7" s="482" t="s">
        <v>523</v>
      </c>
      <c r="BL7" s="483" t="s">
        <v>524</v>
      </c>
    </row>
    <row r="8" spans="1:64" ht="15" customHeight="1" x14ac:dyDescent="0.2">
      <c r="A8" s="485" t="s">
        <v>765</v>
      </c>
      <c r="B8" s="362"/>
      <c r="C8" s="362"/>
      <c r="D8" s="363"/>
      <c r="E8" s="362"/>
      <c r="F8" s="362"/>
      <c r="G8" s="363"/>
      <c r="H8" s="363"/>
      <c r="I8" s="363"/>
      <c r="J8" s="363"/>
      <c r="K8" s="363"/>
      <c r="L8" s="363"/>
      <c r="M8" s="363"/>
      <c r="N8" s="363"/>
      <c r="O8" s="363"/>
      <c r="P8" s="364"/>
      <c r="Q8" s="365"/>
      <c r="R8" s="362"/>
      <c r="S8" s="362"/>
      <c r="T8" s="362"/>
      <c r="U8" s="362"/>
      <c r="V8" s="369"/>
      <c r="W8" s="369"/>
      <c r="X8" s="362"/>
      <c r="Y8" s="362"/>
      <c r="Z8" s="369"/>
      <c r="AA8" s="369"/>
      <c r="AB8" s="362"/>
      <c r="AC8" s="362"/>
      <c r="AD8" s="369"/>
      <c r="AE8" s="369"/>
      <c r="AF8" s="362"/>
      <c r="AG8" s="362"/>
      <c r="AH8" s="362"/>
      <c r="AI8" s="362"/>
      <c r="AJ8" s="362"/>
      <c r="AK8" s="362"/>
      <c r="AL8" s="369"/>
      <c r="AM8" s="369"/>
      <c r="AN8" s="362"/>
      <c r="AO8" s="362"/>
      <c r="AP8" s="362"/>
      <c r="AQ8" s="362"/>
      <c r="AR8" s="362"/>
      <c r="AS8" s="362"/>
      <c r="AT8" s="362"/>
      <c r="AU8" s="362"/>
      <c r="AV8" s="362"/>
      <c r="AW8" s="362"/>
      <c r="AX8" s="362"/>
      <c r="AY8" s="362"/>
      <c r="AZ8" s="362"/>
      <c r="BA8" s="362"/>
      <c r="BB8" s="362"/>
      <c r="BC8" s="362"/>
      <c r="BD8" s="362"/>
      <c r="BE8" s="362"/>
      <c r="BF8" s="362"/>
      <c r="BG8" s="362"/>
      <c r="BH8" s="362"/>
      <c r="BI8" s="362"/>
      <c r="BJ8" s="362"/>
      <c r="BK8" s="362"/>
      <c r="BL8" s="366"/>
    </row>
    <row r="9" spans="1:64" ht="15" customHeight="1" x14ac:dyDescent="0.2">
      <c r="A9" s="321">
        <v>62007002</v>
      </c>
      <c r="B9" s="321" t="s">
        <v>766</v>
      </c>
      <c r="C9" s="321"/>
      <c r="D9" s="352"/>
      <c r="E9" s="307"/>
      <c r="F9" s="334"/>
      <c r="G9" s="322"/>
      <c r="H9" s="322"/>
      <c r="I9" s="330"/>
      <c r="J9" s="323"/>
      <c r="K9" s="323"/>
      <c r="L9" s="323"/>
      <c r="M9" s="323"/>
      <c r="N9" s="308"/>
      <c r="O9" s="308"/>
      <c r="P9" s="308"/>
      <c r="Q9" s="308"/>
      <c r="R9" s="309"/>
      <c r="S9" s="309"/>
      <c r="T9" s="338"/>
      <c r="U9" s="338"/>
      <c r="V9" s="313"/>
      <c r="W9" s="313"/>
      <c r="X9" s="313"/>
      <c r="Y9" s="313"/>
      <c r="Z9" s="332"/>
      <c r="AA9" s="313"/>
      <c r="AB9" s="313"/>
      <c r="AC9" s="331"/>
      <c r="AD9" s="332"/>
      <c r="AE9" s="313"/>
      <c r="AF9" s="313"/>
      <c r="AG9" s="331"/>
      <c r="AH9" s="332"/>
      <c r="AI9" s="313"/>
      <c r="AJ9" s="313"/>
      <c r="AK9" s="331"/>
      <c r="AL9" s="332"/>
      <c r="AM9" s="313"/>
      <c r="AN9" s="313"/>
      <c r="AO9" s="331"/>
      <c r="AP9" s="303"/>
      <c r="AQ9" s="303"/>
      <c r="AR9" s="303"/>
      <c r="AS9" s="447"/>
      <c r="AT9" s="341"/>
      <c r="AU9" s="341"/>
      <c r="AV9" s="303"/>
      <c r="AW9" s="303"/>
      <c r="AX9" s="303"/>
      <c r="AY9" s="303"/>
      <c r="AZ9" s="322"/>
    </row>
    <row r="10" spans="1:64" ht="15" customHeight="1" x14ac:dyDescent="0.2">
      <c r="A10" s="321">
        <v>62007003</v>
      </c>
      <c r="B10" s="321" t="s">
        <v>766</v>
      </c>
      <c r="C10" s="321"/>
      <c r="D10" s="352"/>
      <c r="E10" s="307"/>
      <c r="F10" s="334"/>
      <c r="G10" s="322"/>
      <c r="H10" s="322"/>
      <c r="I10" s="330"/>
      <c r="J10" s="323"/>
      <c r="K10" s="323"/>
      <c r="L10" s="323"/>
      <c r="M10" s="323"/>
      <c r="N10" s="308"/>
      <c r="O10" s="308"/>
      <c r="P10" s="308"/>
      <c r="Q10" s="308"/>
      <c r="R10" s="309"/>
      <c r="S10" s="309"/>
      <c r="T10" s="338"/>
      <c r="U10" s="338"/>
      <c r="V10" s="313"/>
      <c r="W10" s="313"/>
      <c r="X10" s="313"/>
      <c r="Y10" s="313"/>
      <c r="Z10" s="332"/>
      <c r="AA10" s="313"/>
      <c r="AB10" s="313"/>
      <c r="AC10" s="331"/>
      <c r="AD10" s="332"/>
      <c r="AE10" s="313"/>
      <c r="AF10" s="313"/>
      <c r="AG10" s="331"/>
      <c r="AH10" s="332"/>
      <c r="AI10" s="313"/>
      <c r="AJ10" s="313"/>
      <c r="AK10" s="331"/>
      <c r="AL10" s="332"/>
      <c r="AM10" s="313"/>
      <c r="AN10" s="313"/>
      <c r="AO10" s="331"/>
      <c r="AP10" s="303"/>
      <c r="AQ10" s="303"/>
      <c r="AR10" s="303"/>
      <c r="AS10" s="447"/>
      <c r="AT10" s="341"/>
      <c r="AU10" s="341"/>
      <c r="AV10" s="303"/>
      <c r="AW10" s="303"/>
      <c r="AX10" s="303"/>
      <c r="AY10" s="303"/>
      <c r="AZ10" s="322"/>
    </row>
    <row r="11" spans="1:64" ht="15" customHeight="1" x14ac:dyDescent="0.2">
      <c r="A11" s="321">
        <v>62007004</v>
      </c>
      <c r="B11" s="321" t="s">
        <v>766</v>
      </c>
      <c r="C11" s="321"/>
      <c r="D11" s="352"/>
      <c r="E11" s="307"/>
      <c r="F11" s="334"/>
      <c r="G11" s="322"/>
      <c r="H11" s="322"/>
      <c r="I11" s="330"/>
      <c r="J11" s="323"/>
      <c r="K11" s="323"/>
      <c r="L11" s="323"/>
      <c r="M11" s="323"/>
      <c r="N11" s="308"/>
      <c r="O11" s="308"/>
      <c r="P11" s="308"/>
      <c r="Q11" s="308"/>
      <c r="R11" s="309"/>
      <c r="S11" s="309"/>
      <c r="T11" s="338"/>
      <c r="U11" s="338"/>
      <c r="V11" s="313"/>
      <c r="W11" s="313"/>
      <c r="X11" s="313"/>
      <c r="Y11" s="313"/>
      <c r="Z11" s="332"/>
      <c r="AA11" s="313"/>
      <c r="AB11" s="313"/>
      <c r="AC11" s="331"/>
      <c r="AD11" s="332"/>
      <c r="AE11" s="313"/>
      <c r="AF11" s="313"/>
      <c r="AG11" s="331"/>
      <c r="AH11" s="332"/>
      <c r="AI11" s="313"/>
      <c r="AJ11" s="313"/>
      <c r="AK11" s="331"/>
      <c r="AL11" s="332"/>
      <c r="AM11" s="313"/>
      <c r="AN11" s="313"/>
      <c r="AO11" s="331"/>
      <c r="AP11" s="303"/>
      <c r="AQ11" s="303"/>
      <c r="AR11" s="303"/>
      <c r="AS11" s="447"/>
      <c r="AT11" s="341"/>
      <c r="AU11" s="341"/>
      <c r="AV11" s="303"/>
      <c r="AW11" s="303"/>
      <c r="AX11" s="303"/>
      <c r="AY11" s="303"/>
      <c r="AZ11" s="322"/>
    </row>
    <row r="12" spans="1:64" ht="15" customHeight="1" x14ac:dyDescent="0.2">
      <c r="A12" s="321">
        <v>62007005</v>
      </c>
      <c r="B12" s="321" t="s">
        <v>766</v>
      </c>
      <c r="C12" s="321"/>
      <c r="D12" s="352"/>
      <c r="E12" s="307"/>
      <c r="F12" s="334"/>
      <c r="G12" s="322"/>
      <c r="H12" s="322"/>
      <c r="I12" s="330"/>
      <c r="J12" s="323"/>
      <c r="K12" s="323"/>
      <c r="L12" s="323"/>
      <c r="M12" s="323"/>
      <c r="N12" s="308"/>
      <c r="O12" s="308"/>
      <c r="P12" s="308"/>
      <c r="Q12" s="308"/>
      <c r="R12" s="309"/>
      <c r="S12" s="309"/>
      <c r="T12" s="338"/>
      <c r="U12" s="338"/>
      <c r="V12" s="313"/>
      <c r="W12" s="313"/>
      <c r="X12" s="313"/>
      <c r="Y12" s="313"/>
      <c r="Z12" s="332"/>
      <c r="AA12" s="313"/>
      <c r="AB12" s="313"/>
      <c r="AC12" s="331"/>
      <c r="AD12" s="332"/>
      <c r="AE12" s="313"/>
      <c r="AF12" s="313"/>
      <c r="AG12" s="331"/>
      <c r="AH12" s="332"/>
      <c r="AI12" s="313"/>
      <c r="AJ12" s="313"/>
      <c r="AK12" s="331"/>
      <c r="AL12" s="332"/>
      <c r="AM12" s="313"/>
      <c r="AN12" s="313"/>
      <c r="AO12" s="331"/>
      <c r="AP12" s="303"/>
      <c r="AQ12" s="303"/>
      <c r="AR12" s="303"/>
      <c r="AS12" s="447"/>
      <c r="AT12" s="341"/>
      <c r="AU12" s="341"/>
      <c r="AV12" s="303"/>
      <c r="AW12" s="303"/>
      <c r="AX12" s="303"/>
      <c r="AY12" s="303"/>
      <c r="AZ12" s="322"/>
    </row>
    <row r="13" spans="1:64" ht="15" customHeight="1" x14ac:dyDescent="0.2">
      <c r="A13" s="485" t="s">
        <v>525</v>
      </c>
      <c r="B13" s="362"/>
      <c r="C13" s="362"/>
      <c r="D13" s="363"/>
      <c r="E13" s="362"/>
      <c r="F13" s="362"/>
      <c r="G13" s="363"/>
      <c r="H13" s="363"/>
      <c r="I13" s="363"/>
      <c r="J13" s="363"/>
      <c r="K13" s="363"/>
      <c r="L13" s="363"/>
      <c r="M13" s="363"/>
      <c r="N13" s="363"/>
      <c r="O13" s="363"/>
      <c r="P13" s="364"/>
      <c r="Q13" s="365"/>
      <c r="R13" s="362"/>
      <c r="S13" s="362"/>
      <c r="T13" s="362"/>
      <c r="U13" s="362"/>
      <c r="V13" s="369"/>
      <c r="W13" s="369"/>
      <c r="X13" s="362"/>
      <c r="Y13" s="362"/>
      <c r="Z13" s="369"/>
      <c r="AA13" s="369"/>
      <c r="AB13" s="362"/>
      <c r="AC13" s="362"/>
      <c r="AD13" s="369"/>
      <c r="AE13" s="369"/>
      <c r="AF13" s="362"/>
      <c r="AG13" s="362"/>
      <c r="AH13" s="362"/>
      <c r="AI13" s="362"/>
      <c r="AJ13" s="362"/>
      <c r="AK13" s="362"/>
      <c r="AL13" s="369"/>
      <c r="AM13" s="369"/>
      <c r="AN13" s="362"/>
      <c r="AO13" s="362"/>
      <c r="AP13" s="362"/>
      <c r="AQ13" s="362"/>
      <c r="AR13" s="362"/>
      <c r="AS13" s="362"/>
      <c r="AT13" s="362"/>
      <c r="AU13" s="362"/>
      <c r="AV13" s="362"/>
      <c r="AW13" s="362"/>
      <c r="AX13" s="362"/>
      <c r="AY13" s="362"/>
      <c r="AZ13" s="362"/>
      <c r="BA13" s="362"/>
      <c r="BB13" s="362"/>
      <c r="BC13" s="362"/>
      <c r="BD13" s="362"/>
      <c r="BE13" s="362"/>
      <c r="BF13" s="362"/>
      <c r="BG13" s="362"/>
      <c r="BH13" s="362"/>
      <c r="BI13" s="362"/>
      <c r="BJ13" s="362"/>
      <c r="BK13" s="362"/>
      <c r="BL13" s="366"/>
    </row>
    <row r="14" spans="1:64" ht="15" customHeight="1" x14ac:dyDescent="0.2">
      <c r="A14" s="321">
        <v>62007010</v>
      </c>
      <c r="B14" s="321" t="s">
        <v>674</v>
      </c>
      <c r="C14" s="321" t="s">
        <v>773</v>
      </c>
      <c r="D14" s="352" t="s">
        <v>682</v>
      </c>
      <c r="E14" s="307" t="s">
        <v>683</v>
      </c>
      <c r="F14" s="307" t="str">
        <f>LEFT(E14,8)</f>
        <v>07/27/20</v>
      </c>
      <c r="G14" s="322" t="s">
        <v>684</v>
      </c>
      <c r="H14" s="322" t="s">
        <v>685</v>
      </c>
      <c r="I14" s="330"/>
      <c r="J14" s="323">
        <v>24.038357000000001</v>
      </c>
      <c r="K14" s="323">
        <v>42.946617000000003</v>
      </c>
      <c r="L14" s="323">
        <v>29.232849000000002</v>
      </c>
      <c r="M14" s="323">
        <v>29.179106999999998</v>
      </c>
      <c r="N14" s="308">
        <v>4250</v>
      </c>
      <c r="O14" s="308">
        <v>30.36</v>
      </c>
      <c r="P14" s="308">
        <v>0.3201</v>
      </c>
      <c r="Q14" s="308">
        <v>1.9560000000000001E-2</v>
      </c>
      <c r="R14" s="309">
        <v>10.291707049999999</v>
      </c>
      <c r="S14" s="309">
        <f t="shared" ref="S14:S37" si="0">R14+R13</f>
        <v>10.291707049999999</v>
      </c>
      <c r="T14" s="338">
        <v>79.400000000000006</v>
      </c>
      <c r="U14" s="338">
        <v>75.2</v>
      </c>
      <c r="V14" s="313">
        <v>10408</v>
      </c>
      <c r="W14" s="313">
        <v>13133</v>
      </c>
      <c r="X14" s="313">
        <f t="shared" ref="X14:X37" si="1">W14-V14</f>
        <v>2725</v>
      </c>
      <c r="Y14" s="313">
        <f t="shared" ref="Y14:Y37" si="2">X14/$R14</f>
        <v>264.77628898307984</v>
      </c>
      <c r="Z14" s="332">
        <v>962.34</v>
      </c>
      <c r="AA14" s="313">
        <v>994.4</v>
      </c>
      <c r="AB14" s="313">
        <f t="shared" ref="AB14:AB37" si="3">AA14-Z14</f>
        <v>32.059999999999945</v>
      </c>
      <c r="AC14" s="331">
        <f t="shared" ref="AC14:AC37" si="4">AB14/$R14</f>
        <v>3.1151294769899174</v>
      </c>
      <c r="AD14" s="332">
        <v>-37.82</v>
      </c>
      <c r="AE14" s="313">
        <v>-38.630000000000003</v>
      </c>
      <c r="AF14" s="313">
        <f t="shared" ref="AF14:AF37" si="5">AE14-AD14</f>
        <v>-0.81000000000000227</v>
      </c>
      <c r="AG14" s="331">
        <f t="shared" ref="AG14:AG37" si="6">AF14/$R14</f>
        <v>-7.8704144615154223E-2</v>
      </c>
      <c r="AH14" s="332">
        <v>0</v>
      </c>
      <c r="AI14" s="313">
        <v>0</v>
      </c>
      <c r="AJ14" s="313">
        <f t="shared" ref="AJ14:AJ37" si="7">AI14-AH14</f>
        <v>0</v>
      </c>
      <c r="AK14" s="331">
        <f t="shared" ref="AK14:AK37" si="8">AJ14/$R14</f>
        <v>0</v>
      </c>
      <c r="AL14" s="332">
        <v>0</v>
      </c>
      <c r="AM14" s="313">
        <v>0</v>
      </c>
      <c r="AN14" s="313">
        <f t="shared" ref="AN14:AN37" si="9">AM14-AL14</f>
        <v>0</v>
      </c>
      <c r="AO14" s="331">
        <f t="shared" ref="AO14:AO37" si="10">AN14/$R14</f>
        <v>0</v>
      </c>
      <c r="AP14" s="303">
        <v>79.400000000000006</v>
      </c>
      <c r="AQ14" s="303">
        <v>75.2</v>
      </c>
      <c r="AR14" s="303">
        <f t="shared" ref="AR14:AR37" si="11">AQ14-AP14</f>
        <v>-4.2000000000000028</v>
      </c>
      <c r="AS14" s="447">
        <v>351.9</v>
      </c>
      <c r="AT14" s="341">
        <v>353</v>
      </c>
      <c r="AU14" s="341">
        <f t="shared" ref="AU14:AU37" si="12">AT14-AS14</f>
        <v>1.1000000000000227</v>
      </c>
      <c r="AV14" s="303"/>
      <c r="AW14" s="303"/>
      <c r="AX14" s="303"/>
      <c r="AY14" s="303"/>
      <c r="AZ14" s="322" t="s">
        <v>686</v>
      </c>
      <c r="BA14" s="461">
        <v>1944.7725101399999</v>
      </c>
      <c r="BB14" s="461">
        <v>-0.55454740999999996</v>
      </c>
      <c r="BC14" s="461">
        <v>1299.5263507899999</v>
      </c>
      <c r="BD14" s="461">
        <v>1306.7730267699999</v>
      </c>
      <c r="BE14" s="461">
        <v>8.0490722800000007</v>
      </c>
      <c r="BF14" s="461">
        <v>8.0201909899999997</v>
      </c>
      <c r="BG14" s="461">
        <v>0.34224737999999999</v>
      </c>
      <c r="BH14" s="461">
        <v>10.291783560000001</v>
      </c>
      <c r="BI14" s="461">
        <v>10.256680340000001</v>
      </c>
      <c r="BJ14" s="461">
        <v>1.779584E-2</v>
      </c>
      <c r="BK14" s="461">
        <v>0.36010730000000002</v>
      </c>
      <c r="BL14" s="461">
        <v>0.28277405</v>
      </c>
    </row>
    <row r="15" spans="1:64" ht="15" customHeight="1" x14ac:dyDescent="0.2">
      <c r="A15" s="321">
        <v>62007010</v>
      </c>
      <c r="B15" s="321" t="s">
        <v>674</v>
      </c>
      <c r="C15" s="321" t="s">
        <v>774</v>
      </c>
      <c r="D15" s="352" t="s">
        <v>682</v>
      </c>
      <c r="E15" s="307" t="s">
        <v>683</v>
      </c>
      <c r="F15" s="307" t="str">
        <f t="shared" ref="F15:F78" si="13">LEFT(E15,8)</f>
        <v>07/27/20</v>
      </c>
      <c r="G15" s="322" t="s">
        <v>684</v>
      </c>
      <c r="H15" s="322" t="s">
        <v>685</v>
      </c>
      <c r="I15" s="330"/>
      <c r="J15" s="323">
        <v>24.664563000000001</v>
      </c>
      <c r="K15" s="323">
        <v>40.950802000000003</v>
      </c>
      <c r="L15" s="323">
        <v>29.234024000000002</v>
      </c>
      <c r="M15" s="323">
        <v>29.958921</v>
      </c>
      <c r="N15" s="308">
        <v>4250</v>
      </c>
      <c r="O15" s="308">
        <v>30.36</v>
      </c>
      <c r="P15" s="308">
        <v>0.3201</v>
      </c>
      <c r="Q15" s="308">
        <v>1.9560000000000001E-2</v>
      </c>
      <c r="R15" s="309">
        <v>10.29091539</v>
      </c>
      <c r="S15" s="309">
        <f t="shared" si="0"/>
        <v>20.582622440000002</v>
      </c>
      <c r="T15" s="338">
        <v>75.2</v>
      </c>
      <c r="U15" s="338">
        <v>71</v>
      </c>
      <c r="V15" s="313">
        <v>13134</v>
      </c>
      <c r="W15" s="313">
        <v>15801</v>
      </c>
      <c r="X15" s="313">
        <f t="shared" si="1"/>
        <v>2667</v>
      </c>
      <c r="Y15" s="313">
        <f t="shared" si="2"/>
        <v>259.16061875230321</v>
      </c>
      <c r="Z15" s="332">
        <v>995.03</v>
      </c>
      <c r="AA15" s="313">
        <v>1026.9823100000001</v>
      </c>
      <c r="AB15" s="313">
        <f t="shared" si="3"/>
        <v>31.952310000000125</v>
      </c>
      <c r="AC15" s="331">
        <f t="shared" si="4"/>
        <v>3.1049045482435091</v>
      </c>
      <c r="AD15" s="332">
        <v>-38.65</v>
      </c>
      <c r="AE15" s="313">
        <v>-39.369999999999997</v>
      </c>
      <c r="AF15" s="313">
        <f t="shared" si="5"/>
        <v>-0.71999999999999886</v>
      </c>
      <c r="AG15" s="331">
        <f t="shared" si="6"/>
        <v>-6.9964621485436085E-2</v>
      </c>
      <c r="AH15" s="332">
        <v>0</v>
      </c>
      <c r="AI15" s="313">
        <v>0</v>
      </c>
      <c r="AJ15" s="313">
        <f t="shared" si="7"/>
        <v>0</v>
      </c>
      <c r="AK15" s="331">
        <f t="shared" si="8"/>
        <v>0</v>
      </c>
      <c r="AL15" s="332">
        <v>0</v>
      </c>
      <c r="AM15" s="313">
        <v>0</v>
      </c>
      <c r="AN15" s="313">
        <f t="shared" si="9"/>
        <v>0</v>
      </c>
      <c r="AO15" s="331">
        <f t="shared" si="10"/>
        <v>0</v>
      </c>
      <c r="AP15" s="303">
        <v>75.2</v>
      </c>
      <c r="AQ15" s="303">
        <v>71</v>
      </c>
      <c r="AR15" s="303">
        <f t="shared" si="11"/>
        <v>-4.2000000000000028</v>
      </c>
      <c r="AS15" s="447">
        <v>353</v>
      </c>
      <c r="AT15" s="341">
        <v>354.1</v>
      </c>
      <c r="AU15" s="341">
        <f t="shared" si="12"/>
        <v>1.1000000000000227</v>
      </c>
      <c r="AV15" s="303"/>
      <c r="AW15" s="303"/>
      <c r="AX15" s="303"/>
      <c r="AY15" s="303"/>
      <c r="AZ15" s="322" t="s">
        <v>686</v>
      </c>
      <c r="BA15" s="461">
        <v>1941.2716402900001</v>
      </c>
      <c r="BB15" s="461">
        <v>-0.54052940999999999</v>
      </c>
      <c r="BC15" s="461">
        <v>1299.6738335699999</v>
      </c>
      <c r="BD15" s="461">
        <v>1306.7371321099999</v>
      </c>
      <c r="BE15" s="461">
        <v>8.0480464099999995</v>
      </c>
      <c r="BF15" s="461">
        <v>8.0201008900000001</v>
      </c>
      <c r="BG15" s="461">
        <v>0.33478184</v>
      </c>
      <c r="BH15" s="461">
        <v>10.291018080000001</v>
      </c>
      <c r="BI15" s="461">
        <v>10.25668057</v>
      </c>
      <c r="BJ15" s="461">
        <v>1.361421E-2</v>
      </c>
      <c r="BK15" s="461">
        <v>0.34844349000000002</v>
      </c>
      <c r="BL15" s="461">
        <v>0.28276836999999999</v>
      </c>
    </row>
    <row r="16" spans="1:64" ht="15" customHeight="1" x14ac:dyDescent="0.2">
      <c r="A16" s="321">
        <v>62007011</v>
      </c>
      <c r="B16" s="321" t="s">
        <v>647</v>
      </c>
      <c r="C16" s="321" t="s">
        <v>773</v>
      </c>
      <c r="D16" s="352" t="s">
        <v>687</v>
      </c>
      <c r="E16" s="307" t="s">
        <v>688</v>
      </c>
      <c r="F16" s="307" t="str">
        <f t="shared" si="13"/>
        <v>07/27/20</v>
      </c>
      <c r="G16" s="322" t="s">
        <v>689</v>
      </c>
      <c r="H16" s="322" t="s">
        <v>690</v>
      </c>
      <c r="I16" s="330"/>
      <c r="J16" s="323">
        <v>21.476144000000001</v>
      </c>
      <c r="K16" s="323">
        <v>48.831038999999997</v>
      </c>
      <c r="L16" s="323">
        <v>29.234528999999998</v>
      </c>
      <c r="M16" s="323">
        <v>28.346620000000001</v>
      </c>
      <c r="N16" s="308">
        <v>4250</v>
      </c>
      <c r="O16" s="308">
        <v>30.36</v>
      </c>
      <c r="P16" s="308">
        <v>0.3201</v>
      </c>
      <c r="Q16" s="308">
        <v>1.9560000000000001E-2</v>
      </c>
      <c r="R16" s="309">
        <v>7.40001116</v>
      </c>
      <c r="S16" s="309">
        <f t="shared" si="0"/>
        <v>17.69092655</v>
      </c>
      <c r="T16" s="338">
        <v>70.3</v>
      </c>
      <c r="U16" s="338">
        <v>67.7</v>
      </c>
      <c r="V16" s="313">
        <v>16247</v>
      </c>
      <c r="W16" s="313">
        <v>17843</v>
      </c>
      <c r="X16" s="313">
        <f t="shared" si="1"/>
        <v>1596</v>
      </c>
      <c r="Y16" s="313">
        <f t="shared" si="2"/>
        <v>215.675350413931</v>
      </c>
      <c r="Z16" s="332">
        <v>1123.371545</v>
      </c>
      <c r="AA16" s="313">
        <v>1181.03</v>
      </c>
      <c r="AB16" s="313">
        <f t="shared" si="3"/>
        <v>57.658455000000004</v>
      </c>
      <c r="AC16" s="331">
        <f t="shared" si="4"/>
        <v>7.7916713574253587</v>
      </c>
      <c r="AD16" s="332">
        <v>-41.32</v>
      </c>
      <c r="AE16" s="313">
        <v>-42.34</v>
      </c>
      <c r="AF16" s="313">
        <f t="shared" si="5"/>
        <v>-1.0200000000000031</v>
      </c>
      <c r="AG16" s="331">
        <f t="shared" si="6"/>
        <v>-0.1378376299637909</v>
      </c>
      <c r="AH16" s="332">
        <v>0</v>
      </c>
      <c r="AI16" s="313">
        <v>0</v>
      </c>
      <c r="AJ16" s="313">
        <f t="shared" si="7"/>
        <v>0</v>
      </c>
      <c r="AK16" s="331">
        <f t="shared" si="8"/>
        <v>0</v>
      </c>
      <c r="AL16" s="332">
        <v>0</v>
      </c>
      <c r="AM16" s="313">
        <v>0.05</v>
      </c>
      <c r="AN16" s="313">
        <f t="shared" si="9"/>
        <v>0.05</v>
      </c>
      <c r="AO16" s="331">
        <f t="shared" si="10"/>
        <v>6.7567465668524748E-3</v>
      </c>
      <c r="AP16" s="303">
        <v>70.3</v>
      </c>
      <c r="AQ16" s="303">
        <v>67.7</v>
      </c>
      <c r="AR16" s="303">
        <f t="shared" si="11"/>
        <v>-2.5999999999999943</v>
      </c>
      <c r="AS16" s="447">
        <v>357.3</v>
      </c>
      <c r="AT16" s="341">
        <v>359.2</v>
      </c>
      <c r="AU16" s="341">
        <f t="shared" si="12"/>
        <v>1.8999999999999773</v>
      </c>
      <c r="AV16" s="303"/>
      <c r="AW16" s="303"/>
      <c r="AX16" s="303"/>
      <c r="AY16" s="303"/>
      <c r="AZ16" s="322" t="s">
        <v>686</v>
      </c>
      <c r="BA16" s="461">
        <v>1819.14149496</v>
      </c>
      <c r="BB16" s="461">
        <v>-1.9733649900000001</v>
      </c>
      <c r="BC16" s="461">
        <v>5357.1516871399999</v>
      </c>
      <c r="BD16" s="461">
        <v>5464.9960049299998</v>
      </c>
      <c r="BE16" s="461">
        <v>6.1394926700000001</v>
      </c>
      <c r="BF16" s="461">
        <v>6.2773213500000002</v>
      </c>
      <c r="BG16" s="461">
        <v>-0.68246918000000001</v>
      </c>
      <c r="BH16" s="461">
        <v>7.3999736199999999</v>
      </c>
      <c r="BI16" s="461">
        <v>7.4508232000000003</v>
      </c>
      <c r="BJ16" s="461">
        <v>-1.54716202</v>
      </c>
      <c r="BK16" s="461">
        <v>-2.1956607799999999</v>
      </c>
      <c r="BL16" s="461">
        <v>0.65006620000000004</v>
      </c>
    </row>
    <row r="17" spans="1:64" ht="15" customHeight="1" x14ac:dyDescent="0.2">
      <c r="A17" s="321">
        <v>62007011</v>
      </c>
      <c r="B17" s="321" t="s">
        <v>647</v>
      </c>
      <c r="C17" s="321" t="s">
        <v>774</v>
      </c>
      <c r="D17" s="352" t="s">
        <v>687</v>
      </c>
      <c r="E17" s="307" t="s">
        <v>688</v>
      </c>
      <c r="F17" s="307" t="str">
        <f t="shared" si="13"/>
        <v>07/27/20</v>
      </c>
      <c r="G17" s="322" t="s">
        <v>689</v>
      </c>
      <c r="H17" s="322" t="s">
        <v>690</v>
      </c>
      <c r="I17" s="330"/>
      <c r="J17" s="323">
        <v>22.506878</v>
      </c>
      <c r="K17" s="323">
        <v>45.647247</v>
      </c>
      <c r="L17" s="323">
        <v>29.239682999999999</v>
      </c>
      <c r="M17" s="323">
        <v>29.590185000000002</v>
      </c>
      <c r="N17" s="308">
        <v>4250</v>
      </c>
      <c r="O17" s="308">
        <v>30.36</v>
      </c>
      <c r="P17" s="308">
        <v>0.3201</v>
      </c>
      <c r="Q17" s="308">
        <v>1.9560000000000001E-2</v>
      </c>
      <c r="R17" s="309">
        <v>7.4099066899999997</v>
      </c>
      <c r="S17" s="309">
        <f t="shared" si="0"/>
        <v>14.80991785</v>
      </c>
      <c r="T17" s="338">
        <v>67.7</v>
      </c>
      <c r="U17" s="338">
        <v>64.7</v>
      </c>
      <c r="V17" s="313">
        <v>17843</v>
      </c>
      <c r="W17" s="313">
        <v>19765</v>
      </c>
      <c r="X17" s="313">
        <f t="shared" si="1"/>
        <v>1922</v>
      </c>
      <c r="Y17" s="313">
        <f t="shared" si="2"/>
        <v>259.38248353300116</v>
      </c>
      <c r="Z17" s="332">
        <v>1181.04</v>
      </c>
      <c r="AA17" s="313">
        <v>1238.32</v>
      </c>
      <c r="AB17" s="313">
        <f t="shared" si="3"/>
        <v>57.279999999999973</v>
      </c>
      <c r="AC17" s="331">
        <f t="shared" si="4"/>
        <v>7.730191808933558</v>
      </c>
      <c r="AD17" s="332">
        <v>-42.340764</v>
      </c>
      <c r="AE17" s="313">
        <v>-43.32</v>
      </c>
      <c r="AF17" s="313">
        <f t="shared" si="5"/>
        <v>-0.97923600000000022</v>
      </c>
      <c r="AG17" s="331">
        <f t="shared" si="6"/>
        <v>-0.13215227140734753</v>
      </c>
      <c r="AH17" s="332">
        <v>0</v>
      </c>
      <c r="AI17" s="313">
        <v>0</v>
      </c>
      <c r="AJ17" s="313">
        <f t="shared" si="7"/>
        <v>0</v>
      </c>
      <c r="AK17" s="331">
        <f t="shared" si="8"/>
        <v>0</v>
      </c>
      <c r="AL17" s="332">
        <v>0.05</v>
      </c>
      <c r="AM17" s="313">
        <v>0.05</v>
      </c>
      <c r="AN17" s="313">
        <f t="shared" si="9"/>
        <v>0</v>
      </c>
      <c r="AO17" s="331">
        <f t="shared" si="10"/>
        <v>0</v>
      </c>
      <c r="AP17" s="303">
        <v>67.7</v>
      </c>
      <c r="AQ17" s="303">
        <v>64.7</v>
      </c>
      <c r="AR17" s="303">
        <f t="shared" si="11"/>
        <v>-3</v>
      </c>
      <c r="AS17" s="447">
        <v>359.2</v>
      </c>
      <c r="AT17" s="341">
        <v>361.1</v>
      </c>
      <c r="AU17" s="341">
        <f t="shared" si="12"/>
        <v>1.9000000000000341</v>
      </c>
      <c r="AV17" s="303"/>
      <c r="AW17" s="303"/>
      <c r="AX17" s="303"/>
      <c r="AY17" s="303"/>
      <c r="AZ17" s="322" t="s">
        <v>686</v>
      </c>
      <c r="BA17" s="461">
        <v>1792.07039661</v>
      </c>
      <c r="BB17" s="461">
        <v>-0.56889993000000005</v>
      </c>
      <c r="BC17" s="461">
        <v>5433.6439109599996</v>
      </c>
      <c r="BD17" s="461">
        <v>5464.73277186</v>
      </c>
      <c r="BE17" s="461">
        <v>6.1644096800000003</v>
      </c>
      <c r="BF17" s="461">
        <v>6.2769583899999999</v>
      </c>
      <c r="BG17" s="461">
        <v>-0.55029006999999996</v>
      </c>
      <c r="BH17" s="461">
        <v>7.40982027</v>
      </c>
      <c r="BI17" s="461">
        <v>7.4508213999999997</v>
      </c>
      <c r="BJ17" s="461">
        <v>-1.2654453400000001</v>
      </c>
      <c r="BK17" s="461">
        <v>-1.79304541</v>
      </c>
      <c r="BL17" s="461">
        <v>0.65005760999999995</v>
      </c>
    </row>
    <row r="18" spans="1:64" ht="15" customHeight="1" x14ac:dyDescent="0.2">
      <c r="A18" s="321">
        <v>62007011</v>
      </c>
      <c r="B18" s="321" t="s">
        <v>647</v>
      </c>
      <c r="C18" s="321" t="s">
        <v>776</v>
      </c>
      <c r="D18" s="352" t="s">
        <v>687</v>
      </c>
      <c r="E18" s="307" t="s">
        <v>688</v>
      </c>
      <c r="F18" s="307" t="str">
        <f t="shared" si="13"/>
        <v>07/27/20</v>
      </c>
      <c r="G18" s="322" t="s">
        <v>689</v>
      </c>
      <c r="H18" s="322" t="s">
        <v>690</v>
      </c>
      <c r="I18" s="330"/>
      <c r="J18" s="323" t="s">
        <v>691</v>
      </c>
      <c r="K18" s="323" t="s">
        <v>691</v>
      </c>
      <c r="L18" s="323" t="s">
        <v>691</v>
      </c>
      <c r="M18" s="323" t="s">
        <v>691</v>
      </c>
      <c r="N18" s="308">
        <v>4250</v>
      </c>
      <c r="O18" s="308">
        <v>30.36</v>
      </c>
      <c r="P18" s="308">
        <v>0.3201</v>
      </c>
      <c r="Q18" s="308">
        <v>1.9560000000000001E-2</v>
      </c>
      <c r="R18" s="309" t="s">
        <v>988</v>
      </c>
      <c r="S18" s="309" t="e">
        <f t="shared" si="0"/>
        <v>#VALUE!</v>
      </c>
      <c r="T18" s="338">
        <v>64.7</v>
      </c>
      <c r="U18" s="338">
        <v>70.3</v>
      </c>
      <c r="V18" s="313">
        <v>19765</v>
      </c>
      <c r="W18" s="313">
        <v>16246</v>
      </c>
      <c r="X18" s="313">
        <f t="shared" si="1"/>
        <v>-3519</v>
      </c>
      <c r="Y18" s="313" t="e">
        <f t="shared" si="2"/>
        <v>#VALUE!</v>
      </c>
      <c r="Z18" s="332">
        <v>1238.32</v>
      </c>
      <c r="AA18" s="313">
        <v>1122.46</v>
      </c>
      <c r="AB18" s="313">
        <f t="shared" si="3"/>
        <v>-115.8599999999999</v>
      </c>
      <c r="AC18" s="331" t="e">
        <f t="shared" si="4"/>
        <v>#VALUE!</v>
      </c>
      <c r="AD18" s="332">
        <v>-43.32</v>
      </c>
      <c r="AE18" s="313">
        <v>-41.3</v>
      </c>
      <c r="AF18" s="313">
        <f t="shared" si="5"/>
        <v>2.0200000000000031</v>
      </c>
      <c r="AG18" s="331" t="e">
        <f t="shared" si="6"/>
        <v>#VALUE!</v>
      </c>
      <c r="AH18" s="332">
        <v>0</v>
      </c>
      <c r="AI18" s="313">
        <v>0</v>
      </c>
      <c r="AJ18" s="313">
        <f t="shared" si="7"/>
        <v>0</v>
      </c>
      <c r="AK18" s="331" t="e">
        <f t="shared" si="8"/>
        <v>#VALUE!</v>
      </c>
      <c r="AL18" s="332">
        <v>0.05</v>
      </c>
      <c r="AM18" s="313">
        <v>0</v>
      </c>
      <c r="AN18" s="313">
        <f t="shared" si="9"/>
        <v>-0.05</v>
      </c>
      <c r="AO18" s="331" t="e">
        <f t="shared" si="10"/>
        <v>#VALUE!</v>
      </c>
      <c r="AP18" s="303">
        <v>64.7</v>
      </c>
      <c r="AQ18" s="303">
        <v>70.3</v>
      </c>
      <c r="AR18" s="303">
        <f t="shared" si="11"/>
        <v>5.5999999999999943</v>
      </c>
      <c r="AS18" s="447">
        <v>361.1</v>
      </c>
      <c r="AT18" s="341">
        <v>357.3</v>
      </c>
      <c r="AU18" s="341">
        <f t="shared" si="12"/>
        <v>-3.8000000000000114</v>
      </c>
      <c r="AV18" s="303"/>
      <c r="AW18" s="303"/>
      <c r="AX18" s="303"/>
      <c r="AY18" s="303"/>
      <c r="AZ18" s="322" t="s">
        <v>686</v>
      </c>
    </row>
    <row r="19" spans="1:64" ht="15" customHeight="1" x14ac:dyDescent="0.2">
      <c r="A19" s="321">
        <v>62007012</v>
      </c>
      <c r="B19" s="321" t="s">
        <v>646</v>
      </c>
      <c r="C19" s="321" t="s">
        <v>773</v>
      </c>
      <c r="D19" s="352" t="s">
        <v>692</v>
      </c>
      <c r="E19" s="307" t="s">
        <v>693</v>
      </c>
      <c r="F19" s="307" t="str">
        <f t="shared" si="13"/>
        <v>07/29/20</v>
      </c>
      <c r="G19" s="322" t="s">
        <v>694</v>
      </c>
      <c r="H19" s="322" t="s">
        <v>695</v>
      </c>
      <c r="I19" s="330"/>
      <c r="J19" s="323">
        <v>25.575984999999999</v>
      </c>
      <c r="K19" s="323">
        <v>37.892060000000001</v>
      </c>
      <c r="L19" s="323">
        <v>29.254916999999999</v>
      </c>
      <c r="M19" s="323">
        <v>27.570754999999998</v>
      </c>
      <c r="N19" s="308">
        <v>4250</v>
      </c>
      <c r="O19" s="308">
        <v>30.36</v>
      </c>
      <c r="P19" s="308">
        <v>0.3201</v>
      </c>
      <c r="Q19" s="308">
        <v>1.9560000000000001E-2</v>
      </c>
      <c r="R19" s="309">
        <v>10.31195419</v>
      </c>
      <c r="S19" s="309" t="e">
        <f t="shared" si="0"/>
        <v>#VALUE!</v>
      </c>
      <c r="T19" s="338">
        <v>61.7</v>
      </c>
      <c r="U19" s="338">
        <v>57.8</v>
      </c>
      <c r="V19" s="313">
        <v>21977</v>
      </c>
      <c r="W19" s="313">
        <v>24509</v>
      </c>
      <c r="X19" s="313">
        <f t="shared" si="1"/>
        <v>2532</v>
      </c>
      <c r="Y19" s="313">
        <f t="shared" si="2"/>
        <v>245.54026844450132</v>
      </c>
      <c r="Z19" s="332">
        <v>3119.6959489999999</v>
      </c>
      <c r="AA19" s="313">
        <v>3152.58</v>
      </c>
      <c r="AB19" s="313">
        <f t="shared" si="3"/>
        <v>32.884050999999999</v>
      </c>
      <c r="AC19" s="331">
        <f t="shared" si="4"/>
        <v>3.1889252409489224</v>
      </c>
      <c r="AD19" s="332">
        <v>-75.930000000000007</v>
      </c>
      <c r="AE19" s="313">
        <v>-76.94</v>
      </c>
      <c r="AF19" s="313">
        <f t="shared" si="5"/>
        <v>-1.0099999999999909</v>
      </c>
      <c r="AG19" s="331">
        <f t="shared" si="6"/>
        <v>-9.7944577855033216E-2</v>
      </c>
      <c r="AH19" s="332">
        <v>0</v>
      </c>
      <c r="AI19" s="313">
        <v>0</v>
      </c>
      <c r="AJ19" s="313">
        <f t="shared" si="7"/>
        <v>0</v>
      </c>
      <c r="AK19" s="331">
        <f t="shared" si="8"/>
        <v>0</v>
      </c>
      <c r="AL19" s="332">
        <v>0.05</v>
      </c>
      <c r="AM19" s="313">
        <v>0.05</v>
      </c>
      <c r="AN19" s="313">
        <f t="shared" si="9"/>
        <v>0</v>
      </c>
      <c r="AO19" s="331">
        <f t="shared" si="10"/>
        <v>0</v>
      </c>
      <c r="AP19" s="303">
        <v>61.7</v>
      </c>
      <c r="AQ19" s="303">
        <v>57.8</v>
      </c>
      <c r="AR19" s="303">
        <f t="shared" si="11"/>
        <v>-3.9000000000000057</v>
      </c>
      <c r="AS19" s="447">
        <v>584.9</v>
      </c>
      <c r="AT19" s="341">
        <v>586</v>
      </c>
      <c r="AU19" s="341">
        <f t="shared" si="12"/>
        <v>1.1000000000000227</v>
      </c>
      <c r="AV19" s="303"/>
      <c r="AW19" s="303"/>
      <c r="AX19" s="303"/>
      <c r="AY19" s="303"/>
      <c r="AZ19" s="322" t="s">
        <v>686</v>
      </c>
      <c r="BA19" s="461">
        <v>1945.50156681</v>
      </c>
      <c r="BB19" s="461">
        <v>-0.48108021000000001</v>
      </c>
      <c r="BC19" s="461">
        <v>1300.5137817499999</v>
      </c>
      <c r="BD19" s="461">
        <v>1306.80054051</v>
      </c>
      <c r="BE19" s="461">
        <v>8.0792501600000008</v>
      </c>
      <c r="BF19" s="461">
        <v>8.0202601300000005</v>
      </c>
      <c r="BG19" s="461">
        <v>0.53969312999999997</v>
      </c>
      <c r="BH19" s="461">
        <v>10.31203522</v>
      </c>
      <c r="BI19" s="461">
        <v>10.256680619999999</v>
      </c>
      <c r="BJ19" s="461">
        <v>0.19438981999999999</v>
      </c>
      <c r="BK19" s="461">
        <v>0.73551270999999996</v>
      </c>
      <c r="BL19" s="461">
        <v>0.28277848999999999</v>
      </c>
    </row>
    <row r="20" spans="1:64" ht="15" customHeight="1" x14ac:dyDescent="0.2">
      <c r="A20" s="321">
        <v>62007012</v>
      </c>
      <c r="B20" s="321" t="s">
        <v>646</v>
      </c>
      <c r="C20" s="321" t="s">
        <v>774</v>
      </c>
      <c r="D20" s="352" t="s">
        <v>692</v>
      </c>
      <c r="E20" s="307" t="s">
        <v>693</v>
      </c>
      <c r="F20" s="307" t="str">
        <f t="shared" si="13"/>
        <v>07/29/20</v>
      </c>
      <c r="G20" s="322" t="s">
        <v>694</v>
      </c>
      <c r="H20" s="322" t="s">
        <v>695</v>
      </c>
      <c r="I20" s="330"/>
      <c r="J20" s="323">
        <v>24.951632</v>
      </c>
      <c r="K20" s="323">
        <v>39.212017000000003</v>
      </c>
      <c r="L20" s="323">
        <v>29.248663000000001</v>
      </c>
      <c r="M20" s="323">
        <v>29.838415000000001</v>
      </c>
      <c r="N20" s="308">
        <v>4250</v>
      </c>
      <c r="O20" s="308">
        <v>30.36</v>
      </c>
      <c r="P20" s="308">
        <v>0.3201</v>
      </c>
      <c r="Q20" s="308">
        <v>1.9560000000000001E-2</v>
      </c>
      <c r="R20" s="309">
        <v>10.31278618</v>
      </c>
      <c r="S20" s="309">
        <f t="shared" si="0"/>
        <v>20.624740369999998</v>
      </c>
      <c r="T20" s="338">
        <v>57.8</v>
      </c>
      <c r="U20" s="338">
        <v>53.9</v>
      </c>
      <c r="V20" s="313">
        <v>24510</v>
      </c>
      <c r="W20" s="313">
        <v>26918</v>
      </c>
      <c r="X20" s="313">
        <f t="shared" si="1"/>
        <v>2408</v>
      </c>
      <c r="Y20" s="313">
        <f t="shared" si="2"/>
        <v>233.49655058978445</v>
      </c>
      <c r="Z20" s="332">
        <v>3153.2</v>
      </c>
      <c r="AA20" s="313">
        <v>3185.28</v>
      </c>
      <c r="AB20" s="313">
        <f t="shared" si="3"/>
        <v>32.080000000000382</v>
      </c>
      <c r="AC20" s="331">
        <f t="shared" si="4"/>
        <v>3.1107015543689265</v>
      </c>
      <c r="AD20" s="332">
        <v>-76.959999999999994</v>
      </c>
      <c r="AE20" s="313">
        <v>-77.61</v>
      </c>
      <c r="AF20" s="313">
        <f t="shared" si="5"/>
        <v>-0.65000000000000568</v>
      </c>
      <c r="AG20" s="331">
        <f t="shared" si="6"/>
        <v>-6.3028553938272933E-2</v>
      </c>
      <c r="AH20" s="332">
        <v>0</v>
      </c>
      <c r="AI20" s="313">
        <v>0</v>
      </c>
      <c r="AJ20" s="313">
        <f t="shared" si="7"/>
        <v>0</v>
      </c>
      <c r="AK20" s="331">
        <f t="shared" si="8"/>
        <v>0</v>
      </c>
      <c r="AL20" s="332">
        <v>0.05</v>
      </c>
      <c r="AM20" s="313">
        <v>0.05</v>
      </c>
      <c r="AN20" s="313">
        <f t="shared" si="9"/>
        <v>0</v>
      </c>
      <c r="AO20" s="331">
        <f t="shared" si="10"/>
        <v>0</v>
      </c>
      <c r="AP20" s="303">
        <v>57.8</v>
      </c>
      <c r="AQ20" s="303">
        <v>53.9</v>
      </c>
      <c r="AR20" s="303">
        <f t="shared" si="11"/>
        <v>-3.8999999999999986</v>
      </c>
      <c r="AS20" s="447">
        <v>586</v>
      </c>
      <c r="AT20" s="341">
        <v>587</v>
      </c>
      <c r="AU20" s="341">
        <f t="shared" si="12"/>
        <v>1</v>
      </c>
      <c r="AV20" s="303"/>
      <c r="AW20" s="303"/>
      <c r="AX20" s="303"/>
      <c r="AY20" s="303"/>
      <c r="AZ20" s="322" t="s">
        <v>686</v>
      </c>
      <c r="BA20" s="461">
        <v>1941.6370213800001</v>
      </c>
      <c r="BB20" s="461">
        <v>-0.38328056999999999</v>
      </c>
      <c r="BC20" s="461">
        <v>1301.7520557400001</v>
      </c>
      <c r="BD20" s="461">
        <v>1306.76061531</v>
      </c>
      <c r="BE20" s="461">
        <v>8.0847933300000001</v>
      </c>
      <c r="BF20" s="461">
        <v>8.0201560300000008</v>
      </c>
      <c r="BG20" s="461">
        <v>0.54784748000000005</v>
      </c>
      <c r="BH20" s="461">
        <v>10.312871510000001</v>
      </c>
      <c r="BI20" s="461">
        <v>10.25668054</v>
      </c>
      <c r="BJ20" s="461">
        <v>0.25602481999999999</v>
      </c>
      <c r="BK20" s="461">
        <v>0.80593568999999998</v>
      </c>
      <c r="BL20" s="461">
        <v>0.28277233000000002</v>
      </c>
    </row>
    <row r="21" spans="1:64" ht="15" customHeight="1" x14ac:dyDescent="0.2">
      <c r="A21" s="321">
        <v>62007012</v>
      </c>
      <c r="B21" s="321" t="s">
        <v>646</v>
      </c>
      <c r="C21" s="321" t="s">
        <v>776</v>
      </c>
      <c r="D21" s="352" t="s">
        <v>692</v>
      </c>
      <c r="E21" s="307" t="s">
        <v>693</v>
      </c>
      <c r="F21" s="307" t="str">
        <f t="shared" si="13"/>
        <v>07/29/20</v>
      </c>
      <c r="G21" s="322" t="s">
        <v>694</v>
      </c>
      <c r="H21" s="322" t="s">
        <v>695</v>
      </c>
      <c r="I21" s="330"/>
      <c r="J21" s="323">
        <v>24.741537000000001</v>
      </c>
      <c r="K21" s="323">
        <v>39.612512000000002</v>
      </c>
      <c r="L21" s="323">
        <v>29.244717000000001</v>
      </c>
      <c r="M21" s="323">
        <v>29.912095000000001</v>
      </c>
      <c r="N21" s="308">
        <v>4250</v>
      </c>
      <c r="O21" s="308">
        <v>30.36</v>
      </c>
      <c r="P21" s="308">
        <v>0.3201</v>
      </c>
      <c r="Q21" s="308">
        <v>1.9560000000000001E-2</v>
      </c>
      <c r="R21" s="309">
        <v>10.323624560000001</v>
      </c>
      <c r="S21" s="309">
        <f t="shared" si="0"/>
        <v>20.636410740000002</v>
      </c>
      <c r="T21" s="338">
        <v>53.9</v>
      </c>
      <c r="U21" s="338">
        <v>49.9</v>
      </c>
      <c r="V21" s="313">
        <v>26919</v>
      </c>
      <c r="W21" s="313">
        <v>29318</v>
      </c>
      <c r="X21" s="313">
        <f t="shared" si="1"/>
        <v>2399</v>
      </c>
      <c r="Y21" s="313">
        <f t="shared" si="2"/>
        <v>232.37962462284659</v>
      </c>
      <c r="Z21" s="332">
        <v>3185.91</v>
      </c>
      <c r="AA21" s="313">
        <v>3217.86474</v>
      </c>
      <c r="AB21" s="313">
        <f t="shared" si="3"/>
        <v>31.954740000000129</v>
      </c>
      <c r="AC21" s="331">
        <f t="shared" si="4"/>
        <v>3.0953024118885746</v>
      </c>
      <c r="AD21" s="332">
        <v>-77.62</v>
      </c>
      <c r="AE21" s="313">
        <v>-78.17</v>
      </c>
      <c r="AF21" s="313">
        <f t="shared" si="5"/>
        <v>-0.54999999999999716</v>
      </c>
      <c r="AG21" s="331">
        <f t="shared" si="6"/>
        <v>-5.3275862252007075E-2</v>
      </c>
      <c r="AH21" s="332">
        <v>0</v>
      </c>
      <c r="AI21" s="313">
        <v>0</v>
      </c>
      <c r="AJ21" s="313">
        <f t="shared" si="7"/>
        <v>0</v>
      </c>
      <c r="AK21" s="331">
        <f t="shared" si="8"/>
        <v>0</v>
      </c>
      <c r="AL21" s="332">
        <v>0.05</v>
      </c>
      <c r="AM21" s="313">
        <v>0.05</v>
      </c>
      <c r="AN21" s="313">
        <f t="shared" si="9"/>
        <v>0</v>
      </c>
      <c r="AO21" s="331">
        <f t="shared" si="10"/>
        <v>0</v>
      </c>
      <c r="AP21" s="303">
        <v>53.9</v>
      </c>
      <c r="AQ21" s="303">
        <v>49.9</v>
      </c>
      <c r="AR21" s="303">
        <f t="shared" si="11"/>
        <v>-4</v>
      </c>
      <c r="AS21" s="447">
        <v>587.1</v>
      </c>
      <c r="AT21" s="341">
        <v>588.1</v>
      </c>
      <c r="AU21" s="341">
        <f t="shared" si="12"/>
        <v>1</v>
      </c>
      <c r="AV21" s="303"/>
      <c r="AW21" s="303"/>
      <c r="AX21" s="303"/>
      <c r="AY21" s="303"/>
      <c r="AZ21" s="322" t="s">
        <v>686</v>
      </c>
      <c r="BA21" s="461">
        <v>1976.30780185</v>
      </c>
      <c r="BB21" s="461">
        <v>-0.34343677</v>
      </c>
      <c r="BC21" s="461">
        <v>1302.2434780799999</v>
      </c>
      <c r="BD21" s="461">
        <v>1306.7312737499999</v>
      </c>
      <c r="BE21" s="461">
        <v>8.0894034399999999</v>
      </c>
      <c r="BF21" s="461">
        <v>8.0237867000000005</v>
      </c>
      <c r="BG21" s="461">
        <v>0.54449223000000002</v>
      </c>
      <c r="BH21" s="461">
        <v>10.3237185</v>
      </c>
      <c r="BI21" s="461">
        <v>10.26781107</v>
      </c>
      <c r="BJ21" s="461">
        <v>0.27106878000000001</v>
      </c>
      <c r="BK21" s="461">
        <v>0.81777774999999997</v>
      </c>
      <c r="BL21" s="461">
        <v>0.28263721000000003</v>
      </c>
    </row>
    <row r="22" spans="1:64" ht="15" customHeight="1" x14ac:dyDescent="0.2">
      <c r="A22" s="321">
        <v>62007013</v>
      </c>
      <c r="B22" s="321" t="s">
        <v>675</v>
      </c>
      <c r="C22" s="321" t="s">
        <v>773</v>
      </c>
      <c r="D22" s="352" t="s">
        <v>698</v>
      </c>
      <c r="E22" s="307" t="s">
        <v>699</v>
      </c>
      <c r="F22" s="307" t="str">
        <f t="shared" si="13"/>
        <v>07/29/20</v>
      </c>
      <c r="G22" s="322" t="s">
        <v>700</v>
      </c>
      <c r="H22" s="322" t="s">
        <v>701</v>
      </c>
      <c r="I22" s="330"/>
      <c r="J22" s="323">
        <v>21.648461000000001</v>
      </c>
      <c r="K22" s="323">
        <v>48.378940999999998</v>
      </c>
      <c r="L22" s="323">
        <v>29.227235</v>
      </c>
      <c r="M22" s="323">
        <v>28.107178999999999</v>
      </c>
      <c r="N22" s="308">
        <v>4250</v>
      </c>
      <c r="O22" s="308">
        <v>30.36</v>
      </c>
      <c r="P22" s="308">
        <v>0.3201</v>
      </c>
      <c r="Q22" s="308">
        <v>1.9560000000000001E-2</v>
      </c>
      <c r="R22" s="309">
        <v>7.4951755999999996</v>
      </c>
      <c r="S22" s="309">
        <f t="shared" si="0"/>
        <v>17.818800160000002</v>
      </c>
      <c r="T22" s="338">
        <v>49.8</v>
      </c>
      <c r="U22" s="338">
        <v>46.9</v>
      </c>
      <c r="V22" s="313">
        <v>29336</v>
      </c>
      <c r="W22" s="313">
        <v>30808</v>
      </c>
      <c r="X22" s="313">
        <f t="shared" si="1"/>
        <v>1472</v>
      </c>
      <c r="Y22" s="313">
        <f t="shared" si="2"/>
        <v>196.39299711670532</v>
      </c>
      <c r="Z22" s="332">
        <v>3235.3475979999998</v>
      </c>
      <c r="AA22" s="313">
        <v>3328.6033929999999</v>
      </c>
      <c r="AB22" s="313">
        <f t="shared" si="3"/>
        <v>93.255795000000035</v>
      </c>
      <c r="AC22" s="331">
        <f t="shared" si="4"/>
        <v>12.442109428363498</v>
      </c>
      <c r="AD22" s="332">
        <v>-45.453798999999997</v>
      </c>
      <c r="AE22" s="313">
        <v>-78.78</v>
      </c>
      <c r="AF22" s="313">
        <f t="shared" si="5"/>
        <v>-33.326201000000005</v>
      </c>
      <c r="AG22" s="331">
        <f t="shared" si="6"/>
        <v>-4.4463535984400426</v>
      </c>
      <c r="AH22" s="332">
        <v>0</v>
      </c>
      <c r="AI22" s="313">
        <v>0</v>
      </c>
      <c r="AJ22" s="313">
        <f t="shared" si="7"/>
        <v>0</v>
      </c>
      <c r="AK22" s="331">
        <f t="shared" si="8"/>
        <v>0</v>
      </c>
      <c r="AL22" s="332">
        <v>0.1</v>
      </c>
      <c r="AM22" s="313">
        <v>0.1</v>
      </c>
      <c r="AN22" s="313">
        <f t="shared" si="9"/>
        <v>0</v>
      </c>
      <c r="AO22" s="331">
        <f t="shared" si="10"/>
        <v>0</v>
      </c>
      <c r="AP22" s="303">
        <v>49.8</v>
      </c>
      <c r="AQ22" s="303">
        <v>46.9</v>
      </c>
      <c r="AR22" s="303">
        <f t="shared" si="11"/>
        <v>-2.8999999999999986</v>
      </c>
      <c r="AS22" s="447">
        <v>591.1</v>
      </c>
      <c r="AT22" s="341">
        <v>593</v>
      </c>
      <c r="AU22" s="341">
        <f t="shared" si="12"/>
        <v>1.8999999999999773</v>
      </c>
      <c r="AV22" s="303"/>
      <c r="AW22" s="303"/>
      <c r="AX22" s="303"/>
      <c r="AY22" s="303"/>
      <c r="AZ22" s="322" t="s">
        <v>686</v>
      </c>
      <c r="BA22" s="461">
        <v>1818.9806699200001</v>
      </c>
      <c r="BB22" s="461">
        <v>-0.51762026000000005</v>
      </c>
      <c r="BC22" s="461">
        <v>5436.6895144299997</v>
      </c>
      <c r="BD22" s="461">
        <v>5464.9773443499998</v>
      </c>
      <c r="BE22" s="461">
        <v>6.2576656699999997</v>
      </c>
      <c r="BF22" s="461">
        <v>6.27730633</v>
      </c>
      <c r="BG22" s="461">
        <v>0.59471759000000002</v>
      </c>
      <c r="BH22" s="461">
        <v>7.4951345800000002</v>
      </c>
      <c r="BI22" s="461">
        <v>7.4508232300000001</v>
      </c>
      <c r="BJ22" s="461">
        <v>-0.91044974999999995</v>
      </c>
      <c r="BK22" s="461">
        <v>-0.31288350999999998</v>
      </c>
      <c r="BL22" s="461">
        <v>0.65006507000000002</v>
      </c>
    </row>
    <row r="23" spans="1:64" ht="15" customHeight="1" x14ac:dyDescent="0.2">
      <c r="A23" s="321">
        <v>62007013</v>
      </c>
      <c r="B23" s="321" t="s">
        <v>675</v>
      </c>
      <c r="C23" s="321" t="s">
        <v>774</v>
      </c>
      <c r="D23" s="352" t="s">
        <v>698</v>
      </c>
      <c r="E23" s="307" t="s">
        <v>699</v>
      </c>
      <c r="F23" s="307" t="str">
        <f t="shared" si="13"/>
        <v>07/29/20</v>
      </c>
      <c r="G23" s="322" t="s">
        <v>700</v>
      </c>
      <c r="H23" s="322" t="s">
        <v>701</v>
      </c>
      <c r="I23" s="330"/>
      <c r="J23" s="323">
        <v>21.059744999999999</v>
      </c>
      <c r="K23" s="323">
        <v>49.595573999999999</v>
      </c>
      <c r="L23" s="323">
        <v>29.226804000000001</v>
      </c>
      <c r="M23" s="323">
        <v>28.452171</v>
      </c>
      <c r="N23" s="308">
        <v>4250</v>
      </c>
      <c r="O23" s="308">
        <v>30.36</v>
      </c>
      <c r="P23" s="308">
        <v>0.3201</v>
      </c>
      <c r="Q23" s="308">
        <v>1.9560000000000001E-2</v>
      </c>
      <c r="R23" s="309">
        <v>9.9999999999999995E-8</v>
      </c>
      <c r="S23" s="309">
        <f t="shared" si="0"/>
        <v>7.4951756999999999</v>
      </c>
      <c r="T23" s="338">
        <v>46.9</v>
      </c>
      <c r="U23" s="338">
        <v>46.9</v>
      </c>
      <c r="V23" s="313">
        <v>30808</v>
      </c>
      <c r="W23" s="313">
        <v>30809</v>
      </c>
      <c r="X23" s="313">
        <f t="shared" si="1"/>
        <v>1</v>
      </c>
      <c r="Y23" s="313">
        <f t="shared" si="2"/>
        <v>10000000</v>
      </c>
      <c r="Z23" s="332">
        <v>3328.61</v>
      </c>
      <c r="AA23" s="313">
        <v>3328.69</v>
      </c>
      <c r="AB23" s="313">
        <f t="shared" si="3"/>
        <v>7.999999999992724E-2</v>
      </c>
      <c r="AC23" s="331">
        <f t="shared" si="4"/>
        <v>799999.9999992724</v>
      </c>
      <c r="AD23" s="332">
        <v>-78.78</v>
      </c>
      <c r="AE23" s="313">
        <v>-78.790000000000006</v>
      </c>
      <c r="AF23" s="313">
        <f t="shared" si="5"/>
        <v>-1.0000000000005116E-2</v>
      </c>
      <c r="AG23" s="331">
        <f t="shared" si="6"/>
        <v>-100000.00000005116</v>
      </c>
      <c r="AH23" s="332">
        <v>0</v>
      </c>
      <c r="AI23" s="313">
        <v>0</v>
      </c>
      <c r="AJ23" s="313">
        <f t="shared" si="7"/>
        <v>0</v>
      </c>
      <c r="AK23" s="331">
        <f t="shared" si="8"/>
        <v>0</v>
      </c>
      <c r="AL23" s="332">
        <v>0.1</v>
      </c>
      <c r="AM23" s="313">
        <v>0.1</v>
      </c>
      <c r="AN23" s="313">
        <f t="shared" si="9"/>
        <v>0</v>
      </c>
      <c r="AO23" s="331">
        <f t="shared" si="10"/>
        <v>0</v>
      </c>
      <c r="AP23" s="303">
        <v>46.9</v>
      </c>
      <c r="AQ23" s="303">
        <v>46.9</v>
      </c>
      <c r="AR23" s="303">
        <f t="shared" si="11"/>
        <v>0</v>
      </c>
      <c r="AS23" s="447">
        <v>593</v>
      </c>
      <c r="AT23" s="341">
        <v>593</v>
      </c>
      <c r="AU23" s="341">
        <f t="shared" si="12"/>
        <v>0</v>
      </c>
      <c r="AV23" s="303"/>
      <c r="AW23" s="303"/>
      <c r="AX23" s="303"/>
      <c r="AY23" s="303"/>
      <c r="AZ23" s="322" t="s">
        <v>686</v>
      </c>
      <c r="BA23" s="461">
        <v>0</v>
      </c>
      <c r="BB23" s="461" t="s">
        <v>691</v>
      </c>
      <c r="BC23" s="461">
        <v>0</v>
      </c>
      <c r="BD23" s="461">
        <v>0</v>
      </c>
      <c r="BE23" s="461">
        <v>0</v>
      </c>
      <c r="BF23" s="461">
        <v>0</v>
      </c>
      <c r="BG23" s="461" t="s">
        <v>691</v>
      </c>
      <c r="BH23" s="461">
        <v>0</v>
      </c>
      <c r="BI23" s="461">
        <v>0</v>
      </c>
      <c r="BJ23" s="461" t="s">
        <v>691</v>
      </c>
      <c r="BK23" s="461" t="s">
        <v>691</v>
      </c>
      <c r="BL23" s="461" t="s">
        <v>691</v>
      </c>
    </row>
    <row r="24" spans="1:64" ht="15" customHeight="1" x14ac:dyDescent="0.2">
      <c r="A24" s="321">
        <v>62007013</v>
      </c>
      <c r="B24" s="321" t="s">
        <v>675</v>
      </c>
      <c r="C24" s="321" t="s">
        <v>776</v>
      </c>
      <c r="D24" s="352" t="s">
        <v>698</v>
      </c>
      <c r="E24" s="307" t="s">
        <v>699</v>
      </c>
      <c r="F24" s="307" t="str">
        <f t="shared" si="13"/>
        <v>07/29/20</v>
      </c>
      <c r="G24" s="322" t="s">
        <v>700</v>
      </c>
      <c r="H24" s="322" t="s">
        <v>701</v>
      </c>
      <c r="I24" s="330"/>
      <c r="J24" s="323" t="s">
        <v>691</v>
      </c>
      <c r="K24" s="323" t="s">
        <v>691</v>
      </c>
      <c r="L24" s="323" t="s">
        <v>691</v>
      </c>
      <c r="M24" s="323" t="s">
        <v>691</v>
      </c>
      <c r="N24" s="308">
        <v>4250</v>
      </c>
      <c r="O24" s="308">
        <v>30.36</v>
      </c>
      <c r="P24" s="308">
        <v>0.3201</v>
      </c>
      <c r="Q24" s="308">
        <v>1.9560000000000001E-2</v>
      </c>
      <c r="R24" s="309" t="s">
        <v>988</v>
      </c>
      <c r="S24" s="309" t="e">
        <f t="shared" si="0"/>
        <v>#VALUE!</v>
      </c>
      <c r="T24" s="338">
        <v>46.9</v>
      </c>
      <c r="U24" s="338">
        <v>49.8</v>
      </c>
      <c r="V24" s="313">
        <v>30809</v>
      </c>
      <c r="W24" s="313">
        <v>29333</v>
      </c>
      <c r="X24" s="313">
        <f t="shared" si="1"/>
        <v>-1476</v>
      </c>
      <c r="Y24" s="313" t="e">
        <f t="shared" si="2"/>
        <v>#VALUE!</v>
      </c>
      <c r="Z24" s="332">
        <v>3328.69</v>
      </c>
      <c r="AA24" s="313">
        <v>3232.388191</v>
      </c>
      <c r="AB24" s="313">
        <f t="shared" si="3"/>
        <v>-96.301809000000048</v>
      </c>
      <c r="AC24" s="331" t="e">
        <f t="shared" si="4"/>
        <v>#VALUE!</v>
      </c>
      <c r="AD24" s="332">
        <v>-78.790000000000006</v>
      </c>
      <c r="AE24" s="313">
        <v>-43.474094999999998</v>
      </c>
      <c r="AF24" s="313">
        <f t="shared" si="5"/>
        <v>35.315905000000008</v>
      </c>
      <c r="AG24" s="331" t="e">
        <f t="shared" si="6"/>
        <v>#VALUE!</v>
      </c>
      <c r="AH24" s="332">
        <v>0</v>
      </c>
      <c r="AI24" s="313">
        <v>0</v>
      </c>
      <c r="AJ24" s="313">
        <f t="shared" si="7"/>
        <v>0</v>
      </c>
      <c r="AK24" s="331" t="e">
        <f t="shared" si="8"/>
        <v>#VALUE!</v>
      </c>
      <c r="AL24" s="332">
        <v>0.1</v>
      </c>
      <c r="AM24" s="313">
        <v>0.1</v>
      </c>
      <c r="AN24" s="313">
        <f t="shared" si="9"/>
        <v>0</v>
      </c>
      <c r="AO24" s="331" t="e">
        <f t="shared" si="10"/>
        <v>#VALUE!</v>
      </c>
      <c r="AP24" s="303">
        <v>46.9</v>
      </c>
      <c r="AQ24" s="303">
        <v>49.8</v>
      </c>
      <c r="AR24" s="303">
        <f t="shared" si="11"/>
        <v>2.8999999999999986</v>
      </c>
      <c r="AS24" s="447">
        <v>593</v>
      </c>
      <c r="AT24" s="341">
        <v>591.1</v>
      </c>
      <c r="AU24" s="341">
        <f t="shared" si="12"/>
        <v>-1.8999999999999773</v>
      </c>
      <c r="AV24" s="303"/>
      <c r="AW24" s="303"/>
      <c r="AX24" s="303"/>
      <c r="AY24" s="303"/>
      <c r="AZ24" s="322" t="s">
        <v>686</v>
      </c>
    </row>
    <row r="25" spans="1:64" ht="15" customHeight="1" x14ac:dyDescent="0.2">
      <c r="A25" s="321">
        <v>62007013</v>
      </c>
      <c r="B25" s="321" t="s">
        <v>675</v>
      </c>
      <c r="C25" s="321" t="s">
        <v>777</v>
      </c>
      <c r="D25" s="352" t="s">
        <v>698</v>
      </c>
      <c r="E25" s="307" t="s">
        <v>699</v>
      </c>
      <c r="F25" s="307" t="str">
        <f t="shared" si="13"/>
        <v>07/29/20</v>
      </c>
      <c r="G25" s="322" t="s">
        <v>700</v>
      </c>
      <c r="H25" s="322" t="s">
        <v>701</v>
      </c>
      <c r="I25" s="330"/>
      <c r="J25" s="323" t="s">
        <v>691</v>
      </c>
      <c r="K25" s="323" t="s">
        <v>691</v>
      </c>
      <c r="L25" s="323" t="s">
        <v>691</v>
      </c>
      <c r="M25" s="323" t="s">
        <v>691</v>
      </c>
      <c r="N25" s="308">
        <v>4250</v>
      </c>
      <c r="O25" s="308">
        <v>30.36</v>
      </c>
      <c r="P25" s="308">
        <v>0.3201</v>
      </c>
      <c r="Q25" s="308">
        <v>1.9560000000000001E-2</v>
      </c>
      <c r="R25" s="309" t="s">
        <v>989</v>
      </c>
      <c r="S25" s="309" t="e">
        <f t="shared" si="0"/>
        <v>#VALUE!</v>
      </c>
      <c r="T25" s="338">
        <v>46.9</v>
      </c>
      <c r="U25" s="338">
        <v>49.8</v>
      </c>
      <c r="V25" s="313">
        <v>30809</v>
      </c>
      <c r="W25" s="313">
        <v>29333</v>
      </c>
      <c r="X25" s="313">
        <f t="shared" si="1"/>
        <v>-1476</v>
      </c>
      <c r="Y25" s="313" t="e">
        <f t="shared" si="2"/>
        <v>#VALUE!</v>
      </c>
      <c r="Z25" s="332">
        <v>3328.69</v>
      </c>
      <c r="AA25" s="313">
        <v>3232.388191</v>
      </c>
      <c r="AB25" s="313">
        <f t="shared" si="3"/>
        <v>-96.301809000000048</v>
      </c>
      <c r="AC25" s="331" t="e">
        <f t="shared" si="4"/>
        <v>#VALUE!</v>
      </c>
      <c r="AD25" s="332">
        <v>-78.790000000000006</v>
      </c>
      <c r="AE25" s="313">
        <v>-43.474094999999998</v>
      </c>
      <c r="AF25" s="313">
        <f t="shared" si="5"/>
        <v>35.315905000000008</v>
      </c>
      <c r="AG25" s="331" t="e">
        <f t="shared" si="6"/>
        <v>#VALUE!</v>
      </c>
      <c r="AH25" s="332">
        <v>0</v>
      </c>
      <c r="AI25" s="313">
        <v>0</v>
      </c>
      <c r="AJ25" s="313">
        <f t="shared" si="7"/>
        <v>0</v>
      </c>
      <c r="AK25" s="331" t="e">
        <f t="shared" si="8"/>
        <v>#VALUE!</v>
      </c>
      <c r="AL25" s="332">
        <v>0.1</v>
      </c>
      <c r="AM25" s="313">
        <v>0.1</v>
      </c>
      <c r="AN25" s="313">
        <f t="shared" si="9"/>
        <v>0</v>
      </c>
      <c r="AO25" s="331" t="e">
        <f t="shared" si="10"/>
        <v>#VALUE!</v>
      </c>
      <c r="AP25" s="303">
        <v>46.9</v>
      </c>
      <c r="AQ25" s="303">
        <v>49.8</v>
      </c>
      <c r="AR25" s="303">
        <f t="shared" si="11"/>
        <v>2.8999999999999986</v>
      </c>
      <c r="AS25" s="447">
        <v>593</v>
      </c>
      <c r="AT25" s="341">
        <v>591.1</v>
      </c>
      <c r="AU25" s="341">
        <f t="shared" si="12"/>
        <v>-1.8999999999999773</v>
      </c>
      <c r="AV25" s="303"/>
      <c r="AW25" s="303"/>
      <c r="AX25" s="303"/>
      <c r="AY25" s="303"/>
      <c r="AZ25" s="322" t="s">
        <v>686</v>
      </c>
    </row>
    <row r="26" spans="1:64" ht="15" customHeight="1" x14ac:dyDescent="0.2">
      <c r="A26" s="321">
        <v>62007014</v>
      </c>
      <c r="B26" s="321" t="s">
        <v>676</v>
      </c>
      <c r="C26" s="321" t="s">
        <v>773</v>
      </c>
      <c r="D26" s="352" t="s">
        <v>702</v>
      </c>
      <c r="E26" s="307" t="s">
        <v>703</v>
      </c>
      <c r="F26" s="307" t="str">
        <f t="shared" si="13"/>
        <v>07/29/20</v>
      </c>
      <c r="G26" s="322" t="s">
        <v>704</v>
      </c>
      <c r="H26" s="322" t="s">
        <v>685</v>
      </c>
      <c r="I26" s="330"/>
      <c r="J26" s="323">
        <v>25.965519</v>
      </c>
      <c r="K26" s="323">
        <v>37.323636</v>
      </c>
      <c r="L26" s="323">
        <v>29.234726999999999</v>
      </c>
      <c r="M26" s="323">
        <v>28.742516999999999</v>
      </c>
      <c r="N26" s="308">
        <v>4250</v>
      </c>
      <c r="O26" s="308">
        <v>30.36</v>
      </c>
      <c r="P26" s="308">
        <v>0.3201</v>
      </c>
      <c r="Q26" s="308">
        <v>1.9560000000000001E-2</v>
      </c>
      <c r="R26" s="309">
        <v>10.312655169999999</v>
      </c>
      <c r="S26" s="309" t="e">
        <f t="shared" si="0"/>
        <v>#VALUE!</v>
      </c>
      <c r="T26" s="338">
        <v>46.5</v>
      </c>
      <c r="U26" s="338">
        <v>41.7</v>
      </c>
      <c r="V26" s="313">
        <v>30954</v>
      </c>
      <c r="W26" s="313">
        <v>33274</v>
      </c>
      <c r="X26" s="313">
        <f t="shared" si="1"/>
        <v>2320</v>
      </c>
      <c r="Y26" s="313">
        <f t="shared" si="2"/>
        <v>224.96631194932121</v>
      </c>
      <c r="Z26" s="332">
        <v>3453.23</v>
      </c>
      <c r="AA26" s="313">
        <v>3485.8692620000002</v>
      </c>
      <c r="AB26" s="313">
        <f t="shared" si="3"/>
        <v>32.639262000000144</v>
      </c>
      <c r="AC26" s="331">
        <f t="shared" si="4"/>
        <v>3.1649717227964045</v>
      </c>
      <c r="AD26" s="332">
        <v>-82.29</v>
      </c>
      <c r="AE26" s="313">
        <v>-83.45</v>
      </c>
      <c r="AF26" s="313">
        <f t="shared" si="5"/>
        <v>-1.1599999999999966</v>
      </c>
      <c r="AG26" s="331">
        <f t="shared" si="6"/>
        <v>-0.11248315597466027</v>
      </c>
      <c r="AH26" s="332">
        <v>0</v>
      </c>
      <c r="AI26" s="313">
        <v>0</v>
      </c>
      <c r="AJ26" s="313">
        <f t="shared" si="7"/>
        <v>0</v>
      </c>
      <c r="AK26" s="331">
        <f t="shared" si="8"/>
        <v>0</v>
      </c>
      <c r="AL26" s="332">
        <v>0.1</v>
      </c>
      <c r="AM26" s="313">
        <v>0.1</v>
      </c>
      <c r="AN26" s="313">
        <f t="shared" si="9"/>
        <v>0</v>
      </c>
      <c r="AO26" s="331">
        <f t="shared" si="10"/>
        <v>0</v>
      </c>
      <c r="AP26" s="303">
        <v>46.5</v>
      </c>
      <c r="AQ26" s="303">
        <v>41.7</v>
      </c>
      <c r="AR26" s="303">
        <f t="shared" si="11"/>
        <v>-4.7999999999999972</v>
      </c>
      <c r="AS26" s="447">
        <v>606.20000000000005</v>
      </c>
      <c r="AT26" s="341">
        <v>607.20000000000005</v>
      </c>
      <c r="AU26" s="341">
        <f t="shared" si="12"/>
        <v>1</v>
      </c>
      <c r="AV26" s="303"/>
      <c r="AW26" s="303"/>
      <c r="AX26" s="303"/>
      <c r="AY26" s="303"/>
      <c r="AZ26" s="322" t="s">
        <v>686</v>
      </c>
      <c r="BA26" s="461">
        <v>1943.17933232</v>
      </c>
      <c r="BB26" s="461">
        <v>-0.42189589999999999</v>
      </c>
      <c r="BC26" s="461">
        <v>1301.2603479899999</v>
      </c>
      <c r="BD26" s="461">
        <v>1306.7735721500001</v>
      </c>
      <c r="BE26" s="461">
        <v>8.0834510999999996</v>
      </c>
      <c r="BF26" s="461">
        <v>8.02018919</v>
      </c>
      <c r="BG26" s="461">
        <v>0.54655796999999995</v>
      </c>
      <c r="BH26" s="461">
        <v>10.31273916</v>
      </c>
      <c r="BI26" s="461">
        <v>10.25668046</v>
      </c>
      <c r="BJ26" s="461">
        <v>0.24032967</v>
      </c>
      <c r="BK26" s="461">
        <v>0.78878331999999995</v>
      </c>
      <c r="BL26" s="461">
        <v>0.28277425</v>
      </c>
    </row>
    <row r="27" spans="1:64" ht="15" customHeight="1" x14ac:dyDescent="0.2">
      <c r="A27" s="321">
        <v>62007014</v>
      </c>
      <c r="B27" s="321" t="s">
        <v>676</v>
      </c>
      <c r="C27" s="321" t="s">
        <v>774</v>
      </c>
      <c r="D27" s="352" t="s">
        <v>702</v>
      </c>
      <c r="E27" s="307" t="s">
        <v>703</v>
      </c>
      <c r="F27" s="307" t="str">
        <f t="shared" si="13"/>
        <v>07/29/20</v>
      </c>
      <c r="G27" s="322" t="s">
        <v>704</v>
      </c>
      <c r="H27" s="322" t="s">
        <v>685</v>
      </c>
      <c r="I27" s="330"/>
      <c r="J27" s="323">
        <v>25.184664000000001</v>
      </c>
      <c r="K27" s="323">
        <v>38.758595999999997</v>
      </c>
      <c r="L27" s="323">
        <v>29.221095999999999</v>
      </c>
      <c r="M27" s="323">
        <v>30.782336000000001</v>
      </c>
      <c r="N27" s="308">
        <v>4250</v>
      </c>
      <c r="O27" s="308">
        <v>30.36</v>
      </c>
      <c r="P27" s="308">
        <v>0.3201</v>
      </c>
      <c r="Q27" s="308">
        <v>1.9560000000000001E-2</v>
      </c>
      <c r="R27" s="309">
        <v>10.31207487</v>
      </c>
      <c r="S27" s="309">
        <f t="shared" si="0"/>
        <v>20.624730039999999</v>
      </c>
      <c r="T27" s="338">
        <v>41.7</v>
      </c>
      <c r="U27" s="338">
        <v>37.700000000000003</v>
      </c>
      <c r="V27" s="313">
        <v>33274</v>
      </c>
      <c r="W27" s="313">
        <v>35507</v>
      </c>
      <c r="X27" s="313">
        <f t="shared" si="1"/>
        <v>2233</v>
      </c>
      <c r="Y27" s="313">
        <f t="shared" si="2"/>
        <v>216.54226022895429</v>
      </c>
      <c r="Z27" s="332">
        <v>3486.489239</v>
      </c>
      <c r="AA27" s="313">
        <v>3518.8288499999999</v>
      </c>
      <c r="AB27" s="313">
        <f t="shared" si="3"/>
        <v>32.339610999999877</v>
      </c>
      <c r="AC27" s="331">
        <f t="shared" si="4"/>
        <v>3.1360915633072666</v>
      </c>
      <c r="AD27" s="332">
        <v>-83.47</v>
      </c>
      <c r="AE27" s="313">
        <v>-84.43</v>
      </c>
      <c r="AF27" s="313">
        <f t="shared" si="5"/>
        <v>-0.96000000000000796</v>
      </c>
      <c r="AG27" s="331">
        <f t="shared" si="6"/>
        <v>-9.3094746896461189E-2</v>
      </c>
      <c r="AH27" s="332">
        <v>0</v>
      </c>
      <c r="AI27" s="313">
        <v>0</v>
      </c>
      <c r="AJ27" s="313">
        <f t="shared" si="7"/>
        <v>0</v>
      </c>
      <c r="AK27" s="331">
        <f t="shared" si="8"/>
        <v>0</v>
      </c>
      <c r="AL27" s="332">
        <v>0.1</v>
      </c>
      <c r="AM27" s="313">
        <v>0.1</v>
      </c>
      <c r="AN27" s="313">
        <f t="shared" si="9"/>
        <v>0</v>
      </c>
      <c r="AO27" s="331">
        <f t="shared" si="10"/>
        <v>0</v>
      </c>
      <c r="AP27" s="303">
        <v>41.7</v>
      </c>
      <c r="AQ27" s="303">
        <v>37.700000000000003</v>
      </c>
      <c r="AR27" s="303">
        <f t="shared" si="11"/>
        <v>-4</v>
      </c>
      <c r="AS27" s="447">
        <v>607.20000000000005</v>
      </c>
      <c r="AT27" s="341">
        <v>608.29999999999995</v>
      </c>
      <c r="AU27" s="341">
        <f t="shared" si="12"/>
        <v>1.0999999999999091</v>
      </c>
      <c r="AV27" s="303"/>
      <c r="AW27" s="303"/>
      <c r="AX27" s="303"/>
      <c r="AY27" s="303"/>
      <c r="AZ27" s="322" t="s">
        <v>686</v>
      </c>
      <c r="BA27" s="461">
        <v>1943.4012125500001</v>
      </c>
      <c r="BB27" s="461">
        <v>-0.37740036999999999</v>
      </c>
      <c r="BC27" s="461">
        <v>1301.8076851000001</v>
      </c>
      <c r="BD27" s="461">
        <v>1306.73932416</v>
      </c>
      <c r="BE27" s="461">
        <v>8.0852715600000007</v>
      </c>
      <c r="BF27" s="461">
        <v>8.0201018899999994</v>
      </c>
      <c r="BG27" s="461">
        <v>0.54104965999999999</v>
      </c>
      <c r="BH27" s="461">
        <v>10.312174300000001</v>
      </c>
      <c r="BI27" s="461">
        <v>10.25668057</v>
      </c>
      <c r="BJ27" s="461">
        <v>0.26934089999999999</v>
      </c>
      <c r="BK27" s="461">
        <v>0.81257915999999997</v>
      </c>
      <c r="BL27" s="461">
        <v>0.28276878999999999</v>
      </c>
    </row>
    <row r="28" spans="1:64" ht="15" customHeight="1" x14ac:dyDescent="0.2">
      <c r="A28" s="321">
        <v>62007014</v>
      </c>
      <c r="B28" s="321" t="s">
        <v>676</v>
      </c>
      <c r="C28" s="321" t="s">
        <v>776</v>
      </c>
      <c r="D28" s="352" t="s">
        <v>702</v>
      </c>
      <c r="E28" s="307" t="s">
        <v>703</v>
      </c>
      <c r="F28" s="307" t="str">
        <f t="shared" si="13"/>
        <v>07/29/20</v>
      </c>
      <c r="G28" s="322" t="s">
        <v>704</v>
      </c>
      <c r="H28" s="322" t="s">
        <v>685</v>
      </c>
      <c r="I28" s="330"/>
      <c r="J28" s="323">
        <v>25.043216000000001</v>
      </c>
      <c r="K28" s="323">
        <v>39.156649000000002</v>
      </c>
      <c r="L28" s="323">
        <v>29.217876</v>
      </c>
      <c r="M28" s="323">
        <v>30.784555999999998</v>
      </c>
      <c r="N28" s="308">
        <v>4250</v>
      </c>
      <c r="O28" s="308">
        <v>30.36</v>
      </c>
      <c r="P28" s="308">
        <v>0.3201</v>
      </c>
      <c r="Q28" s="308">
        <v>1.9560000000000001E-2</v>
      </c>
      <c r="R28" s="309">
        <v>10.31281939</v>
      </c>
      <c r="S28" s="309">
        <f t="shared" si="0"/>
        <v>20.624894259999998</v>
      </c>
      <c r="T28" s="338">
        <v>37.700000000000003</v>
      </c>
      <c r="U28" s="338">
        <v>33.9</v>
      </c>
      <c r="V28" s="313">
        <v>35508</v>
      </c>
      <c r="W28" s="313">
        <v>37731</v>
      </c>
      <c r="X28" s="313">
        <f t="shared" si="1"/>
        <v>2223</v>
      </c>
      <c r="Y28" s="313">
        <f t="shared" si="2"/>
        <v>215.55696031635827</v>
      </c>
      <c r="Z28" s="332">
        <v>3519.53</v>
      </c>
      <c r="AA28" s="313">
        <v>3551.6883549999998</v>
      </c>
      <c r="AB28" s="313">
        <f t="shared" si="3"/>
        <v>32.158354999999574</v>
      </c>
      <c r="AC28" s="331">
        <f t="shared" si="4"/>
        <v>3.1182893623815877</v>
      </c>
      <c r="AD28" s="332">
        <v>-84.45</v>
      </c>
      <c r="AE28" s="313">
        <v>-85.3</v>
      </c>
      <c r="AF28" s="313">
        <f t="shared" si="5"/>
        <v>-0.84999999999999432</v>
      </c>
      <c r="AG28" s="331">
        <f t="shared" si="6"/>
        <v>-8.2421689729601122E-2</v>
      </c>
      <c r="AH28" s="332">
        <v>0</v>
      </c>
      <c r="AI28" s="313">
        <v>0</v>
      </c>
      <c r="AJ28" s="313">
        <f t="shared" si="7"/>
        <v>0</v>
      </c>
      <c r="AK28" s="331">
        <f t="shared" si="8"/>
        <v>0</v>
      </c>
      <c r="AL28" s="332">
        <v>0.1</v>
      </c>
      <c r="AM28" s="313">
        <v>0.1</v>
      </c>
      <c r="AN28" s="313">
        <f t="shared" si="9"/>
        <v>0</v>
      </c>
      <c r="AO28" s="331">
        <f t="shared" si="10"/>
        <v>0</v>
      </c>
      <c r="AP28" s="303">
        <v>37.700000000000003</v>
      </c>
      <c r="AQ28" s="303">
        <v>33.9</v>
      </c>
      <c r="AR28" s="303">
        <f t="shared" si="11"/>
        <v>-3.8000000000000043</v>
      </c>
      <c r="AS28" s="447">
        <v>608.29999999999995</v>
      </c>
      <c r="AT28" s="341">
        <v>609.4</v>
      </c>
      <c r="AU28" s="341">
        <f t="shared" si="12"/>
        <v>1.1000000000000227</v>
      </c>
      <c r="AV28" s="303"/>
      <c r="AW28" s="303"/>
      <c r="AX28" s="303"/>
      <c r="AY28" s="303"/>
      <c r="AZ28" s="322" t="s">
        <v>686</v>
      </c>
      <c r="BA28" s="461">
        <v>1942.9933943399999</v>
      </c>
      <c r="BB28" s="461">
        <v>-0.30966023999999998</v>
      </c>
      <c r="BC28" s="461">
        <v>1302.6720325599999</v>
      </c>
      <c r="BD28" s="461">
        <v>1306.7184199599999</v>
      </c>
      <c r="BE28" s="461">
        <v>8.0866121999999994</v>
      </c>
      <c r="BF28" s="461">
        <v>8.0200424600000009</v>
      </c>
      <c r="BG28" s="461">
        <v>0.54802233</v>
      </c>
      <c r="BH28" s="461">
        <v>10.312889309999999</v>
      </c>
      <c r="BI28" s="461">
        <v>10.25668041</v>
      </c>
      <c r="BJ28" s="461">
        <v>0.27969833</v>
      </c>
      <c r="BK28" s="461">
        <v>0.83004226999999997</v>
      </c>
      <c r="BL28" s="461">
        <v>0.28276589000000002</v>
      </c>
    </row>
    <row r="29" spans="1:64" ht="15" customHeight="1" x14ac:dyDescent="0.2">
      <c r="A29" s="321">
        <v>62007014</v>
      </c>
      <c r="B29" s="321" t="s">
        <v>676</v>
      </c>
      <c r="C29" s="321" t="s">
        <v>777</v>
      </c>
      <c r="D29" s="352" t="s">
        <v>702</v>
      </c>
      <c r="E29" s="307" t="s">
        <v>703</v>
      </c>
      <c r="F29" s="307" t="str">
        <f t="shared" si="13"/>
        <v>07/29/20</v>
      </c>
      <c r="G29" s="322" t="s">
        <v>704</v>
      </c>
      <c r="H29" s="322" t="s">
        <v>685</v>
      </c>
      <c r="I29" s="330"/>
      <c r="J29" s="323">
        <v>24.953544999999998</v>
      </c>
      <c r="K29" s="323">
        <v>39.301724</v>
      </c>
      <c r="L29" s="323">
        <v>29.216159000000001</v>
      </c>
      <c r="M29" s="323">
        <v>30.765470000000001</v>
      </c>
      <c r="N29" s="308">
        <v>4250</v>
      </c>
      <c r="O29" s="308">
        <v>30.36</v>
      </c>
      <c r="P29" s="308">
        <v>0.3201</v>
      </c>
      <c r="Q29" s="308">
        <v>1.9560000000000001E-2</v>
      </c>
      <c r="R29" s="309">
        <v>10.31270492</v>
      </c>
      <c r="S29" s="309">
        <f t="shared" si="0"/>
        <v>20.625524309999999</v>
      </c>
      <c r="T29" s="338">
        <v>33.9</v>
      </c>
      <c r="U29" s="338">
        <v>30.1</v>
      </c>
      <c r="V29" s="313">
        <v>37732</v>
      </c>
      <c r="W29" s="313">
        <v>39950</v>
      </c>
      <c r="X29" s="313">
        <f t="shared" si="1"/>
        <v>2218</v>
      </c>
      <c r="Y29" s="313">
        <f t="shared" si="2"/>
        <v>215.07451412660026</v>
      </c>
      <c r="Z29" s="332">
        <v>3552.3178400000002</v>
      </c>
      <c r="AA29" s="313">
        <v>3584.35</v>
      </c>
      <c r="AB29" s="313">
        <f t="shared" si="3"/>
        <v>32.032159999999749</v>
      </c>
      <c r="AC29" s="331">
        <f t="shared" si="4"/>
        <v>3.1060871273333932</v>
      </c>
      <c r="AD29" s="332">
        <v>-85.32</v>
      </c>
      <c r="AE29" s="313">
        <v>-86.1</v>
      </c>
      <c r="AF29" s="313">
        <f t="shared" si="5"/>
        <v>-0.78000000000000114</v>
      </c>
      <c r="AG29" s="331">
        <f t="shared" si="6"/>
        <v>-7.5634860693754941E-2</v>
      </c>
      <c r="AH29" s="332">
        <v>0</v>
      </c>
      <c r="AI29" s="313">
        <v>0</v>
      </c>
      <c r="AJ29" s="313">
        <f t="shared" si="7"/>
        <v>0</v>
      </c>
      <c r="AK29" s="331">
        <f t="shared" si="8"/>
        <v>0</v>
      </c>
      <c r="AL29" s="332">
        <v>0.1</v>
      </c>
      <c r="AM29" s="313">
        <v>0.1</v>
      </c>
      <c r="AN29" s="313">
        <f t="shared" si="9"/>
        <v>0</v>
      </c>
      <c r="AO29" s="331">
        <f t="shared" si="10"/>
        <v>0</v>
      </c>
      <c r="AP29" s="303">
        <v>33.9</v>
      </c>
      <c r="AQ29" s="303">
        <v>30.1</v>
      </c>
      <c r="AR29" s="303">
        <f t="shared" si="11"/>
        <v>-3.7999999999999972</v>
      </c>
      <c r="AS29" s="447">
        <v>609.4</v>
      </c>
      <c r="AT29" s="341">
        <v>610.4</v>
      </c>
      <c r="AU29" s="341">
        <f t="shared" si="12"/>
        <v>1</v>
      </c>
      <c r="AV29" s="303"/>
      <c r="AW29" s="303"/>
      <c r="AX29" s="303"/>
      <c r="AY29" s="303"/>
      <c r="AZ29" s="322" t="s">
        <v>686</v>
      </c>
      <c r="BA29" s="461">
        <v>1942.4975810000001</v>
      </c>
      <c r="BB29" s="461">
        <v>-0.29331942999999999</v>
      </c>
      <c r="BC29" s="461">
        <v>1302.8696794099999</v>
      </c>
      <c r="BD29" s="461">
        <v>1306.7024917000001</v>
      </c>
      <c r="BE29" s="461">
        <v>8.0867521199999999</v>
      </c>
      <c r="BF29" s="461">
        <v>8.0200066799999998</v>
      </c>
      <c r="BG29" s="461">
        <v>0.54685854</v>
      </c>
      <c r="BH29" s="461">
        <v>10.312769830000001</v>
      </c>
      <c r="BI29" s="461">
        <v>10.256680299999999</v>
      </c>
      <c r="BJ29" s="461">
        <v>0.28302280000000002</v>
      </c>
      <c r="BK29" s="461">
        <v>0.83223676000000002</v>
      </c>
      <c r="BL29" s="461">
        <v>0.28276329</v>
      </c>
    </row>
    <row r="30" spans="1:64" ht="15" customHeight="1" x14ac:dyDescent="0.2">
      <c r="A30" s="321">
        <v>62007015</v>
      </c>
      <c r="B30" s="321" t="s">
        <v>676</v>
      </c>
      <c r="C30" s="321" t="s">
        <v>773</v>
      </c>
      <c r="D30" s="352" t="s">
        <v>702</v>
      </c>
      <c r="E30" s="307" t="s">
        <v>705</v>
      </c>
      <c r="F30" s="307" t="str">
        <f t="shared" si="13"/>
        <v>07/29/20</v>
      </c>
      <c r="G30" s="322" t="s">
        <v>706</v>
      </c>
      <c r="H30" s="322" t="s">
        <v>685</v>
      </c>
      <c r="I30" s="330"/>
      <c r="J30" s="323">
        <v>24.634564000000001</v>
      </c>
      <c r="K30" s="323">
        <v>40.039439000000002</v>
      </c>
      <c r="L30" s="323">
        <v>29.206910000000001</v>
      </c>
      <c r="M30" s="323">
        <v>30.410622</v>
      </c>
      <c r="N30" s="308">
        <v>4250</v>
      </c>
      <c r="O30" s="308">
        <v>30.36</v>
      </c>
      <c r="P30" s="308">
        <v>0.3201</v>
      </c>
      <c r="Q30" s="308">
        <v>1.9560000000000001E-2</v>
      </c>
      <c r="R30" s="309">
        <v>10.311780150000001</v>
      </c>
      <c r="S30" s="309">
        <f t="shared" si="0"/>
        <v>20.624485069999999</v>
      </c>
      <c r="T30" s="338">
        <v>30.1</v>
      </c>
      <c r="U30" s="338">
        <v>26.3</v>
      </c>
      <c r="V30" s="313">
        <v>39958</v>
      </c>
      <c r="W30" s="313">
        <v>42168</v>
      </c>
      <c r="X30" s="313">
        <f t="shared" si="1"/>
        <v>2210</v>
      </c>
      <c r="Y30" s="313">
        <f t="shared" si="2"/>
        <v>214.31799047810381</v>
      </c>
      <c r="Z30" s="332">
        <v>3587.9382380000002</v>
      </c>
      <c r="AA30" s="313">
        <v>3620.02</v>
      </c>
      <c r="AB30" s="313">
        <f t="shared" si="3"/>
        <v>32.081761999999799</v>
      </c>
      <c r="AC30" s="331">
        <f t="shared" si="4"/>
        <v>3.1111759107858594</v>
      </c>
      <c r="AD30" s="332">
        <v>-85.81</v>
      </c>
      <c r="AE30" s="313">
        <v>-86.75</v>
      </c>
      <c r="AF30" s="313">
        <f t="shared" si="5"/>
        <v>-0.93999999999999773</v>
      </c>
      <c r="AG30" s="331">
        <f t="shared" si="6"/>
        <v>-9.1157878302903658E-2</v>
      </c>
      <c r="AH30" s="332">
        <v>0</v>
      </c>
      <c r="AI30" s="313">
        <v>0</v>
      </c>
      <c r="AJ30" s="313">
        <f t="shared" si="7"/>
        <v>0</v>
      </c>
      <c r="AK30" s="331">
        <f t="shared" si="8"/>
        <v>0</v>
      </c>
      <c r="AL30" s="332">
        <v>0.1</v>
      </c>
      <c r="AM30" s="313">
        <v>0.1</v>
      </c>
      <c r="AN30" s="313">
        <f t="shared" si="9"/>
        <v>0</v>
      </c>
      <c r="AO30" s="331">
        <f t="shared" si="10"/>
        <v>0</v>
      </c>
      <c r="AP30" s="303">
        <v>30.1</v>
      </c>
      <c r="AQ30" s="303">
        <v>26.3</v>
      </c>
      <c r="AR30" s="303">
        <f t="shared" si="11"/>
        <v>-3.8000000000000007</v>
      </c>
      <c r="AS30" s="447">
        <v>610.70000000000005</v>
      </c>
      <c r="AT30" s="341">
        <v>611.79999999999995</v>
      </c>
      <c r="AU30" s="341">
        <f t="shared" si="12"/>
        <v>1.0999999999999091</v>
      </c>
      <c r="AV30" s="303"/>
      <c r="AW30" s="303"/>
      <c r="AX30" s="303"/>
      <c r="AY30" s="303"/>
      <c r="AZ30" s="322" t="s">
        <v>686</v>
      </c>
      <c r="BA30" s="461">
        <v>1943.9988374100001</v>
      </c>
      <c r="BB30" s="461">
        <v>1.86717665</v>
      </c>
      <c r="BC30" s="461">
        <v>1331.18281353</v>
      </c>
      <c r="BD30" s="461">
        <v>1306.7828689</v>
      </c>
      <c r="BE30" s="461">
        <v>8.1259374100000006</v>
      </c>
      <c r="BF30" s="461">
        <v>8.0202161499999995</v>
      </c>
      <c r="BG30" s="461">
        <v>0.53804023000000001</v>
      </c>
      <c r="BH30" s="461">
        <v>10.31186542</v>
      </c>
      <c r="BI30" s="461">
        <v>10.25668035</v>
      </c>
      <c r="BJ30" s="461">
        <v>0.76999452000000002</v>
      </c>
      <c r="BK30" s="461">
        <v>1.3181847</v>
      </c>
      <c r="BL30" s="461">
        <v>0.28277549000000002</v>
      </c>
    </row>
    <row r="31" spans="1:64" ht="15" customHeight="1" x14ac:dyDescent="0.2">
      <c r="A31" s="321">
        <v>62007015</v>
      </c>
      <c r="B31" s="321" t="s">
        <v>676</v>
      </c>
      <c r="C31" s="321" t="s">
        <v>774</v>
      </c>
      <c r="D31" s="352" t="s">
        <v>702</v>
      </c>
      <c r="E31" s="307" t="s">
        <v>705</v>
      </c>
      <c r="F31" s="307" t="str">
        <f t="shared" si="13"/>
        <v>07/29/20</v>
      </c>
      <c r="G31" s="322" t="s">
        <v>706</v>
      </c>
      <c r="H31" s="322" t="s">
        <v>685</v>
      </c>
      <c r="I31" s="330"/>
      <c r="J31" s="323">
        <v>24.896803999999999</v>
      </c>
      <c r="K31" s="323">
        <v>39.323878999999998</v>
      </c>
      <c r="L31" s="323">
        <v>29.207426000000002</v>
      </c>
      <c r="M31" s="323">
        <v>30.693919999999999</v>
      </c>
      <c r="N31" s="308">
        <v>4250</v>
      </c>
      <c r="O31" s="308">
        <v>30.36</v>
      </c>
      <c r="P31" s="308">
        <v>0.3201</v>
      </c>
      <c r="Q31" s="308">
        <v>1.9560000000000001E-2</v>
      </c>
      <c r="R31" s="309">
        <v>10.31145708</v>
      </c>
      <c r="S31" s="309">
        <f t="shared" si="0"/>
        <v>20.623237230000001</v>
      </c>
      <c r="T31" s="338">
        <v>26.3</v>
      </c>
      <c r="U31" s="338">
        <v>22.5</v>
      </c>
      <c r="V31" s="313">
        <v>42169</v>
      </c>
      <c r="W31" s="313">
        <v>44368</v>
      </c>
      <c r="X31" s="313">
        <f t="shared" si="1"/>
        <v>2199</v>
      </c>
      <c r="Y31" s="313">
        <f t="shared" si="2"/>
        <v>213.25793075986891</v>
      </c>
      <c r="Z31" s="332">
        <v>3620.62</v>
      </c>
      <c r="AA31" s="313">
        <v>3652.4</v>
      </c>
      <c r="AB31" s="313">
        <f t="shared" si="3"/>
        <v>31.7800000000002</v>
      </c>
      <c r="AC31" s="331">
        <f t="shared" si="4"/>
        <v>3.0820086582758872</v>
      </c>
      <c r="AD31" s="332">
        <v>-86.77</v>
      </c>
      <c r="AE31" s="313">
        <v>-87.49</v>
      </c>
      <c r="AF31" s="313">
        <f t="shared" si="5"/>
        <v>-0.71999999999999886</v>
      </c>
      <c r="AG31" s="331">
        <f t="shared" si="6"/>
        <v>-6.9825243359302125E-2</v>
      </c>
      <c r="AH31" s="332">
        <v>0</v>
      </c>
      <c r="AI31" s="313">
        <v>0</v>
      </c>
      <c r="AJ31" s="313">
        <f t="shared" si="7"/>
        <v>0</v>
      </c>
      <c r="AK31" s="331">
        <f t="shared" si="8"/>
        <v>0</v>
      </c>
      <c r="AL31" s="332">
        <v>0.1</v>
      </c>
      <c r="AM31" s="313">
        <v>0.1</v>
      </c>
      <c r="AN31" s="313">
        <f t="shared" si="9"/>
        <v>0</v>
      </c>
      <c r="AO31" s="331">
        <f t="shared" si="10"/>
        <v>0</v>
      </c>
      <c r="AP31" s="303">
        <v>26.3</v>
      </c>
      <c r="AQ31" s="303">
        <v>22.5</v>
      </c>
      <c r="AR31" s="303">
        <f t="shared" si="11"/>
        <v>-3.8000000000000007</v>
      </c>
      <c r="AS31" s="447">
        <v>611.79999999999995</v>
      </c>
      <c r="AT31" s="341">
        <v>612.79999999999995</v>
      </c>
      <c r="AU31" s="341">
        <f t="shared" si="12"/>
        <v>1</v>
      </c>
      <c r="AV31" s="303"/>
      <c r="AW31" s="303"/>
      <c r="AX31" s="303"/>
      <c r="AY31" s="303"/>
      <c r="AZ31" s="322" t="s">
        <v>686</v>
      </c>
      <c r="BA31" s="461">
        <v>1943.14834683</v>
      </c>
      <c r="BB31" s="461">
        <v>1.87297</v>
      </c>
      <c r="BC31" s="461">
        <v>1331.22599633</v>
      </c>
      <c r="BD31" s="461">
        <v>1306.7509431399999</v>
      </c>
      <c r="BE31" s="461">
        <v>8.1272927999999993</v>
      </c>
      <c r="BF31" s="461">
        <v>8.0201192100000007</v>
      </c>
      <c r="BG31" s="461">
        <v>0.53492594999999998</v>
      </c>
      <c r="BH31" s="461">
        <v>10.311545949999999</v>
      </c>
      <c r="BI31" s="461">
        <v>10.256680299999999</v>
      </c>
      <c r="BJ31" s="461">
        <v>0.79081544000000004</v>
      </c>
      <c r="BK31" s="461">
        <v>1.3363091300000001</v>
      </c>
      <c r="BL31" s="461">
        <v>0.2827712</v>
      </c>
    </row>
    <row r="32" spans="1:64" ht="15" customHeight="1" x14ac:dyDescent="0.2">
      <c r="A32" s="321">
        <v>62007015</v>
      </c>
      <c r="B32" s="321" t="s">
        <v>676</v>
      </c>
      <c r="C32" s="321" t="s">
        <v>776</v>
      </c>
      <c r="D32" s="352" t="s">
        <v>702</v>
      </c>
      <c r="E32" s="307" t="s">
        <v>705</v>
      </c>
      <c r="F32" s="307" t="str">
        <f t="shared" si="13"/>
        <v>07/29/20</v>
      </c>
      <c r="G32" s="322" t="s">
        <v>706</v>
      </c>
      <c r="H32" s="322" t="s">
        <v>685</v>
      </c>
      <c r="I32" s="330"/>
      <c r="J32" s="323">
        <v>24.921417000000002</v>
      </c>
      <c r="K32" s="323">
        <v>39.081926000000003</v>
      </c>
      <c r="L32" s="323">
        <v>29.204988</v>
      </c>
      <c r="M32" s="323">
        <v>30.776513999999999</v>
      </c>
      <c r="N32" s="308">
        <v>4250</v>
      </c>
      <c r="O32" s="308">
        <v>30.36</v>
      </c>
      <c r="P32" s="308">
        <v>0.3201</v>
      </c>
      <c r="Q32" s="308">
        <v>1.9560000000000001E-2</v>
      </c>
      <c r="R32" s="309">
        <v>10.3119052</v>
      </c>
      <c r="S32" s="309">
        <f t="shared" si="0"/>
        <v>20.623362280000002</v>
      </c>
      <c r="T32" s="338">
        <v>22.5</v>
      </c>
      <c r="U32" s="338">
        <v>18.7</v>
      </c>
      <c r="V32" s="313">
        <v>44368</v>
      </c>
      <c r="W32" s="313">
        <v>46560</v>
      </c>
      <c r="X32" s="313">
        <f t="shared" si="1"/>
        <v>2192</v>
      </c>
      <c r="Y32" s="313">
        <f t="shared" si="2"/>
        <v>212.56983627041103</v>
      </c>
      <c r="Z32" s="332">
        <v>3653.08</v>
      </c>
      <c r="AA32" s="313">
        <v>3684.79</v>
      </c>
      <c r="AB32" s="313">
        <f t="shared" si="3"/>
        <v>31.710000000000036</v>
      </c>
      <c r="AC32" s="331">
        <f t="shared" si="4"/>
        <v>3.0750864544410317</v>
      </c>
      <c r="AD32" s="332">
        <v>-87.5</v>
      </c>
      <c r="AE32" s="313">
        <v>-88.17</v>
      </c>
      <c r="AF32" s="313">
        <f t="shared" si="5"/>
        <v>-0.67000000000000171</v>
      </c>
      <c r="AG32" s="331">
        <f t="shared" si="6"/>
        <v>-6.4973444480463383E-2</v>
      </c>
      <c r="AH32" s="332">
        <v>0</v>
      </c>
      <c r="AI32" s="313">
        <v>0</v>
      </c>
      <c r="AJ32" s="313">
        <f t="shared" si="7"/>
        <v>0</v>
      </c>
      <c r="AK32" s="331">
        <f t="shared" si="8"/>
        <v>0</v>
      </c>
      <c r="AL32" s="332">
        <v>0.1</v>
      </c>
      <c r="AM32" s="313">
        <v>0.1</v>
      </c>
      <c r="AN32" s="313">
        <f t="shared" si="9"/>
        <v>0</v>
      </c>
      <c r="AO32" s="331">
        <f t="shared" si="10"/>
        <v>0</v>
      </c>
      <c r="AP32" s="303">
        <v>22.5</v>
      </c>
      <c r="AQ32" s="303">
        <v>18.7</v>
      </c>
      <c r="AR32" s="303">
        <f t="shared" si="11"/>
        <v>-3.8000000000000007</v>
      </c>
      <c r="AS32" s="447">
        <v>612.9</v>
      </c>
      <c r="AT32" s="341">
        <v>613.9</v>
      </c>
      <c r="AU32" s="341">
        <f t="shared" si="12"/>
        <v>1</v>
      </c>
      <c r="AV32" s="303"/>
      <c r="AW32" s="303"/>
      <c r="AX32" s="303"/>
      <c r="AY32" s="303"/>
      <c r="AZ32" s="322" t="s">
        <v>686</v>
      </c>
      <c r="BA32" s="461">
        <v>1943.13988068</v>
      </c>
      <c r="BB32" s="461">
        <v>1.94418242</v>
      </c>
      <c r="BC32" s="461">
        <v>1332.1261947999999</v>
      </c>
      <c r="BD32" s="461">
        <v>1306.72115192</v>
      </c>
      <c r="BE32" s="461">
        <v>8.1276580200000001</v>
      </c>
      <c r="BF32" s="461">
        <v>8.0200486099999999</v>
      </c>
      <c r="BG32" s="461">
        <v>0.53925020000000001</v>
      </c>
      <c r="BH32" s="461">
        <v>10.311989499999999</v>
      </c>
      <c r="BI32" s="461">
        <v>10.25668033</v>
      </c>
      <c r="BJ32" s="461">
        <v>0.79187976999999998</v>
      </c>
      <c r="BK32" s="461">
        <v>1.3417550600000001</v>
      </c>
      <c r="BL32" s="461">
        <v>0.28276628999999998</v>
      </c>
    </row>
    <row r="33" spans="1:64" ht="15" customHeight="1" x14ac:dyDescent="0.2">
      <c r="A33" s="321">
        <v>62007015</v>
      </c>
      <c r="B33" s="321" t="s">
        <v>676</v>
      </c>
      <c r="C33" s="321" t="s">
        <v>777</v>
      </c>
      <c r="D33" s="352" t="s">
        <v>702</v>
      </c>
      <c r="E33" s="307" t="s">
        <v>705</v>
      </c>
      <c r="F33" s="307" t="str">
        <f t="shared" si="13"/>
        <v>07/29/20</v>
      </c>
      <c r="G33" s="322" t="s">
        <v>706</v>
      </c>
      <c r="H33" s="322" t="s">
        <v>685</v>
      </c>
      <c r="I33" s="330"/>
      <c r="J33" s="323">
        <v>24.917826000000002</v>
      </c>
      <c r="K33" s="323">
        <v>39.059367000000002</v>
      </c>
      <c r="L33" s="323">
        <v>29.199152999999999</v>
      </c>
      <c r="M33" s="323">
        <v>30.868023999999998</v>
      </c>
      <c r="N33" s="308">
        <v>4250</v>
      </c>
      <c r="O33" s="308">
        <v>30.36</v>
      </c>
      <c r="P33" s="308">
        <v>0.3201</v>
      </c>
      <c r="Q33" s="308">
        <v>1.9560000000000001E-2</v>
      </c>
      <c r="R33" s="309">
        <v>10.311885009999999</v>
      </c>
      <c r="S33" s="309">
        <f t="shared" si="0"/>
        <v>20.623790209999999</v>
      </c>
      <c r="T33" s="338">
        <v>18.7</v>
      </c>
      <c r="U33" s="338">
        <v>14.9</v>
      </c>
      <c r="V33" s="313">
        <v>46561</v>
      </c>
      <c r="W33" s="313">
        <v>48751</v>
      </c>
      <c r="X33" s="313">
        <f t="shared" si="1"/>
        <v>2190</v>
      </c>
      <c r="Y33" s="313">
        <f t="shared" si="2"/>
        <v>212.3763015080402</v>
      </c>
      <c r="Z33" s="332">
        <v>3685.387084</v>
      </c>
      <c r="AA33" s="313">
        <v>3717.0466379999998</v>
      </c>
      <c r="AB33" s="313">
        <f t="shared" si="3"/>
        <v>31.659553999999844</v>
      </c>
      <c r="AC33" s="331">
        <f t="shared" si="4"/>
        <v>3.0702004501890627</v>
      </c>
      <c r="AD33" s="332">
        <v>-88.18</v>
      </c>
      <c r="AE33" s="313">
        <v>-88.8</v>
      </c>
      <c r="AF33" s="313">
        <f t="shared" si="5"/>
        <v>-0.61999999999999034</v>
      </c>
      <c r="AG33" s="331">
        <f t="shared" si="6"/>
        <v>-6.0124797687206792E-2</v>
      </c>
      <c r="AH33" s="332">
        <v>0</v>
      </c>
      <c r="AI33" s="313">
        <v>0</v>
      </c>
      <c r="AJ33" s="313">
        <f t="shared" si="7"/>
        <v>0</v>
      </c>
      <c r="AK33" s="331">
        <f t="shared" si="8"/>
        <v>0</v>
      </c>
      <c r="AL33" s="332">
        <v>0.1</v>
      </c>
      <c r="AM33" s="313">
        <v>0.1</v>
      </c>
      <c r="AN33" s="313">
        <f t="shared" si="9"/>
        <v>0</v>
      </c>
      <c r="AO33" s="331">
        <f t="shared" si="10"/>
        <v>0</v>
      </c>
      <c r="AP33" s="303">
        <v>18.7</v>
      </c>
      <c r="AQ33" s="303">
        <v>14.9</v>
      </c>
      <c r="AR33" s="303">
        <f t="shared" si="11"/>
        <v>-3.7999999999999989</v>
      </c>
      <c r="AS33" s="447">
        <v>613.9</v>
      </c>
      <c r="AT33" s="341">
        <v>615</v>
      </c>
      <c r="AU33" s="341">
        <f t="shared" si="12"/>
        <v>1.1000000000000227</v>
      </c>
      <c r="AV33" s="303"/>
      <c r="AW33" s="303"/>
      <c r="AX33" s="303"/>
      <c r="AY33" s="303"/>
      <c r="AZ33" s="322" t="s">
        <v>686</v>
      </c>
      <c r="BA33" s="461">
        <v>1942.57243305</v>
      </c>
      <c r="BB33" s="461">
        <v>1.92615599</v>
      </c>
      <c r="BC33" s="461">
        <v>1331.8757599200001</v>
      </c>
      <c r="BD33" s="461">
        <v>1306.70655343</v>
      </c>
      <c r="BE33" s="461">
        <v>8.1282539000000007</v>
      </c>
      <c r="BF33" s="461">
        <v>8.0200094199999992</v>
      </c>
      <c r="BG33" s="461">
        <v>0.53911308999999996</v>
      </c>
      <c r="BH33" s="461">
        <v>10.311975410000001</v>
      </c>
      <c r="BI33" s="461">
        <v>10.256680299999999</v>
      </c>
      <c r="BJ33" s="461">
        <v>0.79977284999999998</v>
      </c>
      <c r="BK33" s="461">
        <v>1.3496803100000001</v>
      </c>
      <c r="BL33" s="461">
        <v>0.28276424999999999</v>
      </c>
    </row>
    <row r="34" spans="1:64" ht="15" customHeight="1" x14ac:dyDescent="0.2">
      <c r="A34" s="321">
        <v>62007016</v>
      </c>
      <c r="B34" s="321" t="s">
        <v>636</v>
      </c>
      <c r="C34" s="321" t="s">
        <v>773</v>
      </c>
      <c r="D34" s="352" t="s">
        <v>707</v>
      </c>
      <c r="E34" s="307" t="s">
        <v>708</v>
      </c>
      <c r="F34" s="307" t="str">
        <f t="shared" si="13"/>
        <v>07/29/20</v>
      </c>
      <c r="G34" s="322" t="s">
        <v>709</v>
      </c>
      <c r="H34" s="322" t="s">
        <v>710</v>
      </c>
      <c r="I34" s="330"/>
      <c r="J34" s="323">
        <v>26.322814000000001</v>
      </c>
      <c r="K34" s="323">
        <v>36.284891999999999</v>
      </c>
      <c r="L34" s="323">
        <v>29.211724</v>
      </c>
      <c r="M34" s="323">
        <v>31.908346999999999</v>
      </c>
      <c r="N34" s="308">
        <v>4250</v>
      </c>
      <c r="O34" s="308">
        <v>30.36</v>
      </c>
      <c r="P34" s="308">
        <v>0.3201</v>
      </c>
      <c r="Q34" s="308">
        <v>1.9560000000000001E-2</v>
      </c>
      <c r="R34" s="309">
        <v>30.06170195</v>
      </c>
      <c r="S34" s="309">
        <f t="shared" si="0"/>
        <v>40.373586959999997</v>
      </c>
      <c r="T34" s="338">
        <v>14.8</v>
      </c>
      <c r="U34" s="338">
        <v>0</v>
      </c>
      <c r="V34" s="313">
        <v>48754</v>
      </c>
      <c r="W34" s="313">
        <v>57096</v>
      </c>
      <c r="X34" s="313">
        <f t="shared" si="1"/>
        <v>8342</v>
      </c>
      <c r="Y34" s="313">
        <f t="shared" si="2"/>
        <v>277.49593199595938</v>
      </c>
      <c r="Z34" s="332">
        <v>3720.5267039999999</v>
      </c>
      <c r="AA34" s="313">
        <v>3789.22</v>
      </c>
      <c r="AB34" s="313">
        <f t="shared" si="3"/>
        <v>68.693295999999918</v>
      </c>
      <c r="AC34" s="331">
        <f t="shared" si="4"/>
        <v>2.285076743633935</v>
      </c>
      <c r="AD34" s="332">
        <v>-88.12</v>
      </c>
      <c r="AE34" s="313">
        <v>-88.43</v>
      </c>
      <c r="AF34" s="313">
        <f t="shared" si="5"/>
        <v>-0.31000000000000227</v>
      </c>
      <c r="AG34" s="331">
        <f t="shared" si="6"/>
        <v>-1.0312124061226091E-2</v>
      </c>
      <c r="AH34" s="332">
        <v>0</v>
      </c>
      <c r="AI34" s="313">
        <v>0</v>
      </c>
      <c r="AJ34" s="313">
        <f t="shared" si="7"/>
        <v>0</v>
      </c>
      <c r="AK34" s="331">
        <f t="shared" si="8"/>
        <v>0</v>
      </c>
      <c r="AL34" s="332">
        <v>0.1</v>
      </c>
      <c r="AM34" s="313">
        <v>0.1</v>
      </c>
      <c r="AN34" s="313">
        <f t="shared" si="9"/>
        <v>0</v>
      </c>
      <c r="AO34" s="331">
        <f t="shared" si="10"/>
        <v>0</v>
      </c>
      <c r="AP34" s="303">
        <v>14.8</v>
      </c>
      <c r="AQ34" s="303">
        <v>0</v>
      </c>
      <c r="AR34" s="303">
        <f t="shared" si="11"/>
        <v>-14.8</v>
      </c>
      <c r="AS34" s="447">
        <v>615.70000000000005</v>
      </c>
      <c r="AT34" s="341">
        <v>618.1</v>
      </c>
      <c r="AU34" s="341">
        <f t="shared" si="12"/>
        <v>2.3999999999999773</v>
      </c>
      <c r="AV34" s="303"/>
      <c r="AW34" s="303"/>
      <c r="AX34" s="303"/>
      <c r="AY34" s="303"/>
      <c r="AZ34" s="322" t="s">
        <v>686</v>
      </c>
      <c r="BA34" s="461">
        <v>77.556657630000004</v>
      </c>
      <c r="BB34" s="461">
        <v>9.3748847899999994</v>
      </c>
      <c r="BC34" s="461">
        <v>635.63433044999999</v>
      </c>
      <c r="BD34" s="461">
        <v>581.15200000000004</v>
      </c>
      <c r="BE34" s="461">
        <v>28.8379695</v>
      </c>
      <c r="BF34" s="461">
        <v>30.356550169999998</v>
      </c>
      <c r="BG34" s="461">
        <v>-2.8350737600000002</v>
      </c>
      <c r="BH34" s="461">
        <v>30.061948950000001</v>
      </c>
      <c r="BI34" s="461">
        <v>30.939095120000001</v>
      </c>
      <c r="BJ34" s="461">
        <v>-2.2815409600000001</v>
      </c>
      <c r="BK34" s="461">
        <v>-5.00248106</v>
      </c>
      <c r="BL34" s="461">
        <v>2.721229E-2</v>
      </c>
    </row>
    <row r="35" spans="1:64" ht="15" customHeight="1" x14ac:dyDescent="0.2">
      <c r="A35" s="321">
        <v>62007017</v>
      </c>
      <c r="B35" s="321" t="s">
        <v>645</v>
      </c>
      <c r="C35" s="321" t="s">
        <v>773</v>
      </c>
      <c r="D35" s="352" t="s">
        <v>711</v>
      </c>
      <c r="E35" s="307" t="s">
        <v>712</v>
      </c>
      <c r="F35" s="307" t="str">
        <f t="shared" si="13"/>
        <v>07/29/20</v>
      </c>
      <c r="G35" s="322" t="s">
        <v>713</v>
      </c>
      <c r="H35" s="322" t="s">
        <v>685</v>
      </c>
      <c r="I35" s="330"/>
      <c r="J35" s="323">
        <v>-543.45267999999999</v>
      </c>
      <c r="K35" s="323">
        <v>-1159.4706200000001</v>
      </c>
      <c r="L35" s="323">
        <v>-724.674128</v>
      </c>
      <c r="M35" s="323">
        <v>-554.52242999999999</v>
      </c>
      <c r="N35" s="308">
        <v>4250</v>
      </c>
      <c r="O35" s="308">
        <v>30.36</v>
      </c>
      <c r="P35" s="308">
        <v>0.3201</v>
      </c>
      <c r="Q35" s="308">
        <v>1.9560000000000001E-2</v>
      </c>
      <c r="R35" s="309">
        <v>1.443465E-2</v>
      </c>
      <c r="S35" s="309">
        <f t="shared" si="0"/>
        <v>30.076136599999998</v>
      </c>
      <c r="T35" s="338" t="s">
        <v>990</v>
      </c>
      <c r="U35" s="338" t="s">
        <v>991</v>
      </c>
      <c r="V35" s="313">
        <v>57096</v>
      </c>
      <c r="W35" s="313">
        <v>-3958</v>
      </c>
      <c r="X35" s="313">
        <f t="shared" si="1"/>
        <v>-61054</v>
      </c>
      <c r="Y35" s="313">
        <f t="shared" si="2"/>
        <v>-4229683.4353448125</v>
      </c>
      <c r="Z35" s="332">
        <v>3789.23</v>
      </c>
      <c r="AA35" s="313">
        <v>4743.54</v>
      </c>
      <c r="AB35" s="313">
        <f t="shared" si="3"/>
        <v>954.31</v>
      </c>
      <c r="AC35" s="331">
        <f t="shared" si="4"/>
        <v>66112.444707699877</v>
      </c>
      <c r="AD35" s="332">
        <v>-86.72</v>
      </c>
      <c r="AE35" s="313">
        <v>-111.41</v>
      </c>
      <c r="AF35" s="313">
        <f t="shared" si="5"/>
        <v>-24.689999999999998</v>
      </c>
      <c r="AG35" s="331">
        <f t="shared" si="6"/>
        <v>-1710.4675208612607</v>
      </c>
      <c r="AH35" s="332" t="s">
        <v>992</v>
      </c>
      <c r="AI35" s="313" t="s">
        <v>993</v>
      </c>
      <c r="AJ35" s="313" t="e">
        <f t="shared" si="7"/>
        <v>#VALUE!</v>
      </c>
      <c r="AK35" s="331" t="e">
        <f t="shared" si="8"/>
        <v>#VALUE!</v>
      </c>
      <c r="AL35" s="332" t="s">
        <v>994</v>
      </c>
      <c r="AM35" s="313" t="s">
        <v>995</v>
      </c>
      <c r="AN35" s="313" t="e">
        <f t="shared" si="9"/>
        <v>#VALUE!</v>
      </c>
      <c r="AO35" s="331" t="e">
        <f t="shared" si="10"/>
        <v>#VALUE!</v>
      </c>
      <c r="AP35" s="303" t="s">
        <v>951</v>
      </c>
      <c r="AQ35" s="303" t="s">
        <v>996</v>
      </c>
      <c r="AR35" s="303" t="e">
        <f t="shared" si="11"/>
        <v>#VALUE!</v>
      </c>
      <c r="AS35" s="447">
        <v>618.79999999999995</v>
      </c>
      <c r="AT35" s="341">
        <v>68831.5</v>
      </c>
      <c r="AU35" s="341">
        <f t="shared" si="12"/>
        <v>68212.7</v>
      </c>
      <c r="AV35" s="303"/>
      <c r="AW35" s="303"/>
      <c r="AX35" s="303"/>
      <c r="AY35" s="303"/>
      <c r="AZ35" s="322" t="s">
        <v>714</v>
      </c>
      <c r="BA35" s="461">
        <v>0</v>
      </c>
      <c r="BB35" s="461" t="s">
        <v>691</v>
      </c>
      <c r="BC35" s="461">
        <v>0</v>
      </c>
      <c r="BD35" s="461">
        <v>0</v>
      </c>
      <c r="BE35" s="461">
        <v>0</v>
      </c>
      <c r="BF35" s="461">
        <v>0</v>
      </c>
      <c r="BG35" s="461" t="s">
        <v>691</v>
      </c>
      <c r="BH35" s="461">
        <v>0</v>
      </c>
      <c r="BI35" s="461">
        <v>0</v>
      </c>
      <c r="BJ35" s="461" t="s">
        <v>691</v>
      </c>
      <c r="BK35" s="461" t="s">
        <v>691</v>
      </c>
      <c r="BL35" s="461" t="s">
        <v>691</v>
      </c>
    </row>
    <row r="36" spans="1:64" ht="15" customHeight="1" x14ac:dyDescent="0.2">
      <c r="A36" s="321">
        <v>62007022</v>
      </c>
      <c r="B36" s="321" t="s">
        <v>674</v>
      </c>
      <c r="C36" s="321" t="s">
        <v>773</v>
      </c>
      <c r="D36" s="352" t="s">
        <v>682</v>
      </c>
      <c r="E36" s="307" t="s">
        <v>715</v>
      </c>
      <c r="F36" s="307" t="str">
        <f t="shared" si="13"/>
        <v>07/30/20</v>
      </c>
      <c r="G36" s="322" t="s">
        <v>716</v>
      </c>
      <c r="H36" s="322" t="s">
        <v>717</v>
      </c>
      <c r="I36" s="330"/>
      <c r="J36" s="323">
        <v>25.934951000000002</v>
      </c>
      <c r="K36" s="323">
        <v>36.811639</v>
      </c>
      <c r="L36" s="323">
        <v>29.200762000000001</v>
      </c>
      <c r="M36" s="323">
        <v>28.885345999999998</v>
      </c>
      <c r="N36" s="308">
        <v>4250</v>
      </c>
      <c r="O36" s="308">
        <v>30.36</v>
      </c>
      <c r="P36" s="308">
        <v>0.3201</v>
      </c>
      <c r="Q36" s="308">
        <v>1.9560000000000001E-2</v>
      </c>
      <c r="R36" s="309">
        <v>10.245464269999999</v>
      </c>
      <c r="S36" s="309">
        <f t="shared" si="0"/>
        <v>10.259898919999999</v>
      </c>
      <c r="T36" s="338">
        <v>88.4</v>
      </c>
      <c r="U36" s="338">
        <v>84.9</v>
      </c>
      <c r="V36" s="313">
        <v>6546</v>
      </c>
      <c r="W36" s="313">
        <v>8916</v>
      </c>
      <c r="X36" s="313">
        <f t="shared" si="1"/>
        <v>2370</v>
      </c>
      <c r="Y36" s="313">
        <f t="shared" si="2"/>
        <v>231.32187449422437</v>
      </c>
      <c r="Z36" s="332">
        <v>360.96</v>
      </c>
      <c r="AA36" s="313">
        <v>393.54</v>
      </c>
      <c r="AB36" s="313">
        <f t="shared" si="3"/>
        <v>32.580000000000041</v>
      </c>
      <c r="AC36" s="331">
        <f t="shared" si="4"/>
        <v>3.1799437430471897</v>
      </c>
      <c r="AD36" s="332">
        <v>3.07</v>
      </c>
      <c r="AE36" s="313">
        <v>2.11</v>
      </c>
      <c r="AF36" s="313">
        <f t="shared" si="5"/>
        <v>-0.96</v>
      </c>
      <c r="AG36" s="331">
        <f t="shared" si="6"/>
        <v>-9.3699999795128858E-2</v>
      </c>
      <c r="AH36" s="332">
        <v>0</v>
      </c>
      <c r="AI36" s="313">
        <v>0</v>
      </c>
      <c r="AJ36" s="313">
        <f t="shared" si="7"/>
        <v>0</v>
      </c>
      <c r="AK36" s="331">
        <f t="shared" si="8"/>
        <v>0</v>
      </c>
      <c r="AL36" s="332">
        <v>0.05</v>
      </c>
      <c r="AM36" s="313">
        <v>0.05</v>
      </c>
      <c r="AN36" s="313">
        <f t="shared" si="9"/>
        <v>0</v>
      </c>
      <c r="AO36" s="331">
        <f t="shared" si="10"/>
        <v>0</v>
      </c>
      <c r="AP36" s="303">
        <v>88.4</v>
      </c>
      <c r="AQ36" s="303">
        <v>84.9</v>
      </c>
      <c r="AR36" s="303">
        <f t="shared" si="11"/>
        <v>-3.5</v>
      </c>
      <c r="AS36" s="447">
        <v>29.9</v>
      </c>
      <c r="AT36" s="341">
        <v>30.9</v>
      </c>
      <c r="AU36" s="341">
        <f t="shared" si="12"/>
        <v>1</v>
      </c>
      <c r="AV36" s="303"/>
      <c r="AW36" s="303"/>
      <c r="AX36" s="303"/>
      <c r="AY36" s="303"/>
      <c r="AZ36" s="322" t="s">
        <v>686</v>
      </c>
      <c r="BA36" s="461">
        <v>1944.73643305</v>
      </c>
      <c r="BB36" s="461">
        <v>-0.23012404</v>
      </c>
      <c r="BC36" s="461">
        <v>1303.7608643999999</v>
      </c>
      <c r="BD36" s="461">
        <v>1306.7680519</v>
      </c>
      <c r="BE36" s="461">
        <v>7.9792762100000001</v>
      </c>
      <c r="BF36" s="461">
        <v>8.0201719400000009</v>
      </c>
      <c r="BG36" s="461">
        <v>-0.10840123</v>
      </c>
      <c r="BH36" s="461">
        <v>10.245561909999999</v>
      </c>
      <c r="BI36" s="461">
        <v>10.25668027</v>
      </c>
      <c r="BJ36" s="461">
        <v>-0.40356742000000001</v>
      </c>
      <c r="BK36" s="461">
        <v>-0.50991081999999999</v>
      </c>
      <c r="BL36" s="461">
        <v>0.28277363</v>
      </c>
    </row>
    <row r="37" spans="1:64" ht="15" customHeight="1" x14ac:dyDescent="0.2">
      <c r="A37" s="321">
        <v>62007022</v>
      </c>
      <c r="B37" s="321" t="s">
        <v>674</v>
      </c>
      <c r="C37" s="321" t="s">
        <v>774</v>
      </c>
      <c r="D37" s="352" t="s">
        <v>682</v>
      </c>
      <c r="E37" s="307" t="s">
        <v>715</v>
      </c>
      <c r="F37" s="307" t="str">
        <f t="shared" si="13"/>
        <v>07/30/20</v>
      </c>
      <c r="G37" s="322" t="s">
        <v>716</v>
      </c>
      <c r="H37" s="322" t="s">
        <v>717</v>
      </c>
      <c r="I37" s="330"/>
      <c r="J37" s="323">
        <v>25.086224000000001</v>
      </c>
      <c r="K37" s="323">
        <v>38.190508000000001</v>
      </c>
      <c r="L37" s="323">
        <v>29.184479</v>
      </c>
      <c r="M37" s="323">
        <v>30.772383999999999</v>
      </c>
      <c r="N37" s="308">
        <v>4250</v>
      </c>
      <c r="O37" s="308">
        <v>30.36</v>
      </c>
      <c r="P37" s="308">
        <v>0.3201</v>
      </c>
      <c r="Q37" s="308">
        <v>1.9560000000000001E-2</v>
      </c>
      <c r="R37" s="309">
        <v>10.24516586</v>
      </c>
      <c r="S37" s="309">
        <f t="shared" si="0"/>
        <v>20.49063013</v>
      </c>
      <c r="T37" s="338">
        <v>84.8</v>
      </c>
      <c r="U37" s="338">
        <v>81.3</v>
      </c>
      <c r="V37" s="313">
        <v>8917</v>
      </c>
      <c r="W37" s="313">
        <v>11218</v>
      </c>
      <c r="X37" s="313">
        <f t="shared" si="1"/>
        <v>2301</v>
      </c>
      <c r="Y37" s="313">
        <f t="shared" si="2"/>
        <v>224.59372853920786</v>
      </c>
      <c r="Z37" s="332">
        <v>394.16</v>
      </c>
      <c r="AA37" s="313">
        <v>426.44</v>
      </c>
      <c r="AB37" s="313">
        <f t="shared" si="3"/>
        <v>32.279999999999973</v>
      </c>
      <c r="AC37" s="331">
        <f t="shared" si="4"/>
        <v>3.1507542621667204</v>
      </c>
      <c r="AD37" s="332">
        <v>2.1</v>
      </c>
      <c r="AE37" s="313">
        <v>1.36</v>
      </c>
      <c r="AF37" s="313">
        <f t="shared" si="5"/>
        <v>-0.74</v>
      </c>
      <c r="AG37" s="331">
        <f t="shared" si="6"/>
        <v>-7.2229186926994274E-2</v>
      </c>
      <c r="AH37" s="332">
        <v>0</v>
      </c>
      <c r="AI37" s="313">
        <v>0</v>
      </c>
      <c r="AJ37" s="313">
        <f t="shared" si="7"/>
        <v>0</v>
      </c>
      <c r="AK37" s="331">
        <f t="shared" si="8"/>
        <v>0</v>
      </c>
      <c r="AL37" s="332">
        <v>0.05</v>
      </c>
      <c r="AM37" s="313">
        <v>0.05</v>
      </c>
      <c r="AN37" s="313">
        <f t="shared" si="9"/>
        <v>0</v>
      </c>
      <c r="AO37" s="331">
        <f t="shared" si="10"/>
        <v>0</v>
      </c>
      <c r="AP37" s="303">
        <v>84.8</v>
      </c>
      <c r="AQ37" s="303">
        <v>81.3</v>
      </c>
      <c r="AR37" s="303">
        <f t="shared" si="11"/>
        <v>-3.5</v>
      </c>
      <c r="AS37" s="447">
        <v>31</v>
      </c>
      <c r="AT37" s="341">
        <v>32</v>
      </c>
      <c r="AU37" s="341">
        <f t="shared" si="12"/>
        <v>1</v>
      </c>
      <c r="AV37" s="303"/>
      <c r="AW37" s="303"/>
      <c r="AX37" s="303"/>
      <c r="AY37" s="303"/>
      <c r="AZ37" s="322" t="s">
        <v>686</v>
      </c>
      <c r="BA37" s="461">
        <v>1941.2511752099999</v>
      </c>
      <c r="BB37" s="461">
        <v>-0.12413042000000001</v>
      </c>
      <c r="BC37" s="461">
        <v>1305.1140147599999</v>
      </c>
      <c r="BD37" s="461">
        <v>1306.73607173</v>
      </c>
      <c r="BE37" s="461">
        <v>7.9802279800000004</v>
      </c>
      <c r="BF37" s="461">
        <v>8.0200940500000009</v>
      </c>
      <c r="BG37" s="461">
        <v>-0.11145119000000001</v>
      </c>
      <c r="BH37" s="461">
        <v>10.245248950000001</v>
      </c>
      <c r="BI37" s="461">
        <v>10.256680149999999</v>
      </c>
      <c r="BJ37" s="461">
        <v>-0.38755265999999999</v>
      </c>
      <c r="BK37" s="461">
        <v>-0.49707741</v>
      </c>
      <c r="BL37" s="461">
        <v>0.28276837999999999</v>
      </c>
    </row>
    <row r="38" spans="1:64" ht="15" customHeight="1" x14ac:dyDescent="0.2">
      <c r="A38" s="485" t="s">
        <v>851</v>
      </c>
      <c r="B38" s="362"/>
      <c r="C38" s="362"/>
      <c r="D38" s="363"/>
      <c r="E38" s="362"/>
      <c r="F38" s="362"/>
      <c r="G38" s="363"/>
      <c r="H38" s="363"/>
      <c r="I38" s="363"/>
      <c r="J38" s="363"/>
      <c r="K38" s="363"/>
      <c r="L38" s="363"/>
      <c r="M38" s="363"/>
      <c r="N38" s="363"/>
      <c r="O38" s="363"/>
      <c r="P38" s="364"/>
      <c r="Q38" s="365"/>
      <c r="R38" s="362"/>
      <c r="S38" s="362"/>
      <c r="T38" s="362"/>
      <c r="U38" s="362"/>
      <c r="V38" s="369"/>
      <c r="W38" s="369"/>
      <c r="X38" s="362"/>
      <c r="Y38" s="362"/>
      <c r="Z38" s="369"/>
      <c r="AA38" s="369"/>
      <c r="AB38" s="362"/>
      <c r="AC38" s="362"/>
      <c r="AD38" s="369"/>
      <c r="AE38" s="369"/>
      <c r="AF38" s="362"/>
      <c r="AG38" s="362"/>
      <c r="AH38" s="362"/>
      <c r="AI38" s="362"/>
      <c r="AJ38" s="362"/>
      <c r="AK38" s="362"/>
      <c r="AL38" s="369"/>
      <c r="AM38" s="369"/>
      <c r="AN38" s="362"/>
      <c r="AO38" s="362"/>
      <c r="AP38" s="362"/>
      <c r="AQ38" s="362"/>
      <c r="AR38" s="362"/>
      <c r="AS38" s="362"/>
      <c r="AT38" s="362"/>
      <c r="AU38" s="362"/>
      <c r="AV38" s="362"/>
      <c r="AW38" s="362"/>
      <c r="AX38" s="362"/>
      <c r="AY38" s="362"/>
      <c r="AZ38" s="362"/>
      <c r="BA38" s="362"/>
      <c r="BB38" s="362"/>
      <c r="BC38" s="362"/>
      <c r="BD38" s="362"/>
      <c r="BE38" s="362"/>
      <c r="BF38" s="362"/>
      <c r="BG38" s="362"/>
      <c r="BH38" s="362"/>
      <c r="BI38" s="362"/>
      <c r="BJ38" s="362"/>
      <c r="BK38" s="362"/>
      <c r="BL38" s="366"/>
    </row>
    <row r="39" spans="1:64" ht="15" customHeight="1" x14ac:dyDescent="0.2">
      <c r="A39" s="321">
        <v>62007023</v>
      </c>
      <c r="B39" s="321" t="s">
        <v>627</v>
      </c>
      <c r="C39" s="321" t="s">
        <v>773</v>
      </c>
      <c r="D39" s="352" t="s">
        <v>718</v>
      </c>
      <c r="E39" s="307" t="s">
        <v>719</v>
      </c>
      <c r="F39" s="307" t="str">
        <f t="shared" si="13"/>
        <v>07/31/20</v>
      </c>
      <c r="G39" s="322" t="s">
        <v>720</v>
      </c>
      <c r="H39" s="322" t="s">
        <v>685</v>
      </c>
      <c r="I39" s="330"/>
      <c r="J39" s="323">
        <v>24.09009</v>
      </c>
      <c r="K39" s="323">
        <v>41.712361000000001</v>
      </c>
      <c r="L39" s="323">
        <v>29.253447999999999</v>
      </c>
      <c r="M39" s="323">
        <v>25.256694</v>
      </c>
      <c r="N39" s="308">
        <v>4250</v>
      </c>
      <c r="O39" s="308">
        <v>30.36</v>
      </c>
      <c r="P39" s="308">
        <v>0.3201</v>
      </c>
      <c r="Q39" s="308">
        <v>1.9560000000000001E-2</v>
      </c>
      <c r="R39" s="309">
        <v>3.5809648599999999</v>
      </c>
      <c r="S39" s="309">
        <f>R39+R38</f>
        <v>3.5809648599999999</v>
      </c>
      <c r="T39" s="338">
        <v>98.3</v>
      </c>
      <c r="U39" s="338">
        <v>97</v>
      </c>
      <c r="V39" s="313">
        <v>-378</v>
      </c>
      <c r="W39" s="313">
        <v>507</v>
      </c>
      <c r="X39" s="313">
        <f>W39-V39</f>
        <v>885</v>
      </c>
      <c r="Y39" s="313">
        <f t="shared" ref="Y39:Y61" si="14">X39/$R39</f>
        <v>247.1400962030105</v>
      </c>
      <c r="Z39" s="332">
        <v>635.46214399999997</v>
      </c>
      <c r="AA39" s="313">
        <v>658.71</v>
      </c>
      <c r="AB39" s="313">
        <f>AA39-Z39</f>
        <v>23.24785600000007</v>
      </c>
      <c r="AC39" s="331">
        <f t="shared" ref="AC39:AC61" si="15">AB39/$R39</f>
        <v>6.4920648229985902</v>
      </c>
      <c r="AD39" s="332">
        <v>-0.36</v>
      </c>
      <c r="AE39" s="313">
        <v>-1.57</v>
      </c>
      <c r="AF39" s="313">
        <f>AE39-AD39</f>
        <v>-1.21</v>
      </c>
      <c r="AG39" s="331">
        <f t="shared" ref="AG39:AG61" si="16">AF39/$R39</f>
        <v>-0.33789775865044375</v>
      </c>
      <c r="AH39" s="332">
        <v>0</v>
      </c>
      <c r="AI39" s="313">
        <v>0</v>
      </c>
      <c r="AJ39" s="313">
        <f>AI39-AH39</f>
        <v>0</v>
      </c>
      <c r="AK39" s="331">
        <f t="shared" ref="AK39:AK61" si="17">AJ39/$R39</f>
        <v>0</v>
      </c>
      <c r="AL39" s="332">
        <v>0.05</v>
      </c>
      <c r="AM39" s="313">
        <v>0.05</v>
      </c>
      <c r="AN39" s="313">
        <f>AM39-AL39</f>
        <v>0</v>
      </c>
      <c r="AO39" s="331">
        <f t="shared" ref="AO39:AO61" si="18">AN39/$R39</f>
        <v>0</v>
      </c>
      <c r="AP39" s="303">
        <v>98.3</v>
      </c>
      <c r="AQ39" s="303">
        <v>97</v>
      </c>
      <c r="AR39" s="303">
        <f>AQ39-AP39</f>
        <v>-1.2999999999999972</v>
      </c>
      <c r="AS39" s="447">
        <v>13078.4</v>
      </c>
      <c r="AT39" s="341">
        <v>13079.1</v>
      </c>
      <c r="AU39" s="341">
        <f>AT39-AS39</f>
        <v>0.7000000000007276</v>
      </c>
      <c r="AV39" s="303"/>
      <c r="AW39" s="303"/>
      <c r="AX39" s="303"/>
      <c r="AY39" s="303"/>
      <c r="AZ39" s="322" t="s">
        <v>686</v>
      </c>
      <c r="BA39" s="461">
        <v>2418.0556403700002</v>
      </c>
      <c r="BB39" s="461">
        <v>-1.7597331300000001</v>
      </c>
      <c r="BC39" s="461">
        <v>2012.7673618199999</v>
      </c>
      <c r="BD39" s="461">
        <v>2048.82114641</v>
      </c>
      <c r="BE39" s="461">
        <v>3.21454643</v>
      </c>
      <c r="BF39" s="461">
        <v>3.2585134099999999</v>
      </c>
      <c r="BG39" s="461">
        <v>-0.28020405999999998</v>
      </c>
      <c r="BH39" s="461">
        <v>3.5809184799999998</v>
      </c>
      <c r="BI39" s="461">
        <v>3.5909805499999998</v>
      </c>
      <c r="BJ39" s="461">
        <v>-1.0837142099999999</v>
      </c>
      <c r="BK39" s="461">
        <v>-1.34929575</v>
      </c>
      <c r="BL39" s="461">
        <v>0.59039169999999996</v>
      </c>
    </row>
    <row r="40" spans="1:64" ht="15" customHeight="1" x14ac:dyDescent="0.2">
      <c r="A40" s="321">
        <f>A39</f>
        <v>62007023</v>
      </c>
      <c r="B40" s="321" t="s">
        <v>628</v>
      </c>
      <c r="C40" s="321" t="s">
        <v>774</v>
      </c>
      <c r="D40" s="352" t="s">
        <v>718</v>
      </c>
      <c r="E40" s="307" t="s">
        <v>719</v>
      </c>
      <c r="F40" s="307" t="str">
        <f t="shared" si="13"/>
        <v>07/31/20</v>
      </c>
      <c r="G40" s="322" t="s">
        <v>720</v>
      </c>
      <c r="H40" s="322" t="s">
        <v>685</v>
      </c>
      <c r="I40" s="330"/>
      <c r="J40" s="323">
        <v>22.084057999999999</v>
      </c>
      <c r="K40" s="323">
        <v>46.148006000000002</v>
      </c>
      <c r="L40" s="323">
        <v>29.247273</v>
      </c>
      <c r="M40" s="323">
        <v>27.868120999999999</v>
      </c>
      <c r="N40" s="308">
        <v>4250</v>
      </c>
      <c r="O40" s="308">
        <v>30.36</v>
      </c>
      <c r="P40" s="308">
        <v>0.3201</v>
      </c>
      <c r="Q40" s="308">
        <v>1.9560000000000001E-2</v>
      </c>
      <c r="R40" s="309">
        <v>3.8431392500000001</v>
      </c>
      <c r="S40" s="309">
        <f>R40+R39</f>
        <v>7.42410411</v>
      </c>
      <c r="T40" s="338">
        <v>97</v>
      </c>
      <c r="U40" s="338">
        <v>95.9</v>
      </c>
      <c r="V40" s="313">
        <v>507</v>
      </c>
      <c r="W40" s="313">
        <v>1223</v>
      </c>
      <c r="X40" s="313">
        <f>W40-V40</f>
        <v>716</v>
      </c>
      <c r="Y40" s="313">
        <f t="shared" si="14"/>
        <v>186.30602573143815</v>
      </c>
      <c r="Z40" s="332">
        <v>658.72</v>
      </c>
      <c r="AA40" s="313">
        <v>695.92</v>
      </c>
      <c r="AB40" s="313">
        <f>AA40-Z40</f>
        <v>37.199999999999932</v>
      </c>
      <c r="AC40" s="331">
        <f t="shared" si="15"/>
        <v>9.6795868117450929</v>
      </c>
      <c r="AD40" s="332">
        <v>-1.57</v>
      </c>
      <c r="AE40" s="313">
        <v>-2.39</v>
      </c>
      <c r="AF40" s="313">
        <f>AE40-AD40</f>
        <v>-0.82000000000000006</v>
      </c>
      <c r="AG40" s="331">
        <f t="shared" si="16"/>
        <v>-0.21336723617287612</v>
      </c>
      <c r="AH40" s="332">
        <v>0</v>
      </c>
      <c r="AI40" s="313">
        <v>0</v>
      </c>
      <c r="AJ40" s="313">
        <f>AI40-AH40</f>
        <v>0</v>
      </c>
      <c r="AK40" s="331">
        <f t="shared" si="17"/>
        <v>0</v>
      </c>
      <c r="AL40" s="332">
        <v>0.05</v>
      </c>
      <c r="AM40" s="313">
        <v>0.05</v>
      </c>
      <c r="AN40" s="313">
        <f>AM40-AL40</f>
        <v>0</v>
      </c>
      <c r="AO40" s="331">
        <f t="shared" si="18"/>
        <v>0</v>
      </c>
      <c r="AP40" s="303">
        <v>97</v>
      </c>
      <c r="AQ40" s="303">
        <v>95.9</v>
      </c>
      <c r="AR40" s="303">
        <f>AQ40-AP40</f>
        <v>-1.0999999999999943</v>
      </c>
      <c r="AS40" s="447">
        <v>13079.1</v>
      </c>
      <c r="AT40" s="341">
        <v>13080.3</v>
      </c>
      <c r="AU40" s="341">
        <f>AT40-AS40</f>
        <v>1.1999999999989086</v>
      </c>
      <c r="AV40" s="303"/>
      <c r="AW40" s="303"/>
      <c r="AX40" s="303"/>
      <c r="AY40" s="303"/>
      <c r="AZ40" s="322" t="s">
        <v>686</v>
      </c>
      <c r="BA40" s="461">
        <v>1482.6170568</v>
      </c>
      <c r="BB40" s="461">
        <v>-2.1179543600000001</v>
      </c>
      <c r="BC40" s="461">
        <v>3343.7784983299998</v>
      </c>
      <c r="BD40" s="461">
        <v>3416.1305850499998</v>
      </c>
      <c r="BE40" s="461">
        <v>2.95611793</v>
      </c>
      <c r="BF40" s="461">
        <v>3.0186155399999999</v>
      </c>
      <c r="BG40" s="461">
        <v>-0.43644960999999999</v>
      </c>
      <c r="BH40" s="461">
        <v>3.8429837400000002</v>
      </c>
      <c r="BI40" s="461">
        <v>3.85982995</v>
      </c>
      <c r="BJ40" s="461">
        <v>-1.6685017799999999</v>
      </c>
      <c r="BK40" s="461">
        <v>-2.0704066299999999</v>
      </c>
      <c r="BL40" s="461">
        <v>0.71450946000000004</v>
      </c>
    </row>
    <row r="41" spans="1:64" ht="15" customHeight="1" x14ac:dyDescent="0.2">
      <c r="A41" s="321">
        <f>A40</f>
        <v>62007023</v>
      </c>
      <c r="B41" s="321" t="s">
        <v>629</v>
      </c>
      <c r="C41" s="321" t="s">
        <v>775</v>
      </c>
      <c r="D41" s="352" t="s">
        <v>718</v>
      </c>
      <c r="E41" s="307" t="s">
        <v>719</v>
      </c>
      <c r="F41" s="307" t="str">
        <f t="shared" si="13"/>
        <v>07/31/20</v>
      </c>
      <c r="G41" s="322" t="s">
        <v>720</v>
      </c>
      <c r="H41" s="322" t="s">
        <v>685</v>
      </c>
      <c r="I41" s="330"/>
      <c r="J41" s="324">
        <f>AVERAGE(J39:J40)</f>
        <v>23.087074000000001</v>
      </c>
      <c r="K41" s="324">
        <f>AVERAGE(K39:K40)</f>
        <v>43.930183499999998</v>
      </c>
      <c r="L41" s="324">
        <f>AVERAGE(L39:L40)</f>
        <v>29.250360499999999</v>
      </c>
      <c r="M41" s="324">
        <f>AVERAGE(M39:M40)</f>
        <v>26.562407499999999</v>
      </c>
      <c r="N41" s="310"/>
      <c r="O41" s="308"/>
      <c r="P41" s="326"/>
      <c r="Q41" s="325"/>
      <c r="R41" s="311">
        <f>R40+R39</f>
        <v>7.42410411</v>
      </c>
      <c r="S41" s="311">
        <f>S40</f>
        <v>7.42410411</v>
      </c>
      <c r="T41" s="339">
        <f>T39</f>
        <v>98.3</v>
      </c>
      <c r="U41" s="339">
        <f>U40</f>
        <v>95.9</v>
      </c>
      <c r="V41" s="314">
        <f>V39</f>
        <v>-378</v>
      </c>
      <c r="W41" s="314">
        <f>W40</f>
        <v>1223</v>
      </c>
      <c r="X41" s="314">
        <f>SUM(X39:X40)</f>
        <v>1601</v>
      </c>
      <c r="Y41" s="314">
        <f t="shared" si="14"/>
        <v>215.64891551608372</v>
      </c>
      <c r="Z41" s="314">
        <f>Z39</f>
        <v>635.46214399999997</v>
      </c>
      <c r="AA41" s="314">
        <f>AA40</f>
        <v>695.92</v>
      </c>
      <c r="AB41" s="314">
        <f>SUM(AB39:AB40)</f>
        <v>60.447856000000002</v>
      </c>
      <c r="AC41" s="312">
        <f t="shared" si="15"/>
        <v>8.1421078024187352</v>
      </c>
      <c r="AD41" s="314">
        <f>AD39</f>
        <v>-0.36</v>
      </c>
      <c r="AE41" s="314">
        <f>AE40</f>
        <v>-2.39</v>
      </c>
      <c r="AF41" s="314">
        <f>SUM(AF39:AF40)</f>
        <v>-2.0300000000000002</v>
      </c>
      <c r="AG41" s="312">
        <f t="shared" si="16"/>
        <v>-0.27343366552008119</v>
      </c>
      <c r="AH41" s="314">
        <f>AH39</f>
        <v>0</v>
      </c>
      <c r="AI41" s="314">
        <f>AI40</f>
        <v>0</v>
      </c>
      <c r="AJ41" s="314">
        <f>SUM(AJ39:AJ40)</f>
        <v>0</v>
      </c>
      <c r="AK41" s="312">
        <f t="shared" si="17"/>
        <v>0</v>
      </c>
      <c r="AL41" s="314">
        <f>AL39</f>
        <v>0.05</v>
      </c>
      <c r="AM41" s="314">
        <f>AM40</f>
        <v>0.05</v>
      </c>
      <c r="AN41" s="314">
        <f>SUM(AN39:AN40)</f>
        <v>0</v>
      </c>
      <c r="AO41" s="312">
        <f t="shared" si="18"/>
        <v>0</v>
      </c>
      <c r="AP41" s="305"/>
      <c r="AQ41" s="305"/>
      <c r="AR41" s="305">
        <f>SUM(AR39:AR40)</f>
        <v>-2.3999999999999915</v>
      </c>
      <c r="AS41" s="342">
        <f>AS39</f>
        <v>13078.4</v>
      </c>
      <c r="AT41" s="342">
        <f>AT40</f>
        <v>13080.3</v>
      </c>
      <c r="AU41" s="342">
        <f>SUM(AU39:AU40)</f>
        <v>1.8999999999996362</v>
      </c>
      <c r="AV41" s="305"/>
      <c r="AW41" s="305"/>
      <c r="AX41" s="305"/>
      <c r="AY41" s="305"/>
      <c r="AZ41" s="322" t="s">
        <v>686</v>
      </c>
    </row>
    <row r="42" spans="1:64" ht="15" customHeight="1" x14ac:dyDescent="0.2">
      <c r="A42" s="321">
        <f t="shared" ref="A42:A48" si="19">A41</f>
        <v>62007023</v>
      </c>
      <c r="B42" s="321" t="s">
        <v>630</v>
      </c>
      <c r="C42" s="321" t="s">
        <v>776</v>
      </c>
      <c r="D42" s="352" t="s">
        <v>718</v>
      </c>
      <c r="E42" s="307" t="s">
        <v>719</v>
      </c>
      <c r="F42" s="307" t="str">
        <f t="shared" si="13"/>
        <v>07/31/20</v>
      </c>
      <c r="G42" s="322" t="s">
        <v>720</v>
      </c>
      <c r="H42" s="322" t="s">
        <v>685</v>
      </c>
      <c r="I42" s="330"/>
      <c r="J42" s="323">
        <v>25.021509000000002</v>
      </c>
      <c r="K42" s="323">
        <v>39.028905000000002</v>
      </c>
      <c r="L42" s="323">
        <v>29.258141999999999</v>
      </c>
      <c r="M42" s="323">
        <v>29.292351</v>
      </c>
      <c r="N42" s="308">
        <v>4250</v>
      </c>
      <c r="O42" s="308">
        <v>30.36</v>
      </c>
      <c r="P42" s="308">
        <v>0.3201</v>
      </c>
      <c r="Q42" s="308">
        <v>1.9560000000000001E-2</v>
      </c>
      <c r="R42" s="309">
        <v>10.245664769999999</v>
      </c>
      <c r="S42" s="309">
        <f>R42+R41</f>
        <v>17.669768879999999</v>
      </c>
      <c r="T42" s="338">
        <v>95.9</v>
      </c>
      <c r="U42" s="338">
        <v>92.6</v>
      </c>
      <c r="V42" s="313">
        <v>1224</v>
      </c>
      <c r="W42" s="313">
        <v>3499</v>
      </c>
      <c r="X42" s="313">
        <f>W42-V42</f>
        <v>2275</v>
      </c>
      <c r="Y42" s="313">
        <f t="shared" si="14"/>
        <v>222.04513333886877</v>
      </c>
      <c r="Z42" s="332">
        <v>696.62</v>
      </c>
      <c r="AA42" s="313">
        <v>728.87</v>
      </c>
      <c r="AB42" s="313">
        <f>AA42-Z42</f>
        <v>32.25</v>
      </c>
      <c r="AC42" s="331">
        <f t="shared" si="15"/>
        <v>3.1476727693092386</v>
      </c>
      <c r="AD42" s="332">
        <v>-2.4012570000000002</v>
      </c>
      <c r="AE42" s="313">
        <v>-3.01</v>
      </c>
      <c r="AF42" s="313">
        <f>AE42-AD42</f>
        <v>-0.60874299999999959</v>
      </c>
      <c r="AG42" s="331">
        <f t="shared" si="16"/>
        <v>-5.9414690375429846E-2</v>
      </c>
      <c r="AH42" s="332">
        <v>0</v>
      </c>
      <c r="AI42" s="313">
        <v>0</v>
      </c>
      <c r="AJ42" s="313">
        <f>AI42-AH42</f>
        <v>0</v>
      </c>
      <c r="AK42" s="331">
        <f t="shared" si="17"/>
        <v>0</v>
      </c>
      <c r="AL42" s="332">
        <v>0.05</v>
      </c>
      <c r="AM42" s="313">
        <v>0.05</v>
      </c>
      <c r="AN42" s="313">
        <f>AM42-AL42</f>
        <v>0</v>
      </c>
      <c r="AO42" s="331">
        <f t="shared" si="18"/>
        <v>0</v>
      </c>
      <c r="AP42" s="303">
        <v>95.9</v>
      </c>
      <c r="AQ42" s="303">
        <v>92.6</v>
      </c>
      <c r="AR42" s="303">
        <f>AQ42-AP42</f>
        <v>-3.3000000000000114</v>
      </c>
      <c r="AS42" s="447">
        <v>13080.3</v>
      </c>
      <c r="AT42" s="341">
        <v>13081.4</v>
      </c>
      <c r="AU42" s="341">
        <f>AT42-AS42</f>
        <v>1.1000000000003638</v>
      </c>
      <c r="AV42" s="303"/>
      <c r="AW42" s="303"/>
      <c r="AX42" s="303"/>
      <c r="AY42" s="303"/>
      <c r="AZ42" s="322" t="s">
        <v>686</v>
      </c>
      <c r="BA42" s="461">
        <v>1945.1372722599999</v>
      </c>
      <c r="BB42" s="461">
        <v>-0.73727732999999995</v>
      </c>
      <c r="BC42" s="461">
        <v>1297.08416663</v>
      </c>
      <c r="BD42" s="461">
        <v>1306.7183044599999</v>
      </c>
      <c r="BE42" s="461">
        <v>7.9743216099999996</v>
      </c>
      <c r="BF42" s="461">
        <v>8.0200500600000009</v>
      </c>
      <c r="BG42" s="461">
        <v>-0.10670022</v>
      </c>
      <c r="BH42" s="461">
        <v>10.24573646</v>
      </c>
      <c r="BI42" s="461">
        <v>10.256680360000001</v>
      </c>
      <c r="BJ42" s="461">
        <v>-0.46613422999999998</v>
      </c>
      <c r="BK42" s="461">
        <v>-0.57017666</v>
      </c>
      <c r="BL42" s="461">
        <v>0.28276562</v>
      </c>
    </row>
    <row r="43" spans="1:64" ht="15" customHeight="1" x14ac:dyDescent="0.2">
      <c r="A43" s="321">
        <f t="shared" si="19"/>
        <v>62007023</v>
      </c>
      <c r="B43" s="321" t="s">
        <v>631</v>
      </c>
      <c r="C43" s="321" t="s">
        <v>777</v>
      </c>
      <c r="D43" s="352" t="s">
        <v>718</v>
      </c>
      <c r="E43" s="307" t="s">
        <v>719</v>
      </c>
      <c r="F43" s="307" t="str">
        <f t="shared" si="13"/>
        <v>07/31/20</v>
      </c>
      <c r="G43" s="322" t="s">
        <v>720</v>
      </c>
      <c r="H43" s="322" t="s">
        <v>685</v>
      </c>
      <c r="I43" s="330"/>
      <c r="J43" s="323">
        <v>20.580904</v>
      </c>
      <c r="K43" s="323">
        <v>50.757021000000002</v>
      </c>
      <c r="L43" s="323">
        <v>29.250682999999999</v>
      </c>
      <c r="M43" s="323">
        <v>28.756247999999999</v>
      </c>
      <c r="N43" s="308">
        <v>4250</v>
      </c>
      <c r="O43" s="308">
        <v>30.36</v>
      </c>
      <c r="P43" s="308">
        <v>0.3201</v>
      </c>
      <c r="Q43" s="308">
        <v>1.9560000000000001E-2</v>
      </c>
      <c r="R43" s="309">
        <v>3.5821696699999999</v>
      </c>
      <c r="S43" s="309">
        <f>R43+R42</f>
        <v>13.82783444</v>
      </c>
      <c r="T43" s="338">
        <v>92.5</v>
      </c>
      <c r="U43" s="338">
        <v>91.4</v>
      </c>
      <c r="V43" s="313">
        <v>3504</v>
      </c>
      <c r="W43" s="313">
        <v>4244</v>
      </c>
      <c r="X43" s="313">
        <f>W43-V43</f>
        <v>740</v>
      </c>
      <c r="Y43" s="313">
        <f t="shared" si="14"/>
        <v>206.57871295080224</v>
      </c>
      <c r="Z43" s="332">
        <v>733.06051100000002</v>
      </c>
      <c r="AA43" s="313">
        <v>755.61</v>
      </c>
      <c r="AB43" s="313">
        <f>AA43-Z43</f>
        <v>22.549488999999994</v>
      </c>
      <c r="AC43" s="331">
        <f t="shared" si="15"/>
        <v>6.2949248855652318</v>
      </c>
      <c r="AD43" s="332">
        <v>-1.38</v>
      </c>
      <c r="AE43" s="313">
        <v>-2.5499999999999998</v>
      </c>
      <c r="AF43" s="313">
        <f>AE43-AD43</f>
        <v>-1.17</v>
      </c>
      <c r="AG43" s="331">
        <f t="shared" si="16"/>
        <v>-0.32661769480059272</v>
      </c>
      <c r="AH43" s="332">
        <v>0</v>
      </c>
      <c r="AI43" s="313">
        <v>0</v>
      </c>
      <c r="AJ43" s="313">
        <f>AI43-AH43</f>
        <v>0</v>
      </c>
      <c r="AK43" s="331">
        <f t="shared" si="17"/>
        <v>0</v>
      </c>
      <c r="AL43" s="332">
        <v>0.05</v>
      </c>
      <c r="AM43" s="313">
        <v>0.05</v>
      </c>
      <c r="AN43" s="313">
        <f>AM43-AL43</f>
        <v>0</v>
      </c>
      <c r="AO43" s="331">
        <f t="shared" si="18"/>
        <v>0</v>
      </c>
      <c r="AP43" s="303">
        <v>92.5</v>
      </c>
      <c r="AQ43" s="303">
        <v>91.4</v>
      </c>
      <c r="AR43" s="303">
        <f>AQ43-AP43</f>
        <v>-1.0999999999999943</v>
      </c>
      <c r="AS43" s="447">
        <v>13082.2</v>
      </c>
      <c r="AT43" s="341">
        <v>13082.9</v>
      </c>
      <c r="AU43" s="341">
        <f>AT43-AS43</f>
        <v>0.69999999999890861</v>
      </c>
      <c r="AV43" s="303"/>
      <c r="AW43" s="303"/>
      <c r="AX43" s="303"/>
      <c r="AY43" s="303"/>
      <c r="AZ43" s="322" t="s">
        <v>686</v>
      </c>
      <c r="BA43" s="461">
        <v>2410.4862861000001</v>
      </c>
      <c r="BB43" s="461">
        <v>-2.1939605800000002</v>
      </c>
      <c r="BC43" s="461">
        <v>2003.6975272499999</v>
      </c>
      <c r="BD43" s="461">
        <v>2048.6439683899998</v>
      </c>
      <c r="BE43" s="461">
        <v>3.20969843</v>
      </c>
      <c r="BF43" s="461">
        <v>3.2582768</v>
      </c>
      <c r="BG43" s="461">
        <v>-0.2467239</v>
      </c>
      <c r="BH43" s="461">
        <v>3.5821196199999998</v>
      </c>
      <c r="BI43" s="461">
        <v>3.59097942</v>
      </c>
      <c r="BJ43" s="461">
        <v>-1.2630290500000001</v>
      </c>
      <c r="BK43" s="461">
        <v>-1.4909221699999999</v>
      </c>
      <c r="BL43" s="461">
        <v>0.59035954000000002</v>
      </c>
    </row>
    <row r="44" spans="1:64" ht="15" customHeight="1" x14ac:dyDescent="0.2">
      <c r="A44" s="321">
        <f t="shared" si="19"/>
        <v>62007023</v>
      </c>
      <c r="B44" s="321" t="s">
        <v>225</v>
      </c>
      <c r="C44" s="321" t="s">
        <v>778</v>
      </c>
      <c r="D44" s="352" t="s">
        <v>718</v>
      </c>
      <c r="E44" s="307" t="s">
        <v>719</v>
      </c>
      <c r="F44" s="307" t="str">
        <f t="shared" si="13"/>
        <v>07/31/20</v>
      </c>
      <c r="G44" s="322" t="s">
        <v>720</v>
      </c>
      <c r="H44" s="322" t="s">
        <v>685</v>
      </c>
      <c r="I44" s="330"/>
      <c r="J44" s="323">
        <v>20.089029</v>
      </c>
      <c r="K44" s="323">
        <v>51.945056999999998</v>
      </c>
      <c r="L44" s="323">
        <v>29.251954000000001</v>
      </c>
      <c r="M44" s="323">
        <v>28.050961000000001</v>
      </c>
      <c r="N44" s="308">
        <v>4250</v>
      </c>
      <c r="O44" s="308">
        <v>30.36</v>
      </c>
      <c r="P44" s="308">
        <v>0.3201</v>
      </c>
      <c r="Q44" s="308">
        <v>1.9560000000000001E-2</v>
      </c>
      <c r="R44" s="309">
        <v>3.8434497400000001</v>
      </c>
      <c r="S44" s="309">
        <f>R44+R43</f>
        <v>7.4256194099999995</v>
      </c>
      <c r="T44" s="338">
        <v>91.4</v>
      </c>
      <c r="U44" s="338">
        <v>90.5</v>
      </c>
      <c r="V44" s="313">
        <v>4244</v>
      </c>
      <c r="W44" s="313">
        <v>4892</v>
      </c>
      <c r="X44" s="313">
        <f>W44-V44</f>
        <v>648</v>
      </c>
      <c r="Y44" s="313">
        <f t="shared" si="14"/>
        <v>168.59853616818728</v>
      </c>
      <c r="Z44" s="332">
        <v>755.62007800000003</v>
      </c>
      <c r="AA44" s="313">
        <v>792.72986800000001</v>
      </c>
      <c r="AB44" s="313">
        <f>AA44-Z44</f>
        <v>37.109789999999975</v>
      </c>
      <c r="AC44" s="331">
        <f t="shared" si="15"/>
        <v>9.6553337523284419</v>
      </c>
      <c r="AD44" s="332">
        <v>-2.5499999999999998</v>
      </c>
      <c r="AE44" s="313">
        <v>-3.37</v>
      </c>
      <c r="AF44" s="313">
        <f>AE44-AD44</f>
        <v>-0.82000000000000028</v>
      </c>
      <c r="AG44" s="331">
        <f t="shared" si="16"/>
        <v>-0.21334999947208891</v>
      </c>
      <c r="AH44" s="332">
        <v>0</v>
      </c>
      <c r="AI44" s="313">
        <v>0</v>
      </c>
      <c r="AJ44" s="313">
        <f>AI44-AH44</f>
        <v>0</v>
      </c>
      <c r="AK44" s="331">
        <f t="shared" si="17"/>
        <v>0</v>
      </c>
      <c r="AL44" s="332">
        <v>0.05</v>
      </c>
      <c r="AM44" s="313">
        <v>0.05</v>
      </c>
      <c r="AN44" s="313">
        <f>AM44-AL44</f>
        <v>0</v>
      </c>
      <c r="AO44" s="331">
        <f t="shared" si="18"/>
        <v>0</v>
      </c>
      <c r="AP44" s="303">
        <v>91.4</v>
      </c>
      <c r="AQ44" s="303">
        <v>90.5</v>
      </c>
      <c r="AR44" s="303">
        <f>AQ44-AP44</f>
        <v>-0.90000000000000568</v>
      </c>
      <c r="AS44" s="447">
        <v>13082.9</v>
      </c>
      <c r="AT44" s="341">
        <v>13084.1</v>
      </c>
      <c r="AU44" s="341">
        <f>AT44-AS44</f>
        <v>1.2000000000007276</v>
      </c>
      <c r="AV44" s="303"/>
      <c r="AW44" s="303"/>
      <c r="AX44" s="303"/>
      <c r="AY44" s="303"/>
      <c r="AZ44" s="322" t="s">
        <v>686</v>
      </c>
      <c r="BA44" s="461">
        <v>1481.7251466099999</v>
      </c>
      <c r="BB44" s="461">
        <v>-2.0695466599999999</v>
      </c>
      <c r="BC44" s="461">
        <v>3345.2994058700001</v>
      </c>
      <c r="BD44" s="461">
        <v>3415.9950165199998</v>
      </c>
      <c r="BE44" s="461">
        <v>2.9552306499999998</v>
      </c>
      <c r="BF44" s="461">
        <v>3.01842576</v>
      </c>
      <c r="BG44" s="461">
        <v>-0.42789494</v>
      </c>
      <c r="BH44" s="461">
        <v>3.8433136399999999</v>
      </c>
      <c r="BI44" s="461">
        <v>3.8598296599999999</v>
      </c>
      <c r="BJ44" s="461">
        <v>-1.7013704300000001</v>
      </c>
      <c r="BK44" s="461">
        <v>-2.0936447199999999</v>
      </c>
      <c r="BL44" s="461">
        <v>0.71451640999999999</v>
      </c>
    </row>
    <row r="45" spans="1:64" ht="15" customHeight="1" x14ac:dyDescent="0.2">
      <c r="A45" s="321">
        <f t="shared" si="19"/>
        <v>62007023</v>
      </c>
      <c r="B45" s="321" t="s">
        <v>632</v>
      </c>
      <c r="C45" s="321" t="s">
        <v>779</v>
      </c>
      <c r="D45" s="352" t="s">
        <v>718</v>
      </c>
      <c r="E45" s="307" t="s">
        <v>719</v>
      </c>
      <c r="F45" s="307" t="str">
        <f t="shared" si="13"/>
        <v>07/31/20</v>
      </c>
      <c r="G45" s="322" t="s">
        <v>720</v>
      </c>
      <c r="H45" s="322" t="s">
        <v>685</v>
      </c>
      <c r="I45" s="330"/>
      <c r="J45" s="324">
        <f>AVERAGE(J43:J44)</f>
        <v>20.3349665</v>
      </c>
      <c r="K45" s="324">
        <f>AVERAGE(K43:K44)</f>
        <v>51.351039</v>
      </c>
      <c r="L45" s="324">
        <f>AVERAGE(L43:L44)</f>
        <v>29.2513185</v>
      </c>
      <c r="M45" s="324">
        <f>AVERAGE(M43:M44)</f>
        <v>28.4036045</v>
      </c>
      <c r="N45" s="310"/>
      <c r="O45" s="308"/>
      <c r="P45" s="326"/>
      <c r="Q45" s="325"/>
      <c r="R45" s="311">
        <f>R44+R43</f>
        <v>7.4256194099999995</v>
      </c>
      <c r="S45" s="311">
        <f>S44</f>
        <v>7.4256194099999995</v>
      </c>
      <c r="T45" s="339">
        <f>T43</f>
        <v>92.5</v>
      </c>
      <c r="U45" s="339">
        <f>U44</f>
        <v>90.5</v>
      </c>
      <c r="V45" s="314">
        <f>V43</f>
        <v>3504</v>
      </c>
      <c r="W45" s="314">
        <f>W44</f>
        <v>4892</v>
      </c>
      <c r="X45" s="314">
        <f>SUM(X43:X44)</f>
        <v>1388</v>
      </c>
      <c r="Y45" s="314">
        <f t="shared" si="14"/>
        <v>186.92043361807578</v>
      </c>
      <c r="Z45" s="314">
        <f>Z43</f>
        <v>733.06051100000002</v>
      </c>
      <c r="AA45" s="314">
        <f>AA44</f>
        <v>792.72986800000001</v>
      </c>
      <c r="AB45" s="314">
        <f>SUM(AB43:AB44)</f>
        <v>59.65927899999997</v>
      </c>
      <c r="AC45" s="312">
        <f t="shared" si="15"/>
        <v>8.034249495692908</v>
      </c>
      <c r="AD45" s="314">
        <f>AD43</f>
        <v>-1.38</v>
      </c>
      <c r="AE45" s="314">
        <f>AE44</f>
        <v>-3.37</v>
      </c>
      <c r="AF45" s="314">
        <f>SUM(AF43:AF44)</f>
        <v>-1.9900000000000002</v>
      </c>
      <c r="AG45" s="312">
        <f t="shared" si="16"/>
        <v>-0.26799111159940264</v>
      </c>
      <c r="AH45" s="314">
        <f>AH43</f>
        <v>0</v>
      </c>
      <c r="AI45" s="314">
        <f>AI44</f>
        <v>0</v>
      </c>
      <c r="AJ45" s="314">
        <f>SUM(AJ43:AJ44)</f>
        <v>0</v>
      </c>
      <c r="AK45" s="312">
        <f t="shared" si="17"/>
        <v>0</v>
      </c>
      <c r="AL45" s="314">
        <f>AL43</f>
        <v>0.05</v>
      </c>
      <c r="AM45" s="314">
        <f>AM44</f>
        <v>0.05</v>
      </c>
      <c r="AN45" s="314">
        <f>SUM(AN43:AN44)</f>
        <v>0</v>
      </c>
      <c r="AO45" s="312">
        <f t="shared" si="18"/>
        <v>0</v>
      </c>
      <c r="AP45" s="305"/>
      <c r="AQ45" s="305"/>
      <c r="AR45" s="305">
        <f>SUM(AR43:AR44)</f>
        <v>-2</v>
      </c>
      <c r="AS45" s="342">
        <f>AS43</f>
        <v>13082.2</v>
      </c>
      <c r="AT45" s="342">
        <f>AT44</f>
        <v>13084.1</v>
      </c>
      <c r="AU45" s="342">
        <f>SUM(AU43:AU44)</f>
        <v>1.8999999999996362</v>
      </c>
      <c r="AV45" s="305"/>
      <c r="AW45" s="305"/>
      <c r="AX45" s="305"/>
      <c r="AY45" s="305"/>
      <c r="AZ45" s="322" t="s">
        <v>686</v>
      </c>
    </row>
    <row r="46" spans="1:64" ht="15" customHeight="1" x14ac:dyDescent="0.2">
      <c r="A46" s="321">
        <f t="shared" si="19"/>
        <v>62007023</v>
      </c>
      <c r="B46" s="321" t="s">
        <v>633</v>
      </c>
      <c r="C46" s="321" t="s">
        <v>780</v>
      </c>
      <c r="D46" s="352" t="s">
        <v>718</v>
      </c>
      <c r="E46" s="307" t="s">
        <v>719</v>
      </c>
      <c r="F46" s="307" t="str">
        <f t="shared" si="13"/>
        <v>07/31/20</v>
      </c>
      <c r="G46" s="322" t="s">
        <v>720</v>
      </c>
      <c r="H46" s="322" t="s">
        <v>685</v>
      </c>
      <c r="I46" s="330"/>
      <c r="J46" s="323">
        <v>23.179281</v>
      </c>
      <c r="K46" s="323">
        <v>42.648066999999998</v>
      </c>
      <c r="L46" s="323">
        <v>29.256159</v>
      </c>
      <c r="M46" s="323">
        <v>30.434981000000001</v>
      </c>
      <c r="N46" s="308">
        <v>4250</v>
      </c>
      <c r="O46" s="308">
        <v>30.36</v>
      </c>
      <c r="P46" s="308">
        <v>0.3201</v>
      </c>
      <c r="Q46" s="308">
        <v>1.9560000000000001E-2</v>
      </c>
      <c r="R46" s="309">
        <v>1.76521003</v>
      </c>
      <c r="S46" s="309">
        <f>R46+R45</f>
        <v>9.1908294399999999</v>
      </c>
      <c r="T46" s="338">
        <v>90.4</v>
      </c>
      <c r="U46" s="338">
        <v>86.8</v>
      </c>
      <c r="V46" s="313">
        <v>4897</v>
      </c>
      <c r="W46" s="313">
        <v>7306</v>
      </c>
      <c r="X46" s="313">
        <f>W46-V46-X47</f>
        <v>554</v>
      </c>
      <c r="Y46" s="313">
        <f t="shared" si="14"/>
        <v>313.8436733219786</v>
      </c>
      <c r="Z46" s="332">
        <v>796.65</v>
      </c>
      <c r="AA46" s="313">
        <v>821.99</v>
      </c>
      <c r="AB46" s="313">
        <f>AA46-Z46-AB47</f>
        <v>10.040000000000077</v>
      </c>
      <c r="AC46" s="331">
        <f t="shared" si="15"/>
        <v>5.6877084479290421</v>
      </c>
      <c r="AD46" s="332">
        <v>-3.44</v>
      </c>
      <c r="AE46" s="313">
        <v>-3.88</v>
      </c>
      <c r="AF46" s="313">
        <f>AE46-AD46-AF47</f>
        <v>-0.18000000000000016</v>
      </c>
      <c r="AG46" s="331">
        <f t="shared" si="16"/>
        <v>-0.10197086858836858</v>
      </c>
      <c r="AH46" s="332">
        <v>0</v>
      </c>
      <c r="AI46" s="313">
        <v>0</v>
      </c>
      <c r="AJ46" s="313">
        <f>AI46-AH46-AJ47</f>
        <v>0</v>
      </c>
      <c r="AK46" s="331">
        <f t="shared" si="17"/>
        <v>0</v>
      </c>
      <c r="AL46" s="332">
        <v>0.05</v>
      </c>
      <c r="AM46" s="313">
        <v>0.05</v>
      </c>
      <c r="AN46" s="313">
        <f>AM46-AL46-AN47</f>
        <v>0</v>
      </c>
      <c r="AO46" s="331">
        <f t="shared" si="18"/>
        <v>0</v>
      </c>
      <c r="AP46" s="303">
        <v>90.4</v>
      </c>
      <c r="AQ46" s="303">
        <v>86.8</v>
      </c>
      <c r="AR46" s="303">
        <f>AQ46-AP46-AR47</f>
        <v>-0.79999999999999716</v>
      </c>
      <c r="AS46" s="447">
        <v>13084.3</v>
      </c>
      <c r="AT46" s="341">
        <v>13085.1</v>
      </c>
      <c r="AU46" s="341">
        <f>AT46-AS46-AU47</f>
        <v>0.2000000000007276</v>
      </c>
      <c r="AV46" s="303"/>
      <c r="AW46" s="303"/>
      <c r="AX46" s="303"/>
      <c r="AY46" s="303"/>
      <c r="AZ46" s="322" t="s">
        <v>686</v>
      </c>
      <c r="BA46" s="461">
        <v>5560.7046395799998</v>
      </c>
      <c r="BB46" s="461">
        <v>-1.1761884300000001</v>
      </c>
      <c r="BC46" s="461">
        <v>2430.3574709999998</v>
      </c>
      <c r="BD46" s="461">
        <v>2459.2832764499999</v>
      </c>
      <c r="BE46" s="461">
        <v>3.1645429100000002</v>
      </c>
      <c r="BF46" s="461">
        <v>3.2077174300000002</v>
      </c>
      <c r="BG46" s="461">
        <v>-0.39031665999999998</v>
      </c>
      <c r="BH46" s="461">
        <v>1.76518788</v>
      </c>
      <c r="BI46" s="461">
        <v>1.7721047000000001</v>
      </c>
      <c r="BJ46" s="461">
        <v>-0.96867877000000002</v>
      </c>
      <c r="BK46" s="461">
        <v>-1.3459574299999999</v>
      </c>
      <c r="BL46" s="461">
        <v>0.81478353999999997</v>
      </c>
    </row>
    <row r="47" spans="1:64" ht="15" customHeight="1" x14ac:dyDescent="0.2">
      <c r="A47" s="321">
        <f t="shared" si="19"/>
        <v>62007023</v>
      </c>
      <c r="B47" s="321" t="s">
        <v>634</v>
      </c>
      <c r="C47" s="321" t="s">
        <v>781</v>
      </c>
      <c r="D47" s="352" t="s">
        <v>718</v>
      </c>
      <c r="E47" s="307" t="s">
        <v>719</v>
      </c>
      <c r="F47" s="307" t="str">
        <f t="shared" si="13"/>
        <v>07/31/20</v>
      </c>
      <c r="G47" s="322" t="s">
        <v>720</v>
      </c>
      <c r="H47" s="322" t="s">
        <v>685</v>
      </c>
      <c r="I47" s="330"/>
      <c r="J47" s="323">
        <v>27.114179</v>
      </c>
      <c r="K47" s="323">
        <v>34.506101000000001</v>
      </c>
      <c r="L47" s="323">
        <v>29.290227000000002</v>
      </c>
      <c r="M47" s="323">
        <v>30.605827999999999</v>
      </c>
      <c r="N47" s="308">
        <v>4250</v>
      </c>
      <c r="O47" s="308">
        <v>30.36</v>
      </c>
      <c r="P47" s="308">
        <v>0.3201</v>
      </c>
      <c r="Q47" s="308">
        <v>1.9560000000000001E-2</v>
      </c>
      <c r="R47" s="309">
        <v>6.2272161700000002</v>
      </c>
      <c r="S47" s="309">
        <f>R47+R46</f>
        <v>7.9924262000000006</v>
      </c>
      <c r="T47" s="338">
        <v>89.9</v>
      </c>
      <c r="U47" s="338">
        <v>87.1</v>
      </c>
      <c r="V47" s="313">
        <v>5269</v>
      </c>
      <c r="W47" s="313">
        <v>7124</v>
      </c>
      <c r="X47" s="313">
        <f>W47-V47</f>
        <v>1855</v>
      </c>
      <c r="Y47" s="313">
        <f t="shared" si="14"/>
        <v>297.88591713526461</v>
      </c>
      <c r="Z47" s="332">
        <v>802.23</v>
      </c>
      <c r="AA47" s="313">
        <v>817.53</v>
      </c>
      <c r="AB47" s="313">
        <f>AA47-Z47</f>
        <v>15.299999999999955</v>
      </c>
      <c r="AC47" s="331">
        <f t="shared" si="15"/>
        <v>2.4569566211156526</v>
      </c>
      <c r="AD47" s="332">
        <v>-3.54</v>
      </c>
      <c r="AE47" s="313">
        <v>-3.8</v>
      </c>
      <c r="AF47" s="313">
        <f>AE47-AD47</f>
        <v>-0.25999999999999979</v>
      </c>
      <c r="AG47" s="331">
        <f t="shared" si="16"/>
        <v>-4.1752204018958891E-2</v>
      </c>
      <c r="AH47" s="332">
        <v>0</v>
      </c>
      <c r="AI47" s="313">
        <v>0</v>
      </c>
      <c r="AJ47" s="313">
        <f>AI47-AH47</f>
        <v>0</v>
      </c>
      <c r="AK47" s="331">
        <f t="shared" si="17"/>
        <v>0</v>
      </c>
      <c r="AL47" s="332">
        <v>0.05</v>
      </c>
      <c r="AM47" s="313">
        <v>0.05</v>
      </c>
      <c r="AN47" s="313">
        <f>AM47-AL47</f>
        <v>0</v>
      </c>
      <c r="AO47" s="331">
        <f t="shared" si="18"/>
        <v>0</v>
      </c>
      <c r="AP47" s="303">
        <v>89.9</v>
      </c>
      <c r="AQ47" s="303">
        <v>87.1</v>
      </c>
      <c r="AR47" s="303">
        <f>AQ47-AP47</f>
        <v>-2.8000000000000114</v>
      </c>
      <c r="AS47" s="447">
        <v>13084.4</v>
      </c>
      <c r="AT47" s="341">
        <v>13085</v>
      </c>
      <c r="AU47" s="341">
        <f>AT47-AS47</f>
        <v>0.6000000000003638</v>
      </c>
      <c r="AV47" s="303"/>
      <c r="AW47" s="303"/>
      <c r="AX47" s="303"/>
      <c r="AY47" s="303"/>
      <c r="AZ47" s="322" t="s">
        <v>686</v>
      </c>
      <c r="BA47" s="461">
        <v>11813.604418159999</v>
      </c>
      <c r="BB47" s="461">
        <v>-9.4198781599999997</v>
      </c>
      <c r="BC47" s="461">
        <v>1031.07690146</v>
      </c>
      <c r="BD47" s="461">
        <v>1138.30372545</v>
      </c>
      <c r="BE47" s="461">
        <v>6.92148465</v>
      </c>
      <c r="BF47" s="461">
        <v>7.0841276300000002</v>
      </c>
      <c r="BG47" s="461">
        <v>-0.12193759999999999</v>
      </c>
      <c r="BH47" s="461">
        <v>6.2272555299999999</v>
      </c>
      <c r="BI47" s="461">
        <v>6.2348581699999999</v>
      </c>
      <c r="BJ47" s="461">
        <v>-2.2250250899999999</v>
      </c>
      <c r="BK47" s="461">
        <v>-2.29587881</v>
      </c>
      <c r="BL47" s="461">
        <v>0.34892423</v>
      </c>
    </row>
    <row r="48" spans="1:64" ht="15" customHeight="1" x14ac:dyDescent="0.2">
      <c r="A48" s="321">
        <f t="shared" si="19"/>
        <v>62007023</v>
      </c>
      <c r="B48" s="321" t="s">
        <v>635</v>
      </c>
      <c r="C48" s="321" t="s">
        <v>782</v>
      </c>
      <c r="D48" s="352" t="s">
        <v>718</v>
      </c>
      <c r="E48" s="307" t="s">
        <v>719</v>
      </c>
      <c r="F48" s="307" t="str">
        <f t="shared" si="13"/>
        <v>07/31/20</v>
      </c>
      <c r="G48" s="322" t="s">
        <v>720</v>
      </c>
      <c r="H48" s="322" t="s">
        <v>685</v>
      </c>
      <c r="I48" s="330"/>
      <c r="J48" s="324">
        <f>AVERAGE(J46:J47)</f>
        <v>25.146729999999998</v>
      </c>
      <c r="K48" s="324">
        <f>AVERAGE(K46:K47)</f>
        <v>38.577083999999999</v>
      </c>
      <c r="L48" s="324">
        <f>AVERAGE(L46:L47)</f>
        <v>29.273192999999999</v>
      </c>
      <c r="M48" s="324">
        <f>AVERAGE(M46:M47)</f>
        <v>30.520404499999998</v>
      </c>
      <c r="N48" s="310"/>
      <c r="O48" s="308"/>
      <c r="P48" s="326"/>
      <c r="Q48" s="325"/>
      <c r="R48" s="311">
        <f>R47+R46</f>
        <v>7.9924262000000006</v>
      </c>
      <c r="S48" s="311">
        <f>S47</f>
        <v>7.9924262000000006</v>
      </c>
      <c r="T48" s="339">
        <f>T46</f>
        <v>90.4</v>
      </c>
      <c r="U48" s="339">
        <f>U47</f>
        <v>87.1</v>
      </c>
      <c r="V48" s="314">
        <f>V46</f>
        <v>4897</v>
      </c>
      <c r="W48" s="314">
        <f>W47</f>
        <v>7124</v>
      </c>
      <c r="X48" s="314">
        <f>SUM(X46:X47)</f>
        <v>2409</v>
      </c>
      <c r="Y48" s="314">
        <f t="shared" si="14"/>
        <v>301.41035271617523</v>
      </c>
      <c r="Z48" s="314">
        <f>Z46</f>
        <v>796.65</v>
      </c>
      <c r="AA48" s="314">
        <f>AA47</f>
        <v>817.53</v>
      </c>
      <c r="AB48" s="314">
        <f>SUM(AB46:AB47)</f>
        <v>25.340000000000032</v>
      </c>
      <c r="AC48" s="312">
        <f t="shared" si="15"/>
        <v>3.170501593120751</v>
      </c>
      <c r="AD48" s="314">
        <f>AD46</f>
        <v>-3.44</v>
      </c>
      <c r="AE48" s="314">
        <f>AE47</f>
        <v>-3.8</v>
      </c>
      <c r="AF48" s="314">
        <f>SUM(AF46:AF47)</f>
        <v>-0.43999999999999995</v>
      </c>
      <c r="AG48" s="312">
        <f t="shared" si="16"/>
        <v>-5.5052119217566239E-2</v>
      </c>
      <c r="AH48" s="314">
        <f>AH46</f>
        <v>0</v>
      </c>
      <c r="AI48" s="314">
        <f>AI47</f>
        <v>0</v>
      </c>
      <c r="AJ48" s="314">
        <f>SUM(AJ46:AJ47)</f>
        <v>0</v>
      </c>
      <c r="AK48" s="312">
        <f t="shared" si="17"/>
        <v>0</v>
      </c>
      <c r="AL48" s="314">
        <f>AL46</f>
        <v>0.05</v>
      </c>
      <c r="AM48" s="314">
        <f>AM47</f>
        <v>0.05</v>
      </c>
      <c r="AN48" s="314">
        <f>SUM(AN46:AN47)</f>
        <v>0</v>
      </c>
      <c r="AO48" s="312">
        <f t="shared" si="18"/>
        <v>0</v>
      </c>
      <c r="AP48" s="305"/>
      <c r="AQ48" s="305"/>
      <c r="AR48" s="305">
        <f>SUM(AR46:AR47)</f>
        <v>-3.6000000000000085</v>
      </c>
      <c r="AS48" s="342">
        <f>AS46</f>
        <v>13084.3</v>
      </c>
      <c r="AT48" s="342">
        <f>AT47</f>
        <v>13085</v>
      </c>
      <c r="AU48" s="342">
        <f>SUM(AU46:AU47)</f>
        <v>0.80000000000109139</v>
      </c>
      <c r="AV48" s="305"/>
      <c r="AW48" s="305"/>
      <c r="AX48" s="305"/>
      <c r="AY48" s="305"/>
      <c r="AZ48" s="322" t="s">
        <v>686</v>
      </c>
    </row>
    <row r="49" spans="1:64" ht="15" customHeight="1" x14ac:dyDescent="0.2">
      <c r="A49" s="321">
        <f>A48+1</f>
        <v>62007024</v>
      </c>
      <c r="B49" s="321" t="s">
        <v>636</v>
      </c>
      <c r="C49" s="321" t="s">
        <v>773</v>
      </c>
      <c r="D49" s="352" t="s">
        <v>721</v>
      </c>
      <c r="E49" s="307" t="s">
        <v>722</v>
      </c>
      <c r="F49" s="307" t="str">
        <f t="shared" si="13"/>
        <v>07/31/20</v>
      </c>
      <c r="G49" s="322" t="s">
        <v>723</v>
      </c>
      <c r="H49" s="322" t="s">
        <v>685</v>
      </c>
      <c r="I49" s="330"/>
      <c r="J49" s="323">
        <v>159.206424</v>
      </c>
      <c r="K49" s="323">
        <v>208.56320199999999</v>
      </c>
      <c r="L49" s="323">
        <v>175.31380100000001</v>
      </c>
      <c r="M49" s="323">
        <v>190.826425</v>
      </c>
      <c r="N49" s="308">
        <v>4250</v>
      </c>
      <c r="O49" s="308">
        <v>30.36</v>
      </c>
      <c r="P49" s="308">
        <v>0.3201</v>
      </c>
      <c r="Q49" s="308">
        <v>1.9560000000000001E-2</v>
      </c>
      <c r="R49" s="309">
        <v>141.27587179</v>
      </c>
      <c r="S49" s="309">
        <f>R49+R48</f>
        <v>149.26829799000001</v>
      </c>
      <c r="T49" s="338">
        <v>86.8</v>
      </c>
      <c r="U49" s="338">
        <v>22.3</v>
      </c>
      <c r="V49" s="313">
        <v>7310</v>
      </c>
      <c r="W49" s="313">
        <v>46581</v>
      </c>
      <c r="X49" s="313">
        <f>W49-V49</f>
        <v>39271</v>
      </c>
      <c r="Y49" s="313">
        <f t="shared" si="14"/>
        <v>277.97386420219379</v>
      </c>
      <c r="Z49" s="332">
        <v>825.23</v>
      </c>
      <c r="AA49" s="313">
        <v>1147.83</v>
      </c>
      <c r="AB49" s="313">
        <f>AA49-Z49</f>
        <v>322.59999999999991</v>
      </c>
      <c r="AC49" s="331">
        <f t="shared" si="15"/>
        <v>2.2834755568136207</v>
      </c>
      <c r="AD49" s="332">
        <v>-2.83</v>
      </c>
      <c r="AE49" s="313">
        <v>-8.23</v>
      </c>
      <c r="AF49" s="313">
        <f>AE49-AD49</f>
        <v>-5.4</v>
      </c>
      <c r="AG49" s="331">
        <f t="shared" si="16"/>
        <v>-3.8223087435813874E-2</v>
      </c>
      <c r="AH49" s="332">
        <v>0</v>
      </c>
      <c r="AI49" s="313">
        <v>0</v>
      </c>
      <c r="AJ49" s="313">
        <f>AI49-AH49</f>
        <v>0</v>
      </c>
      <c r="AK49" s="331">
        <f t="shared" si="17"/>
        <v>0</v>
      </c>
      <c r="AL49" s="332">
        <v>0.05</v>
      </c>
      <c r="AM49" s="313">
        <v>0.05</v>
      </c>
      <c r="AN49" s="313">
        <f>AM49-AL49</f>
        <v>0</v>
      </c>
      <c r="AO49" s="331">
        <f t="shared" si="18"/>
        <v>0</v>
      </c>
      <c r="AP49" s="303">
        <v>86.8</v>
      </c>
      <c r="AQ49" s="303">
        <v>22.3</v>
      </c>
      <c r="AR49" s="303">
        <f>AQ49-AP49</f>
        <v>-64.5</v>
      </c>
      <c r="AS49" s="447">
        <v>13085.7</v>
      </c>
      <c r="AT49" s="341">
        <v>13096.5</v>
      </c>
      <c r="AU49" s="341">
        <f>AT49-AS49</f>
        <v>10.799999999999272</v>
      </c>
      <c r="AV49" s="303"/>
      <c r="AW49" s="303"/>
      <c r="AX49" s="303"/>
      <c r="AY49" s="303"/>
      <c r="AZ49" s="322" t="s">
        <v>686</v>
      </c>
      <c r="BA49" s="461">
        <v>17.090217760000002</v>
      </c>
      <c r="BB49" s="461">
        <v>63.728928029999999</v>
      </c>
      <c r="BC49" s="461">
        <v>951.51393983000003</v>
      </c>
      <c r="BD49" s="461">
        <v>581.15200000000004</v>
      </c>
      <c r="BE49" s="461">
        <v>135.68272683000001</v>
      </c>
      <c r="BF49" s="461">
        <v>136.03433522</v>
      </c>
      <c r="BG49" s="461">
        <v>-0.10763062</v>
      </c>
      <c r="BH49" s="461">
        <v>141.27707681999999</v>
      </c>
      <c r="BI49" s="461">
        <v>141.42929805</v>
      </c>
      <c r="BJ49" s="461">
        <v>-0.15123059</v>
      </c>
      <c r="BK49" s="461">
        <v>-0.25847031999999998</v>
      </c>
      <c r="BL49" s="461">
        <v>6.0725199999999997E-3</v>
      </c>
    </row>
    <row r="50" spans="1:64" ht="15" customHeight="1" x14ac:dyDescent="0.2">
      <c r="A50" s="321">
        <f>A49+1</f>
        <v>62007025</v>
      </c>
      <c r="B50" s="321" t="s">
        <v>637</v>
      </c>
      <c r="C50" s="321" t="s">
        <v>810</v>
      </c>
      <c r="D50" s="352" t="s">
        <v>724</v>
      </c>
      <c r="E50" s="307" t="s">
        <v>725</v>
      </c>
      <c r="F50" s="307" t="str">
        <f t="shared" si="13"/>
        <v>07/31/20</v>
      </c>
      <c r="G50" s="322" t="s">
        <v>726</v>
      </c>
      <c r="H50" s="322" t="s">
        <v>685</v>
      </c>
      <c r="I50" s="330"/>
      <c r="J50" s="323">
        <v>22.400153</v>
      </c>
      <c r="K50" s="323">
        <v>43.284002999999998</v>
      </c>
      <c r="L50" s="323">
        <v>29.260092</v>
      </c>
      <c r="M50" s="323">
        <v>32.930567000000003</v>
      </c>
      <c r="N50" s="308">
        <v>4250</v>
      </c>
      <c r="O50" s="308">
        <v>30.36</v>
      </c>
      <c r="P50" s="308">
        <v>0.3201</v>
      </c>
      <c r="Q50" s="308">
        <v>1.9560000000000001E-2</v>
      </c>
      <c r="R50" s="309">
        <v>1.76540151</v>
      </c>
      <c r="S50" s="309">
        <f>R50+R49</f>
        <v>143.0412733</v>
      </c>
      <c r="T50" s="338">
        <v>22.3</v>
      </c>
      <c r="U50" s="338">
        <v>18.100000000000001</v>
      </c>
      <c r="V50" s="313">
        <v>46583</v>
      </c>
      <c r="W50" s="313">
        <v>48950</v>
      </c>
      <c r="X50" s="313">
        <f>W50-V50-X51</f>
        <v>534</v>
      </c>
      <c r="Y50" s="313">
        <f t="shared" si="14"/>
        <v>302.48076540956396</v>
      </c>
      <c r="Z50" s="332">
        <v>1149.81</v>
      </c>
      <c r="AA50" s="313">
        <v>1175.6500000000001</v>
      </c>
      <c r="AB50" s="313">
        <f>AA50-Z50-AB51</f>
        <v>10.610163000000284</v>
      </c>
      <c r="AC50" s="331">
        <f t="shared" si="15"/>
        <v>6.0100566017983548</v>
      </c>
      <c r="AD50" s="332">
        <v>-6.98</v>
      </c>
      <c r="AE50" s="313">
        <v>-8.01</v>
      </c>
      <c r="AF50" s="313">
        <f>AE50-AD50-AF51</f>
        <v>-0.62999999999999989</v>
      </c>
      <c r="AG50" s="331">
        <f t="shared" si="16"/>
        <v>-0.35685932997757541</v>
      </c>
      <c r="AH50" s="332">
        <v>0</v>
      </c>
      <c r="AI50" s="313">
        <v>0</v>
      </c>
      <c r="AJ50" s="313">
        <f>AI50-AH50-AJ51</f>
        <v>0</v>
      </c>
      <c r="AK50" s="331">
        <f t="shared" si="17"/>
        <v>0</v>
      </c>
      <c r="AL50" s="332">
        <v>0.05</v>
      </c>
      <c r="AM50" s="313">
        <v>0.05</v>
      </c>
      <c r="AN50" s="313">
        <f>AM50-AL50-AN51</f>
        <v>0</v>
      </c>
      <c r="AO50" s="331">
        <f t="shared" si="18"/>
        <v>0</v>
      </c>
      <c r="AP50" s="303">
        <v>22.3</v>
      </c>
      <c r="AQ50" s="303">
        <v>18.100000000000001</v>
      </c>
      <c r="AR50" s="303">
        <f>AQ50-AP50-AR51</f>
        <v>-0.99999999999999645</v>
      </c>
      <c r="AS50" s="447">
        <v>13097</v>
      </c>
      <c r="AT50" s="341">
        <v>13097.8</v>
      </c>
      <c r="AU50" s="341">
        <f>AT50-AS50-AU51</f>
        <v>0.2999999999992724</v>
      </c>
      <c r="AV50" s="303"/>
      <c r="AW50" s="303"/>
      <c r="AX50" s="303"/>
      <c r="AY50" s="303"/>
      <c r="AZ50" s="322" t="s">
        <v>686</v>
      </c>
      <c r="BA50" s="461">
        <v>5546.9152112600004</v>
      </c>
      <c r="BB50" s="461">
        <v>-1.10656764</v>
      </c>
      <c r="BC50" s="461">
        <v>2432.4789579399999</v>
      </c>
      <c r="BD50" s="461">
        <v>2459.69717077</v>
      </c>
      <c r="BE50" s="461">
        <v>3.16628657</v>
      </c>
      <c r="BF50" s="461">
        <v>3.2085636000000002</v>
      </c>
      <c r="BG50" s="461">
        <v>-0.38481717999999998</v>
      </c>
      <c r="BH50" s="461">
        <v>1.7653800900000001</v>
      </c>
      <c r="BI50" s="461">
        <v>1.77219982</v>
      </c>
      <c r="BJ50" s="461">
        <v>-0.94526889000000003</v>
      </c>
      <c r="BK50" s="461">
        <v>-1.31763092</v>
      </c>
      <c r="BL50" s="461">
        <v>0.81481000999999997</v>
      </c>
    </row>
    <row r="51" spans="1:64" ht="15" customHeight="1" x14ac:dyDescent="0.2">
      <c r="A51" s="321">
        <f>A50</f>
        <v>62007025</v>
      </c>
      <c r="B51" s="321" t="s">
        <v>638</v>
      </c>
      <c r="C51" s="321" t="s">
        <v>774</v>
      </c>
      <c r="D51" s="352" t="s">
        <v>724</v>
      </c>
      <c r="E51" s="307" t="s">
        <v>725</v>
      </c>
      <c r="F51" s="307" t="str">
        <f t="shared" si="13"/>
        <v>07/31/20</v>
      </c>
      <c r="G51" s="322" t="s">
        <v>726</v>
      </c>
      <c r="H51" s="322" t="s">
        <v>685</v>
      </c>
      <c r="I51" s="330"/>
      <c r="J51" s="323">
        <v>26.117889000000002</v>
      </c>
      <c r="K51" s="323">
        <v>35.840434000000002</v>
      </c>
      <c r="L51" s="323">
        <v>29.289035999999999</v>
      </c>
      <c r="M51" s="323">
        <v>31.500156</v>
      </c>
      <c r="N51" s="308">
        <v>4250</v>
      </c>
      <c r="O51" s="308">
        <v>30.36</v>
      </c>
      <c r="P51" s="308">
        <v>0.3201</v>
      </c>
      <c r="Q51" s="308">
        <v>1.9560000000000001E-2</v>
      </c>
      <c r="R51" s="309">
        <v>6.2279140000000002</v>
      </c>
      <c r="S51" s="309">
        <f>R51+R50</f>
        <v>7.9933155100000004</v>
      </c>
      <c r="T51" s="338">
        <v>21.6</v>
      </c>
      <c r="U51" s="338">
        <v>18.399999999999999</v>
      </c>
      <c r="V51" s="313">
        <v>46943</v>
      </c>
      <c r="W51" s="313">
        <v>48776</v>
      </c>
      <c r="X51" s="313">
        <f>W51-V51</f>
        <v>1833</v>
      </c>
      <c r="Y51" s="313">
        <f t="shared" si="14"/>
        <v>294.32005644265479</v>
      </c>
      <c r="Z51" s="332">
        <v>1155.9261120000001</v>
      </c>
      <c r="AA51" s="313">
        <v>1171.155949</v>
      </c>
      <c r="AB51" s="313">
        <f>AA51-Z51</f>
        <v>15.229836999999861</v>
      </c>
      <c r="AC51" s="331">
        <f t="shared" si="15"/>
        <v>2.445415431234256</v>
      </c>
      <c r="AD51" s="332">
        <v>-7.53</v>
      </c>
      <c r="AE51" s="313">
        <v>-7.93</v>
      </c>
      <c r="AF51" s="313">
        <f>AE51-AD51</f>
        <v>-0.39999999999999947</v>
      </c>
      <c r="AG51" s="331">
        <f t="shared" si="16"/>
        <v>-6.4226962671610349E-2</v>
      </c>
      <c r="AH51" s="332">
        <v>0</v>
      </c>
      <c r="AI51" s="313">
        <v>0</v>
      </c>
      <c r="AJ51" s="313">
        <f>AI51-AH51</f>
        <v>0</v>
      </c>
      <c r="AK51" s="331">
        <f t="shared" si="17"/>
        <v>0</v>
      </c>
      <c r="AL51" s="332">
        <v>0.05</v>
      </c>
      <c r="AM51" s="313">
        <v>0.05</v>
      </c>
      <c r="AN51" s="313">
        <f>AM51-AL51</f>
        <v>0</v>
      </c>
      <c r="AO51" s="331">
        <f t="shared" si="18"/>
        <v>0</v>
      </c>
      <c r="AP51" s="303">
        <v>21.6</v>
      </c>
      <c r="AQ51" s="303">
        <v>18.399999999999999</v>
      </c>
      <c r="AR51" s="303">
        <f>AQ51-AP51</f>
        <v>-3.2000000000000028</v>
      </c>
      <c r="AS51" s="447">
        <v>13097.2</v>
      </c>
      <c r="AT51" s="341">
        <v>13097.7</v>
      </c>
      <c r="AU51" s="341">
        <f>AT51-AS51</f>
        <v>0.5</v>
      </c>
      <c r="AV51" s="303"/>
      <c r="AW51" s="303"/>
      <c r="AX51" s="303"/>
      <c r="AY51" s="303"/>
      <c r="AZ51" s="322" t="s">
        <v>686</v>
      </c>
      <c r="BA51" s="461">
        <v>11825.438130099999</v>
      </c>
      <c r="BB51" s="461">
        <v>-9.5406898499999997</v>
      </c>
      <c r="BC51" s="461">
        <v>1030.56637763</v>
      </c>
      <c r="BD51" s="461">
        <v>1139.25960295</v>
      </c>
      <c r="BE51" s="461">
        <v>6.9218571400000002</v>
      </c>
      <c r="BF51" s="461">
        <v>7.0877692999999997</v>
      </c>
      <c r="BG51" s="461">
        <v>-0.12513284999999999</v>
      </c>
      <c r="BH51" s="461">
        <v>6.2279497099999999</v>
      </c>
      <c r="BI51" s="461">
        <v>6.23575268</v>
      </c>
      <c r="BJ51" s="461">
        <v>-2.2687990400000002</v>
      </c>
      <c r="BK51" s="461">
        <v>-2.3408233100000002</v>
      </c>
      <c r="BL51" s="461">
        <v>0.34915618999999998</v>
      </c>
    </row>
    <row r="52" spans="1:64" ht="15" customHeight="1" x14ac:dyDescent="0.2">
      <c r="A52" s="321">
        <f t="shared" ref="A52:A59" si="20">A51</f>
        <v>62007025</v>
      </c>
      <c r="B52" s="321" t="s">
        <v>639</v>
      </c>
      <c r="C52" s="321" t="s">
        <v>775</v>
      </c>
      <c r="D52" s="352" t="s">
        <v>724</v>
      </c>
      <c r="E52" s="307" t="s">
        <v>725</v>
      </c>
      <c r="F52" s="307" t="str">
        <f t="shared" si="13"/>
        <v>07/31/20</v>
      </c>
      <c r="G52" s="322" t="s">
        <v>726</v>
      </c>
      <c r="H52" s="322" t="s">
        <v>685</v>
      </c>
      <c r="I52" s="330"/>
      <c r="J52" s="324">
        <f>AVERAGE(J50:J51)</f>
        <v>24.259021000000001</v>
      </c>
      <c r="K52" s="324">
        <f>AVERAGE(K50:K51)</f>
        <v>39.5622185</v>
      </c>
      <c r="L52" s="324">
        <f>AVERAGE(L50:L51)</f>
        <v>29.274563999999998</v>
      </c>
      <c r="M52" s="324">
        <f>AVERAGE(M50:M51)</f>
        <v>32.2153615</v>
      </c>
      <c r="N52" s="310"/>
      <c r="O52" s="308"/>
      <c r="P52" s="326"/>
      <c r="Q52" s="325"/>
      <c r="R52" s="311">
        <f>R51+R50</f>
        <v>7.9933155100000004</v>
      </c>
      <c r="S52" s="311">
        <f>S51</f>
        <v>7.9933155100000004</v>
      </c>
      <c r="T52" s="339">
        <f>T50</f>
        <v>22.3</v>
      </c>
      <c r="U52" s="339">
        <f>U51</f>
        <v>18.399999999999999</v>
      </c>
      <c r="V52" s="314">
        <f>V50</f>
        <v>46583</v>
      </c>
      <c r="W52" s="314">
        <f>W51</f>
        <v>48776</v>
      </c>
      <c r="X52" s="314">
        <f>SUM(X50:X51)</f>
        <v>2367</v>
      </c>
      <c r="Y52" s="314">
        <f t="shared" si="14"/>
        <v>296.12242842644901</v>
      </c>
      <c r="Z52" s="314">
        <f>Z50</f>
        <v>1149.81</v>
      </c>
      <c r="AA52" s="314">
        <f>AA51</f>
        <v>1171.155949</v>
      </c>
      <c r="AB52" s="314">
        <f>SUM(AB50:AB51)</f>
        <v>25.840000000000146</v>
      </c>
      <c r="AC52" s="312">
        <f t="shared" si="15"/>
        <v>3.2327011197885449</v>
      </c>
      <c r="AD52" s="314">
        <f>AD50</f>
        <v>-6.98</v>
      </c>
      <c r="AE52" s="314">
        <f>AE51</f>
        <v>-7.93</v>
      </c>
      <c r="AF52" s="314">
        <f>SUM(AF50:AF51)</f>
        <v>-1.0299999999999994</v>
      </c>
      <c r="AG52" s="312">
        <f t="shared" si="16"/>
        <v>-0.12885766847454258</v>
      </c>
      <c r="AH52" s="314">
        <f>AH50</f>
        <v>0</v>
      </c>
      <c r="AI52" s="314">
        <f>AI51</f>
        <v>0</v>
      </c>
      <c r="AJ52" s="314">
        <f>SUM(AJ50:AJ51)</f>
        <v>0</v>
      </c>
      <c r="AK52" s="312">
        <f t="shared" si="17"/>
        <v>0</v>
      </c>
      <c r="AL52" s="314">
        <f>AL50</f>
        <v>0.05</v>
      </c>
      <c r="AM52" s="314">
        <f>AM51</f>
        <v>0.05</v>
      </c>
      <c r="AN52" s="314">
        <f>SUM(AN50:AN51)</f>
        <v>0</v>
      </c>
      <c r="AO52" s="312">
        <f t="shared" si="18"/>
        <v>0</v>
      </c>
      <c r="AP52" s="305"/>
      <c r="AQ52" s="305"/>
      <c r="AR52" s="305">
        <f>SUM(AR50:AR51)</f>
        <v>-4.1999999999999993</v>
      </c>
      <c r="AS52" s="342">
        <f>AS50</f>
        <v>13097</v>
      </c>
      <c r="AT52" s="342">
        <f>AT51</f>
        <v>13097.7</v>
      </c>
      <c r="AU52" s="342">
        <f>SUM(AU50:AU51)</f>
        <v>0.7999999999992724</v>
      </c>
      <c r="AV52" s="305"/>
      <c r="AW52" s="305"/>
      <c r="AX52" s="305"/>
      <c r="AY52" s="305"/>
      <c r="AZ52" s="322" t="s">
        <v>686</v>
      </c>
    </row>
    <row r="53" spans="1:64" ht="15" customHeight="1" x14ac:dyDescent="0.2">
      <c r="A53" s="321">
        <f t="shared" si="20"/>
        <v>62007025</v>
      </c>
      <c r="B53" s="321" t="s">
        <v>640</v>
      </c>
      <c r="C53" s="321" t="s">
        <v>776</v>
      </c>
      <c r="D53" s="352" t="s">
        <v>724</v>
      </c>
      <c r="E53" s="307" t="s">
        <v>725</v>
      </c>
      <c r="F53" s="307" t="str">
        <f t="shared" si="13"/>
        <v>07/31/20</v>
      </c>
      <c r="G53" s="322" t="s">
        <v>726</v>
      </c>
      <c r="H53" s="322" t="s">
        <v>685</v>
      </c>
      <c r="I53" s="330"/>
      <c r="J53" s="323">
        <v>21.059021999999999</v>
      </c>
      <c r="K53" s="323">
        <v>49.846119000000002</v>
      </c>
      <c r="L53" s="323">
        <v>29.251467999999999</v>
      </c>
      <c r="M53" s="323">
        <v>29.878104</v>
      </c>
      <c r="N53" s="308">
        <v>4250</v>
      </c>
      <c r="O53" s="308">
        <v>30.36</v>
      </c>
      <c r="P53" s="308">
        <v>0.3201</v>
      </c>
      <c r="Q53" s="308">
        <v>1.9560000000000001E-2</v>
      </c>
      <c r="R53" s="309">
        <v>3.5811620899999999</v>
      </c>
      <c r="S53" s="309">
        <f>R53+R52</f>
        <v>11.5744776</v>
      </c>
      <c r="T53" s="338">
        <v>18.100000000000001</v>
      </c>
      <c r="U53" s="338">
        <v>16.8</v>
      </c>
      <c r="V53" s="313">
        <v>48956</v>
      </c>
      <c r="W53" s="313">
        <v>49676</v>
      </c>
      <c r="X53" s="313">
        <f>W53-V53</f>
        <v>720</v>
      </c>
      <c r="Y53" s="313">
        <f t="shared" si="14"/>
        <v>201.0520557029576</v>
      </c>
      <c r="Z53" s="332">
        <v>1180.8654100000001</v>
      </c>
      <c r="AA53" s="313">
        <v>1202.5899999999999</v>
      </c>
      <c r="AB53" s="313">
        <f>AA53-Z53</f>
        <v>21.724589999999807</v>
      </c>
      <c r="AC53" s="331">
        <f t="shared" si="15"/>
        <v>6.0663520538942732</v>
      </c>
      <c r="AD53" s="332">
        <v>-7.12</v>
      </c>
      <c r="AE53" s="313">
        <v>-7.71</v>
      </c>
      <c r="AF53" s="313">
        <f>AE53-AD53</f>
        <v>-0.58999999999999986</v>
      </c>
      <c r="AG53" s="331">
        <f t="shared" si="16"/>
        <v>-0.16475099008992355</v>
      </c>
      <c r="AH53" s="332">
        <v>0</v>
      </c>
      <c r="AI53" s="313">
        <v>0</v>
      </c>
      <c r="AJ53" s="313">
        <f>AI53-AH53</f>
        <v>0</v>
      </c>
      <c r="AK53" s="331">
        <f t="shared" si="17"/>
        <v>0</v>
      </c>
      <c r="AL53" s="332">
        <v>0.05</v>
      </c>
      <c r="AM53" s="313">
        <v>0.05</v>
      </c>
      <c r="AN53" s="313">
        <f>AM53-AL53</f>
        <v>0</v>
      </c>
      <c r="AO53" s="331">
        <f t="shared" si="18"/>
        <v>0</v>
      </c>
      <c r="AP53" s="303">
        <v>18.100000000000001</v>
      </c>
      <c r="AQ53" s="303">
        <v>16.8</v>
      </c>
      <c r="AR53" s="303">
        <f>AQ53-AP53</f>
        <v>-1.3000000000000007</v>
      </c>
      <c r="AS53" s="447">
        <v>13098.6</v>
      </c>
      <c r="AT53" s="341">
        <v>13099.3</v>
      </c>
      <c r="AU53" s="341">
        <f>AT53-AS53</f>
        <v>0.69999999999890861</v>
      </c>
      <c r="AV53" s="303"/>
      <c r="AW53" s="303"/>
      <c r="AX53" s="303"/>
      <c r="AY53" s="303"/>
      <c r="AZ53" s="322" t="s">
        <v>686</v>
      </c>
      <c r="BA53" s="461">
        <v>2413.1498118099998</v>
      </c>
      <c r="BB53" s="461">
        <v>-2.1863294</v>
      </c>
      <c r="BC53" s="461">
        <v>2003.9298758</v>
      </c>
      <c r="BD53" s="461">
        <v>2048.7216802500002</v>
      </c>
      <c r="BE53" s="461">
        <v>3.20924626</v>
      </c>
      <c r="BF53" s="461">
        <v>3.2583832099999999</v>
      </c>
      <c r="BG53" s="461">
        <v>-0.27440500000000001</v>
      </c>
      <c r="BH53" s="461">
        <v>3.5811260300000001</v>
      </c>
      <c r="BI53" s="461">
        <v>3.59097986</v>
      </c>
      <c r="BJ53" s="461">
        <v>-1.25249919</v>
      </c>
      <c r="BK53" s="461">
        <v>-1.5080163</v>
      </c>
      <c r="BL53" s="461">
        <v>0.59037289000000004</v>
      </c>
    </row>
    <row r="54" spans="1:64" ht="15" customHeight="1" x14ac:dyDescent="0.2">
      <c r="A54" s="321">
        <f t="shared" si="20"/>
        <v>62007025</v>
      </c>
      <c r="B54" s="321" t="s">
        <v>220</v>
      </c>
      <c r="C54" s="321" t="s">
        <v>777</v>
      </c>
      <c r="D54" s="352" t="s">
        <v>724</v>
      </c>
      <c r="E54" s="307" t="s">
        <v>725</v>
      </c>
      <c r="F54" s="307" t="str">
        <f t="shared" si="13"/>
        <v>07/31/20</v>
      </c>
      <c r="G54" s="322" t="s">
        <v>726</v>
      </c>
      <c r="H54" s="322" t="s">
        <v>685</v>
      </c>
      <c r="I54" s="330"/>
      <c r="J54" s="323">
        <v>20.812963</v>
      </c>
      <c r="K54" s="323">
        <v>50.044047999999997</v>
      </c>
      <c r="L54" s="323">
        <v>29.250340000000001</v>
      </c>
      <c r="M54" s="323">
        <v>29.241768</v>
      </c>
      <c r="N54" s="308">
        <v>4250</v>
      </c>
      <c r="O54" s="308">
        <v>30.36</v>
      </c>
      <c r="P54" s="308">
        <v>0.3201</v>
      </c>
      <c r="Q54" s="308">
        <v>1.9560000000000001E-2</v>
      </c>
      <c r="R54" s="309">
        <v>3.8431491499999999</v>
      </c>
      <c r="S54" s="309">
        <f>R54+R53</f>
        <v>7.4243112399999998</v>
      </c>
      <c r="T54" s="338">
        <v>16.8</v>
      </c>
      <c r="U54" s="338">
        <v>15.7</v>
      </c>
      <c r="V54" s="313">
        <v>49676</v>
      </c>
      <c r="W54" s="313">
        <v>50305</v>
      </c>
      <c r="X54" s="313">
        <f>W54-V54</f>
        <v>629</v>
      </c>
      <c r="Y54" s="313">
        <f t="shared" si="14"/>
        <v>163.66786076985849</v>
      </c>
      <c r="Z54" s="332">
        <v>1202.5999999999999</v>
      </c>
      <c r="AA54" s="313">
        <v>1239.19</v>
      </c>
      <c r="AB54" s="313">
        <f>AA54-Z54</f>
        <v>36.590000000000146</v>
      </c>
      <c r="AC54" s="331">
        <f t="shared" si="15"/>
        <v>9.5208378784883081</v>
      </c>
      <c r="AD54" s="332">
        <v>-7.71</v>
      </c>
      <c r="AE54" s="313">
        <v>-8.36</v>
      </c>
      <c r="AF54" s="313">
        <f>AE54-AD54</f>
        <v>-0.64999999999999947</v>
      </c>
      <c r="AG54" s="331">
        <f t="shared" si="16"/>
        <v>-0.16913212957139576</v>
      </c>
      <c r="AH54" s="332">
        <v>0</v>
      </c>
      <c r="AI54" s="313">
        <v>0</v>
      </c>
      <c r="AJ54" s="313">
        <f>AI54-AH54</f>
        <v>0</v>
      </c>
      <c r="AK54" s="331">
        <f t="shared" si="17"/>
        <v>0</v>
      </c>
      <c r="AL54" s="332">
        <v>0.05</v>
      </c>
      <c r="AM54" s="313">
        <v>0.05</v>
      </c>
      <c r="AN54" s="313">
        <f>AM54-AL54</f>
        <v>0</v>
      </c>
      <c r="AO54" s="331">
        <f t="shared" si="18"/>
        <v>0</v>
      </c>
      <c r="AP54" s="303">
        <v>16.8</v>
      </c>
      <c r="AQ54" s="303">
        <v>15.7</v>
      </c>
      <c r="AR54" s="303">
        <f>AQ54-AP54</f>
        <v>-1.1000000000000014</v>
      </c>
      <c r="AS54" s="447">
        <v>13099.3</v>
      </c>
      <c r="AT54" s="341">
        <v>13100.5</v>
      </c>
      <c r="AU54" s="341">
        <f>AT54-AS54</f>
        <v>1.2000000000007276</v>
      </c>
      <c r="AV54" s="303"/>
      <c r="AW54" s="303"/>
      <c r="AX54" s="303"/>
      <c r="AY54" s="303"/>
      <c r="AZ54" s="322" t="s">
        <v>686</v>
      </c>
      <c r="BA54" s="461">
        <v>1482.0670295699999</v>
      </c>
      <c r="BB54" s="461">
        <v>-2.0888505400000001</v>
      </c>
      <c r="BC54" s="461">
        <v>3344.6747608599999</v>
      </c>
      <c r="BD54" s="461">
        <v>3416.0305329399998</v>
      </c>
      <c r="BE54" s="461">
        <v>2.9554303399999999</v>
      </c>
      <c r="BF54" s="461">
        <v>3.01849341</v>
      </c>
      <c r="BG54" s="461">
        <v>-0.43382817000000001</v>
      </c>
      <c r="BH54" s="461">
        <v>3.8430847300000002</v>
      </c>
      <c r="BI54" s="461">
        <v>3.8598297600000002</v>
      </c>
      <c r="BJ54" s="461">
        <v>-1.69071802</v>
      </c>
      <c r="BK54" s="461">
        <v>-2.0892233099999999</v>
      </c>
      <c r="BL54" s="461">
        <v>0.71451061000000005</v>
      </c>
    </row>
    <row r="55" spans="1:64" ht="15" customHeight="1" x14ac:dyDescent="0.2">
      <c r="A55" s="321">
        <f t="shared" si="20"/>
        <v>62007025</v>
      </c>
      <c r="B55" s="321" t="s">
        <v>641</v>
      </c>
      <c r="C55" s="321" t="s">
        <v>799</v>
      </c>
      <c r="D55" s="352" t="s">
        <v>724</v>
      </c>
      <c r="E55" s="307" t="s">
        <v>725</v>
      </c>
      <c r="F55" s="307" t="str">
        <f t="shared" si="13"/>
        <v>07/31/20</v>
      </c>
      <c r="G55" s="322" t="s">
        <v>726</v>
      </c>
      <c r="H55" s="322" t="s">
        <v>685</v>
      </c>
      <c r="I55" s="330"/>
      <c r="J55" s="324">
        <f>AVERAGE(J53:J54)</f>
        <v>20.935992499999998</v>
      </c>
      <c r="K55" s="324">
        <f>AVERAGE(K53:K54)</f>
        <v>49.945083499999996</v>
      </c>
      <c r="L55" s="324">
        <f>AVERAGE(L53:L54)</f>
        <v>29.250903999999998</v>
      </c>
      <c r="M55" s="324">
        <f>AVERAGE(M53:M54)</f>
        <v>29.559936</v>
      </c>
      <c r="N55" s="310"/>
      <c r="O55" s="308"/>
      <c r="P55" s="326"/>
      <c r="Q55" s="325"/>
      <c r="R55" s="311">
        <f>R54+R53</f>
        <v>7.4243112399999998</v>
      </c>
      <c r="S55" s="311">
        <f>S54</f>
        <v>7.4243112399999998</v>
      </c>
      <c r="T55" s="339">
        <f>T53</f>
        <v>18.100000000000001</v>
      </c>
      <c r="U55" s="339">
        <f>U54</f>
        <v>15.7</v>
      </c>
      <c r="V55" s="314">
        <f>V53</f>
        <v>48956</v>
      </c>
      <c r="W55" s="314">
        <f>W54</f>
        <v>50305</v>
      </c>
      <c r="X55" s="314">
        <f>SUM(X53:X54)</f>
        <v>1349</v>
      </c>
      <c r="Y55" s="314">
        <f t="shared" si="14"/>
        <v>181.70035662459648</v>
      </c>
      <c r="Z55" s="314">
        <f>Z53</f>
        <v>1180.8654100000001</v>
      </c>
      <c r="AA55" s="314">
        <f>AA54</f>
        <v>1239.19</v>
      </c>
      <c r="AB55" s="314">
        <f>SUM(AB53:AB54)</f>
        <v>58.314589999999953</v>
      </c>
      <c r="AC55" s="312">
        <f t="shared" si="15"/>
        <v>7.8545454406353734</v>
      </c>
      <c r="AD55" s="314">
        <f>AD53</f>
        <v>-7.12</v>
      </c>
      <c r="AE55" s="314">
        <f>AE54</f>
        <v>-8.36</v>
      </c>
      <c r="AF55" s="314">
        <f>SUM(AF53:AF54)</f>
        <v>-1.2399999999999993</v>
      </c>
      <c r="AG55" s="312">
        <f t="shared" si="16"/>
        <v>-0.16701886005522573</v>
      </c>
      <c r="AH55" s="314">
        <f>AH53</f>
        <v>0</v>
      </c>
      <c r="AI55" s="314">
        <f>AI54</f>
        <v>0</v>
      </c>
      <c r="AJ55" s="314">
        <f>SUM(AJ53:AJ54)</f>
        <v>0</v>
      </c>
      <c r="AK55" s="312">
        <f t="shared" si="17"/>
        <v>0</v>
      </c>
      <c r="AL55" s="314">
        <f>AL53</f>
        <v>0.05</v>
      </c>
      <c r="AM55" s="314">
        <f>AM54</f>
        <v>0.05</v>
      </c>
      <c r="AN55" s="314">
        <f>SUM(AN53:AN54)</f>
        <v>0</v>
      </c>
      <c r="AO55" s="312">
        <f t="shared" si="18"/>
        <v>0</v>
      </c>
      <c r="AP55" s="305"/>
      <c r="AQ55" s="305"/>
      <c r="AR55" s="305">
        <f>SUM(AR53:AR54)</f>
        <v>-2.4000000000000021</v>
      </c>
      <c r="AS55" s="342">
        <f>AS53</f>
        <v>13098.6</v>
      </c>
      <c r="AT55" s="342">
        <f>AT54</f>
        <v>13100.5</v>
      </c>
      <c r="AU55" s="342">
        <f>SUM(AU53:AU54)</f>
        <v>1.8999999999996362</v>
      </c>
      <c r="AV55" s="305"/>
      <c r="AW55" s="305"/>
      <c r="AX55" s="305"/>
      <c r="AY55" s="305"/>
      <c r="AZ55" s="322" t="s">
        <v>686</v>
      </c>
    </row>
    <row r="56" spans="1:64" ht="15" customHeight="1" x14ac:dyDescent="0.2">
      <c r="A56" s="321">
        <f t="shared" si="20"/>
        <v>62007025</v>
      </c>
      <c r="B56" s="321" t="s">
        <v>55</v>
      </c>
      <c r="C56" s="321" t="s">
        <v>778</v>
      </c>
      <c r="D56" s="352" t="s">
        <v>724</v>
      </c>
      <c r="E56" s="307" t="s">
        <v>725</v>
      </c>
      <c r="F56" s="307" t="str">
        <f t="shared" si="13"/>
        <v>07/31/20</v>
      </c>
      <c r="G56" s="322" t="s">
        <v>726</v>
      </c>
      <c r="H56" s="322" t="s">
        <v>685</v>
      </c>
      <c r="I56" s="330"/>
      <c r="J56" s="323">
        <v>25.654754000000001</v>
      </c>
      <c r="K56" s="323">
        <v>37.515433999999999</v>
      </c>
      <c r="L56" s="323">
        <v>29.26951</v>
      </c>
      <c r="M56" s="323">
        <v>30.437647999999999</v>
      </c>
      <c r="N56" s="308">
        <v>4250</v>
      </c>
      <c r="O56" s="308">
        <v>30.36</v>
      </c>
      <c r="P56" s="308">
        <v>0.3201</v>
      </c>
      <c r="Q56" s="308">
        <v>1.9560000000000001E-2</v>
      </c>
      <c r="R56" s="309">
        <v>10.24552366</v>
      </c>
      <c r="S56" s="309">
        <f>R56+R55</f>
        <v>17.669834899999998</v>
      </c>
      <c r="T56" s="338">
        <v>15.7</v>
      </c>
      <c r="U56" s="338">
        <v>11.8</v>
      </c>
      <c r="V56" s="313">
        <v>50305</v>
      </c>
      <c r="W56" s="313">
        <v>52506</v>
      </c>
      <c r="X56" s="313">
        <f>W56-V56</f>
        <v>2201</v>
      </c>
      <c r="Y56" s="313">
        <f t="shared" si="14"/>
        <v>214.8255250820435</v>
      </c>
      <c r="Z56" s="332">
        <v>1239.8800000000001</v>
      </c>
      <c r="AA56" s="313">
        <v>1271.5</v>
      </c>
      <c r="AB56" s="313">
        <f>AA56-Z56</f>
        <v>31.619999999999891</v>
      </c>
      <c r="AC56" s="331">
        <f t="shared" si="15"/>
        <v>3.0862258532913183</v>
      </c>
      <c r="AD56" s="332">
        <v>-8.3699999999999992</v>
      </c>
      <c r="AE56" s="313">
        <v>-8.83</v>
      </c>
      <c r="AF56" s="313">
        <f>AE56-AD56</f>
        <v>-0.46000000000000085</v>
      </c>
      <c r="AG56" s="331">
        <f t="shared" si="16"/>
        <v>-4.4897656309741116E-2</v>
      </c>
      <c r="AH56" s="332">
        <v>0</v>
      </c>
      <c r="AI56" s="313">
        <v>0</v>
      </c>
      <c r="AJ56" s="313">
        <f>AI56-AH56</f>
        <v>0</v>
      </c>
      <c r="AK56" s="331">
        <f t="shared" si="17"/>
        <v>0</v>
      </c>
      <c r="AL56" s="332">
        <v>0.05</v>
      </c>
      <c r="AM56" s="313">
        <v>0.05</v>
      </c>
      <c r="AN56" s="313">
        <f>AM56-AL56</f>
        <v>0</v>
      </c>
      <c r="AO56" s="331">
        <f t="shared" si="18"/>
        <v>0</v>
      </c>
      <c r="AP56" s="303">
        <v>15.7</v>
      </c>
      <c r="AQ56" s="303">
        <v>11.8</v>
      </c>
      <c r="AR56" s="303">
        <f>AQ56-AP56</f>
        <v>-3.8999999999999986</v>
      </c>
      <c r="AS56" s="447">
        <v>13100.5</v>
      </c>
      <c r="AT56" s="341">
        <v>13101.6</v>
      </c>
      <c r="AU56" s="341">
        <f>AT56-AS56</f>
        <v>1.1000000000003638</v>
      </c>
      <c r="AV56" s="303"/>
      <c r="AW56" s="303"/>
      <c r="AX56" s="303"/>
      <c r="AY56" s="303"/>
      <c r="AZ56" s="322" t="s">
        <v>686</v>
      </c>
      <c r="BA56" s="461">
        <v>1945.07730197</v>
      </c>
      <c r="BB56" s="461">
        <v>-0.79126158000000002</v>
      </c>
      <c r="BC56" s="461">
        <v>1296.36443072</v>
      </c>
      <c r="BD56" s="461">
        <v>1306.7038765299999</v>
      </c>
      <c r="BE56" s="461">
        <v>7.9704362099999999</v>
      </c>
      <c r="BF56" s="461">
        <v>8.0200068600000005</v>
      </c>
      <c r="BG56" s="461">
        <v>-0.10797262000000001</v>
      </c>
      <c r="BH56" s="461">
        <v>10.245605830000001</v>
      </c>
      <c r="BI56" s="461">
        <v>10.25668024</v>
      </c>
      <c r="BJ56" s="461">
        <v>-0.51328735999999997</v>
      </c>
      <c r="BK56" s="461">
        <v>-0.61808741</v>
      </c>
      <c r="BL56" s="461">
        <v>0.28276359000000001</v>
      </c>
    </row>
    <row r="57" spans="1:64" ht="15" customHeight="1" x14ac:dyDescent="0.2">
      <c r="A57" s="321">
        <f t="shared" si="20"/>
        <v>62007025</v>
      </c>
      <c r="B57" s="321" t="s">
        <v>642</v>
      </c>
      <c r="C57" s="321" t="s">
        <v>783</v>
      </c>
      <c r="D57" s="352" t="s">
        <v>724</v>
      </c>
      <c r="E57" s="307" t="s">
        <v>725</v>
      </c>
      <c r="F57" s="307" t="str">
        <f t="shared" si="13"/>
        <v>07/31/20</v>
      </c>
      <c r="G57" s="322" t="s">
        <v>726</v>
      </c>
      <c r="H57" s="322" t="s">
        <v>685</v>
      </c>
      <c r="I57" s="330"/>
      <c r="J57" s="323">
        <v>21.173223</v>
      </c>
      <c r="K57" s="323">
        <v>49.438313000000001</v>
      </c>
      <c r="L57" s="323">
        <v>29.249275999999998</v>
      </c>
      <c r="M57" s="323">
        <v>29.863489000000001</v>
      </c>
      <c r="N57" s="308">
        <v>4250</v>
      </c>
      <c r="O57" s="308">
        <v>30.36</v>
      </c>
      <c r="P57" s="308">
        <v>0.3201</v>
      </c>
      <c r="Q57" s="308">
        <v>1.9560000000000001E-2</v>
      </c>
      <c r="R57" s="309">
        <v>3.58174423</v>
      </c>
      <c r="S57" s="309">
        <f>R57+R56</f>
        <v>13.82726789</v>
      </c>
      <c r="T57" s="338">
        <v>11.8</v>
      </c>
      <c r="U57" s="338">
        <v>10.5</v>
      </c>
      <c r="V57" s="313">
        <v>52513</v>
      </c>
      <c r="W57" s="313">
        <v>53230.368521999997</v>
      </c>
      <c r="X57" s="313">
        <f>W57-V57</f>
        <v>717.36852199999703</v>
      </c>
      <c r="Y57" s="313">
        <f t="shared" si="14"/>
        <v>200.28468699452529</v>
      </c>
      <c r="Z57" s="332">
        <v>1276.884033</v>
      </c>
      <c r="AA57" s="313">
        <v>1298.4000000000001</v>
      </c>
      <c r="AB57" s="313">
        <f>AA57-Z57</f>
        <v>21.515967000000046</v>
      </c>
      <c r="AC57" s="331">
        <f t="shared" si="15"/>
        <v>6.0071198886247794</v>
      </c>
      <c r="AD57" s="332">
        <v>-7.65</v>
      </c>
      <c r="AE57" s="313">
        <v>-8.1999999999999993</v>
      </c>
      <c r="AF57" s="313">
        <f>AE57-AD57</f>
        <v>-0.54999999999999893</v>
      </c>
      <c r="AG57" s="331">
        <f t="shared" si="16"/>
        <v>-0.15355646988785654</v>
      </c>
      <c r="AH57" s="332">
        <v>0</v>
      </c>
      <c r="AI57" s="313">
        <v>0</v>
      </c>
      <c r="AJ57" s="313">
        <f>AI57-AH57</f>
        <v>0</v>
      </c>
      <c r="AK57" s="331">
        <f t="shared" si="17"/>
        <v>0</v>
      </c>
      <c r="AL57" s="332">
        <v>0.05</v>
      </c>
      <c r="AM57" s="313">
        <v>0.05</v>
      </c>
      <c r="AN57" s="313">
        <f>AM57-AL57</f>
        <v>0</v>
      </c>
      <c r="AO57" s="331">
        <f t="shared" si="18"/>
        <v>0</v>
      </c>
      <c r="AP57" s="303">
        <v>11.8</v>
      </c>
      <c r="AQ57" s="303">
        <v>10.5</v>
      </c>
      <c r="AR57" s="303">
        <f>AQ57-AP57</f>
        <v>-1.3000000000000007</v>
      </c>
      <c r="AS57" s="447">
        <v>13102.4</v>
      </c>
      <c r="AT57" s="341">
        <v>13103.1</v>
      </c>
      <c r="AU57" s="341">
        <f>AT57-AS57</f>
        <v>0.7000000000007276</v>
      </c>
      <c r="AV57" s="303"/>
      <c r="AW57" s="303"/>
      <c r="AX57" s="303"/>
      <c r="AY57" s="303"/>
      <c r="AZ57" s="322" t="s">
        <v>686</v>
      </c>
      <c r="BA57" s="461">
        <v>2410.76424585</v>
      </c>
      <c r="BB57" s="461">
        <v>-2.1668918599999998</v>
      </c>
      <c r="BC57" s="461">
        <v>2004.2656709400001</v>
      </c>
      <c r="BD57" s="461">
        <v>2048.65787155</v>
      </c>
      <c r="BE57" s="461">
        <v>3.2097462600000002</v>
      </c>
      <c r="BF57" s="461">
        <v>3.25828791</v>
      </c>
      <c r="BG57" s="461">
        <v>-0.25708140000000002</v>
      </c>
      <c r="BH57" s="461">
        <v>3.5817479300000001</v>
      </c>
      <c r="BI57" s="461">
        <v>3.5909796699999998</v>
      </c>
      <c r="BJ57" s="461">
        <v>-1.2513511100000001</v>
      </c>
      <c r="BK57" s="461">
        <v>-1.4897900100000001</v>
      </c>
      <c r="BL57" s="461">
        <v>0.59036352000000003</v>
      </c>
    </row>
    <row r="58" spans="1:64" ht="15" customHeight="1" x14ac:dyDescent="0.2">
      <c r="A58" s="321">
        <f t="shared" si="20"/>
        <v>62007025</v>
      </c>
      <c r="B58" s="321" t="s">
        <v>643</v>
      </c>
      <c r="C58" s="321" t="s">
        <v>781</v>
      </c>
      <c r="D58" s="352" t="s">
        <v>724</v>
      </c>
      <c r="E58" s="307" t="s">
        <v>725</v>
      </c>
      <c r="F58" s="307" t="str">
        <f t="shared" si="13"/>
        <v>07/31/20</v>
      </c>
      <c r="G58" s="322" t="s">
        <v>726</v>
      </c>
      <c r="H58" s="322" t="s">
        <v>685</v>
      </c>
      <c r="I58" s="330"/>
      <c r="J58" s="323">
        <v>19.126759</v>
      </c>
      <c r="K58" s="323">
        <v>56.025190000000002</v>
      </c>
      <c r="L58" s="323">
        <v>29.245422000000001</v>
      </c>
      <c r="M58" s="323">
        <v>28.839898999999999</v>
      </c>
      <c r="N58" s="308">
        <v>4250</v>
      </c>
      <c r="O58" s="308">
        <v>30.36</v>
      </c>
      <c r="P58" s="308">
        <v>0.3201</v>
      </c>
      <c r="Q58" s="308">
        <v>1.9560000000000001E-2</v>
      </c>
      <c r="R58" s="309">
        <v>3.8433946400000001</v>
      </c>
      <c r="S58" s="309">
        <f>R58+R57</f>
        <v>7.4251388699999996</v>
      </c>
      <c r="T58" s="338">
        <v>10.5</v>
      </c>
      <c r="U58" s="338">
        <v>9.4</v>
      </c>
      <c r="V58" s="313">
        <v>53231</v>
      </c>
      <c r="W58" s="313">
        <v>53859</v>
      </c>
      <c r="X58" s="313">
        <f>W58-V58</f>
        <v>628</v>
      </c>
      <c r="Y58" s="313">
        <f t="shared" si="14"/>
        <v>163.39722011997185</v>
      </c>
      <c r="Z58" s="332">
        <v>1298.4100000000001</v>
      </c>
      <c r="AA58" s="313">
        <v>1335.06</v>
      </c>
      <c r="AB58" s="313">
        <f>AA58-Z58</f>
        <v>36.649999999999864</v>
      </c>
      <c r="AC58" s="331">
        <f t="shared" si="15"/>
        <v>9.535840951269023</v>
      </c>
      <c r="AD58" s="332">
        <v>-8.1999999999999993</v>
      </c>
      <c r="AE58" s="313">
        <v>-8.8800000000000008</v>
      </c>
      <c r="AF58" s="313">
        <f>AE58-AD58</f>
        <v>-0.68000000000000149</v>
      </c>
      <c r="AG58" s="331">
        <f t="shared" si="16"/>
        <v>-0.17692692624455589</v>
      </c>
      <c r="AH58" s="332">
        <v>0</v>
      </c>
      <c r="AI58" s="313">
        <v>0</v>
      </c>
      <c r="AJ58" s="313">
        <f>AI58-AH58</f>
        <v>0</v>
      </c>
      <c r="AK58" s="331">
        <f t="shared" si="17"/>
        <v>0</v>
      </c>
      <c r="AL58" s="332">
        <v>0.05</v>
      </c>
      <c r="AM58" s="313">
        <v>0.05</v>
      </c>
      <c r="AN58" s="313">
        <f>AM58-AL58</f>
        <v>0</v>
      </c>
      <c r="AO58" s="331">
        <f t="shared" si="18"/>
        <v>0</v>
      </c>
      <c r="AP58" s="303">
        <v>10.5</v>
      </c>
      <c r="AQ58" s="303">
        <v>9.4</v>
      </c>
      <c r="AR58" s="303">
        <f>AQ58-AP58</f>
        <v>-1.0999999999999996</v>
      </c>
      <c r="AS58" s="447">
        <v>13103.1</v>
      </c>
      <c r="AT58" s="341">
        <v>13104.2</v>
      </c>
      <c r="AU58" s="341">
        <f>AT58-AS58</f>
        <v>1.1000000000003638</v>
      </c>
      <c r="AV58" s="303"/>
      <c r="AW58" s="303"/>
      <c r="AX58" s="303"/>
      <c r="AY58" s="303"/>
      <c r="AZ58" s="322" t="s">
        <v>686</v>
      </c>
      <c r="BA58" s="461">
        <v>1482.3068707299999</v>
      </c>
      <c r="BB58" s="461">
        <v>-2.07700357</v>
      </c>
      <c r="BC58" s="461">
        <v>3345.0951542600001</v>
      </c>
      <c r="BD58" s="461">
        <v>3416.0465632</v>
      </c>
      <c r="BE58" s="461">
        <v>2.9555808400000001</v>
      </c>
      <c r="BF58" s="461">
        <v>3.01849276</v>
      </c>
      <c r="BG58" s="461">
        <v>-0.42716304999999999</v>
      </c>
      <c r="BH58" s="461">
        <v>3.8433426000000002</v>
      </c>
      <c r="BI58" s="461">
        <v>3.8598303700000001</v>
      </c>
      <c r="BJ58" s="461">
        <v>-1.6923249899999999</v>
      </c>
      <c r="BK58" s="461">
        <v>-2.0842163299999998</v>
      </c>
      <c r="BL58" s="461">
        <v>0.71451593999999996</v>
      </c>
    </row>
    <row r="59" spans="1:64" ht="15" customHeight="1" x14ac:dyDescent="0.2">
      <c r="A59" s="321">
        <f t="shared" si="20"/>
        <v>62007025</v>
      </c>
      <c r="B59" s="321" t="s">
        <v>644</v>
      </c>
      <c r="C59" s="321" t="s">
        <v>782</v>
      </c>
      <c r="D59" s="352" t="s">
        <v>724</v>
      </c>
      <c r="E59" s="307" t="s">
        <v>725</v>
      </c>
      <c r="F59" s="307" t="str">
        <f t="shared" si="13"/>
        <v>07/31/20</v>
      </c>
      <c r="G59" s="322" t="s">
        <v>726</v>
      </c>
      <c r="H59" s="322" t="s">
        <v>685</v>
      </c>
      <c r="I59" s="330"/>
      <c r="J59" s="324">
        <f>AVERAGE(J57:J58)</f>
        <v>20.149991</v>
      </c>
      <c r="K59" s="324">
        <f>AVERAGE(K57:K58)</f>
        <v>52.731751500000001</v>
      </c>
      <c r="L59" s="324">
        <f>AVERAGE(L57:L58)</f>
        <v>29.247349</v>
      </c>
      <c r="M59" s="324">
        <f>AVERAGE(M57:M58)</f>
        <v>29.351694000000002</v>
      </c>
      <c r="N59" s="310"/>
      <c r="O59" s="308"/>
      <c r="P59" s="326"/>
      <c r="Q59" s="325"/>
      <c r="R59" s="311">
        <f>R58+R57</f>
        <v>7.4251388699999996</v>
      </c>
      <c r="S59" s="311">
        <f>S58</f>
        <v>7.4251388699999996</v>
      </c>
      <c r="T59" s="339">
        <f>T57</f>
        <v>11.8</v>
      </c>
      <c r="U59" s="339">
        <f>U58</f>
        <v>9.4</v>
      </c>
      <c r="V59" s="314">
        <f>V57</f>
        <v>52513</v>
      </c>
      <c r="W59" s="314">
        <f>W58</f>
        <v>53859</v>
      </c>
      <c r="X59" s="314">
        <f>SUM(X57:X58)</f>
        <v>1345.368521999997</v>
      </c>
      <c r="Y59" s="314">
        <f t="shared" si="14"/>
        <v>181.1910249161437</v>
      </c>
      <c r="Z59" s="314">
        <f>Z57</f>
        <v>1276.884033</v>
      </c>
      <c r="AA59" s="314">
        <f>AA58</f>
        <v>1335.06</v>
      </c>
      <c r="AB59" s="314">
        <f>SUM(AB57:AB58)</f>
        <v>58.16596699999991</v>
      </c>
      <c r="AC59" s="312">
        <f t="shared" si="15"/>
        <v>7.8336537562966697</v>
      </c>
      <c r="AD59" s="314">
        <f>AD57</f>
        <v>-7.65</v>
      </c>
      <c r="AE59" s="314">
        <f>AE58</f>
        <v>-8.8800000000000008</v>
      </c>
      <c r="AF59" s="314">
        <f>SUM(AF57:AF58)</f>
        <v>-1.2300000000000004</v>
      </c>
      <c r="AG59" s="312">
        <f t="shared" si="16"/>
        <v>-0.16565346743474449</v>
      </c>
      <c r="AH59" s="314">
        <f>AH57</f>
        <v>0</v>
      </c>
      <c r="AI59" s="314">
        <f>AI58</f>
        <v>0</v>
      </c>
      <c r="AJ59" s="314">
        <f>SUM(AJ57:AJ58)</f>
        <v>0</v>
      </c>
      <c r="AK59" s="312">
        <f t="shared" si="17"/>
        <v>0</v>
      </c>
      <c r="AL59" s="314">
        <f>AL57</f>
        <v>0.05</v>
      </c>
      <c r="AM59" s="314">
        <f>AM58</f>
        <v>0.05</v>
      </c>
      <c r="AN59" s="314">
        <f>SUM(AN57:AN58)</f>
        <v>0</v>
      </c>
      <c r="AO59" s="312">
        <f t="shared" si="18"/>
        <v>0</v>
      </c>
      <c r="AP59" s="305"/>
      <c r="AQ59" s="305"/>
      <c r="AR59" s="305">
        <f>SUM(AR57:AR58)</f>
        <v>-2.4000000000000004</v>
      </c>
      <c r="AS59" s="342">
        <f>AS57</f>
        <v>13102.4</v>
      </c>
      <c r="AT59" s="342">
        <f>AT58</f>
        <v>13104.2</v>
      </c>
      <c r="AU59" s="342">
        <f>SUM(AU57:AU58)</f>
        <v>1.8000000000010914</v>
      </c>
      <c r="AV59" s="305"/>
      <c r="AW59" s="305"/>
      <c r="AX59" s="305"/>
      <c r="AY59" s="305"/>
      <c r="AZ59" s="322" t="s">
        <v>686</v>
      </c>
    </row>
    <row r="60" spans="1:64" ht="15" customHeight="1" x14ac:dyDescent="0.2">
      <c r="A60" s="321">
        <f>A59+1</f>
        <v>62007026</v>
      </c>
      <c r="B60" s="321" t="s">
        <v>636</v>
      </c>
      <c r="C60" s="321" t="s">
        <v>773</v>
      </c>
      <c r="D60" s="352" t="s">
        <v>727</v>
      </c>
      <c r="E60" s="307" t="s">
        <v>728</v>
      </c>
      <c r="F60" s="307" t="str">
        <f t="shared" si="13"/>
        <v>07/31/20</v>
      </c>
      <c r="G60" s="322" t="s">
        <v>729</v>
      </c>
      <c r="H60" s="322" t="s">
        <v>730</v>
      </c>
      <c r="I60" s="330"/>
      <c r="J60" s="323">
        <v>26.831702</v>
      </c>
      <c r="K60" s="323">
        <v>34.885638</v>
      </c>
      <c r="L60" s="323">
        <v>29.287310000000002</v>
      </c>
      <c r="M60" s="323">
        <v>31.560981999999999</v>
      </c>
      <c r="N60" s="308">
        <v>4250</v>
      </c>
      <c r="O60" s="308">
        <v>30.36</v>
      </c>
      <c r="P60" s="308">
        <v>0.3201</v>
      </c>
      <c r="Q60" s="308">
        <v>1.9560000000000001E-2</v>
      </c>
      <c r="R60" s="309">
        <v>17.697096519999999</v>
      </c>
      <c r="S60" s="309">
        <f>R60+R59</f>
        <v>25.12223539</v>
      </c>
      <c r="T60" s="338">
        <v>9.4</v>
      </c>
      <c r="U60" s="338">
        <v>0</v>
      </c>
      <c r="V60" s="313">
        <v>53863</v>
      </c>
      <c r="W60" s="313">
        <v>58862</v>
      </c>
      <c r="X60" s="313">
        <f>W60-V60</f>
        <v>4999</v>
      </c>
      <c r="Y60" s="313">
        <f t="shared" si="14"/>
        <v>282.47571540057356</v>
      </c>
      <c r="Z60" s="332">
        <v>1338.8636140000001</v>
      </c>
      <c r="AA60" s="313">
        <v>1380.13</v>
      </c>
      <c r="AB60" s="313">
        <f>AA60-Z60</f>
        <v>41.266386000000011</v>
      </c>
      <c r="AC60" s="331">
        <f t="shared" si="15"/>
        <v>2.3318167448182066</v>
      </c>
      <c r="AD60" s="332">
        <v>-8.09</v>
      </c>
      <c r="AE60" s="313">
        <v>-7.88</v>
      </c>
      <c r="AF60" s="313">
        <f>AE60-AD60</f>
        <v>0.20999999999999996</v>
      </c>
      <c r="AG60" s="331">
        <f t="shared" si="16"/>
        <v>1.1866353317487584E-2</v>
      </c>
      <c r="AH60" s="332">
        <v>0</v>
      </c>
      <c r="AI60" s="313">
        <v>0</v>
      </c>
      <c r="AJ60" s="313">
        <f>AI60-AH60</f>
        <v>0</v>
      </c>
      <c r="AK60" s="331">
        <f t="shared" si="17"/>
        <v>0</v>
      </c>
      <c r="AL60" s="332">
        <v>0.05</v>
      </c>
      <c r="AM60" s="313">
        <v>0.05</v>
      </c>
      <c r="AN60" s="313">
        <f>AM60-AL60</f>
        <v>0</v>
      </c>
      <c r="AO60" s="331">
        <f t="shared" si="18"/>
        <v>0</v>
      </c>
      <c r="AP60" s="303">
        <v>9.4</v>
      </c>
      <c r="AQ60" s="303">
        <v>0</v>
      </c>
      <c r="AR60" s="303">
        <f>AQ60-AP60</f>
        <v>-9.4</v>
      </c>
      <c r="AS60" s="447">
        <v>13104.7</v>
      </c>
      <c r="AT60" s="341">
        <v>13106.1</v>
      </c>
      <c r="AU60" s="341">
        <f>AT60-AS60</f>
        <v>1.3999999999996362</v>
      </c>
      <c r="AV60" s="303"/>
      <c r="AW60" s="303"/>
      <c r="AX60" s="303"/>
      <c r="AY60" s="303"/>
      <c r="AZ60" s="322" t="s">
        <v>686</v>
      </c>
      <c r="BA60" s="461">
        <v>126.74409360999999</v>
      </c>
      <c r="BB60" s="461">
        <v>6.0634567500000003</v>
      </c>
      <c r="BC60" s="461">
        <v>616.38990018000004</v>
      </c>
      <c r="BD60" s="461">
        <v>581.15200000000004</v>
      </c>
      <c r="BE60" s="461">
        <v>16.909295570000001</v>
      </c>
      <c r="BF60" s="461">
        <v>18.71406696</v>
      </c>
      <c r="BG60" s="461">
        <v>-5.79502323</v>
      </c>
      <c r="BH60" s="461">
        <v>17.697253440000001</v>
      </c>
      <c r="BI60" s="461">
        <v>18.785900760000001</v>
      </c>
      <c r="BJ60" s="461">
        <v>-4.2597094799999997</v>
      </c>
      <c r="BK60" s="461">
        <v>-9.6439293399999997</v>
      </c>
      <c r="BL60" s="461">
        <v>4.4141729999999997E-2</v>
      </c>
    </row>
    <row r="61" spans="1:64" ht="15" customHeight="1" x14ac:dyDescent="0.2">
      <c r="A61" s="321">
        <f>A60+1</f>
        <v>62007027</v>
      </c>
      <c r="B61" s="367" t="s">
        <v>645</v>
      </c>
      <c r="C61" s="367" t="s">
        <v>773</v>
      </c>
      <c r="D61" s="352" t="s">
        <v>731</v>
      </c>
      <c r="E61" s="307" t="s">
        <v>732</v>
      </c>
      <c r="F61" s="307" t="str">
        <f t="shared" si="13"/>
        <v>07/31/20</v>
      </c>
      <c r="G61" s="322" t="s">
        <v>733</v>
      </c>
      <c r="H61" s="322" t="s">
        <v>685</v>
      </c>
      <c r="I61" s="330"/>
      <c r="J61" s="323">
        <v>1109.5969700000001</v>
      </c>
      <c r="K61" s="323">
        <v>2375.589661</v>
      </c>
      <c r="L61" s="323">
        <v>1480.7945360000001</v>
      </c>
      <c r="M61" s="323">
        <v>1132.7227359999999</v>
      </c>
      <c r="N61" s="308">
        <v>4250</v>
      </c>
      <c r="O61" s="308">
        <v>30.36</v>
      </c>
      <c r="P61" s="308">
        <v>0.3201</v>
      </c>
      <c r="Q61" s="308">
        <v>1.9560000000000001E-2</v>
      </c>
      <c r="R61" s="309">
        <v>1.852374E-2</v>
      </c>
      <c r="S61" s="309">
        <f>R61+R60</f>
        <v>17.715620259999998</v>
      </c>
      <c r="T61" s="338">
        <v>0</v>
      </c>
      <c r="U61" s="338">
        <v>0</v>
      </c>
      <c r="V61" s="313">
        <v>58862</v>
      </c>
      <c r="W61" s="313">
        <v>-1905</v>
      </c>
      <c r="X61" s="313">
        <f>W61-V61</f>
        <v>-60767</v>
      </c>
      <c r="Y61" s="313">
        <f t="shared" si="14"/>
        <v>-3280493.0321846451</v>
      </c>
      <c r="Z61" s="332">
        <v>1380.15</v>
      </c>
      <c r="AA61" s="313">
        <v>2319.54</v>
      </c>
      <c r="AB61" s="313">
        <f>AA61-Z61</f>
        <v>939.38999999999987</v>
      </c>
      <c r="AC61" s="331">
        <f t="shared" si="15"/>
        <v>50712.761029900001</v>
      </c>
      <c r="AD61" s="332">
        <v>-6.05</v>
      </c>
      <c r="AE61" s="313">
        <v>-22.77</v>
      </c>
      <c r="AF61" s="313">
        <f>AE61-AD61</f>
        <v>-16.72</v>
      </c>
      <c r="AG61" s="331">
        <f t="shared" si="16"/>
        <v>-902.62549571522811</v>
      </c>
      <c r="AH61" s="332">
        <v>0</v>
      </c>
      <c r="AI61" s="313">
        <v>0</v>
      </c>
      <c r="AJ61" s="313">
        <f>AI61-AH61</f>
        <v>0</v>
      </c>
      <c r="AK61" s="331">
        <f t="shared" si="17"/>
        <v>0</v>
      </c>
      <c r="AL61" s="332">
        <v>0.05</v>
      </c>
      <c r="AM61" s="313">
        <v>0.05</v>
      </c>
      <c r="AN61" s="313">
        <f>AM61-AL61</f>
        <v>0</v>
      </c>
      <c r="AO61" s="331">
        <f t="shared" si="18"/>
        <v>0</v>
      </c>
      <c r="AP61" s="303">
        <v>0</v>
      </c>
      <c r="AQ61" s="303">
        <v>0</v>
      </c>
      <c r="AR61" s="303">
        <f>AQ61-AP61</f>
        <v>0</v>
      </c>
      <c r="AS61" s="447">
        <v>13106.9</v>
      </c>
      <c r="AT61" s="341">
        <v>81126.100000000006</v>
      </c>
      <c r="AU61" s="341">
        <f>AT61-AS61</f>
        <v>68019.200000000012</v>
      </c>
      <c r="AV61" s="303"/>
      <c r="AW61" s="303"/>
      <c r="AX61" s="303"/>
      <c r="AY61" s="303"/>
      <c r="AZ61" s="322" t="s">
        <v>714</v>
      </c>
      <c r="BA61" s="461">
        <v>0</v>
      </c>
      <c r="BB61" s="461" t="s">
        <v>691</v>
      </c>
      <c r="BC61" s="461">
        <v>0</v>
      </c>
      <c r="BD61" s="461">
        <v>0</v>
      </c>
      <c r="BE61" s="461">
        <v>0</v>
      </c>
      <c r="BF61" s="461">
        <v>0</v>
      </c>
      <c r="BG61" s="461" t="s">
        <v>691</v>
      </c>
      <c r="BH61" s="461">
        <v>0</v>
      </c>
      <c r="BI61" s="461">
        <v>0</v>
      </c>
      <c r="BJ61" s="461" t="s">
        <v>691</v>
      </c>
      <c r="BK61" s="461" t="s">
        <v>691</v>
      </c>
      <c r="BL61" s="461" t="s">
        <v>691</v>
      </c>
    </row>
    <row r="62" spans="1:64" ht="15" customHeight="1" x14ac:dyDescent="0.2">
      <c r="A62" s="485" t="s">
        <v>850</v>
      </c>
      <c r="B62" s="362"/>
      <c r="C62" s="362"/>
      <c r="D62" s="363"/>
      <c r="E62" s="362"/>
      <c r="F62" s="362"/>
      <c r="G62" s="363"/>
      <c r="H62" s="363"/>
      <c r="I62" s="363"/>
      <c r="J62" s="363"/>
      <c r="K62" s="363"/>
      <c r="L62" s="363"/>
      <c r="M62" s="363"/>
      <c r="N62" s="363"/>
      <c r="O62" s="363"/>
      <c r="P62" s="364"/>
      <c r="Q62" s="365"/>
      <c r="R62" s="362"/>
      <c r="S62" s="362"/>
      <c r="T62" s="362"/>
      <c r="U62" s="362"/>
      <c r="V62" s="369"/>
      <c r="W62" s="369"/>
      <c r="X62" s="362"/>
      <c r="Y62" s="362"/>
      <c r="Z62" s="369"/>
      <c r="AA62" s="369"/>
      <c r="AB62" s="362"/>
      <c r="AC62" s="362"/>
      <c r="AD62" s="369"/>
      <c r="AE62" s="369"/>
      <c r="AF62" s="362"/>
      <c r="AG62" s="362"/>
      <c r="AH62" s="362"/>
      <c r="AI62" s="362"/>
      <c r="AJ62" s="362"/>
      <c r="AK62" s="362"/>
      <c r="AL62" s="369"/>
      <c r="AM62" s="369"/>
      <c r="AN62" s="362"/>
      <c r="AO62" s="362"/>
      <c r="AP62" s="362"/>
      <c r="AQ62" s="362"/>
      <c r="AR62" s="362"/>
      <c r="AS62" s="362"/>
      <c r="AT62" s="362"/>
      <c r="AU62" s="362"/>
      <c r="AV62" s="362"/>
      <c r="AW62" s="362"/>
      <c r="AX62" s="362"/>
      <c r="AY62" s="362"/>
      <c r="AZ62" s="362"/>
      <c r="BA62" s="362"/>
      <c r="BB62" s="362"/>
      <c r="BC62" s="362"/>
      <c r="BD62" s="362"/>
      <c r="BE62" s="362"/>
      <c r="BF62" s="362"/>
      <c r="BG62" s="362"/>
      <c r="BH62" s="362"/>
      <c r="BI62" s="362"/>
      <c r="BJ62" s="362"/>
      <c r="BK62" s="362"/>
      <c r="BL62" s="366"/>
    </row>
    <row r="63" spans="1:64" ht="15" customHeight="1" x14ac:dyDescent="0.2">
      <c r="A63" s="321">
        <v>62008001</v>
      </c>
      <c r="B63" s="321" t="s">
        <v>627</v>
      </c>
      <c r="C63" s="321" t="s">
        <v>773</v>
      </c>
      <c r="D63" s="352" t="s">
        <v>718</v>
      </c>
      <c r="E63" s="307" t="s">
        <v>734</v>
      </c>
      <c r="F63" s="307" t="str">
        <f t="shared" si="13"/>
        <v>08/03/20</v>
      </c>
      <c r="G63" s="322" t="s">
        <v>735</v>
      </c>
      <c r="H63" s="322" t="s">
        <v>685</v>
      </c>
      <c r="I63" s="330"/>
      <c r="J63" s="323">
        <v>22.912996</v>
      </c>
      <c r="K63" s="323">
        <v>44.378666000000003</v>
      </c>
      <c r="L63" s="323">
        <v>29.306407</v>
      </c>
      <c r="M63" s="323">
        <v>24.847555</v>
      </c>
      <c r="N63" s="308">
        <v>4250</v>
      </c>
      <c r="O63" s="308">
        <v>30.36</v>
      </c>
      <c r="P63" s="308">
        <v>0.3201</v>
      </c>
      <c r="Q63" s="308">
        <v>1.9560000000000001E-2</v>
      </c>
      <c r="R63" s="309">
        <v>3.58109615</v>
      </c>
      <c r="S63" s="309">
        <f>R63+R62</f>
        <v>3.58109615</v>
      </c>
      <c r="T63" s="338">
        <v>97.5</v>
      </c>
      <c r="U63" s="338">
        <v>96.4</v>
      </c>
      <c r="V63" s="313">
        <v>12</v>
      </c>
      <c r="W63" s="313">
        <v>863</v>
      </c>
      <c r="X63" s="313">
        <f>W63-V63</f>
        <v>851</v>
      </c>
      <c r="Y63" s="313">
        <f t="shared" ref="Y63:Y85" si="21">X63/$R63</f>
        <v>237.6367358916068</v>
      </c>
      <c r="Z63" s="332">
        <v>9.9088639999999995</v>
      </c>
      <c r="AA63" s="313">
        <v>31.7</v>
      </c>
      <c r="AB63" s="313">
        <f>AA63-Z63</f>
        <v>21.791136000000002</v>
      </c>
      <c r="AC63" s="331">
        <f t="shared" ref="AC63:AC85" si="22">AB63/$R63</f>
        <v>6.0850463342069165</v>
      </c>
      <c r="AD63" s="332">
        <v>-0.55000000000000004</v>
      </c>
      <c r="AE63" s="313">
        <v>-1.1599999999999999</v>
      </c>
      <c r="AF63" s="313">
        <f>AE63-AD63</f>
        <v>-0.60999999999999988</v>
      </c>
      <c r="AG63" s="331">
        <f t="shared" ref="AG63:AG85" si="23">AF63/$R63</f>
        <v>-0.17033890586824926</v>
      </c>
      <c r="AH63" s="332">
        <v>0</v>
      </c>
      <c r="AI63" s="313">
        <v>0</v>
      </c>
      <c r="AJ63" s="313">
        <f>AI63-AH63</f>
        <v>0</v>
      </c>
      <c r="AK63" s="331">
        <f t="shared" ref="AK63:AK85" si="24">AJ63/$R63</f>
        <v>0</v>
      </c>
      <c r="AL63" s="332">
        <v>0</v>
      </c>
      <c r="AM63" s="313">
        <v>0</v>
      </c>
      <c r="AN63" s="313">
        <f>AM63-AL63</f>
        <v>0</v>
      </c>
      <c r="AO63" s="331">
        <f t="shared" ref="AO63:AO85" si="25">AN63/$R63</f>
        <v>0</v>
      </c>
      <c r="AP63" s="303">
        <v>97.5</v>
      </c>
      <c r="AQ63" s="303">
        <v>96.4</v>
      </c>
      <c r="AR63" s="303">
        <f>AQ63-AP63</f>
        <v>-1.0999999999999943</v>
      </c>
      <c r="AS63" s="447">
        <v>0.7</v>
      </c>
      <c r="AT63" s="341">
        <v>1.4</v>
      </c>
      <c r="AU63" s="341">
        <f>AT63-AS63</f>
        <v>0.7</v>
      </c>
      <c r="AV63" s="303"/>
      <c r="AW63" s="303"/>
      <c r="AX63" s="303"/>
      <c r="AY63" s="303"/>
      <c r="AZ63" s="322" t="s">
        <v>686</v>
      </c>
      <c r="BA63" s="461">
        <v>2418.2863725100001</v>
      </c>
      <c r="BB63" s="461">
        <v>-2.1133582899999999</v>
      </c>
      <c r="BC63" s="461">
        <v>2005.52886294</v>
      </c>
      <c r="BD63" s="461">
        <v>2048.82793795</v>
      </c>
      <c r="BE63" s="461">
        <v>3.21091959</v>
      </c>
      <c r="BF63" s="461">
        <v>3.2585255499999999</v>
      </c>
      <c r="BG63" s="461">
        <v>-0.27682155000000003</v>
      </c>
      <c r="BH63" s="461">
        <v>3.5810397799999998</v>
      </c>
      <c r="BI63" s="461">
        <v>3.59098038</v>
      </c>
      <c r="BJ63" s="461">
        <v>-1.20170105</v>
      </c>
      <c r="BK63" s="461">
        <v>-1.4609661599999999</v>
      </c>
      <c r="BL63" s="461">
        <v>0.59039198000000004</v>
      </c>
    </row>
    <row r="64" spans="1:64" ht="15" customHeight="1" x14ac:dyDescent="0.2">
      <c r="A64" s="321">
        <f>A63</f>
        <v>62008001</v>
      </c>
      <c r="B64" s="321" t="s">
        <v>628</v>
      </c>
      <c r="C64" s="321" t="s">
        <v>774</v>
      </c>
      <c r="D64" s="352" t="s">
        <v>718</v>
      </c>
      <c r="E64" s="307" t="s">
        <v>734</v>
      </c>
      <c r="F64" s="307" t="str">
        <f t="shared" si="13"/>
        <v>08/03/20</v>
      </c>
      <c r="G64" s="322" t="s">
        <v>735</v>
      </c>
      <c r="H64" s="322" t="s">
        <v>685</v>
      </c>
      <c r="I64" s="330"/>
      <c r="J64" s="323">
        <v>20.768352</v>
      </c>
      <c r="K64" s="323">
        <v>49.554006999999999</v>
      </c>
      <c r="L64" s="323">
        <v>29.305695</v>
      </c>
      <c r="M64" s="323">
        <v>26.909879</v>
      </c>
      <c r="N64" s="308">
        <v>4250</v>
      </c>
      <c r="O64" s="308">
        <v>30.36</v>
      </c>
      <c r="P64" s="308">
        <v>0.3201</v>
      </c>
      <c r="Q64" s="308">
        <v>1.9560000000000001E-2</v>
      </c>
      <c r="R64" s="309">
        <v>3.8438812800000002</v>
      </c>
      <c r="S64" s="309">
        <f>R64+R63</f>
        <v>7.4249774300000002</v>
      </c>
      <c r="T64" s="338">
        <v>96.4</v>
      </c>
      <c r="U64" s="338">
        <v>95.3</v>
      </c>
      <c r="V64" s="313">
        <v>863</v>
      </c>
      <c r="W64" s="313">
        <v>1567</v>
      </c>
      <c r="X64" s="313">
        <f>W64-V64</f>
        <v>704</v>
      </c>
      <c r="Y64" s="313">
        <f t="shared" si="21"/>
        <v>183.14821627373465</v>
      </c>
      <c r="Z64" s="332">
        <v>31.708694000000001</v>
      </c>
      <c r="AA64" s="313">
        <v>68.638182</v>
      </c>
      <c r="AB64" s="313">
        <f>AA64-Z64</f>
        <v>36.929487999999999</v>
      </c>
      <c r="AC64" s="331">
        <f t="shared" si="22"/>
        <v>9.6073435441793862</v>
      </c>
      <c r="AD64" s="332">
        <v>-1.1599999999999999</v>
      </c>
      <c r="AE64" s="313">
        <v>-1.93</v>
      </c>
      <c r="AF64" s="313">
        <f>AE64-AD64</f>
        <v>-0.77</v>
      </c>
      <c r="AG64" s="331">
        <f t="shared" si="23"/>
        <v>-0.20031836154939728</v>
      </c>
      <c r="AH64" s="332">
        <v>0</v>
      </c>
      <c r="AI64" s="313">
        <v>0</v>
      </c>
      <c r="AJ64" s="313">
        <f>AI64-AH64</f>
        <v>0</v>
      </c>
      <c r="AK64" s="331">
        <f t="shared" si="24"/>
        <v>0</v>
      </c>
      <c r="AL64" s="332">
        <v>0</v>
      </c>
      <c r="AM64" s="313">
        <v>0</v>
      </c>
      <c r="AN64" s="313">
        <f>AM64-AL64</f>
        <v>0</v>
      </c>
      <c r="AO64" s="331">
        <f t="shared" si="25"/>
        <v>0</v>
      </c>
      <c r="AP64" s="303">
        <v>96.4</v>
      </c>
      <c r="AQ64" s="303">
        <v>95.3</v>
      </c>
      <c r="AR64" s="303">
        <f>AQ64-AP64</f>
        <v>-1.1000000000000085</v>
      </c>
      <c r="AS64" s="447">
        <v>1.4</v>
      </c>
      <c r="AT64" s="341">
        <v>2.6</v>
      </c>
      <c r="AU64" s="341">
        <f>AT64-AS64</f>
        <v>1.2000000000000002</v>
      </c>
      <c r="AV64" s="303"/>
      <c r="AW64" s="303"/>
      <c r="AX64" s="303"/>
      <c r="AY64" s="303"/>
      <c r="AZ64" s="322" t="s">
        <v>686</v>
      </c>
      <c r="BA64" s="461">
        <v>1482.6763544200001</v>
      </c>
      <c r="BB64" s="461">
        <v>-2.11580704</v>
      </c>
      <c r="BC64" s="461">
        <v>3343.8634842500001</v>
      </c>
      <c r="BD64" s="461">
        <v>3416.1424670400002</v>
      </c>
      <c r="BE64" s="461">
        <v>2.9549995400000002</v>
      </c>
      <c r="BF64" s="461">
        <v>3.0186287699999999</v>
      </c>
      <c r="BG64" s="461">
        <v>-0.41818495</v>
      </c>
      <c r="BH64" s="461">
        <v>3.8436887199999998</v>
      </c>
      <c r="BI64" s="461">
        <v>3.85982995</v>
      </c>
      <c r="BJ64" s="461">
        <v>-1.7260844099999999</v>
      </c>
      <c r="BK64" s="461">
        <v>-2.1078854699999998</v>
      </c>
      <c r="BL64" s="461">
        <v>0.71450877000000002</v>
      </c>
    </row>
    <row r="65" spans="1:64" ht="15" customHeight="1" x14ac:dyDescent="0.2">
      <c r="A65" s="321">
        <f>A64</f>
        <v>62008001</v>
      </c>
      <c r="B65" s="321" t="s">
        <v>629</v>
      </c>
      <c r="C65" s="321" t="s">
        <v>775</v>
      </c>
      <c r="D65" s="352" t="s">
        <v>718</v>
      </c>
      <c r="E65" s="307" t="s">
        <v>734</v>
      </c>
      <c r="F65" s="307" t="str">
        <f t="shared" si="13"/>
        <v>08/03/20</v>
      </c>
      <c r="G65" s="322" t="s">
        <v>735</v>
      </c>
      <c r="H65" s="322" t="s">
        <v>685</v>
      </c>
      <c r="I65" s="330"/>
      <c r="J65" s="324">
        <f>AVERAGE(J63:J64)</f>
        <v>21.840674</v>
      </c>
      <c r="K65" s="324">
        <f>AVERAGE(K63:K64)</f>
        <v>46.966336499999997</v>
      </c>
      <c r="L65" s="324">
        <f>AVERAGE(L63:L64)</f>
        <v>29.306051</v>
      </c>
      <c r="M65" s="324">
        <f>AVERAGE(M63:M64)</f>
        <v>25.878717000000002</v>
      </c>
      <c r="N65" s="310"/>
      <c r="O65" s="308"/>
      <c r="P65" s="326"/>
      <c r="Q65" s="325"/>
      <c r="R65" s="311">
        <f>R64+R63</f>
        <v>7.4249774300000002</v>
      </c>
      <c r="S65" s="311">
        <f>S64</f>
        <v>7.4249774300000002</v>
      </c>
      <c r="T65" s="339">
        <f>T63</f>
        <v>97.5</v>
      </c>
      <c r="U65" s="339">
        <f>U64</f>
        <v>95.3</v>
      </c>
      <c r="V65" s="314">
        <f>V63</f>
        <v>12</v>
      </c>
      <c r="W65" s="314">
        <f>W64</f>
        <v>1567</v>
      </c>
      <c r="X65" s="314">
        <f>SUM(X63:X64)</f>
        <v>1555</v>
      </c>
      <c r="Y65" s="314">
        <f t="shared" si="21"/>
        <v>209.4282460330657</v>
      </c>
      <c r="Z65" s="314">
        <f>Z63</f>
        <v>9.9088639999999995</v>
      </c>
      <c r="AA65" s="314">
        <f>AA64</f>
        <v>68.638182</v>
      </c>
      <c r="AB65" s="314">
        <f>SUM(AB63:AB64)</f>
        <v>58.720624000000001</v>
      </c>
      <c r="AC65" s="312">
        <f t="shared" si="22"/>
        <v>7.9085255886090957</v>
      </c>
      <c r="AD65" s="314">
        <f>AD63</f>
        <v>-0.55000000000000004</v>
      </c>
      <c r="AE65" s="314">
        <f>AE64</f>
        <v>-1.93</v>
      </c>
      <c r="AF65" s="314">
        <f>SUM(AF63:AF64)</f>
        <v>-1.38</v>
      </c>
      <c r="AG65" s="312">
        <f t="shared" si="23"/>
        <v>-0.18585915082034127</v>
      </c>
      <c r="AH65" s="314">
        <f>AH63</f>
        <v>0</v>
      </c>
      <c r="AI65" s="314">
        <f>AI64</f>
        <v>0</v>
      </c>
      <c r="AJ65" s="314">
        <f>SUM(AJ63:AJ64)</f>
        <v>0</v>
      </c>
      <c r="AK65" s="312">
        <f t="shared" si="24"/>
        <v>0</v>
      </c>
      <c r="AL65" s="314">
        <f>AL63</f>
        <v>0</v>
      </c>
      <c r="AM65" s="314">
        <f>AM64</f>
        <v>0</v>
      </c>
      <c r="AN65" s="314">
        <f>SUM(AN63:AN64)</f>
        <v>0</v>
      </c>
      <c r="AO65" s="312">
        <f t="shared" si="25"/>
        <v>0</v>
      </c>
      <c r="AP65" s="305"/>
      <c r="AQ65" s="305"/>
      <c r="AR65" s="305">
        <f>SUM(AR63:AR64)</f>
        <v>-2.2000000000000028</v>
      </c>
      <c r="AS65" s="342">
        <f>AS63</f>
        <v>0.7</v>
      </c>
      <c r="AT65" s="342">
        <f>AT64</f>
        <v>2.6</v>
      </c>
      <c r="AU65" s="342">
        <f>SUM(AU63:AU64)</f>
        <v>1.9000000000000001</v>
      </c>
      <c r="AV65" s="305"/>
      <c r="AW65" s="305"/>
      <c r="AX65" s="305"/>
      <c r="AY65" s="305"/>
      <c r="AZ65" s="322" t="s">
        <v>686</v>
      </c>
    </row>
    <row r="66" spans="1:64" ht="15" customHeight="1" x14ac:dyDescent="0.2">
      <c r="A66" s="321">
        <f t="shared" ref="A66:A72" si="26">A65</f>
        <v>62008001</v>
      </c>
      <c r="B66" s="321" t="s">
        <v>630</v>
      </c>
      <c r="C66" s="321" t="s">
        <v>776</v>
      </c>
      <c r="D66" s="352" t="s">
        <v>718</v>
      </c>
      <c r="E66" s="307" t="s">
        <v>734</v>
      </c>
      <c r="F66" s="307" t="str">
        <f t="shared" si="13"/>
        <v>08/03/20</v>
      </c>
      <c r="G66" s="322" t="s">
        <v>735</v>
      </c>
      <c r="H66" s="322" t="s">
        <v>685</v>
      </c>
      <c r="I66" s="330"/>
      <c r="J66" s="323">
        <v>25.001605000000001</v>
      </c>
      <c r="K66" s="323">
        <v>39.080837000000002</v>
      </c>
      <c r="L66" s="323">
        <v>29.323046999999999</v>
      </c>
      <c r="M66" s="323">
        <v>28.825054000000002</v>
      </c>
      <c r="N66" s="308">
        <v>4250</v>
      </c>
      <c r="O66" s="308">
        <v>30.36</v>
      </c>
      <c r="P66" s="308">
        <v>0.3201</v>
      </c>
      <c r="Q66" s="308">
        <v>1.9560000000000001E-2</v>
      </c>
      <c r="R66" s="309">
        <v>10.24573438</v>
      </c>
      <c r="S66" s="309">
        <f>R66+R65</f>
        <v>17.67071181</v>
      </c>
      <c r="T66" s="338">
        <v>95.3</v>
      </c>
      <c r="U66" s="338">
        <v>92</v>
      </c>
      <c r="V66" s="313">
        <v>1568</v>
      </c>
      <c r="W66" s="313">
        <v>3818</v>
      </c>
      <c r="X66" s="313">
        <f>W66-V66</f>
        <v>2250</v>
      </c>
      <c r="Y66" s="313">
        <f t="shared" si="21"/>
        <v>219.60358492135728</v>
      </c>
      <c r="Z66" s="332">
        <v>69.328930999999997</v>
      </c>
      <c r="AA66" s="313">
        <v>101.32</v>
      </c>
      <c r="AB66" s="313">
        <f>AA66-Z66</f>
        <v>31.991068999999996</v>
      </c>
      <c r="AC66" s="331">
        <f t="shared" si="22"/>
        <v>3.1223793057184444</v>
      </c>
      <c r="AD66" s="332">
        <v>-1.94</v>
      </c>
      <c r="AE66" s="313">
        <v>-2.5099999999999998</v>
      </c>
      <c r="AF66" s="313">
        <f>AE66-AD66</f>
        <v>-0.56999999999999984</v>
      </c>
      <c r="AG66" s="331">
        <f t="shared" si="23"/>
        <v>-5.5632908180077163E-2</v>
      </c>
      <c r="AH66" s="332">
        <v>0</v>
      </c>
      <c r="AI66" s="313">
        <v>0</v>
      </c>
      <c r="AJ66" s="313">
        <f>AI66-AH66</f>
        <v>0</v>
      </c>
      <c r="AK66" s="331">
        <f t="shared" si="24"/>
        <v>0</v>
      </c>
      <c r="AL66" s="332">
        <v>0</v>
      </c>
      <c r="AM66" s="313">
        <v>0</v>
      </c>
      <c r="AN66" s="313">
        <f>AM66-AL66</f>
        <v>0</v>
      </c>
      <c r="AO66" s="331">
        <f t="shared" si="25"/>
        <v>0</v>
      </c>
      <c r="AP66" s="303">
        <v>95.3</v>
      </c>
      <c r="AQ66" s="303">
        <v>92</v>
      </c>
      <c r="AR66" s="303">
        <f>AQ66-AP66</f>
        <v>-3.2999999999999972</v>
      </c>
      <c r="AS66" s="447">
        <v>2.6</v>
      </c>
      <c r="AT66" s="341">
        <v>3.7</v>
      </c>
      <c r="AU66" s="341">
        <f>AT66-AS66</f>
        <v>1.1000000000000001</v>
      </c>
      <c r="AV66" s="303"/>
      <c r="AW66" s="303"/>
      <c r="AX66" s="303"/>
      <c r="AY66" s="303"/>
      <c r="AZ66" s="322" t="s">
        <v>686</v>
      </c>
      <c r="BA66" s="461">
        <v>1945.19836762</v>
      </c>
      <c r="BB66" s="461">
        <v>-0.76890760999999996</v>
      </c>
      <c r="BC66" s="461">
        <v>1296.6753239100001</v>
      </c>
      <c r="BD66" s="461">
        <v>1306.7228150200001</v>
      </c>
      <c r="BE66" s="461">
        <v>7.9728263400000001</v>
      </c>
      <c r="BF66" s="461">
        <v>8.0200568899999993</v>
      </c>
      <c r="BG66" s="461">
        <v>-0.10586044</v>
      </c>
      <c r="BH66" s="461">
        <v>10.245822479999999</v>
      </c>
      <c r="BI66" s="461">
        <v>10.25668024</v>
      </c>
      <c r="BJ66" s="461">
        <v>-0.48590653</v>
      </c>
      <c r="BK66" s="461">
        <v>-0.58890544</v>
      </c>
      <c r="BL66" s="461">
        <v>0.28276643000000001</v>
      </c>
    </row>
    <row r="67" spans="1:64" ht="15" customHeight="1" x14ac:dyDescent="0.2">
      <c r="A67" s="321">
        <f t="shared" si="26"/>
        <v>62008001</v>
      </c>
      <c r="B67" s="321" t="s">
        <v>631</v>
      </c>
      <c r="C67" s="321" t="s">
        <v>777</v>
      </c>
      <c r="D67" s="352" t="s">
        <v>718</v>
      </c>
      <c r="E67" s="307" t="s">
        <v>734</v>
      </c>
      <c r="F67" s="307" t="str">
        <f t="shared" si="13"/>
        <v>08/03/20</v>
      </c>
      <c r="G67" s="322" t="s">
        <v>735</v>
      </c>
      <c r="H67" s="322" t="s">
        <v>685</v>
      </c>
      <c r="I67" s="330"/>
      <c r="J67" s="323">
        <v>20.546903</v>
      </c>
      <c r="K67" s="323">
        <v>51.540616999999997</v>
      </c>
      <c r="L67" s="323">
        <v>29.311032000000001</v>
      </c>
      <c r="M67" s="323">
        <v>28.483063999999999</v>
      </c>
      <c r="N67" s="308">
        <v>4250</v>
      </c>
      <c r="O67" s="308">
        <v>30.36</v>
      </c>
      <c r="P67" s="308">
        <v>0.3201</v>
      </c>
      <c r="Q67" s="308">
        <v>1.9560000000000001E-2</v>
      </c>
      <c r="R67" s="309">
        <v>3.5820673099999998</v>
      </c>
      <c r="S67" s="309">
        <f>R67+R66</f>
        <v>13.827801689999999</v>
      </c>
      <c r="T67" s="338">
        <v>92</v>
      </c>
      <c r="U67" s="338">
        <v>90.9</v>
      </c>
      <c r="V67" s="313">
        <v>3825</v>
      </c>
      <c r="W67" s="313">
        <v>4554</v>
      </c>
      <c r="X67" s="313">
        <f>W67-V67</f>
        <v>729</v>
      </c>
      <c r="Y67" s="313">
        <f t="shared" si="21"/>
        <v>203.51376367631687</v>
      </c>
      <c r="Z67" s="332">
        <v>106.95</v>
      </c>
      <c r="AA67" s="313">
        <v>128.48711599999999</v>
      </c>
      <c r="AB67" s="313">
        <f>AA67-Z67</f>
        <v>21.537115999999983</v>
      </c>
      <c r="AC67" s="331">
        <f t="shared" si="22"/>
        <v>6.0124822165890528</v>
      </c>
      <c r="AD67" s="332">
        <v>-1.86</v>
      </c>
      <c r="AE67" s="313">
        <v>-2.36</v>
      </c>
      <c r="AF67" s="313">
        <f>AE67-AD67</f>
        <v>-0.49999999999999978</v>
      </c>
      <c r="AG67" s="331">
        <f t="shared" si="23"/>
        <v>-0.13958420005234345</v>
      </c>
      <c r="AH67" s="332">
        <v>0</v>
      </c>
      <c r="AI67" s="313">
        <v>0</v>
      </c>
      <c r="AJ67" s="313">
        <f>AI67-AH67</f>
        <v>0</v>
      </c>
      <c r="AK67" s="331">
        <f t="shared" si="24"/>
        <v>0</v>
      </c>
      <c r="AL67" s="332">
        <v>0</v>
      </c>
      <c r="AM67" s="313">
        <v>0</v>
      </c>
      <c r="AN67" s="313">
        <f>AM67-AL67</f>
        <v>0</v>
      </c>
      <c r="AO67" s="331">
        <f t="shared" si="25"/>
        <v>0</v>
      </c>
      <c r="AP67" s="303">
        <v>92</v>
      </c>
      <c r="AQ67" s="303">
        <v>90.9</v>
      </c>
      <c r="AR67" s="303">
        <f>AQ67-AP67</f>
        <v>-1.0999999999999943</v>
      </c>
      <c r="AS67" s="447">
        <v>4.5</v>
      </c>
      <c r="AT67" s="341">
        <v>5.2</v>
      </c>
      <c r="AU67" s="341">
        <f>AT67-AS67</f>
        <v>0.70000000000000018</v>
      </c>
      <c r="AV67" s="303"/>
      <c r="AW67" s="303"/>
      <c r="AX67" s="303"/>
      <c r="AY67" s="303"/>
      <c r="AZ67" s="322" t="s">
        <v>686</v>
      </c>
      <c r="BA67" s="461">
        <v>2410.51557886</v>
      </c>
      <c r="BB67" s="461">
        <v>-2.1773211799999999</v>
      </c>
      <c r="BC67" s="461">
        <v>2004.0392508100001</v>
      </c>
      <c r="BD67" s="461">
        <v>2048.6448285900001</v>
      </c>
      <c r="BE67" s="461">
        <v>3.2090002399999999</v>
      </c>
      <c r="BF67" s="461">
        <v>3.2582688599999998</v>
      </c>
      <c r="BG67" s="461">
        <v>-0.25025410999999997</v>
      </c>
      <c r="BH67" s="461">
        <v>3.58199288</v>
      </c>
      <c r="BI67" s="461">
        <v>3.5909794599999998</v>
      </c>
      <c r="BJ67" s="461">
        <v>-1.2812300599999999</v>
      </c>
      <c r="BK67" s="461">
        <v>-1.5121105500000001</v>
      </c>
      <c r="BL67" s="461">
        <v>0.59036197999999995</v>
      </c>
    </row>
    <row r="68" spans="1:64" ht="15" customHeight="1" x14ac:dyDescent="0.2">
      <c r="A68" s="321">
        <f t="shared" si="26"/>
        <v>62008001</v>
      </c>
      <c r="B68" s="321" t="s">
        <v>225</v>
      </c>
      <c r="C68" s="321" t="s">
        <v>778</v>
      </c>
      <c r="D68" s="352" t="s">
        <v>718</v>
      </c>
      <c r="E68" s="307" t="s">
        <v>734</v>
      </c>
      <c r="F68" s="307" t="str">
        <f t="shared" si="13"/>
        <v>08/03/20</v>
      </c>
      <c r="G68" s="322" t="s">
        <v>735</v>
      </c>
      <c r="H68" s="322" t="s">
        <v>685</v>
      </c>
      <c r="I68" s="330"/>
      <c r="J68" s="323">
        <v>19.867228999999998</v>
      </c>
      <c r="K68" s="323">
        <v>53.723911999999999</v>
      </c>
      <c r="L68" s="323">
        <v>29.3111</v>
      </c>
      <c r="M68" s="323">
        <v>27.659072999999999</v>
      </c>
      <c r="N68" s="308">
        <v>4250</v>
      </c>
      <c r="O68" s="308">
        <v>30.36</v>
      </c>
      <c r="P68" s="308">
        <v>0.3201</v>
      </c>
      <c r="Q68" s="308">
        <v>1.9560000000000001E-2</v>
      </c>
      <c r="R68" s="309">
        <v>3.84400882</v>
      </c>
      <c r="S68" s="309">
        <f>R68+R67</f>
        <v>7.4260761300000002</v>
      </c>
      <c r="T68" s="338">
        <v>90.9</v>
      </c>
      <c r="U68" s="338">
        <v>89.9</v>
      </c>
      <c r="V68" s="313">
        <v>4554</v>
      </c>
      <c r="W68" s="313">
        <v>5195</v>
      </c>
      <c r="X68" s="313">
        <f>W68-V68</f>
        <v>641</v>
      </c>
      <c r="Y68" s="313">
        <f t="shared" si="21"/>
        <v>166.75299928161976</v>
      </c>
      <c r="Z68" s="332">
        <v>128.49229800000001</v>
      </c>
      <c r="AA68" s="313">
        <v>165.20677800000001</v>
      </c>
      <c r="AB68" s="313">
        <f>AA68-Z68</f>
        <v>36.714480000000009</v>
      </c>
      <c r="AC68" s="331">
        <f t="shared" si="22"/>
        <v>9.5510915086818162</v>
      </c>
      <c r="AD68" s="332">
        <v>-2.36</v>
      </c>
      <c r="AE68" s="313">
        <v>-3.05</v>
      </c>
      <c r="AF68" s="313">
        <f>AE68-AD68</f>
        <v>-0.69</v>
      </c>
      <c r="AG68" s="331">
        <f t="shared" si="23"/>
        <v>-0.17950010843107272</v>
      </c>
      <c r="AH68" s="332">
        <v>0</v>
      </c>
      <c r="AI68" s="313">
        <v>0</v>
      </c>
      <c r="AJ68" s="313">
        <f>AI68-AH68</f>
        <v>0</v>
      </c>
      <c r="AK68" s="331">
        <f t="shared" si="24"/>
        <v>0</v>
      </c>
      <c r="AL68" s="332">
        <v>0</v>
      </c>
      <c r="AM68" s="313">
        <v>0</v>
      </c>
      <c r="AN68" s="313">
        <f>AM68-AL68</f>
        <v>0</v>
      </c>
      <c r="AO68" s="331">
        <f t="shared" si="25"/>
        <v>0</v>
      </c>
      <c r="AP68" s="303">
        <v>90.9</v>
      </c>
      <c r="AQ68" s="303">
        <v>89.9</v>
      </c>
      <c r="AR68" s="303">
        <f>AQ68-AP68</f>
        <v>-1</v>
      </c>
      <c r="AS68" s="447">
        <v>5.2</v>
      </c>
      <c r="AT68" s="341">
        <v>6.4</v>
      </c>
      <c r="AU68" s="341">
        <f>AT68-AS68</f>
        <v>1.2000000000000002</v>
      </c>
      <c r="AV68" s="303"/>
      <c r="AW68" s="303"/>
      <c r="AX68" s="303"/>
      <c r="AY68" s="303"/>
      <c r="AZ68" s="322" t="s">
        <v>686</v>
      </c>
      <c r="BA68" s="461">
        <v>1481.68907251</v>
      </c>
      <c r="BB68" s="461">
        <v>-2.08770758</v>
      </c>
      <c r="BC68" s="461">
        <v>3344.6816443299999</v>
      </c>
      <c r="BD68" s="461">
        <v>3415.9976867999999</v>
      </c>
      <c r="BE68" s="461">
        <v>2.9543918699999998</v>
      </c>
      <c r="BF68" s="461">
        <v>3.0184283700000001</v>
      </c>
      <c r="BG68" s="461">
        <v>-0.4143889</v>
      </c>
      <c r="BH68" s="461">
        <v>3.84383505</v>
      </c>
      <c r="BI68" s="461">
        <v>3.8598297600000002</v>
      </c>
      <c r="BJ68" s="461">
        <v>-1.7441313899999999</v>
      </c>
      <c r="BK68" s="461">
        <v>-2.1215182299999999</v>
      </c>
      <c r="BL68" s="461">
        <v>0.71451745</v>
      </c>
    </row>
    <row r="69" spans="1:64" ht="15" customHeight="1" x14ac:dyDescent="0.2">
      <c r="A69" s="321">
        <f t="shared" si="26"/>
        <v>62008001</v>
      </c>
      <c r="B69" s="321" t="s">
        <v>632</v>
      </c>
      <c r="C69" s="321" t="s">
        <v>779</v>
      </c>
      <c r="D69" s="352" t="s">
        <v>718</v>
      </c>
      <c r="E69" s="307" t="s">
        <v>734</v>
      </c>
      <c r="F69" s="307" t="str">
        <f t="shared" si="13"/>
        <v>08/03/20</v>
      </c>
      <c r="G69" s="322" t="s">
        <v>735</v>
      </c>
      <c r="H69" s="322" t="s">
        <v>685</v>
      </c>
      <c r="I69" s="330"/>
      <c r="J69" s="324">
        <f>AVERAGE(J67:J68)</f>
        <v>20.207065999999998</v>
      </c>
      <c r="K69" s="324">
        <f>AVERAGE(K67:K68)</f>
        <v>52.632264499999998</v>
      </c>
      <c r="L69" s="324">
        <f>AVERAGE(L67:L68)</f>
        <v>29.311066</v>
      </c>
      <c r="M69" s="324">
        <f>AVERAGE(M67:M68)</f>
        <v>28.071068499999999</v>
      </c>
      <c r="N69" s="310"/>
      <c r="O69" s="308"/>
      <c r="P69" s="326"/>
      <c r="Q69" s="325"/>
      <c r="R69" s="311">
        <f>R68+R67</f>
        <v>7.4260761300000002</v>
      </c>
      <c r="S69" s="311">
        <f>S68</f>
        <v>7.4260761300000002</v>
      </c>
      <c r="T69" s="339">
        <f>T67</f>
        <v>92</v>
      </c>
      <c r="U69" s="339">
        <f>U68</f>
        <v>89.9</v>
      </c>
      <c r="V69" s="314">
        <f>V67</f>
        <v>3825</v>
      </c>
      <c r="W69" s="314">
        <f>W68</f>
        <v>5195</v>
      </c>
      <c r="X69" s="314">
        <f>SUM(X67:X68)</f>
        <v>1370</v>
      </c>
      <c r="Y69" s="314">
        <f t="shared" si="21"/>
        <v>184.48504647904815</v>
      </c>
      <c r="Z69" s="314">
        <f>Z67</f>
        <v>106.95</v>
      </c>
      <c r="AA69" s="314">
        <f>AA68</f>
        <v>165.20677800000001</v>
      </c>
      <c r="AB69" s="314">
        <f>SUM(AB67:AB68)</f>
        <v>58.251595999999992</v>
      </c>
      <c r="AC69" s="312">
        <f t="shared" si="22"/>
        <v>7.8441959091523605</v>
      </c>
      <c r="AD69" s="314">
        <f>AD67</f>
        <v>-1.86</v>
      </c>
      <c r="AE69" s="314">
        <f>AE68</f>
        <v>-3.05</v>
      </c>
      <c r="AF69" s="314">
        <f>SUM(AF67:AF68)</f>
        <v>-1.1899999999999997</v>
      </c>
      <c r="AG69" s="312">
        <f t="shared" si="23"/>
        <v>-0.1602461352628228</v>
      </c>
      <c r="AH69" s="314">
        <f>AH67</f>
        <v>0</v>
      </c>
      <c r="AI69" s="314">
        <f>AI68</f>
        <v>0</v>
      </c>
      <c r="AJ69" s="314">
        <f>SUM(AJ67:AJ68)</f>
        <v>0</v>
      </c>
      <c r="AK69" s="312">
        <f t="shared" si="24"/>
        <v>0</v>
      </c>
      <c r="AL69" s="314">
        <f>AL67</f>
        <v>0</v>
      </c>
      <c r="AM69" s="314">
        <f>AM68</f>
        <v>0</v>
      </c>
      <c r="AN69" s="314">
        <f>SUM(AN67:AN68)</f>
        <v>0</v>
      </c>
      <c r="AO69" s="312">
        <f t="shared" si="25"/>
        <v>0</v>
      </c>
      <c r="AP69" s="305"/>
      <c r="AQ69" s="305"/>
      <c r="AR69" s="305">
        <f>SUM(AR67:AR68)</f>
        <v>-2.0999999999999943</v>
      </c>
      <c r="AS69" s="342">
        <f>AS67</f>
        <v>4.5</v>
      </c>
      <c r="AT69" s="342">
        <f>AT68</f>
        <v>6.4</v>
      </c>
      <c r="AU69" s="342">
        <f>SUM(AU67:AU68)</f>
        <v>1.9000000000000004</v>
      </c>
      <c r="AV69" s="305"/>
      <c r="AW69" s="305"/>
      <c r="AX69" s="305"/>
      <c r="AY69" s="305"/>
      <c r="AZ69" s="322" t="s">
        <v>686</v>
      </c>
    </row>
    <row r="70" spans="1:64" ht="15" customHeight="1" x14ac:dyDescent="0.2">
      <c r="A70" s="321">
        <f t="shared" si="26"/>
        <v>62008001</v>
      </c>
      <c r="B70" s="321" t="s">
        <v>633</v>
      </c>
      <c r="C70" s="321" t="s">
        <v>780</v>
      </c>
      <c r="D70" s="352" t="s">
        <v>718</v>
      </c>
      <c r="E70" s="307" t="s">
        <v>734</v>
      </c>
      <c r="F70" s="307" t="str">
        <f t="shared" si="13"/>
        <v>08/03/20</v>
      </c>
      <c r="G70" s="322" t="s">
        <v>735</v>
      </c>
      <c r="H70" s="322" t="s">
        <v>685</v>
      </c>
      <c r="I70" s="330"/>
      <c r="J70" s="323">
        <v>23.077014999999999</v>
      </c>
      <c r="K70" s="323">
        <v>43.643957999999998</v>
      </c>
      <c r="L70" s="323">
        <v>29.318974999999998</v>
      </c>
      <c r="M70" s="323">
        <v>30.065622000000001</v>
      </c>
      <c r="N70" s="308">
        <v>4250</v>
      </c>
      <c r="O70" s="308">
        <v>30.36</v>
      </c>
      <c r="P70" s="308">
        <v>0.3201</v>
      </c>
      <c r="Q70" s="308">
        <v>1.9560000000000001E-2</v>
      </c>
      <c r="R70" s="309">
        <v>1.76531696</v>
      </c>
      <c r="S70" s="309">
        <f>R70+R69</f>
        <v>9.19139309</v>
      </c>
      <c r="T70" s="338">
        <v>89.9</v>
      </c>
      <c r="U70" s="338">
        <v>86.2</v>
      </c>
      <c r="V70" s="313">
        <v>5199</v>
      </c>
      <c r="W70" s="313">
        <v>7596</v>
      </c>
      <c r="X70" s="313">
        <f>W70-V70-X71</f>
        <v>552</v>
      </c>
      <c r="Y70" s="313">
        <f t="shared" si="21"/>
        <v>312.6917219443697</v>
      </c>
      <c r="Z70" s="332">
        <v>169.10667000000001</v>
      </c>
      <c r="AA70" s="313">
        <v>194.236367</v>
      </c>
      <c r="AB70" s="313">
        <f>AA70-Z70-AB71</f>
        <v>9.9762969999999882</v>
      </c>
      <c r="AC70" s="331">
        <f t="shared" si="22"/>
        <v>5.6512780571710977</v>
      </c>
      <c r="AD70" s="332">
        <v>-3.11</v>
      </c>
      <c r="AE70" s="313">
        <v>-3.51</v>
      </c>
      <c r="AF70" s="313">
        <f>AE70-AD70-AF71</f>
        <v>-0.16000000000000014</v>
      </c>
      <c r="AG70" s="331">
        <f t="shared" si="23"/>
        <v>-9.0635281723005792E-2</v>
      </c>
      <c r="AH70" s="332">
        <v>0</v>
      </c>
      <c r="AI70" s="313">
        <v>0</v>
      </c>
      <c r="AJ70" s="313">
        <f>AI70-AH70-AJ71</f>
        <v>0</v>
      </c>
      <c r="AK70" s="331">
        <f t="shared" si="24"/>
        <v>0</v>
      </c>
      <c r="AL70" s="332">
        <v>0</v>
      </c>
      <c r="AM70" s="313">
        <v>0</v>
      </c>
      <c r="AN70" s="313">
        <f>AM70-AL70-AN71</f>
        <v>0</v>
      </c>
      <c r="AO70" s="331">
        <f t="shared" si="25"/>
        <v>0</v>
      </c>
      <c r="AP70" s="303">
        <v>89.9</v>
      </c>
      <c r="AQ70" s="303">
        <v>86.2</v>
      </c>
      <c r="AR70" s="303">
        <f>AQ70-AP70-AR71</f>
        <v>-0.90000000000000568</v>
      </c>
      <c r="AS70" s="447">
        <v>6.5</v>
      </c>
      <c r="AT70" s="341">
        <v>7.4</v>
      </c>
      <c r="AU70" s="341">
        <f>AT70-AS70-AU71</f>
        <v>0.40000000000000036</v>
      </c>
      <c r="AV70" s="303"/>
      <c r="AW70" s="303"/>
      <c r="AX70" s="303"/>
      <c r="AY70" s="303"/>
      <c r="AZ70" s="322" t="s">
        <v>686</v>
      </c>
      <c r="BA70" s="461">
        <v>5560.21336686</v>
      </c>
      <c r="BB70" s="461">
        <v>-1.1875077000000001</v>
      </c>
      <c r="BC70" s="461">
        <v>2430.08322395</v>
      </c>
      <c r="BD70" s="461">
        <v>2459.2874517400001</v>
      </c>
      <c r="BE70" s="461">
        <v>3.1643765899999998</v>
      </c>
      <c r="BF70" s="461">
        <v>3.20771498</v>
      </c>
      <c r="BG70" s="461">
        <v>-0.38262226999999999</v>
      </c>
      <c r="BH70" s="461">
        <v>1.7653238600000001</v>
      </c>
      <c r="BI70" s="461">
        <v>1.77210432</v>
      </c>
      <c r="BJ70" s="461">
        <v>-0.98170886999999996</v>
      </c>
      <c r="BK70" s="461">
        <v>-1.35106759</v>
      </c>
      <c r="BL70" s="461">
        <v>0.81478452999999995</v>
      </c>
    </row>
    <row r="71" spans="1:64" ht="15" customHeight="1" x14ac:dyDescent="0.2">
      <c r="A71" s="321">
        <f t="shared" si="26"/>
        <v>62008001</v>
      </c>
      <c r="B71" s="321" t="s">
        <v>634</v>
      </c>
      <c r="C71" s="321" t="s">
        <v>781</v>
      </c>
      <c r="D71" s="352" t="s">
        <v>718</v>
      </c>
      <c r="E71" s="307" t="s">
        <v>734</v>
      </c>
      <c r="F71" s="307" t="str">
        <f t="shared" si="13"/>
        <v>08/03/20</v>
      </c>
      <c r="G71" s="322" t="s">
        <v>735</v>
      </c>
      <c r="H71" s="322" t="s">
        <v>685</v>
      </c>
      <c r="I71" s="330"/>
      <c r="J71" s="323">
        <v>27.010878999999999</v>
      </c>
      <c r="K71" s="323">
        <v>35.246330999999998</v>
      </c>
      <c r="L71" s="323">
        <v>29.353396</v>
      </c>
      <c r="M71" s="323">
        <v>30.241807999999999</v>
      </c>
      <c r="N71" s="308">
        <v>4250</v>
      </c>
      <c r="O71" s="308">
        <v>30.36</v>
      </c>
      <c r="P71" s="308">
        <v>0.3201</v>
      </c>
      <c r="Q71" s="308">
        <v>1.9560000000000001E-2</v>
      </c>
      <c r="R71" s="309">
        <v>6.2279869999999997</v>
      </c>
      <c r="S71" s="309">
        <f>R71+R70</f>
        <v>7.9933039599999995</v>
      </c>
      <c r="T71" s="338">
        <v>89.3</v>
      </c>
      <c r="U71" s="338">
        <v>86.5</v>
      </c>
      <c r="V71" s="313">
        <v>5570</v>
      </c>
      <c r="W71" s="313">
        <v>7415</v>
      </c>
      <c r="X71" s="313">
        <f>W71-V71</f>
        <v>1845</v>
      </c>
      <c r="Y71" s="313">
        <f t="shared" si="21"/>
        <v>296.24339292936867</v>
      </c>
      <c r="Z71" s="332">
        <v>174.64660000000001</v>
      </c>
      <c r="AA71" s="313">
        <v>189.8</v>
      </c>
      <c r="AB71" s="313">
        <f>AA71-Z71</f>
        <v>15.153400000000005</v>
      </c>
      <c r="AC71" s="331">
        <f t="shared" si="22"/>
        <v>2.4331136208216244</v>
      </c>
      <c r="AD71" s="332">
        <v>-3.2</v>
      </c>
      <c r="AE71" s="313">
        <v>-3.44</v>
      </c>
      <c r="AF71" s="313">
        <f>AE71-AD71</f>
        <v>-0.23999999999999977</v>
      </c>
      <c r="AG71" s="331">
        <f t="shared" si="23"/>
        <v>-3.8535725909511334E-2</v>
      </c>
      <c r="AH71" s="332">
        <v>0</v>
      </c>
      <c r="AI71" s="313">
        <v>0</v>
      </c>
      <c r="AJ71" s="313">
        <f>AI71-AH71</f>
        <v>0</v>
      </c>
      <c r="AK71" s="331">
        <f t="shared" si="24"/>
        <v>0</v>
      </c>
      <c r="AL71" s="332">
        <v>0</v>
      </c>
      <c r="AM71" s="313">
        <v>0</v>
      </c>
      <c r="AN71" s="313">
        <f>AM71-AL71</f>
        <v>0</v>
      </c>
      <c r="AO71" s="331">
        <f t="shared" si="25"/>
        <v>0</v>
      </c>
      <c r="AP71" s="303">
        <v>89.3</v>
      </c>
      <c r="AQ71" s="303">
        <v>86.5</v>
      </c>
      <c r="AR71" s="303">
        <f>AQ71-AP71</f>
        <v>-2.7999999999999972</v>
      </c>
      <c r="AS71" s="447">
        <v>6.7</v>
      </c>
      <c r="AT71" s="341">
        <v>7.2</v>
      </c>
      <c r="AU71" s="341">
        <f>AT71-AS71</f>
        <v>0.5</v>
      </c>
      <c r="AV71" s="303"/>
      <c r="AW71" s="303"/>
      <c r="AX71" s="303"/>
      <c r="AY71" s="303"/>
      <c r="AZ71" s="322" t="s">
        <v>686</v>
      </c>
      <c r="BA71" s="461">
        <v>11812.420043620001</v>
      </c>
      <c r="BB71" s="461">
        <v>-9.3982706</v>
      </c>
      <c r="BC71" s="461">
        <v>1031.3166749699999</v>
      </c>
      <c r="BD71" s="461">
        <v>1138.2968975799999</v>
      </c>
      <c r="BE71" s="461">
        <v>6.9208114600000004</v>
      </c>
      <c r="BF71" s="461">
        <v>7.0841374999999998</v>
      </c>
      <c r="BG71" s="461">
        <v>-0.10891221</v>
      </c>
      <c r="BH71" s="461">
        <v>6.2280670499999999</v>
      </c>
      <c r="BI71" s="461">
        <v>6.23485757</v>
      </c>
      <c r="BJ71" s="461">
        <v>-2.2484437900000001</v>
      </c>
      <c r="BK71" s="461">
        <v>-2.30551773</v>
      </c>
      <c r="BL71" s="461">
        <v>0.34892136000000001</v>
      </c>
    </row>
    <row r="72" spans="1:64" ht="15" customHeight="1" x14ac:dyDescent="0.2">
      <c r="A72" s="321">
        <f t="shared" si="26"/>
        <v>62008001</v>
      </c>
      <c r="B72" s="321" t="s">
        <v>635</v>
      </c>
      <c r="C72" s="321" t="s">
        <v>782</v>
      </c>
      <c r="D72" s="352" t="s">
        <v>718</v>
      </c>
      <c r="E72" s="307" t="s">
        <v>734</v>
      </c>
      <c r="F72" s="307" t="str">
        <f t="shared" si="13"/>
        <v>08/03/20</v>
      </c>
      <c r="G72" s="322" t="s">
        <v>735</v>
      </c>
      <c r="H72" s="322" t="s">
        <v>685</v>
      </c>
      <c r="I72" s="330"/>
      <c r="J72" s="324">
        <f>AVERAGE(J70:J71)</f>
        <v>25.043946999999999</v>
      </c>
      <c r="K72" s="324">
        <f>AVERAGE(K70:K71)</f>
        <v>39.445144499999998</v>
      </c>
      <c r="L72" s="324">
        <f>AVERAGE(L70:L71)</f>
        <v>29.336185499999999</v>
      </c>
      <c r="M72" s="324">
        <f>AVERAGE(M70:M71)</f>
        <v>30.153714999999998</v>
      </c>
      <c r="N72" s="310"/>
      <c r="O72" s="308"/>
      <c r="P72" s="326"/>
      <c r="Q72" s="325"/>
      <c r="R72" s="311">
        <f>R71+R70</f>
        <v>7.9933039599999995</v>
      </c>
      <c r="S72" s="311">
        <f>S71</f>
        <v>7.9933039599999995</v>
      </c>
      <c r="T72" s="339">
        <f>T70</f>
        <v>89.9</v>
      </c>
      <c r="U72" s="339">
        <f>U71</f>
        <v>86.5</v>
      </c>
      <c r="V72" s="314">
        <f>V70</f>
        <v>5199</v>
      </c>
      <c r="W72" s="314">
        <f>W71</f>
        <v>7415</v>
      </c>
      <c r="X72" s="314">
        <f>SUM(X70:X71)</f>
        <v>2397</v>
      </c>
      <c r="Y72" s="314">
        <f t="shared" si="21"/>
        <v>299.87599770946281</v>
      </c>
      <c r="Z72" s="314">
        <f>Z70</f>
        <v>169.10667000000001</v>
      </c>
      <c r="AA72" s="314">
        <f>AA71</f>
        <v>189.8</v>
      </c>
      <c r="AB72" s="314">
        <f>SUM(AB70:AB71)</f>
        <v>25.129696999999993</v>
      </c>
      <c r="AC72" s="312">
        <f t="shared" si="22"/>
        <v>3.1438435377603224</v>
      </c>
      <c r="AD72" s="314">
        <f>AD70</f>
        <v>-3.11</v>
      </c>
      <c r="AE72" s="314">
        <f>AE71</f>
        <v>-3.44</v>
      </c>
      <c r="AF72" s="314">
        <f>SUM(AF70:AF71)</f>
        <v>-0.39999999999999991</v>
      </c>
      <c r="AG72" s="312">
        <f t="shared" si="23"/>
        <v>-5.0041885308212394E-2</v>
      </c>
      <c r="AH72" s="314">
        <f>AH70</f>
        <v>0</v>
      </c>
      <c r="AI72" s="314">
        <f>AI71</f>
        <v>0</v>
      </c>
      <c r="AJ72" s="314">
        <f>SUM(AJ70:AJ71)</f>
        <v>0</v>
      </c>
      <c r="AK72" s="312">
        <f t="shared" si="24"/>
        <v>0</v>
      </c>
      <c r="AL72" s="314">
        <f>AL70</f>
        <v>0</v>
      </c>
      <c r="AM72" s="314">
        <f>AM71</f>
        <v>0</v>
      </c>
      <c r="AN72" s="314">
        <f>SUM(AN70:AN71)</f>
        <v>0</v>
      </c>
      <c r="AO72" s="312">
        <f t="shared" si="25"/>
        <v>0</v>
      </c>
      <c r="AP72" s="305"/>
      <c r="AQ72" s="305"/>
      <c r="AR72" s="305">
        <f>SUM(AR70:AR71)</f>
        <v>-3.7000000000000028</v>
      </c>
      <c r="AS72" s="342">
        <f>AS70</f>
        <v>6.5</v>
      </c>
      <c r="AT72" s="342">
        <f>AT71</f>
        <v>7.2</v>
      </c>
      <c r="AU72" s="342">
        <f>SUM(AU70:AU71)</f>
        <v>0.90000000000000036</v>
      </c>
      <c r="AV72" s="305"/>
      <c r="AW72" s="305"/>
      <c r="AX72" s="305"/>
      <c r="AY72" s="305"/>
      <c r="AZ72" s="322" t="s">
        <v>686</v>
      </c>
    </row>
    <row r="73" spans="1:64" ht="15" customHeight="1" x14ac:dyDescent="0.2">
      <c r="A73" s="321">
        <f>A72+1</f>
        <v>62008002</v>
      </c>
      <c r="B73" s="321" t="s">
        <v>636</v>
      </c>
      <c r="C73" s="321" t="s">
        <v>773</v>
      </c>
      <c r="D73" s="352" t="s">
        <v>721</v>
      </c>
      <c r="E73" s="307" t="s">
        <v>736</v>
      </c>
      <c r="F73" s="307" t="str">
        <f t="shared" si="13"/>
        <v>08/03/20</v>
      </c>
      <c r="G73" s="322" t="s">
        <v>737</v>
      </c>
      <c r="H73" s="322" t="s">
        <v>685</v>
      </c>
      <c r="I73" s="330"/>
      <c r="J73" s="323">
        <v>158.52057400000001</v>
      </c>
      <c r="K73" s="323">
        <v>210.71854300000001</v>
      </c>
      <c r="L73" s="323">
        <v>175.71477200000001</v>
      </c>
      <c r="M73" s="323">
        <v>187.84933100000001</v>
      </c>
      <c r="N73" s="308">
        <v>4250</v>
      </c>
      <c r="O73" s="308">
        <v>30.36</v>
      </c>
      <c r="P73" s="308">
        <v>0.3201</v>
      </c>
      <c r="Q73" s="308">
        <v>1.9560000000000001E-2</v>
      </c>
      <c r="R73" s="309">
        <v>141.27797047999999</v>
      </c>
      <c r="S73" s="309">
        <f>R73+R72</f>
        <v>149.27127443999998</v>
      </c>
      <c r="T73" s="338">
        <v>86.2</v>
      </c>
      <c r="U73" s="338">
        <v>22</v>
      </c>
      <c r="V73" s="313">
        <v>7599</v>
      </c>
      <c r="W73" s="313">
        <v>46635</v>
      </c>
      <c r="X73" s="313">
        <f>W73-V73</f>
        <v>39036</v>
      </c>
      <c r="Y73" s="313">
        <f t="shared" si="21"/>
        <v>276.30634746077504</v>
      </c>
      <c r="Z73" s="332">
        <v>196.85</v>
      </c>
      <c r="AA73" s="313">
        <v>518.01</v>
      </c>
      <c r="AB73" s="313">
        <f>AA73-Z73</f>
        <v>321.15999999999997</v>
      </c>
      <c r="AC73" s="331">
        <f t="shared" si="22"/>
        <v>2.2732489637898992</v>
      </c>
      <c r="AD73" s="332">
        <v>-2.5499999999999998</v>
      </c>
      <c r="AE73" s="313">
        <v>-7.8</v>
      </c>
      <c r="AF73" s="313">
        <f>AE73-AD73</f>
        <v>-5.25</v>
      </c>
      <c r="AG73" s="331">
        <f t="shared" si="23"/>
        <v>-3.716078297389766E-2</v>
      </c>
      <c r="AH73" s="332">
        <v>0</v>
      </c>
      <c r="AI73" s="313">
        <v>0</v>
      </c>
      <c r="AJ73" s="313">
        <f>AI73-AH73</f>
        <v>0</v>
      </c>
      <c r="AK73" s="331">
        <f t="shared" si="24"/>
        <v>0</v>
      </c>
      <c r="AL73" s="332">
        <v>0</v>
      </c>
      <c r="AM73" s="313">
        <v>0</v>
      </c>
      <c r="AN73" s="313">
        <f>AM73-AL73</f>
        <v>0</v>
      </c>
      <c r="AO73" s="331">
        <f t="shared" si="25"/>
        <v>0</v>
      </c>
      <c r="AP73" s="303">
        <v>86.2</v>
      </c>
      <c r="AQ73" s="303">
        <v>22</v>
      </c>
      <c r="AR73" s="303">
        <f>AQ73-AP73</f>
        <v>-64.2</v>
      </c>
      <c r="AS73" s="447">
        <v>7.9</v>
      </c>
      <c r="AT73" s="341">
        <v>18.7</v>
      </c>
      <c r="AU73" s="341">
        <f>AT73-AS73</f>
        <v>10.799999999999999</v>
      </c>
      <c r="AV73" s="303"/>
      <c r="AW73" s="303"/>
      <c r="AX73" s="303"/>
      <c r="AY73" s="303"/>
      <c r="AZ73" s="322" t="s">
        <v>686</v>
      </c>
      <c r="BA73" s="461">
        <v>17.092642420000001</v>
      </c>
      <c r="BB73" s="461">
        <v>62.338131799999999</v>
      </c>
      <c r="BC73" s="461">
        <v>943.43129969999995</v>
      </c>
      <c r="BD73" s="461">
        <v>581.15200000000004</v>
      </c>
      <c r="BE73" s="461">
        <v>135.68755587999999</v>
      </c>
      <c r="BF73" s="461">
        <v>136.03428754999999</v>
      </c>
      <c r="BG73" s="461">
        <v>-0.1061406</v>
      </c>
      <c r="BH73" s="461">
        <v>141.27918396000001</v>
      </c>
      <c r="BI73" s="461">
        <v>141.42929785999999</v>
      </c>
      <c r="BJ73" s="461">
        <v>-0.14912499000000001</v>
      </c>
      <c r="BK73" s="461">
        <v>-0.25488548999999999</v>
      </c>
      <c r="BL73" s="461">
        <v>6.0725199999999997E-3</v>
      </c>
    </row>
    <row r="74" spans="1:64" ht="15" customHeight="1" x14ac:dyDescent="0.2">
      <c r="A74" s="321">
        <f>A73+1</f>
        <v>62008003</v>
      </c>
      <c r="B74" s="321" t="s">
        <v>637</v>
      </c>
      <c r="C74" s="321" t="s">
        <v>810</v>
      </c>
      <c r="D74" s="352" t="s">
        <v>724</v>
      </c>
      <c r="E74" s="307" t="s">
        <v>738</v>
      </c>
      <c r="F74" s="307" t="str">
        <f t="shared" si="13"/>
        <v>08/03/20</v>
      </c>
      <c r="G74" s="322" t="s">
        <v>737</v>
      </c>
      <c r="H74" s="322" t="s">
        <v>685</v>
      </c>
      <c r="I74" s="330"/>
      <c r="J74" s="323">
        <v>22.026271000000001</v>
      </c>
      <c r="K74" s="323">
        <v>44.105763000000003</v>
      </c>
      <c r="L74" s="323">
        <v>29.327052999999999</v>
      </c>
      <c r="M74" s="323">
        <v>32.590893000000001</v>
      </c>
      <c r="N74" s="308">
        <v>4250</v>
      </c>
      <c r="O74" s="308">
        <v>30.36</v>
      </c>
      <c r="P74" s="308">
        <v>0.3201</v>
      </c>
      <c r="Q74" s="308">
        <v>1.9560000000000001E-2</v>
      </c>
      <c r="R74" s="309">
        <v>1.7658649200000001</v>
      </c>
      <c r="S74" s="309">
        <f>R74+R73</f>
        <v>143.04383540000001</v>
      </c>
      <c r="T74" s="338">
        <v>22</v>
      </c>
      <c r="U74" s="338">
        <v>17.8</v>
      </c>
      <c r="V74" s="313">
        <v>46638</v>
      </c>
      <c r="W74" s="313">
        <v>49004</v>
      </c>
      <c r="X74" s="313">
        <f>W74-V74-X75</f>
        <v>540</v>
      </c>
      <c r="Y74" s="313">
        <f t="shared" si="21"/>
        <v>305.79915478472725</v>
      </c>
      <c r="Z74" s="332">
        <v>520.62</v>
      </c>
      <c r="AA74" s="313">
        <v>546.16999999999996</v>
      </c>
      <c r="AB74" s="313">
        <f>AA74-Z74-AB75</f>
        <v>10.377280999999925</v>
      </c>
      <c r="AC74" s="331">
        <f t="shared" si="22"/>
        <v>5.8765995532659003</v>
      </c>
      <c r="AD74" s="332">
        <v>-6.86</v>
      </c>
      <c r="AE74" s="313">
        <v>-7.68</v>
      </c>
      <c r="AF74" s="313">
        <f>AE74-AD74-AF75</f>
        <v>-0.45999999999999996</v>
      </c>
      <c r="AG74" s="331">
        <f t="shared" si="23"/>
        <v>-0.26049557629810094</v>
      </c>
      <c r="AH74" s="332">
        <v>0</v>
      </c>
      <c r="AI74" s="313">
        <v>0</v>
      </c>
      <c r="AJ74" s="313">
        <f>AI74-AH74-AJ75</f>
        <v>0</v>
      </c>
      <c r="AK74" s="331">
        <f t="shared" si="24"/>
        <v>0</v>
      </c>
      <c r="AL74" s="332">
        <v>0</v>
      </c>
      <c r="AM74" s="313">
        <v>0</v>
      </c>
      <c r="AN74" s="313">
        <f>AM74-AL74-AN75</f>
        <v>0</v>
      </c>
      <c r="AO74" s="331">
        <f t="shared" si="25"/>
        <v>0</v>
      </c>
      <c r="AP74" s="303">
        <v>22</v>
      </c>
      <c r="AQ74" s="303">
        <v>17.8</v>
      </c>
      <c r="AR74" s="303">
        <f>AQ74-AP74-AR75</f>
        <v>-1</v>
      </c>
      <c r="AS74" s="447">
        <v>19.100000000000001</v>
      </c>
      <c r="AT74" s="341">
        <v>19.899999999999999</v>
      </c>
      <c r="AU74" s="341">
        <f>AT74-AS74-AU75</f>
        <v>0.29999999999999716</v>
      </c>
      <c r="AV74" s="303"/>
      <c r="AW74" s="303"/>
      <c r="AX74" s="303"/>
      <c r="AY74" s="303"/>
      <c r="AZ74" s="322" t="s">
        <v>686</v>
      </c>
      <c r="BA74" s="461">
        <v>5547.0545174600002</v>
      </c>
      <c r="BB74" s="461">
        <v>-1.1147389700000001</v>
      </c>
      <c r="BC74" s="461">
        <v>2432.2830748900001</v>
      </c>
      <c r="BD74" s="461">
        <v>2459.7023353599998</v>
      </c>
      <c r="BE74" s="461">
        <v>3.1654975300000001</v>
      </c>
      <c r="BF74" s="461">
        <v>3.20854938</v>
      </c>
      <c r="BG74" s="461">
        <v>-0.36019088999999999</v>
      </c>
      <c r="BH74" s="461">
        <v>1.7658161800000001</v>
      </c>
      <c r="BI74" s="461">
        <v>1.77219949</v>
      </c>
      <c r="BJ74" s="461">
        <v>-0.99494461000000001</v>
      </c>
      <c r="BK74" s="461">
        <v>-1.34178548</v>
      </c>
      <c r="BL74" s="461">
        <v>0.81481278000000001</v>
      </c>
    </row>
    <row r="75" spans="1:64" ht="15" customHeight="1" x14ac:dyDescent="0.2">
      <c r="A75" s="321">
        <f>A74</f>
        <v>62008003</v>
      </c>
      <c r="B75" s="321" t="s">
        <v>638</v>
      </c>
      <c r="C75" s="321" t="s">
        <v>774</v>
      </c>
      <c r="D75" s="352" t="s">
        <v>724</v>
      </c>
      <c r="E75" s="307" t="s">
        <v>738</v>
      </c>
      <c r="F75" s="307" t="str">
        <f t="shared" si="13"/>
        <v>08/03/20</v>
      </c>
      <c r="G75" s="322" t="s">
        <v>737</v>
      </c>
      <c r="H75" s="322" t="s">
        <v>685</v>
      </c>
      <c r="I75" s="330"/>
      <c r="J75" s="323">
        <v>25.910471000000001</v>
      </c>
      <c r="K75" s="323">
        <v>36.243966</v>
      </c>
      <c r="L75" s="323">
        <v>29.350417</v>
      </c>
      <c r="M75" s="323">
        <v>31.123259000000001</v>
      </c>
      <c r="N75" s="308">
        <v>4250</v>
      </c>
      <c r="O75" s="308">
        <v>30.36</v>
      </c>
      <c r="P75" s="308">
        <v>0.3201</v>
      </c>
      <c r="Q75" s="308">
        <v>1.9560000000000001E-2</v>
      </c>
      <c r="R75" s="309">
        <v>6.2283719800000004</v>
      </c>
      <c r="S75" s="309">
        <f>R75+R74</f>
        <v>7.9942369000000006</v>
      </c>
      <c r="T75" s="338">
        <v>21.3</v>
      </c>
      <c r="U75" s="338">
        <v>18.100000000000001</v>
      </c>
      <c r="V75" s="313">
        <v>47006</v>
      </c>
      <c r="W75" s="313">
        <v>48832</v>
      </c>
      <c r="X75" s="313">
        <f>W75-V75</f>
        <v>1826</v>
      </c>
      <c r="Y75" s="313">
        <f t="shared" si="21"/>
        <v>293.1745255202307</v>
      </c>
      <c r="Z75" s="332">
        <v>526.51</v>
      </c>
      <c r="AA75" s="313">
        <v>541.68271900000002</v>
      </c>
      <c r="AB75" s="313">
        <f>AA75-Z75</f>
        <v>15.172719000000029</v>
      </c>
      <c r="AC75" s="331">
        <f t="shared" si="22"/>
        <v>2.4360650020135806</v>
      </c>
      <c r="AD75" s="332">
        <v>-7.24</v>
      </c>
      <c r="AE75" s="313">
        <v>-7.6</v>
      </c>
      <c r="AF75" s="313">
        <f>AE75-AD75</f>
        <v>-0.35999999999999943</v>
      </c>
      <c r="AG75" s="331">
        <f t="shared" si="23"/>
        <v>-5.7800015984273215E-2</v>
      </c>
      <c r="AH75" s="332">
        <v>0</v>
      </c>
      <c r="AI75" s="313">
        <v>0</v>
      </c>
      <c r="AJ75" s="313">
        <f>AI75-AH75</f>
        <v>0</v>
      </c>
      <c r="AK75" s="331">
        <f t="shared" si="24"/>
        <v>0</v>
      </c>
      <c r="AL75" s="332">
        <v>0</v>
      </c>
      <c r="AM75" s="313">
        <v>0</v>
      </c>
      <c r="AN75" s="313">
        <f>AM75-AL75</f>
        <v>0</v>
      </c>
      <c r="AO75" s="331">
        <f t="shared" si="25"/>
        <v>0</v>
      </c>
      <c r="AP75" s="303">
        <v>21.3</v>
      </c>
      <c r="AQ75" s="303">
        <v>18.100000000000001</v>
      </c>
      <c r="AR75" s="303">
        <f>AQ75-AP75</f>
        <v>-3.1999999999999993</v>
      </c>
      <c r="AS75" s="447">
        <v>19.2</v>
      </c>
      <c r="AT75" s="341">
        <v>19.7</v>
      </c>
      <c r="AU75" s="341">
        <f>AT75-AS75</f>
        <v>0.5</v>
      </c>
      <c r="AV75" s="303"/>
      <c r="AW75" s="303"/>
      <c r="AX75" s="303"/>
      <c r="AY75" s="303"/>
      <c r="AZ75" s="322" t="s">
        <v>686</v>
      </c>
      <c r="BA75" s="461">
        <v>11825.15172414</v>
      </c>
      <c r="BB75" s="461">
        <v>-9.5546741700000002</v>
      </c>
      <c r="BC75" s="461">
        <v>1030.3982709700001</v>
      </c>
      <c r="BD75" s="461">
        <v>1139.24988545</v>
      </c>
      <c r="BE75" s="461">
        <v>6.9215529</v>
      </c>
      <c r="BF75" s="461">
        <v>7.0876942400000003</v>
      </c>
      <c r="BG75" s="461">
        <v>-0.11803076999999999</v>
      </c>
      <c r="BH75" s="461">
        <v>6.2283926899999997</v>
      </c>
      <c r="BI75" s="461">
        <v>6.2357528000000002</v>
      </c>
      <c r="BJ75" s="461">
        <v>-2.2794838199999998</v>
      </c>
      <c r="BK75" s="461">
        <v>-2.3440816299999998</v>
      </c>
      <c r="BL75" s="461">
        <v>0.34915726000000002</v>
      </c>
    </row>
    <row r="76" spans="1:64" ht="15" customHeight="1" x14ac:dyDescent="0.2">
      <c r="A76" s="321">
        <f t="shared" ref="A76:A83" si="27">A75</f>
        <v>62008003</v>
      </c>
      <c r="B76" s="321" t="s">
        <v>639</v>
      </c>
      <c r="C76" s="321" t="s">
        <v>775</v>
      </c>
      <c r="D76" s="352" t="s">
        <v>724</v>
      </c>
      <c r="E76" s="307" t="s">
        <v>738</v>
      </c>
      <c r="F76" s="307" t="str">
        <f t="shared" si="13"/>
        <v>08/03/20</v>
      </c>
      <c r="G76" s="322" t="s">
        <v>737</v>
      </c>
      <c r="H76" s="322" t="s">
        <v>685</v>
      </c>
      <c r="I76" s="330"/>
      <c r="J76" s="324">
        <f>AVERAGE(J74:J75)</f>
        <v>23.968371000000001</v>
      </c>
      <c r="K76" s="324">
        <f>AVERAGE(K74:K75)</f>
        <v>40.174864499999998</v>
      </c>
      <c r="L76" s="324">
        <f>AVERAGE(L74:L75)</f>
        <v>29.338735</v>
      </c>
      <c r="M76" s="324">
        <f>AVERAGE(M74:M75)</f>
        <v>31.857075999999999</v>
      </c>
      <c r="N76" s="310"/>
      <c r="O76" s="308"/>
      <c r="P76" s="326"/>
      <c r="Q76" s="325"/>
      <c r="R76" s="311">
        <f>R75+R74</f>
        <v>7.9942369000000006</v>
      </c>
      <c r="S76" s="311">
        <f>S75</f>
        <v>7.9942369000000006</v>
      </c>
      <c r="T76" s="339">
        <f>T74</f>
        <v>22</v>
      </c>
      <c r="U76" s="339">
        <f>U75</f>
        <v>18.100000000000001</v>
      </c>
      <c r="V76" s="314">
        <f>V74</f>
        <v>46638</v>
      </c>
      <c r="W76" s="314">
        <f>W75</f>
        <v>48832</v>
      </c>
      <c r="X76" s="314">
        <f>SUM(X74:X75)</f>
        <v>2366</v>
      </c>
      <c r="Y76" s="314">
        <f t="shared" si="21"/>
        <v>295.96320819564403</v>
      </c>
      <c r="Z76" s="314">
        <f>Z74</f>
        <v>520.62</v>
      </c>
      <c r="AA76" s="314">
        <f>AA75</f>
        <v>541.68271900000002</v>
      </c>
      <c r="AB76" s="314">
        <f>SUM(AB74:AB75)</f>
        <v>25.549999999999955</v>
      </c>
      <c r="AC76" s="312">
        <f t="shared" si="22"/>
        <v>3.1960523961955585</v>
      </c>
      <c r="AD76" s="314">
        <f>AD74</f>
        <v>-6.86</v>
      </c>
      <c r="AE76" s="314">
        <f>AE75</f>
        <v>-7.6</v>
      </c>
      <c r="AF76" s="314">
        <f>SUM(AF74:AF75)</f>
        <v>-0.8199999999999994</v>
      </c>
      <c r="AG76" s="312">
        <f t="shared" si="23"/>
        <v>-0.10257389295030765</v>
      </c>
      <c r="AH76" s="314">
        <f>AH74</f>
        <v>0</v>
      </c>
      <c r="AI76" s="314">
        <f>AI75</f>
        <v>0</v>
      </c>
      <c r="AJ76" s="314">
        <f>SUM(AJ74:AJ75)</f>
        <v>0</v>
      </c>
      <c r="AK76" s="312">
        <f t="shared" si="24"/>
        <v>0</v>
      </c>
      <c r="AL76" s="314">
        <f>AL74</f>
        <v>0</v>
      </c>
      <c r="AM76" s="314">
        <f>AM75</f>
        <v>0</v>
      </c>
      <c r="AN76" s="314">
        <f>SUM(AN74:AN75)</f>
        <v>0</v>
      </c>
      <c r="AO76" s="312">
        <f t="shared" si="25"/>
        <v>0</v>
      </c>
      <c r="AP76" s="305"/>
      <c r="AQ76" s="305"/>
      <c r="AR76" s="305">
        <f>SUM(AR74:AR75)</f>
        <v>-4.1999999999999993</v>
      </c>
      <c r="AS76" s="342">
        <f>AS74</f>
        <v>19.100000000000001</v>
      </c>
      <c r="AT76" s="342">
        <f>AT75</f>
        <v>19.7</v>
      </c>
      <c r="AU76" s="342">
        <f>SUM(AU74:AU75)</f>
        <v>0.79999999999999716</v>
      </c>
      <c r="AV76" s="305"/>
      <c r="AW76" s="305"/>
      <c r="AX76" s="305"/>
      <c r="AY76" s="305"/>
      <c r="AZ76" s="322" t="s">
        <v>686</v>
      </c>
    </row>
    <row r="77" spans="1:64" ht="15" customHeight="1" x14ac:dyDescent="0.2">
      <c r="A77" s="321">
        <f t="shared" si="27"/>
        <v>62008003</v>
      </c>
      <c r="B77" s="321" t="s">
        <v>640</v>
      </c>
      <c r="C77" s="321" t="s">
        <v>776</v>
      </c>
      <c r="D77" s="352" t="s">
        <v>724</v>
      </c>
      <c r="E77" s="307" t="s">
        <v>738</v>
      </c>
      <c r="F77" s="307" t="str">
        <f t="shared" si="13"/>
        <v>08/03/20</v>
      </c>
      <c r="G77" s="322" t="s">
        <v>737</v>
      </c>
      <c r="H77" s="322" t="s">
        <v>685</v>
      </c>
      <c r="I77" s="330"/>
      <c r="J77" s="323">
        <v>20.907816</v>
      </c>
      <c r="K77" s="323">
        <v>50.028559999999999</v>
      </c>
      <c r="L77" s="323">
        <v>29.323692999999999</v>
      </c>
      <c r="M77" s="323">
        <v>29.388414999999998</v>
      </c>
      <c r="N77" s="308">
        <v>4250</v>
      </c>
      <c r="O77" s="308">
        <v>30.36</v>
      </c>
      <c r="P77" s="308">
        <v>0.3201</v>
      </c>
      <c r="Q77" s="308">
        <v>1.9560000000000001E-2</v>
      </c>
      <c r="R77" s="309">
        <v>3.5818056399999998</v>
      </c>
      <c r="S77" s="309">
        <f>R77+R76</f>
        <v>11.57604254</v>
      </c>
      <c r="T77" s="338">
        <v>17.7</v>
      </c>
      <c r="U77" s="338">
        <v>16.5</v>
      </c>
      <c r="V77" s="313">
        <v>49010</v>
      </c>
      <c r="W77" s="313">
        <v>49726</v>
      </c>
      <c r="X77" s="313">
        <f>W77-V77</f>
        <v>716</v>
      </c>
      <c r="Y77" s="313">
        <f t="shared" si="21"/>
        <v>199.89917710889529</v>
      </c>
      <c r="Z77" s="332">
        <v>551.48226799999998</v>
      </c>
      <c r="AA77" s="313">
        <v>573.16</v>
      </c>
      <c r="AB77" s="313">
        <f>AA77-Z77</f>
        <v>21.677731999999992</v>
      </c>
      <c r="AC77" s="331">
        <f t="shared" si="22"/>
        <v>6.0521798720491136</v>
      </c>
      <c r="AD77" s="332">
        <v>-6.85</v>
      </c>
      <c r="AE77" s="313">
        <v>-7.4</v>
      </c>
      <c r="AF77" s="313">
        <f>AE77-AD77</f>
        <v>-0.55000000000000071</v>
      </c>
      <c r="AG77" s="331">
        <f t="shared" si="23"/>
        <v>-0.1535538371646544</v>
      </c>
      <c r="AH77" s="332">
        <v>0</v>
      </c>
      <c r="AI77" s="313">
        <v>0</v>
      </c>
      <c r="AJ77" s="313">
        <f>AI77-AH77</f>
        <v>0</v>
      </c>
      <c r="AK77" s="331">
        <f t="shared" si="24"/>
        <v>0</v>
      </c>
      <c r="AL77" s="332">
        <v>0</v>
      </c>
      <c r="AM77" s="313">
        <v>0</v>
      </c>
      <c r="AN77" s="313">
        <f>AM77-AL77</f>
        <v>0</v>
      </c>
      <c r="AO77" s="331">
        <f t="shared" si="25"/>
        <v>0</v>
      </c>
      <c r="AP77" s="303">
        <v>17.7</v>
      </c>
      <c r="AQ77" s="303">
        <v>16.5</v>
      </c>
      <c r="AR77" s="303">
        <f>AQ77-AP77</f>
        <v>-1.1999999999999993</v>
      </c>
      <c r="AS77" s="447">
        <v>20.7</v>
      </c>
      <c r="AT77" s="341">
        <v>21.4</v>
      </c>
      <c r="AU77" s="341">
        <f>AT77-AS77</f>
        <v>0.69999999999999929</v>
      </c>
      <c r="AV77" s="303"/>
      <c r="AW77" s="303"/>
      <c r="AX77" s="303"/>
      <c r="AY77" s="303"/>
      <c r="AZ77" s="322" t="s">
        <v>686</v>
      </c>
      <c r="BA77" s="461">
        <v>2413.3271796700001</v>
      </c>
      <c r="BB77" s="461">
        <v>-2.1897597700000002</v>
      </c>
      <c r="BC77" s="461">
        <v>2003.8683422199999</v>
      </c>
      <c r="BD77" s="461">
        <v>2048.7306212600001</v>
      </c>
      <c r="BE77" s="461">
        <v>3.20914491</v>
      </c>
      <c r="BF77" s="461">
        <v>3.2583840400000001</v>
      </c>
      <c r="BG77" s="461">
        <v>-0.25718898000000001</v>
      </c>
      <c r="BH77" s="461">
        <v>3.5817443</v>
      </c>
      <c r="BI77" s="461">
        <v>3.5909799100000002</v>
      </c>
      <c r="BJ77" s="461">
        <v>-1.2732028799999999</v>
      </c>
      <c r="BK77" s="461">
        <v>-1.51115183</v>
      </c>
      <c r="BL77" s="461">
        <v>0.59037669999999998</v>
      </c>
    </row>
    <row r="78" spans="1:64" ht="15" customHeight="1" x14ac:dyDescent="0.2">
      <c r="A78" s="321">
        <f t="shared" si="27"/>
        <v>62008003</v>
      </c>
      <c r="B78" s="321" t="s">
        <v>220</v>
      </c>
      <c r="C78" s="321" t="s">
        <v>777</v>
      </c>
      <c r="D78" s="352" t="s">
        <v>724</v>
      </c>
      <c r="E78" s="307" t="s">
        <v>738</v>
      </c>
      <c r="F78" s="307" t="str">
        <f t="shared" si="13"/>
        <v>08/03/20</v>
      </c>
      <c r="G78" s="322" t="s">
        <v>737</v>
      </c>
      <c r="H78" s="322" t="s">
        <v>685</v>
      </c>
      <c r="I78" s="330"/>
      <c r="J78" s="323">
        <v>21.027615000000001</v>
      </c>
      <c r="K78" s="323">
        <v>48.985854000000003</v>
      </c>
      <c r="L78" s="323">
        <v>29.32142</v>
      </c>
      <c r="M78" s="323">
        <v>28.926075999999998</v>
      </c>
      <c r="N78" s="308">
        <v>4250</v>
      </c>
      <c r="O78" s="308">
        <v>30.36</v>
      </c>
      <c r="P78" s="308">
        <v>0.3201</v>
      </c>
      <c r="Q78" s="308">
        <v>1.9560000000000001E-2</v>
      </c>
      <c r="R78" s="309">
        <v>3.84351866</v>
      </c>
      <c r="S78" s="309">
        <f>R78+R77</f>
        <v>7.4253242999999998</v>
      </c>
      <c r="T78" s="338">
        <v>16.5</v>
      </c>
      <c r="U78" s="338">
        <v>15.3</v>
      </c>
      <c r="V78" s="313">
        <v>49726</v>
      </c>
      <c r="W78" s="313">
        <v>50352</v>
      </c>
      <c r="X78" s="313">
        <f>W78-V78</f>
        <v>626</v>
      </c>
      <c r="Y78" s="313">
        <f t="shared" si="21"/>
        <v>162.87159121012306</v>
      </c>
      <c r="Z78" s="332">
        <v>573.16216699999995</v>
      </c>
      <c r="AA78" s="313">
        <v>609.73</v>
      </c>
      <c r="AB78" s="313">
        <f>AA78-Z78</f>
        <v>36.567833000000064</v>
      </c>
      <c r="AC78" s="331">
        <f t="shared" si="22"/>
        <v>9.5141551882045672</v>
      </c>
      <c r="AD78" s="332">
        <v>-7.4</v>
      </c>
      <c r="AE78" s="313">
        <v>-8.0299999999999994</v>
      </c>
      <c r="AF78" s="313">
        <f>AE78-AD78</f>
        <v>-0.62999999999999901</v>
      </c>
      <c r="AG78" s="331">
        <f t="shared" si="23"/>
        <v>-0.16391230425299899</v>
      </c>
      <c r="AH78" s="332">
        <v>0</v>
      </c>
      <c r="AI78" s="313">
        <v>0</v>
      </c>
      <c r="AJ78" s="313">
        <f>AI78-AH78</f>
        <v>0</v>
      </c>
      <c r="AK78" s="331">
        <f t="shared" si="24"/>
        <v>0</v>
      </c>
      <c r="AL78" s="332">
        <v>0</v>
      </c>
      <c r="AM78" s="313">
        <v>0</v>
      </c>
      <c r="AN78" s="313">
        <f>AM78-AL78</f>
        <v>0</v>
      </c>
      <c r="AO78" s="331">
        <f t="shared" si="25"/>
        <v>0</v>
      </c>
      <c r="AP78" s="303">
        <v>16.5</v>
      </c>
      <c r="AQ78" s="303">
        <v>15.3</v>
      </c>
      <c r="AR78" s="303">
        <f>AQ78-AP78</f>
        <v>-1.1999999999999993</v>
      </c>
      <c r="AS78" s="447">
        <v>21.4</v>
      </c>
      <c r="AT78" s="341">
        <v>22.6</v>
      </c>
      <c r="AU78" s="341">
        <f>AT78-AS78</f>
        <v>1.2000000000000028</v>
      </c>
      <c r="AV78" s="303"/>
      <c r="AW78" s="303"/>
      <c r="AX78" s="303"/>
      <c r="AY78" s="303"/>
      <c r="AZ78" s="322" t="s">
        <v>686</v>
      </c>
      <c r="BA78" s="461">
        <v>1482.0398926</v>
      </c>
      <c r="BB78" s="461">
        <v>-2.0913919700000001</v>
      </c>
      <c r="BC78" s="461">
        <v>3344.5977517000001</v>
      </c>
      <c r="BD78" s="461">
        <v>3416.04054959</v>
      </c>
      <c r="BE78" s="461">
        <v>2.9548718699999998</v>
      </c>
      <c r="BF78" s="461">
        <v>3.01849561</v>
      </c>
      <c r="BG78" s="461">
        <v>-0.42656902000000002</v>
      </c>
      <c r="BH78" s="461">
        <v>3.8433646100000001</v>
      </c>
      <c r="BI78" s="461">
        <v>3.8598294499999999</v>
      </c>
      <c r="BJ78" s="461">
        <v>-1.71742716</v>
      </c>
      <c r="BK78" s="461">
        <v>-2.1077963099999999</v>
      </c>
      <c r="BL78" s="461">
        <v>0.71451213000000002</v>
      </c>
    </row>
    <row r="79" spans="1:64" ht="15" customHeight="1" x14ac:dyDescent="0.2">
      <c r="A79" s="321">
        <f t="shared" si="27"/>
        <v>62008003</v>
      </c>
      <c r="B79" s="321" t="s">
        <v>641</v>
      </c>
      <c r="C79" s="321" t="s">
        <v>799</v>
      </c>
      <c r="D79" s="352" t="s">
        <v>724</v>
      </c>
      <c r="E79" s="307" t="s">
        <v>738</v>
      </c>
      <c r="F79" s="307" t="str">
        <f t="shared" ref="F79:F142" si="28">LEFT(E79,8)</f>
        <v>08/03/20</v>
      </c>
      <c r="G79" s="322" t="s">
        <v>737</v>
      </c>
      <c r="H79" s="322" t="s">
        <v>685</v>
      </c>
      <c r="I79" s="330"/>
      <c r="J79" s="324">
        <f>AVERAGE(J77:J78)</f>
        <v>20.967715500000001</v>
      </c>
      <c r="K79" s="324">
        <f>AVERAGE(K77:K78)</f>
        <v>49.507207000000001</v>
      </c>
      <c r="L79" s="324">
        <f>AVERAGE(L77:L78)</f>
        <v>29.322556499999997</v>
      </c>
      <c r="M79" s="324">
        <f>AVERAGE(M77:M78)</f>
        <v>29.157245499999998</v>
      </c>
      <c r="N79" s="310"/>
      <c r="O79" s="308"/>
      <c r="P79" s="326"/>
      <c r="Q79" s="325"/>
      <c r="R79" s="311">
        <f>R78+R77</f>
        <v>7.4253242999999998</v>
      </c>
      <c r="S79" s="311">
        <f>S78</f>
        <v>7.4253242999999998</v>
      </c>
      <c r="T79" s="339">
        <f>T77</f>
        <v>17.7</v>
      </c>
      <c r="U79" s="339">
        <f>U78</f>
        <v>15.3</v>
      </c>
      <c r="V79" s="314">
        <f>V77</f>
        <v>49010</v>
      </c>
      <c r="W79" s="314">
        <f>W78</f>
        <v>50352</v>
      </c>
      <c r="X79" s="314">
        <f>SUM(X77:X78)</f>
        <v>1342</v>
      </c>
      <c r="Y79" s="314">
        <f t="shared" si="21"/>
        <v>180.7328469141745</v>
      </c>
      <c r="Z79" s="314">
        <f>Z77</f>
        <v>551.48226799999998</v>
      </c>
      <c r="AA79" s="314">
        <f>AA78</f>
        <v>609.73</v>
      </c>
      <c r="AB79" s="314">
        <f>SUM(AB77:AB78)</f>
        <v>58.245565000000056</v>
      </c>
      <c r="AC79" s="312">
        <f t="shared" si="22"/>
        <v>7.8441779303834656</v>
      </c>
      <c r="AD79" s="314">
        <f>AD77</f>
        <v>-6.85</v>
      </c>
      <c r="AE79" s="314">
        <f>AE78</f>
        <v>-8.0299999999999994</v>
      </c>
      <c r="AF79" s="314">
        <f>SUM(AF77:AF78)</f>
        <v>-1.1799999999999997</v>
      </c>
      <c r="AG79" s="312">
        <f t="shared" si="23"/>
        <v>-0.15891561800203122</v>
      </c>
      <c r="AH79" s="314">
        <f>AH77</f>
        <v>0</v>
      </c>
      <c r="AI79" s="314">
        <f>AI78</f>
        <v>0</v>
      </c>
      <c r="AJ79" s="314">
        <f>SUM(AJ77:AJ78)</f>
        <v>0</v>
      </c>
      <c r="AK79" s="312">
        <f t="shared" si="24"/>
        <v>0</v>
      </c>
      <c r="AL79" s="314">
        <f>AL77</f>
        <v>0</v>
      </c>
      <c r="AM79" s="314">
        <f>AM78</f>
        <v>0</v>
      </c>
      <c r="AN79" s="314">
        <f>SUM(AN77:AN78)</f>
        <v>0</v>
      </c>
      <c r="AO79" s="312">
        <f t="shared" si="25"/>
        <v>0</v>
      </c>
      <c r="AP79" s="305"/>
      <c r="AQ79" s="305"/>
      <c r="AR79" s="305">
        <f>SUM(AR77:AR78)</f>
        <v>-2.3999999999999986</v>
      </c>
      <c r="AS79" s="342">
        <f>AS77</f>
        <v>20.7</v>
      </c>
      <c r="AT79" s="342">
        <f>AT78</f>
        <v>22.6</v>
      </c>
      <c r="AU79" s="342">
        <f>SUM(AU77:AU78)</f>
        <v>1.9000000000000021</v>
      </c>
      <c r="AV79" s="305"/>
      <c r="AW79" s="305"/>
      <c r="AX79" s="305"/>
      <c r="AY79" s="305"/>
      <c r="AZ79" s="322" t="s">
        <v>686</v>
      </c>
    </row>
    <row r="80" spans="1:64" ht="15" customHeight="1" x14ac:dyDescent="0.2">
      <c r="A80" s="321">
        <f t="shared" si="27"/>
        <v>62008003</v>
      </c>
      <c r="B80" s="321" t="s">
        <v>55</v>
      </c>
      <c r="C80" s="321" t="s">
        <v>778</v>
      </c>
      <c r="D80" s="352" t="s">
        <v>724</v>
      </c>
      <c r="E80" s="307" t="s">
        <v>738</v>
      </c>
      <c r="F80" s="307" t="str">
        <f t="shared" si="28"/>
        <v>08/03/20</v>
      </c>
      <c r="G80" s="322" t="s">
        <v>737</v>
      </c>
      <c r="H80" s="322" t="s">
        <v>685</v>
      </c>
      <c r="I80" s="330"/>
      <c r="J80" s="323">
        <v>25.591560999999999</v>
      </c>
      <c r="K80" s="323">
        <v>37.541963000000003</v>
      </c>
      <c r="L80" s="323">
        <v>29.341201000000002</v>
      </c>
      <c r="M80" s="323">
        <v>30.173922000000001</v>
      </c>
      <c r="N80" s="308">
        <v>4250</v>
      </c>
      <c r="O80" s="308">
        <v>30.36</v>
      </c>
      <c r="P80" s="308">
        <v>0.3201</v>
      </c>
      <c r="Q80" s="308">
        <v>1.9560000000000001E-2</v>
      </c>
      <c r="R80" s="309">
        <v>10.24449967</v>
      </c>
      <c r="S80" s="309">
        <f>R80+R79</f>
        <v>17.669823969999999</v>
      </c>
      <c r="T80" s="338">
        <v>15.3</v>
      </c>
      <c r="U80" s="338">
        <v>11.5</v>
      </c>
      <c r="V80" s="313">
        <v>50353</v>
      </c>
      <c r="W80" s="313">
        <v>52542</v>
      </c>
      <c r="X80" s="313">
        <f>W80-V80</f>
        <v>2189</v>
      </c>
      <c r="Y80" s="313">
        <f t="shared" si="21"/>
        <v>213.67563770930357</v>
      </c>
      <c r="Z80" s="332">
        <v>610.41999999999996</v>
      </c>
      <c r="AA80" s="313">
        <v>642.09</v>
      </c>
      <c r="AB80" s="313">
        <f>AA80-Z80</f>
        <v>31.670000000000073</v>
      </c>
      <c r="AC80" s="331">
        <f t="shared" si="22"/>
        <v>3.091415005141005</v>
      </c>
      <c r="AD80" s="332">
        <v>-8.0399999999999991</v>
      </c>
      <c r="AE80" s="313">
        <v>-8.49</v>
      </c>
      <c r="AF80" s="313">
        <f>AE80-AD80</f>
        <v>-0.45000000000000107</v>
      </c>
      <c r="AG80" s="331">
        <f t="shared" si="23"/>
        <v>-4.3926010493004493E-2</v>
      </c>
      <c r="AH80" s="332">
        <v>0</v>
      </c>
      <c r="AI80" s="313">
        <v>0</v>
      </c>
      <c r="AJ80" s="313">
        <f>AI80-AH80</f>
        <v>0</v>
      </c>
      <c r="AK80" s="331">
        <f t="shared" si="24"/>
        <v>0</v>
      </c>
      <c r="AL80" s="332">
        <v>0</v>
      </c>
      <c r="AM80" s="313">
        <v>0</v>
      </c>
      <c r="AN80" s="313">
        <f>AM80-AL80</f>
        <v>0</v>
      </c>
      <c r="AO80" s="331">
        <f t="shared" si="25"/>
        <v>0</v>
      </c>
      <c r="AP80" s="303">
        <v>15.3</v>
      </c>
      <c r="AQ80" s="303">
        <v>11.5</v>
      </c>
      <c r="AR80" s="303">
        <f>AQ80-AP80</f>
        <v>-3.8000000000000007</v>
      </c>
      <c r="AS80" s="447">
        <v>22.6</v>
      </c>
      <c r="AT80" s="341">
        <v>23.6</v>
      </c>
      <c r="AU80" s="341">
        <f>AT80-AS80</f>
        <v>1</v>
      </c>
      <c r="AV80" s="303"/>
      <c r="AW80" s="303"/>
      <c r="AX80" s="303"/>
      <c r="AY80" s="303"/>
      <c r="AZ80" s="322" t="s">
        <v>686</v>
      </c>
      <c r="BA80" s="461">
        <v>1945.05071905</v>
      </c>
      <c r="BB80" s="461">
        <v>-0.71467568000000004</v>
      </c>
      <c r="BC80" s="461">
        <v>1297.36537662</v>
      </c>
      <c r="BD80" s="461">
        <v>1306.7040728100001</v>
      </c>
      <c r="BE80" s="461">
        <v>7.9688186300000003</v>
      </c>
      <c r="BF80" s="461">
        <v>8.0200029500000003</v>
      </c>
      <c r="BG80" s="461">
        <v>-0.11786851</v>
      </c>
      <c r="BH80" s="461">
        <v>10.244590909999999</v>
      </c>
      <c r="BI80" s="461">
        <v>10.256680299999999</v>
      </c>
      <c r="BJ80" s="461">
        <v>-0.52368194999999995</v>
      </c>
      <c r="BK80" s="461">
        <v>-0.63820827000000002</v>
      </c>
      <c r="BL80" s="461">
        <v>0.28276372</v>
      </c>
    </row>
    <row r="81" spans="1:64" ht="15" customHeight="1" x14ac:dyDescent="0.2">
      <c r="A81" s="321">
        <f t="shared" si="27"/>
        <v>62008003</v>
      </c>
      <c r="B81" s="321" t="s">
        <v>642</v>
      </c>
      <c r="C81" s="321" t="s">
        <v>783</v>
      </c>
      <c r="D81" s="352" t="s">
        <v>724</v>
      </c>
      <c r="E81" s="307" t="s">
        <v>738</v>
      </c>
      <c r="F81" s="307" t="str">
        <f t="shared" si="28"/>
        <v>08/03/20</v>
      </c>
      <c r="G81" s="322" t="s">
        <v>737</v>
      </c>
      <c r="H81" s="322" t="s">
        <v>685</v>
      </c>
      <c r="I81" s="330"/>
      <c r="J81" s="323">
        <v>20.880521999999999</v>
      </c>
      <c r="K81" s="323">
        <v>50.131962999999999</v>
      </c>
      <c r="L81" s="323">
        <v>29.319904000000001</v>
      </c>
      <c r="M81" s="323">
        <v>29.517236</v>
      </c>
      <c r="N81" s="308">
        <v>4250</v>
      </c>
      <c r="O81" s="308">
        <v>30.36</v>
      </c>
      <c r="P81" s="308">
        <v>0.3201</v>
      </c>
      <c r="Q81" s="308">
        <v>1.9560000000000001E-2</v>
      </c>
      <c r="R81" s="309">
        <v>3.5815645200000001</v>
      </c>
      <c r="S81" s="309">
        <f>R81+R80</f>
        <v>13.82606419</v>
      </c>
      <c r="T81" s="338">
        <v>11.5</v>
      </c>
      <c r="U81" s="338">
        <v>10.199999999999999</v>
      </c>
      <c r="V81" s="313">
        <v>52548</v>
      </c>
      <c r="W81" s="313">
        <v>53262</v>
      </c>
      <c r="X81" s="313">
        <f>W81-V81</f>
        <v>714</v>
      </c>
      <c r="Y81" s="313">
        <f t="shared" si="21"/>
        <v>199.35421964700498</v>
      </c>
      <c r="Z81" s="332">
        <v>647.5</v>
      </c>
      <c r="AA81" s="313">
        <v>669.05</v>
      </c>
      <c r="AB81" s="313">
        <f>AA81-Z81</f>
        <v>21.549999999999955</v>
      </c>
      <c r="AC81" s="331">
        <f t="shared" si="22"/>
        <v>6.0169235761805995</v>
      </c>
      <c r="AD81" s="332">
        <v>-7.61</v>
      </c>
      <c r="AE81" s="313">
        <v>-8.18</v>
      </c>
      <c r="AF81" s="313">
        <f>AE81-AD81</f>
        <v>-0.5699999999999994</v>
      </c>
      <c r="AG81" s="331">
        <f t="shared" si="23"/>
        <v>-0.15914832660895339</v>
      </c>
      <c r="AH81" s="332">
        <v>0</v>
      </c>
      <c r="AI81" s="313">
        <v>0</v>
      </c>
      <c r="AJ81" s="313">
        <f>AI81-AH81</f>
        <v>0</v>
      </c>
      <c r="AK81" s="331">
        <f t="shared" si="24"/>
        <v>0</v>
      </c>
      <c r="AL81" s="332">
        <v>0</v>
      </c>
      <c r="AM81" s="313">
        <v>0</v>
      </c>
      <c r="AN81" s="313">
        <f>AM81-AL81</f>
        <v>0</v>
      </c>
      <c r="AO81" s="331">
        <f t="shared" si="25"/>
        <v>0</v>
      </c>
      <c r="AP81" s="303">
        <v>11.5</v>
      </c>
      <c r="AQ81" s="303">
        <v>10.199999999999999</v>
      </c>
      <c r="AR81" s="303">
        <f>AQ81-AP81</f>
        <v>-1.3000000000000007</v>
      </c>
      <c r="AS81" s="447">
        <v>24.4</v>
      </c>
      <c r="AT81" s="341">
        <v>25.1</v>
      </c>
      <c r="AU81" s="341">
        <f>AT81-AS81</f>
        <v>0.70000000000000284</v>
      </c>
      <c r="AV81" s="303"/>
      <c r="AW81" s="303"/>
      <c r="AX81" s="303"/>
      <c r="AY81" s="303"/>
      <c r="AZ81" s="322" t="s">
        <v>686</v>
      </c>
      <c r="BA81" s="461">
        <v>2410.71210888</v>
      </c>
      <c r="BB81" s="461">
        <v>-2.1915467400000002</v>
      </c>
      <c r="BC81" s="461">
        <v>2003.7628854899999</v>
      </c>
      <c r="BD81" s="461">
        <v>2048.6602319799999</v>
      </c>
      <c r="BE81" s="461">
        <v>3.2089810600000002</v>
      </c>
      <c r="BF81" s="461">
        <v>3.2582901799999999</v>
      </c>
      <c r="BG81" s="461">
        <v>-0.26383278999999998</v>
      </c>
      <c r="BH81" s="461">
        <v>3.58150507</v>
      </c>
      <c r="BI81" s="461">
        <v>3.5909792500000002</v>
      </c>
      <c r="BJ81" s="461">
        <v>-1.2687103200000001</v>
      </c>
      <c r="BK81" s="461">
        <v>-1.51334317</v>
      </c>
      <c r="BL81" s="461">
        <v>0.59036367999999995</v>
      </c>
    </row>
    <row r="82" spans="1:64" ht="15" customHeight="1" x14ac:dyDescent="0.2">
      <c r="A82" s="321">
        <f t="shared" si="27"/>
        <v>62008003</v>
      </c>
      <c r="B82" s="321" t="s">
        <v>643</v>
      </c>
      <c r="C82" s="321" t="s">
        <v>781</v>
      </c>
      <c r="D82" s="352" t="s">
        <v>724</v>
      </c>
      <c r="E82" s="307" t="s">
        <v>738</v>
      </c>
      <c r="F82" s="307" t="str">
        <f t="shared" si="28"/>
        <v>08/03/20</v>
      </c>
      <c r="G82" s="322" t="s">
        <v>737</v>
      </c>
      <c r="H82" s="322" t="s">
        <v>685</v>
      </c>
      <c r="I82" s="330"/>
      <c r="J82" s="323">
        <v>19.153658</v>
      </c>
      <c r="K82" s="323">
        <v>55.829940000000001</v>
      </c>
      <c r="L82" s="323">
        <v>29.317634999999999</v>
      </c>
      <c r="M82" s="323">
        <v>28.474785000000001</v>
      </c>
      <c r="N82" s="308">
        <v>4250</v>
      </c>
      <c r="O82" s="308">
        <v>30.36</v>
      </c>
      <c r="P82" s="308">
        <v>0.3201</v>
      </c>
      <c r="Q82" s="308">
        <v>1.9560000000000001E-2</v>
      </c>
      <c r="R82" s="309">
        <v>3.8438102500000002</v>
      </c>
      <c r="S82" s="309">
        <f>R82+R81</f>
        <v>7.4253747700000003</v>
      </c>
      <c r="T82" s="338">
        <v>10.199999999999999</v>
      </c>
      <c r="U82" s="338">
        <v>9.1</v>
      </c>
      <c r="V82" s="313">
        <v>53262</v>
      </c>
      <c r="W82" s="313">
        <v>53886</v>
      </c>
      <c r="X82" s="313">
        <f>W82-V82</f>
        <v>624</v>
      </c>
      <c r="Y82" s="313">
        <f t="shared" si="21"/>
        <v>162.33891878507791</v>
      </c>
      <c r="Z82" s="332">
        <v>669.06</v>
      </c>
      <c r="AA82" s="313">
        <v>705.63</v>
      </c>
      <c r="AB82" s="313">
        <f>AA82-Z82</f>
        <v>36.57000000000005</v>
      </c>
      <c r="AC82" s="331">
        <f t="shared" si="22"/>
        <v>9.5139972114908762</v>
      </c>
      <c r="AD82" s="332">
        <v>-8.18</v>
      </c>
      <c r="AE82" s="313">
        <v>-8.8000000000000007</v>
      </c>
      <c r="AF82" s="313">
        <f>AE82-AD82</f>
        <v>-0.62000000000000099</v>
      </c>
      <c r="AG82" s="331">
        <f t="shared" si="23"/>
        <v>-0.16129828469030202</v>
      </c>
      <c r="AH82" s="332">
        <v>0</v>
      </c>
      <c r="AI82" s="313">
        <v>0</v>
      </c>
      <c r="AJ82" s="313">
        <f>AI82-AH82</f>
        <v>0</v>
      </c>
      <c r="AK82" s="331">
        <f t="shared" si="24"/>
        <v>0</v>
      </c>
      <c r="AL82" s="332">
        <v>0</v>
      </c>
      <c r="AM82" s="313">
        <v>0</v>
      </c>
      <c r="AN82" s="313">
        <f>AM82-AL82</f>
        <v>0</v>
      </c>
      <c r="AO82" s="331">
        <f t="shared" si="25"/>
        <v>0</v>
      </c>
      <c r="AP82" s="303">
        <v>10.199999999999999</v>
      </c>
      <c r="AQ82" s="303">
        <v>9.1</v>
      </c>
      <c r="AR82" s="303">
        <f>AQ82-AP82</f>
        <v>-1.0999999999999996</v>
      </c>
      <c r="AS82" s="447">
        <v>25.1</v>
      </c>
      <c r="AT82" s="341">
        <v>26.3</v>
      </c>
      <c r="AU82" s="341">
        <f>AT82-AS82</f>
        <v>1.1999999999999993</v>
      </c>
      <c r="AV82" s="303"/>
      <c r="AW82" s="303"/>
      <c r="AX82" s="303"/>
      <c r="AY82" s="303"/>
      <c r="AZ82" s="322" t="s">
        <v>686</v>
      </c>
      <c r="BA82" s="461">
        <v>1482.279378</v>
      </c>
      <c r="BB82" s="461">
        <v>-2.0844137699999998</v>
      </c>
      <c r="BC82" s="461">
        <v>3344.8385637800002</v>
      </c>
      <c r="BD82" s="461">
        <v>3416.04303536</v>
      </c>
      <c r="BE82" s="461">
        <v>2.95445432</v>
      </c>
      <c r="BF82" s="461">
        <v>3.0184825399999999</v>
      </c>
      <c r="BG82" s="461">
        <v>-0.41846455999999999</v>
      </c>
      <c r="BH82" s="461">
        <v>3.84367722</v>
      </c>
      <c r="BI82" s="461">
        <v>3.8598292399999998</v>
      </c>
      <c r="BJ82" s="461">
        <v>-1.7396425799999999</v>
      </c>
      <c r="BK82" s="461">
        <v>-2.1212057299999998</v>
      </c>
      <c r="BL82" s="461">
        <v>0.71451750999999997</v>
      </c>
    </row>
    <row r="83" spans="1:64" ht="15" customHeight="1" x14ac:dyDescent="0.2">
      <c r="A83" s="321">
        <f t="shared" si="27"/>
        <v>62008003</v>
      </c>
      <c r="B83" s="321" t="s">
        <v>644</v>
      </c>
      <c r="C83" s="321" t="s">
        <v>782</v>
      </c>
      <c r="D83" s="352" t="s">
        <v>724</v>
      </c>
      <c r="E83" s="307" t="s">
        <v>738</v>
      </c>
      <c r="F83" s="307" t="str">
        <f t="shared" si="28"/>
        <v>08/03/20</v>
      </c>
      <c r="G83" s="322" t="s">
        <v>737</v>
      </c>
      <c r="H83" s="322" t="s">
        <v>685</v>
      </c>
      <c r="I83" s="330"/>
      <c r="J83" s="324">
        <f>AVERAGE(J81:J82)</f>
        <v>20.01709</v>
      </c>
      <c r="K83" s="324">
        <f>AVERAGE(K81:K82)</f>
        <v>52.980951500000003</v>
      </c>
      <c r="L83" s="324">
        <f>AVERAGE(L81:L82)</f>
        <v>29.318769500000002</v>
      </c>
      <c r="M83" s="324">
        <f>AVERAGE(M81:M82)</f>
        <v>28.996010500000001</v>
      </c>
      <c r="N83" s="310"/>
      <c r="O83" s="308"/>
      <c r="P83" s="326"/>
      <c r="Q83" s="325"/>
      <c r="R83" s="311">
        <f>R82+R81</f>
        <v>7.4253747700000003</v>
      </c>
      <c r="S83" s="311">
        <f>S82</f>
        <v>7.4253747700000003</v>
      </c>
      <c r="T83" s="339">
        <f>T81</f>
        <v>11.5</v>
      </c>
      <c r="U83" s="339">
        <f>U82</f>
        <v>9.1</v>
      </c>
      <c r="V83" s="314">
        <f>V81</f>
        <v>52548</v>
      </c>
      <c r="W83" s="314">
        <f>W82</f>
        <v>53886</v>
      </c>
      <c r="X83" s="314">
        <f>SUM(X81:X82)</f>
        <v>1338</v>
      </c>
      <c r="Y83" s="314">
        <f t="shared" si="21"/>
        <v>180.19292513096951</v>
      </c>
      <c r="Z83" s="314">
        <f>Z81</f>
        <v>647.5</v>
      </c>
      <c r="AA83" s="314">
        <f>AA82</f>
        <v>705.63</v>
      </c>
      <c r="AB83" s="314">
        <f>SUM(AB81:AB82)</f>
        <v>58.120000000000005</v>
      </c>
      <c r="AC83" s="312">
        <f t="shared" si="22"/>
        <v>7.8272143562122185</v>
      </c>
      <c r="AD83" s="314">
        <f>AD81</f>
        <v>-7.61</v>
      </c>
      <c r="AE83" s="314">
        <f>AE82</f>
        <v>-8.8000000000000007</v>
      </c>
      <c r="AF83" s="314">
        <f>SUM(AF81:AF82)</f>
        <v>-1.1900000000000004</v>
      </c>
      <c r="AG83" s="312">
        <f t="shared" si="23"/>
        <v>-0.16026127123008505</v>
      </c>
      <c r="AH83" s="314">
        <f>AH81</f>
        <v>0</v>
      </c>
      <c r="AI83" s="314">
        <f>AI82</f>
        <v>0</v>
      </c>
      <c r="AJ83" s="314">
        <f>SUM(AJ81:AJ82)</f>
        <v>0</v>
      </c>
      <c r="AK83" s="312">
        <f t="shared" si="24"/>
        <v>0</v>
      </c>
      <c r="AL83" s="314">
        <f>AL81</f>
        <v>0</v>
      </c>
      <c r="AM83" s="314">
        <f>AM82</f>
        <v>0</v>
      </c>
      <c r="AN83" s="314">
        <f>SUM(AN81:AN82)</f>
        <v>0</v>
      </c>
      <c r="AO83" s="312">
        <f t="shared" si="25"/>
        <v>0</v>
      </c>
      <c r="AP83" s="305"/>
      <c r="AQ83" s="305"/>
      <c r="AR83" s="305">
        <f>SUM(AR81:AR82)</f>
        <v>-2.4000000000000004</v>
      </c>
      <c r="AS83" s="342">
        <f>AS81</f>
        <v>24.4</v>
      </c>
      <c r="AT83" s="342">
        <f>AT82</f>
        <v>26.3</v>
      </c>
      <c r="AU83" s="342">
        <f>SUM(AU81:AU82)</f>
        <v>1.9000000000000021</v>
      </c>
      <c r="AV83" s="305"/>
      <c r="AW83" s="305"/>
      <c r="AX83" s="305"/>
      <c r="AY83" s="305"/>
      <c r="AZ83" s="322" t="s">
        <v>686</v>
      </c>
    </row>
    <row r="84" spans="1:64" ht="15" customHeight="1" x14ac:dyDescent="0.2">
      <c r="A84" s="321">
        <f>A83+1</f>
        <v>62008004</v>
      </c>
      <c r="B84" s="321" t="s">
        <v>636</v>
      </c>
      <c r="C84" s="321" t="s">
        <v>773</v>
      </c>
      <c r="D84" s="352" t="s">
        <v>727</v>
      </c>
      <c r="E84" s="307" t="s">
        <v>739</v>
      </c>
      <c r="F84" s="307" t="str">
        <f t="shared" si="28"/>
        <v>08/03/20</v>
      </c>
      <c r="G84" s="322" t="s">
        <v>740</v>
      </c>
      <c r="H84" s="322" t="s">
        <v>685</v>
      </c>
      <c r="I84" s="330"/>
      <c r="J84" s="323"/>
      <c r="K84" s="323"/>
      <c r="L84" s="323"/>
      <c r="M84" s="323"/>
      <c r="N84" s="308">
        <v>4250</v>
      </c>
      <c r="O84" s="308">
        <v>30.36</v>
      </c>
      <c r="P84" s="308">
        <v>0.3201</v>
      </c>
      <c r="Q84" s="308">
        <v>1.9560000000000001E-2</v>
      </c>
      <c r="R84" s="309">
        <v>17.283012679999999</v>
      </c>
      <c r="S84" s="309">
        <f>R84+R83</f>
        <v>24.70838745</v>
      </c>
      <c r="T84" s="338">
        <v>9.1</v>
      </c>
      <c r="U84" s="338">
        <v>0</v>
      </c>
      <c r="V84" s="313">
        <v>53889</v>
      </c>
      <c r="W84" s="313">
        <v>58749</v>
      </c>
      <c r="X84" s="313">
        <f>W84-V84</f>
        <v>4860</v>
      </c>
      <c r="Y84" s="313">
        <f t="shared" si="21"/>
        <v>281.20097404221775</v>
      </c>
      <c r="Z84" s="332">
        <v>708.13</v>
      </c>
      <c r="AA84" s="313">
        <v>748.73</v>
      </c>
      <c r="AB84" s="313">
        <f>AA84-Z84</f>
        <v>40.600000000000023</v>
      </c>
      <c r="AC84" s="331">
        <f t="shared" si="22"/>
        <v>2.3491274786242897</v>
      </c>
      <c r="AD84" s="332">
        <v>-7.72</v>
      </c>
      <c r="AE84" s="313">
        <v>-8</v>
      </c>
      <c r="AF84" s="313">
        <f>AE84-AD84</f>
        <v>-0.28000000000000025</v>
      </c>
      <c r="AG84" s="331">
        <f t="shared" si="23"/>
        <v>-1.6200879162926139E-2</v>
      </c>
      <c r="AH84" s="332">
        <v>0</v>
      </c>
      <c r="AI84" s="313">
        <v>0</v>
      </c>
      <c r="AJ84" s="313">
        <f>AI84-AH84</f>
        <v>0</v>
      </c>
      <c r="AK84" s="331">
        <f t="shared" si="24"/>
        <v>0</v>
      </c>
      <c r="AL84" s="332">
        <v>0</v>
      </c>
      <c r="AM84" s="313">
        <v>0</v>
      </c>
      <c r="AN84" s="313">
        <f>AM84-AL84</f>
        <v>0</v>
      </c>
      <c r="AO84" s="331">
        <f t="shared" si="25"/>
        <v>0</v>
      </c>
      <c r="AP84" s="303">
        <v>9.1</v>
      </c>
      <c r="AQ84" s="303">
        <v>0</v>
      </c>
      <c r="AR84" s="303">
        <f>AQ84-AP84</f>
        <v>-9.1</v>
      </c>
      <c r="AS84" s="447">
        <v>26.8</v>
      </c>
      <c r="AT84" s="341">
        <v>28.1</v>
      </c>
      <c r="AU84" s="341">
        <f>AT84-AS84</f>
        <v>1.3000000000000007</v>
      </c>
      <c r="AV84" s="303"/>
      <c r="AW84" s="303"/>
      <c r="AX84" s="303"/>
      <c r="AY84" s="303"/>
      <c r="AZ84" s="322" t="s">
        <v>686</v>
      </c>
      <c r="BA84" s="461">
        <v>130.88205984000001</v>
      </c>
      <c r="BB84" s="461">
        <v>7.9122898900000003</v>
      </c>
      <c r="BC84" s="461">
        <v>627.13443096000003</v>
      </c>
      <c r="BD84" s="461">
        <v>581.15200000000004</v>
      </c>
      <c r="BE84" s="461">
        <v>16.54371394</v>
      </c>
      <c r="BF84" s="461">
        <v>18.134623879999999</v>
      </c>
      <c r="BG84" s="461">
        <v>-4.9386176500000003</v>
      </c>
      <c r="BH84" s="461">
        <v>17.283147580000001</v>
      </c>
      <c r="BI84" s="461">
        <v>18.181039609999999</v>
      </c>
      <c r="BJ84" s="461">
        <v>-4.2028664500000001</v>
      </c>
      <c r="BK84" s="461">
        <v>-8.7727760400000001</v>
      </c>
      <c r="BL84" s="461">
        <v>4.5552160000000001E-2</v>
      </c>
    </row>
    <row r="85" spans="1:64" ht="15" customHeight="1" x14ac:dyDescent="0.2">
      <c r="A85" s="321">
        <f>A84+1</f>
        <v>62008005</v>
      </c>
      <c r="B85" s="367" t="s">
        <v>645</v>
      </c>
      <c r="C85" s="367" t="s">
        <v>773</v>
      </c>
      <c r="D85" s="352" t="s">
        <v>731</v>
      </c>
      <c r="E85" s="307" t="s">
        <v>741</v>
      </c>
      <c r="F85" s="307" t="str">
        <f t="shared" si="28"/>
        <v>08/03/20</v>
      </c>
      <c r="G85" s="322" t="s">
        <v>742</v>
      </c>
      <c r="H85" s="322" t="s">
        <v>685</v>
      </c>
      <c r="I85" s="330"/>
      <c r="J85" s="323"/>
      <c r="K85" s="323"/>
      <c r="L85" s="323"/>
      <c r="M85" s="323"/>
      <c r="N85" s="308">
        <v>4250</v>
      </c>
      <c r="O85" s="308">
        <v>30.36</v>
      </c>
      <c r="P85" s="308">
        <v>0.3201</v>
      </c>
      <c r="Q85" s="308">
        <v>1.9560000000000001E-2</v>
      </c>
      <c r="R85" s="309">
        <v>3.1348099999999997E-2</v>
      </c>
      <c r="S85" s="309">
        <f>R85+R84</f>
        <v>17.314360779999998</v>
      </c>
      <c r="T85" s="338" t="s">
        <v>997</v>
      </c>
      <c r="U85" s="338" t="s">
        <v>998</v>
      </c>
      <c r="V85" s="313">
        <v>58749</v>
      </c>
      <c r="W85" s="313">
        <v>-2081</v>
      </c>
      <c r="X85" s="313">
        <f>W85-V85</f>
        <v>-60830</v>
      </c>
      <c r="Y85" s="313">
        <f t="shared" si="21"/>
        <v>-1940468.4813433671</v>
      </c>
      <c r="Z85" s="332">
        <v>748.75</v>
      </c>
      <c r="AA85" s="313">
        <v>1697.93</v>
      </c>
      <c r="AB85" s="313">
        <f>AA85-Z85</f>
        <v>949.18000000000006</v>
      </c>
      <c r="AC85" s="331">
        <f t="shared" si="22"/>
        <v>30278.709076467159</v>
      </c>
      <c r="AD85" s="332">
        <v>-6.03</v>
      </c>
      <c r="AE85" s="313">
        <v>-23.84</v>
      </c>
      <c r="AF85" s="313">
        <f>AE85-AD85</f>
        <v>-17.809999999999999</v>
      </c>
      <c r="AG85" s="331">
        <f t="shared" si="23"/>
        <v>-568.13650588073915</v>
      </c>
      <c r="AH85" s="332" t="s">
        <v>999</v>
      </c>
      <c r="AI85" s="313" t="s">
        <v>1000</v>
      </c>
      <c r="AJ85" s="313" t="e">
        <f>AI85-AH85</f>
        <v>#VALUE!</v>
      </c>
      <c r="AK85" s="331" t="e">
        <f t="shared" si="24"/>
        <v>#VALUE!</v>
      </c>
      <c r="AL85" s="332" t="s">
        <v>1001</v>
      </c>
      <c r="AM85" s="313" t="s">
        <v>1002</v>
      </c>
      <c r="AN85" s="313" t="e">
        <f>AM85-AL85</f>
        <v>#VALUE!</v>
      </c>
      <c r="AO85" s="331" t="e">
        <f t="shared" si="25"/>
        <v>#VALUE!</v>
      </c>
      <c r="AP85" s="303" t="s">
        <v>997</v>
      </c>
      <c r="AQ85" s="303" t="s">
        <v>1003</v>
      </c>
      <c r="AR85" s="303" t="e">
        <f>AQ85-AP85</f>
        <v>#VALUE!</v>
      </c>
      <c r="AS85" s="447">
        <v>29.4</v>
      </c>
      <c r="AT85" s="341">
        <v>68027.600000000006</v>
      </c>
      <c r="AU85" s="341">
        <f>AT85-AS85</f>
        <v>67998.200000000012</v>
      </c>
      <c r="AV85" s="303"/>
      <c r="AW85" s="303"/>
      <c r="AX85" s="303"/>
      <c r="AY85" s="303"/>
      <c r="AZ85" s="322" t="s">
        <v>714</v>
      </c>
      <c r="BA85" s="461">
        <v>0</v>
      </c>
      <c r="BB85" s="461" t="s">
        <v>691</v>
      </c>
      <c r="BC85" s="461">
        <v>0</v>
      </c>
      <c r="BD85" s="461">
        <v>0</v>
      </c>
      <c r="BE85" s="461">
        <v>0</v>
      </c>
      <c r="BF85" s="461">
        <v>0</v>
      </c>
      <c r="BG85" s="461" t="s">
        <v>691</v>
      </c>
      <c r="BH85" s="461">
        <v>0</v>
      </c>
      <c r="BI85" s="461">
        <v>0</v>
      </c>
      <c r="BJ85" s="461" t="s">
        <v>691</v>
      </c>
      <c r="BK85" s="461" t="s">
        <v>691</v>
      </c>
      <c r="BL85" s="461" t="s">
        <v>691</v>
      </c>
    </row>
    <row r="86" spans="1:64" ht="15" customHeight="1" x14ac:dyDescent="0.2">
      <c r="A86" s="485" t="s">
        <v>849</v>
      </c>
      <c r="B86" s="362"/>
      <c r="C86" s="362"/>
      <c r="D86" s="363"/>
      <c r="E86" s="362"/>
      <c r="F86" s="362"/>
      <c r="G86" s="363"/>
      <c r="H86" s="363"/>
      <c r="I86" s="363"/>
      <c r="J86" s="363"/>
      <c r="K86" s="363"/>
      <c r="L86" s="363"/>
      <c r="M86" s="363"/>
      <c r="N86" s="363"/>
      <c r="O86" s="363"/>
      <c r="P86" s="364"/>
      <c r="Q86" s="365"/>
      <c r="R86" s="362"/>
      <c r="S86" s="362"/>
      <c r="T86" s="362"/>
      <c r="U86" s="362"/>
      <c r="V86" s="369"/>
      <c r="W86" s="369"/>
      <c r="X86" s="362"/>
      <c r="Y86" s="362"/>
      <c r="Z86" s="369"/>
      <c r="AA86" s="369"/>
      <c r="AB86" s="362"/>
      <c r="AC86" s="362"/>
      <c r="AD86" s="369"/>
      <c r="AE86" s="369"/>
      <c r="AF86" s="362"/>
      <c r="AG86" s="362"/>
      <c r="AH86" s="362"/>
      <c r="AI86" s="362"/>
      <c r="AJ86" s="362"/>
      <c r="AK86" s="362"/>
      <c r="AL86" s="369"/>
      <c r="AM86" s="369"/>
      <c r="AN86" s="362"/>
      <c r="AO86" s="362"/>
      <c r="AP86" s="362"/>
      <c r="AQ86" s="362"/>
      <c r="AR86" s="362"/>
      <c r="AS86" s="362"/>
      <c r="AT86" s="362"/>
      <c r="AU86" s="362"/>
      <c r="AV86" s="362"/>
      <c r="AW86" s="362"/>
      <c r="AX86" s="362"/>
      <c r="AY86" s="362"/>
      <c r="AZ86" s="362"/>
      <c r="BA86" s="362"/>
      <c r="BB86" s="362"/>
      <c r="BC86" s="362"/>
      <c r="BD86" s="362"/>
      <c r="BE86" s="362"/>
      <c r="BF86" s="362"/>
      <c r="BG86" s="362"/>
      <c r="BH86" s="362"/>
      <c r="BI86" s="362"/>
      <c r="BJ86" s="362"/>
      <c r="BK86" s="362"/>
      <c r="BL86" s="366"/>
    </row>
    <row r="87" spans="1:64" ht="15" customHeight="1" x14ac:dyDescent="0.2">
      <c r="A87" s="328">
        <v>62008006</v>
      </c>
      <c r="B87" s="321" t="s">
        <v>528</v>
      </c>
      <c r="C87" s="321" t="s">
        <v>773</v>
      </c>
      <c r="D87" s="352" t="s">
        <v>743</v>
      </c>
      <c r="E87" s="307" t="s">
        <v>744</v>
      </c>
      <c r="F87" s="307" t="str">
        <f t="shared" si="28"/>
        <v>08/04/20</v>
      </c>
      <c r="G87" s="322" t="s">
        <v>745</v>
      </c>
      <c r="H87" s="322" t="s">
        <v>746</v>
      </c>
      <c r="I87" s="330"/>
      <c r="J87" s="323"/>
      <c r="K87" s="323"/>
      <c r="L87" s="323"/>
      <c r="M87" s="323"/>
      <c r="N87" s="308">
        <v>4250</v>
      </c>
      <c r="O87" s="308">
        <v>30.36</v>
      </c>
      <c r="P87" s="308">
        <v>0.3201</v>
      </c>
      <c r="Q87" s="308">
        <v>1.9560000000000001E-2</v>
      </c>
      <c r="R87" s="309">
        <v>8.9878879999999999</v>
      </c>
      <c r="S87" s="309">
        <f t="shared" ref="S87:S98" si="29">R87+R86</f>
        <v>8.9878879999999999</v>
      </c>
      <c r="T87" s="338">
        <v>97.5</v>
      </c>
      <c r="U87" s="338">
        <v>97.6</v>
      </c>
      <c r="V87" s="313">
        <v>6</v>
      </c>
      <c r="W87" s="313">
        <v>-75</v>
      </c>
      <c r="X87" s="313">
        <f t="shared" ref="X87:X98" si="30">W87-V87</f>
        <v>-81</v>
      </c>
      <c r="Y87" s="313">
        <f t="shared" ref="Y87:Y98" si="31">X87/$R87</f>
        <v>-9.012128322026264</v>
      </c>
      <c r="Z87" s="332">
        <v>5.1007049999999996</v>
      </c>
      <c r="AA87" s="313">
        <v>68.599999999999994</v>
      </c>
      <c r="AB87" s="313">
        <f t="shared" ref="AB87:AB98" si="32">AA87-Z87</f>
        <v>63.499294999999996</v>
      </c>
      <c r="AC87" s="331">
        <f t="shared" ref="AC87:AC98" si="33">AB87/$R87</f>
        <v>7.0649851222000093</v>
      </c>
      <c r="AD87" s="332">
        <v>1.1000000000000001</v>
      </c>
      <c r="AE87" s="313">
        <v>-0.02</v>
      </c>
      <c r="AF87" s="313">
        <f t="shared" ref="AF87:AF98" si="34">AE87-AD87</f>
        <v>-1.1200000000000001</v>
      </c>
      <c r="AG87" s="331">
        <f t="shared" ref="AG87:AG98" si="35">AF87/$R87</f>
        <v>-0.12461214469962244</v>
      </c>
      <c r="AH87" s="332">
        <v>0</v>
      </c>
      <c r="AI87" s="313">
        <v>0</v>
      </c>
      <c r="AJ87" s="313">
        <f t="shared" ref="AJ87:AJ98" si="36">AI87-AH87</f>
        <v>0</v>
      </c>
      <c r="AK87" s="331">
        <f t="shared" ref="AK87:AK98" si="37">AJ87/$R87</f>
        <v>0</v>
      </c>
      <c r="AL87" s="332">
        <v>0</v>
      </c>
      <c r="AM87" s="313">
        <v>0</v>
      </c>
      <c r="AN87" s="313">
        <f t="shared" ref="AN87:AN98" si="38">AM87-AL87</f>
        <v>0</v>
      </c>
      <c r="AO87" s="331">
        <f t="shared" ref="AO87:AO98" si="39">AN87/$R87</f>
        <v>0</v>
      </c>
      <c r="AP87" s="303">
        <v>97.5</v>
      </c>
      <c r="AQ87" s="303">
        <v>97.6</v>
      </c>
      <c r="AR87" s="303">
        <f t="shared" ref="AR87:AR98" si="40">AQ87-AP87</f>
        <v>9.9999999999994316E-2</v>
      </c>
      <c r="AS87" s="447">
        <v>0.5</v>
      </c>
      <c r="AT87" s="341">
        <v>2.6</v>
      </c>
      <c r="AU87" s="341">
        <f t="shared" ref="AU87:AU98" si="41">AT87-AS87</f>
        <v>2.1</v>
      </c>
      <c r="AV87" s="303"/>
      <c r="AW87" s="303"/>
      <c r="AX87" s="303"/>
      <c r="AY87" s="303"/>
      <c r="AZ87" s="322" t="s">
        <v>686</v>
      </c>
      <c r="BA87" s="461">
        <v>0</v>
      </c>
      <c r="BB87" s="461" t="s">
        <v>747</v>
      </c>
      <c r="BC87" s="461">
        <v>712.77433110000004</v>
      </c>
      <c r="BD87" s="461">
        <v>0</v>
      </c>
      <c r="BE87" s="461">
        <v>4.1900419299999996</v>
      </c>
      <c r="BF87" s="461">
        <v>0</v>
      </c>
      <c r="BG87" s="461" t="s">
        <v>747</v>
      </c>
      <c r="BH87" s="461">
        <v>8.9876304699999991</v>
      </c>
      <c r="BI87" s="461">
        <v>0</v>
      </c>
      <c r="BJ87" s="461" t="s">
        <v>691</v>
      </c>
      <c r="BK87" s="461" t="s">
        <v>747</v>
      </c>
      <c r="BL87" s="461" t="s">
        <v>691</v>
      </c>
    </row>
    <row r="88" spans="1:64" ht="15" customHeight="1" x14ac:dyDescent="0.2">
      <c r="A88" s="328">
        <v>62008007</v>
      </c>
      <c r="B88" s="321" t="s">
        <v>678</v>
      </c>
      <c r="C88" s="321" t="s">
        <v>773</v>
      </c>
      <c r="D88" s="352" t="s">
        <v>748</v>
      </c>
      <c r="E88" s="307" t="s">
        <v>749</v>
      </c>
      <c r="F88" s="307" t="str">
        <f t="shared" si="28"/>
        <v>08/04/20</v>
      </c>
      <c r="G88" s="322" t="s">
        <v>750</v>
      </c>
      <c r="H88" s="322" t="s">
        <v>685</v>
      </c>
      <c r="I88" s="330"/>
      <c r="J88" s="323"/>
      <c r="K88" s="323"/>
      <c r="L88" s="323"/>
      <c r="M88" s="323"/>
      <c r="N88" s="308">
        <v>4250</v>
      </c>
      <c r="O88" s="308">
        <v>30.36</v>
      </c>
      <c r="P88" s="308">
        <v>0.3201</v>
      </c>
      <c r="Q88" s="308">
        <v>1.9560000000000001E-2</v>
      </c>
      <c r="R88" s="309">
        <v>9.5518603899999999</v>
      </c>
      <c r="S88" s="309">
        <f t="shared" si="29"/>
        <v>18.53974839</v>
      </c>
      <c r="T88" s="338">
        <v>97.6</v>
      </c>
      <c r="U88" s="338">
        <v>94.6</v>
      </c>
      <c r="V88" s="313">
        <v>-70</v>
      </c>
      <c r="W88" s="313">
        <v>2209</v>
      </c>
      <c r="X88" s="313">
        <f t="shared" si="30"/>
        <v>2279</v>
      </c>
      <c r="Y88" s="313">
        <f t="shared" si="31"/>
        <v>238.59226443321162</v>
      </c>
      <c r="Z88" s="332">
        <v>72.469633000000002</v>
      </c>
      <c r="AA88" s="313">
        <v>100.55939600000001</v>
      </c>
      <c r="AB88" s="313">
        <f t="shared" si="32"/>
        <v>28.089763000000005</v>
      </c>
      <c r="AC88" s="331">
        <f t="shared" si="33"/>
        <v>2.9407635636517093</v>
      </c>
      <c r="AD88" s="332">
        <v>1.34</v>
      </c>
      <c r="AE88" s="313">
        <v>0.42</v>
      </c>
      <c r="AF88" s="313">
        <f t="shared" si="34"/>
        <v>-0.92000000000000015</v>
      </c>
      <c r="AG88" s="331">
        <f t="shared" si="35"/>
        <v>-9.6316315611476411E-2</v>
      </c>
      <c r="AH88" s="332">
        <v>0</v>
      </c>
      <c r="AI88" s="313">
        <v>0</v>
      </c>
      <c r="AJ88" s="313">
        <f t="shared" si="36"/>
        <v>0</v>
      </c>
      <c r="AK88" s="331">
        <f t="shared" si="37"/>
        <v>0</v>
      </c>
      <c r="AL88" s="332">
        <v>0</v>
      </c>
      <c r="AM88" s="313">
        <v>0</v>
      </c>
      <c r="AN88" s="313">
        <f t="shared" si="38"/>
        <v>0</v>
      </c>
      <c r="AO88" s="331">
        <f t="shared" si="39"/>
        <v>0</v>
      </c>
      <c r="AP88" s="303">
        <v>97.6</v>
      </c>
      <c r="AQ88" s="303">
        <v>94.6</v>
      </c>
      <c r="AR88" s="303">
        <f t="shared" si="40"/>
        <v>-3</v>
      </c>
      <c r="AS88" s="447">
        <v>3.4</v>
      </c>
      <c r="AT88" s="341">
        <v>4.4000000000000004</v>
      </c>
      <c r="AU88" s="341">
        <f t="shared" si="41"/>
        <v>1.0000000000000004</v>
      </c>
      <c r="AV88" s="303"/>
      <c r="AW88" s="303"/>
      <c r="AX88" s="303"/>
      <c r="AY88" s="303"/>
      <c r="AZ88" s="322" t="s">
        <v>686</v>
      </c>
      <c r="BA88" s="461">
        <v>164.15193822000001</v>
      </c>
      <c r="BB88" s="461">
        <v>5.1195961499999996</v>
      </c>
      <c r="BC88" s="461">
        <v>517.63920352000002</v>
      </c>
      <c r="BD88" s="461">
        <v>492.42883578999999</v>
      </c>
      <c r="BE88" s="461">
        <v>7.7015584600000002</v>
      </c>
      <c r="BF88" s="461">
        <v>7.7252096000000003</v>
      </c>
      <c r="BG88" s="461">
        <v>-0.12506665</v>
      </c>
      <c r="BH88" s="461">
        <v>9.5519401100000003</v>
      </c>
      <c r="BI88" s="461">
        <v>9.5639013599999991</v>
      </c>
      <c r="BJ88" s="461">
        <v>-0.18164473</v>
      </c>
      <c r="BK88" s="461">
        <v>-0.30615526999999998</v>
      </c>
      <c r="BL88" s="461">
        <v>7.656085E-2</v>
      </c>
    </row>
    <row r="89" spans="1:64" ht="15" customHeight="1" x14ac:dyDescent="0.2">
      <c r="A89" s="328">
        <v>62008007</v>
      </c>
      <c r="B89" s="321" t="s">
        <v>678</v>
      </c>
      <c r="C89" s="321" t="s">
        <v>774</v>
      </c>
      <c r="D89" s="352" t="s">
        <v>748</v>
      </c>
      <c r="E89" s="307" t="s">
        <v>749</v>
      </c>
      <c r="F89" s="307" t="str">
        <f t="shared" si="28"/>
        <v>08/04/20</v>
      </c>
      <c r="G89" s="322" t="s">
        <v>750</v>
      </c>
      <c r="H89" s="322" t="s">
        <v>685</v>
      </c>
      <c r="I89" s="330"/>
      <c r="J89" s="323"/>
      <c r="K89" s="323"/>
      <c r="L89" s="323"/>
      <c r="M89" s="323"/>
      <c r="N89" s="308">
        <v>4250</v>
      </c>
      <c r="O89" s="308">
        <v>30.36</v>
      </c>
      <c r="P89" s="308">
        <v>0.3201</v>
      </c>
      <c r="Q89" s="308">
        <v>1.9560000000000001E-2</v>
      </c>
      <c r="R89" s="309">
        <v>11.54310802</v>
      </c>
      <c r="S89" s="309">
        <f t="shared" si="29"/>
        <v>21.09496841</v>
      </c>
      <c r="T89" s="338">
        <v>94.6</v>
      </c>
      <c r="U89" s="338">
        <v>90.4</v>
      </c>
      <c r="V89" s="313">
        <v>2210</v>
      </c>
      <c r="W89" s="313">
        <v>5058</v>
      </c>
      <c r="X89" s="313">
        <f t="shared" si="30"/>
        <v>2848</v>
      </c>
      <c r="Y89" s="313">
        <f t="shared" si="31"/>
        <v>246.72731079579725</v>
      </c>
      <c r="Z89" s="332">
        <v>100.96</v>
      </c>
      <c r="AA89" s="313">
        <v>141.78</v>
      </c>
      <c r="AB89" s="313">
        <f t="shared" si="32"/>
        <v>40.820000000000007</v>
      </c>
      <c r="AC89" s="331">
        <f t="shared" si="33"/>
        <v>3.53630927903246</v>
      </c>
      <c r="AD89" s="332">
        <v>0.41</v>
      </c>
      <c r="AE89" s="313">
        <v>-0.3</v>
      </c>
      <c r="AF89" s="313">
        <f t="shared" si="34"/>
        <v>-0.71</v>
      </c>
      <c r="AG89" s="331">
        <f t="shared" si="35"/>
        <v>-6.1508564137997206E-2</v>
      </c>
      <c r="AH89" s="332">
        <v>0</v>
      </c>
      <c r="AI89" s="313">
        <v>0</v>
      </c>
      <c r="AJ89" s="313">
        <f t="shared" si="36"/>
        <v>0</v>
      </c>
      <c r="AK89" s="331">
        <f t="shared" si="37"/>
        <v>0</v>
      </c>
      <c r="AL89" s="332">
        <v>0</v>
      </c>
      <c r="AM89" s="313">
        <v>0</v>
      </c>
      <c r="AN89" s="313">
        <f t="shared" si="38"/>
        <v>0</v>
      </c>
      <c r="AO89" s="331">
        <f t="shared" si="39"/>
        <v>0</v>
      </c>
      <c r="AP89" s="303">
        <v>94.6</v>
      </c>
      <c r="AQ89" s="303">
        <v>90.4</v>
      </c>
      <c r="AR89" s="303">
        <f t="shared" si="40"/>
        <v>-4.1999999999999886</v>
      </c>
      <c r="AS89" s="447">
        <v>4.4000000000000004</v>
      </c>
      <c r="AT89" s="341">
        <v>5.7</v>
      </c>
      <c r="AU89" s="341">
        <f t="shared" si="41"/>
        <v>1.2999999999999998</v>
      </c>
      <c r="AV89" s="303"/>
      <c r="AW89" s="303"/>
      <c r="AX89" s="303"/>
      <c r="AY89" s="303"/>
      <c r="AZ89" s="322" t="s">
        <v>686</v>
      </c>
      <c r="BA89" s="461">
        <v>724.29608724000002</v>
      </c>
      <c r="BB89" s="461">
        <v>12.637378959999999</v>
      </c>
      <c r="BC89" s="461">
        <v>805.65462222999997</v>
      </c>
      <c r="BD89" s="461">
        <v>715.26400000000001</v>
      </c>
      <c r="BE89" s="461">
        <v>9.9759537399999996</v>
      </c>
      <c r="BF89" s="461">
        <v>10.05373563</v>
      </c>
      <c r="BG89" s="461">
        <v>-0.10685753000000001</v>
      </c>
      <c r="BH89" s="461">
        <v>11.543183040000001</v>
      </c>
      <c r="BI89" s="461">
        <v>11.555531</v>
      </c>
      <c r="BJ89" s="461">
        <v>-0.67200311999999995</v>
      </c>
      <c r="BK89" s="461">
        <v>-0.77366162000000005</v>
      </c>
      <c r="BL89" s="461">
        <v>0.12446387</v>
      </c>
    </row>
    <row r="90" spans="1:64" ht="15" customHeight="1" x14ac:dyDescent="0.2">
      <c r="A90" s="328">
        <v>62008007</v>
      </c>
      <c r="B90" s="321" t="s">
        <v>678</v>
      </c>
      <c r="C90" s="321" t="s">
        <v>776</v>
      </c>
      <c r="D90" s="352" t="s">
        <v>748</v>
      </c>
      <c r="E90" s="307" t="s">
        <v>749</v>
      </c>
      <c r="F90" s="307" t="str">
        <f t="shared" si="28"/>
        <v>08/04/20</v>
      </c>
      <c r="G90" s="322" t="s">
        <v>750</v>
      </c>
      <c r="H90" s="322" t="s">
        <v>685</v>
      </c>
      <c r="I90" s="330"/>
      <c r="J90" s="323"/>
      <c r="K90" s="323"/>
      <c r="L90" s="323"/>
      <c r="M90" s="323"/>
      <c r="N90" s="308">
        <v>4250</v>
      </c>
      <c r="O90" s="308">
        <v>30.36</v>
      </c>
      <c r="P90" s="308">
        <v>0.3201</v>
      </c>
      <c r="Q90" s="308">
        <v>1.9560000000000001E-2</v>
      </c>
      <c r="R90" s="309">
        <v>11.54320221</v>
      </c>
      <c r="S90" s="309">
        <f t="shared" si="29"/>
        <v>23.086310230000002</v>
      </c>
      <c r="T90" s="338">
        <v>90.4</v>
      </c>
      <c r="U90" s="338">
        <v>81.3</v>
      </c>
      <c r="V90" s="313">
        <v>5059</v>
      </c>
      <c r="W90" s="313">
        <v>10982</v>
      </c>
      <c r="X90" s="313">
        <f t="shared" si="30"/>
        <v>5923</v>
      </c>
      <c r="Y90" s="313">
        <f t="shared" si="31"/>
        <v>513.11584881263207</v>
      </c>
      <c r="Z90" s="332">
        <v>142.6</v>
      </c>
      <c r="AA90" s="313">
        <v>183.07</v>
      </c>
      <c r="AB90" s="313">
        <f t="shared" si="32"/>
        <v>40.47</v>
      </c>
      <c r="AC90" s="331">
        <f t="shared" si="33"/>
        <v>3.5059595477709298</v>
      </c>
      <c r="AD90" s="332">
        <v>-0.31</v>
      </c>
      <c r="AE90" s="313">
        <v>-0.85836699999999999</v>
      </c>
      <c r="AF90" s="313">
        <f t="shared" si="34"/>
        <v>-0.54836700000000005</v>
      </c>
      <c r="AG90" s="331">
        <f t="shared" si="35"/>
        <v>-4.7505621925685734E-2</v>
      </c>
      <c r="AH90" s="332">
        <v>0</v>
      </c>
      <c r="AI90" s="313">
        <v>0</v>
      </c>
      <c r="AJ90" s="313">
        <f t="shared" si="36"/>
        <v>0</v>
      </c>
      <c r="AK90" s="331">
        <f t="shared" si="37"/>
        <v>0</v>
      </c>
      <c r="AL90" s="332">
        <v>0</v>
      </c>
      <c r="AM90" s="313">
        <v>0</v>
      </c>
      <c r="AN90" s="313">
        <f t="shared" si="38"/>
        <v>0</v>
      </c>
      <c r="AO90" s="331">
        <f t="shared" si="39"/>
        <v>0</v>
      </c>
      <c r="AP90" s="303">
        <v>90.4</v>
      </c>
      <c r="AQ90" s="303">
        <v>81.3</v>
      </c>
      <c r="AR90" s="303">
        <f t="shared" si="40"/>
        <v>-9.1000000000000085</v>
      </c>
      <c r="AS90" s="447">
        <v>5.8</v>
      </c>
      <c r="AT90" s="341">
        <v>7.1</v>
      </c>
      <c r="AU90" s="341">
        <f t="shared" si="41"/>
        <v>1.2999999999999998</v>
      </c>
      <c r="AV90" s="303"/>
      <c r="AW90" s="303"/>
      <c r="AX90" s="303"/>
      <c r="AY90" s="303"/>
      <c r="AZ90" s="322" t="s">
        <v>686</v>
      </c>
      <c r="BA90" s="461">
        <v>724.40958268999998</v>
      </c>
      <c r="BB90" s="461">
        <v>12.414402750000001</v>
      </c>
      <c r="BC90" s="461">
        <v>804.05975367999997</v>
      </c>
      <c r="BD90" s="461">
        <v>715.26400000000001</v>
      </c>
      <c r="BE90" s="461">
        <v>9.97211158</v>
      </c>
      <c r="BF90" s="461">
        <v>10.053595939999999</v>
      </c>
      <c r="BG90" s="461">
        <v>-0.10598502999999999</v>
      </c>
      <c r="BH90" s="461">
        <v>11.54328357</v>
      </c>
      <c r="BI90" s="461">
        <v>11.5555307</v>
      </c>
      <c r="BJ90" s="461">
        <v>-0.71027130999999999</v>
      </c>
      <c r="BK90" s="461">
        <v>-0.81049959999999999</v>
      </c>
      <c r="BL90" s="461">
        <v>0.1244656</v>
      </c>
    </row>
    <row r="91" spans="1:64" ht="15" customHeight="1" x14ac:dyDescent="0.2">
      <c r="A91" s="328">
        <v>62008007</v>
      </c>
      <c r="B91" s="321" t="s">
        <v>678</v>
      </c>
      <c r="C91" s="321" t="s">
        <v>777</v>
      </c>
      <c r="D91" s="352" t="s">
        <v>748</v>
      </c>
      <c r="E91" s="307" t="s">
        <v>749</v>
      </c>
      <c r="F91" s="307" t="str">
        <f t="shared" si="28"/>
        <v>08/04/20</v>
      </c>
      <c r="G91" s="322" t="s">
        <v>750</v>
      </c>
      <c r="H91" s="322" t="s">
        <v>685</v>
      </c>
      <c r="I91" s="330"/>
      <c r="J91" s="323"/>
      <c r="K91" s="323"/>
      <c r="L91" s="323"/>
      <c r="M91" s="323"/>
      <c r="N91" s="308">
        <v>4250</v>
      </c>
      <c r="O91" s="308">
        <v>30.36</v>
      </c>
      <c r="P91" s="308">
        <v>0.3201</v>
      </c>
      <c r="Q91" s="308">
        <v>1.9560000000000001E-2</v>
      </c>
      <c r="R91" s="309">
        <v>11.543033599999999</v>
      </c>
      <c r="S91" s="309">
        <f t="shared" si="29"/>
        <v>23.086235809999998</v>
      </c>
      <c r="T91" s="338">
        <v>81.3</v>
      </c>
      <c r="U91" s="338">
        <v>66.900000000000006</v>
      </c>
      <c r="V91" s="313">
        <v>10983</v>
      </c>
      <c r="W91" s="313">
        <v>20034</v>
      </c>
      <c r="X91" s="313">
        <f t="shared" si="30"/>
        <v>9051</v>
      </c>
      <c r="Y91" s="313">
        <f t="shared" si="31"/>
        <v>784.10930034891351</v>
      </c>
      <c r="Z91" s="332">
        <v>183.88834700000001</v>
      </c>
      <c r="AA91" s="313">
        <v>224.24</v>
      </c>
      <c r="AB91" s="313">
        <f t="shared" si="32"/>
        <v>40.351652999999999</v>
      </c>
      <c r="AC91" s="331">
        <f t="shared" si="33"/>
        <v>3.4957580821734764</v>
      </c>
      <c r="AD91" s="332">
        <v>-0.86</v>
      </c>
      <c r="AE91" s="313">
        <v>-1.34</v>
      </c>
      <c r="AF91" s="313">
        <f t="shared" si="34"/>
        <v>-0.48000000000000009</v>
      </c>
      <c r="AG91" s="331">
        <f t="shared" si="35"/>
        <v>-4.1583522723177391E-2</v>
      </c>
      <c r="AH91" s="332">
        <v>0</v>
      </c>
      <c r="AI91" s="313">
        <v>0</v>
      </c>
      <c r="AJ91" s="313">
        <f t="shared" si="36"/>
        <v>0</v>
      </c>
      <c r="AK91" s="331">
        <f t="shared" si="37"/>
        <v>0</v>
      </c>
      <c r="AL91" s="332">
        <v>0</v>
      </c>
      <c r="AM91" s="313">
        <v>0</v>
      </c>
      <c r="AN91" s="313">
        <f t="shared" si="38"/>
        <v>0</v>
      </c>
      <c r="AO91" s="331">
        <f t="shared" si="39"/>
        <v>0</v>
      </c>
      <c r="AP91" s="303">
        <v>81.3</v>
      </c>
      <c r="AQ91" s="303">
        <v>66.900000000000006</v>
      </c>
      <c r="AR91" s="303">
        <f t="shared" si="40"/>
        <v>-14.399999999999991</v>
      </c>
      <c r="AS91" s="447">
        <v>7.2</v>
      </c>
      <c r="AT91" s="341">
        <v>8.5</v>
      </c>
      <c r="AU91" s="341">
        <f t="shared" si="41"/>
        <v>1.2999999999999998</v>
      </c>
      <c r="AV91" s="303"/>
      <c r="AW91" s="303"/>
      <c r="AX91" s="303"/>
      <c r="AY91" s="303"/>
      <c r="AZ91" s="322" t="s">
        <v>686</v>
      </c>
      <c r="BA91" s="461">
        <v>724.33656589999998</v>
      </c>
      <c r="BB91" s="461">
        <v>12.39616992</v>
      </c>
      <c r="BC91" s="461">
        <v>803.92934080999999</v>
      </c>
      <c r="BD91" s="461">
        <v>715.26400000000001</v>
      </c>
      <c r="BE91" s="461">
        <v>9.9733687599999996</v>
      </c>
      <c r="BF91" s="461">
        <v>10.053531380000001</v>
      </c>
      <c r="BG91" s="461">
        <v>-0.1073803</v>
      </c>
      <c r="BH91" s="461">
        <v>11.54312242</v>
      </c>
      <c r="BI91" s="461">
        <v>11.55553078</v>
      </c>
      <c r="BJ91" s="461">
        <v>-0.69552338999999996</v>
      </c>
      <c r="BK91" s="461">
        <v>-0.79735789000000001</v>
      </c>
      <c r="BL91" s="461">
        <v>0.1244664</v>
      </c>
    </row>
    <row r="92" spans="1:64" ht="15" customHeight="1" x14ac:dyDescent="0.2">
      <c r="A92" s="328">
        <v>62008008</v>
      </c>
      <c r="B92" s="321" t="s">
        <v>679</v>
      </c>
      <c r="C92" s="321" t="s">
        <v>773</v>
      </c>
      <c r="D92" s="352" t="s">
        <v>751</v>
      </c>
      <c r="E92" s="307" t="s">
        <v>752</v>
      </c>
      <c r="F92" s="307" t="str">
        <f t="shared" si="28"/>
        <v>08/04/20</v>
      </c>
      <c r="G92" s="322" t="s">
        <v>753</v>
      </c>
      <c r="H92" s="322" t="s">
        <v>685</v>
      </c>
      <c r="I92" s="330"/>
      <c r="J92" s="323">
        <v>23.970275999999998</v>
      </c>
      <c r="K92" s="323">
        <v>42.933644999999999</v>
      </c>
      <c r="L92" s="323">
        <v>29.362463000000002</v>
      </c>
      <c r="M92" s="323">
        <v>28.999464</v>
      </c>
      <c r="N92" s="308">
        <v>4250</v>
      </c>
      <c r="O92" s="308">
        <v>30.36</v>
      </c>
      <c r="P92" s="308">
        <v>0.3201</v>
      </c>
      <c r="Q92" s="308">
        <v>1.9560000000000001E-2</v>
      </c>
      <c r="R92" s="309">
        <v>4.9971837800000003</v>
      </c>
      <c r="S92" s="309">
        <f t="shared" si="29"/>
        <v>16.540217380000001</v>
      </c>
      <c r="T92" s="338">
        <v>66.8</v>
      </c>
      <c r="U92" s="338">
        <v>65</v>
      </c>
      <c r="V92" s="313">
        <v>20038</v>
      </c>
      <c r="W92" s="313">
        <v>21213</v>
      </c>
      <c r="X92" s="313">
        <f t="shared" si="30"/>
        <v>1175</v>
      </c>
      <c r="Y92" s="313">
        <f t="shared" si="31"/>
        <v>235.1324369343086</v>
      </c>
      <c r="Z92" s="332">
        <v>228.08</v>
      </c>
      <c r="AA92" s="313">
        <v>243.287837</v>
      </c>
      <c r="AB92" s="313">
        <f t="shared" si="32"/>
        <v>15.207836999999984</v>
      </c>
      <c r="AC92" s="331">
        <f t="shared" si="33"/>
        <v>3.0432815100508437</v>
      </c>
      <c r="AD92" s="332">
        <v>-0.51</v>
      </c>
      <c r="AE92" s="313">
        <v>-0.9</v>
      </c>
      <c r="AF92" s="313">
        <f t="shared" si="34"/>
        <v>-0.39</v>
      </c>
      <c r="AG92" s="331">
        <f t="shared" si="35"/>
        <v>-7.8043957790962015E-2</v>
      </c>
      <c r="AH92" s="332">
        <v>0</v>
      </c>
      <c r="AI92" s="313">
        <v>0</v>
      </c>
      <c r="AJ92" s="313">
        <f t="shared" si="36"/>
        <v>0</v>
      </c>
      <c r="AK92" s="331">
        <f t="shared" si="37"/>
        <v>0</v>
      </c>
      <c r="AL92" s="332">
        <v>0</v>
      </c>
      <c r="AM92" s="313">
        <v>0</v>
      </c>
      <c r="AN92" s="313">
        <f t="shared" si="38"/>
        <v>0</v>
      </c>
      <c r="AO92" s="331">
        <f t="shared" si="39"/>
        <v>0</v>
      </c>
      <c r="AP92" s="303">
        <v>66.8</v>
      </c>
      <c r="AQ92" s="303">
        <v>65</v>
      </c>
      <c r="AR92" s="303">
        <f t="shared" si="40"/>
        <v>-1.7999999999999972</v>
      </c>
      <c r="AS92" s="447">
        <v>9.1999999999999993</v>
      </c>
      <c r="AT92" s="341">
        <v>9.6999999999999993</v>
      </c>
      <c r="AU92" s="341">
        <f t="shared" si="41"/>
        <v>0.5</v>
      </c>
      <c r="AV92" s="303"/>
      <c r="AW92" s="303"/>
      <c r="AX92" s="303"/>
      <c r="AY92" s="303"/>
      <c r="AZ92" s="322" t="s">
        <v>686</v>
      </c>
      <c r="BA92" s="461">
        <v>378.01526180000002</v>
      </c>
      <c r="BB92" s="461">
        <v>3.1108599799999999</v>
      </c>
      <c r="BC92" s="461">
        <v>507.04146728000001</v>
      </c>
      <c r="BD92" s="461">
        <v>491.74400000000003</v>
      </c>
      <c r="BE92" s="461">
        <v>4.1683204700000003</v>
      </c>
      <c r="BF92" s="461">
        <v>4.1826681399999996</v>
      </c>
      <c r="BG92" s="461">
        <v>-0.12500075999999999</v>
      </c>
      <c r="BH92" s="461">
        <v>4.9972197400000002</v>
      </c>
      <c r="BI92" s="461">
        <v>5.0034741199999999</v>
      </c>
      <c r="BJ92" s="461">
        <v>-0.21877658</v>
      </c>
      <c r="BK92" s="461">
        <v>-0.34302687999999998</v>
      </c>
      <c r="BL92" s="461">
        <v>0.14140435000000001</v>
      </c>
    </row>
    <row r="93" spans="1:64" ht="15" customHeight="1" x14ac:dyDescent="0.2">
      <c r="A93" s="328">
        <v>62008008</v>
      </c>
      <c r="B93" s="321" t="s">
        <v>679</v>
      </c>
      <c r="C93" s="321" t="s">
        <v>774</v>
      </c>
      <c r="D93" s="352" t="s">
        <v>751</v>
      </c>
      <c r="E93" s="307" t="s">
        <v>752</v>
      </c>
      <c r="F93" s="307" t="str">
        <f t="shared" si="28"/>
        <v>08/04/20</v>
      </c>
      <c r="G93" s="322" t="s">
        <v>753</v>
      </c>
      <c r="H93" s="322" t="s">
        <v>685</v>
      </c>
      <c r="I93" s="330"/>
      <c r="J93" s="323">
        <v>24.705966</v>
      </c>
      <c r="K93" s="323">
        <v>39.357754</v>
      </c>
      <c r="L93" s="323">
        <v>29.370832</v>
      </c>
      <c r="M93" s="323">
        <v>31.150587000000002</v>
      </c>
      <c r="N93" s="308">
        <v>4250</v>
      </c>
      <c r="O93" s="308">
        <v>30.36</v>
      </c>
      <c r="P93" s="308">
        <v>0.3201</v>
      </c>
      <c r="Q93" s="308">
        <v>1.9560000000000001E-2</v>
      </c>
      <c r="R93" s="309">
        <v>3.3809605199999999</v>
      </c>
      <c r="S93" s="309">
        <f t="shared" si="29"/>
        <v>8.3781443000000007</v>
      </c>
      <c r="T93" s="338">
        <v>65</v>
      </c>
      <c r="U93" s="338">
        <v>63.1</v>
      </c>
      <c r="V93" s="313">
        <v>21213</v>
      </c>
      <c r="W93" s="313">
        <v>22307</v>
      </c>
      <c r="X93" s="313">
        <f t="shared" si="30"/>
        <v>1094</v>
      </c>
      <c r="Y93" s="313">
        <f t="shared" si="31"/>
        <v>323.57668583482899</v>
      </c>
      <c r="Z93" s="332">
        <v>243.29789299999999</v>
      </c>
      <c r="AA93" s="313">
        <v>253.71766500000001</v>
      </c>
      <c r="AB93" s="313">
        <f t="shared" si="32"/>
        <v>10.419772000000023</v>
      </c>
      <c r="AC93" s="331">
        <f t="shared" si="33"/>
        <v>3.0818969752418237</v>
      </c>
      <c r="AD93" s="332">
        <v>-0.9</v>
      </c>
      <c r="AE93" s="313">
        <v>-1.0900000000000001</v>
      </c>
      <c r="AF93" s="313">
        <f t="shared" si="34"/>
        <v>-0.19000000000000006</v>
      </c>
      <c r="AG93" s="331">
        <f t="shared" si="35"/>
        <v>-5.61970478140928E-2</v>
      </c>
      <c r="AH93" s="332">
        <v>0</v>
      </c>
      <c r="AI93" s="313">
        <v>0</v>
      </c>
      <c r="AJ93" s="313">
        <f t="shared" si="36"/>
        <v>0</v>
      </c>
      <c r="AK93" s="331">
        <f t="shared" si="37"/>
        <v>0</v>
      </c>
      <c r="AL93" s="332">
        <v>0</v>
      </c>
      <c r="AM93" s="313">
        <v>0</v>
      </c>
      <c r="AN93" s="313">
        <f t="shared" si="38"/>
        <v>0</v>
      </c>
      <c r="AO93" s="331">
        <f t="shared" si="39"/>
        <v>0</v>
      </c>
      <c r="AP93" s="303">
        <v>65</v>
      </c>
      <c r="AQ93" s="303">
        <v>63.1</v>
      </c>
      <c r="AR93" s="303">
        <f t="shared" si="40"/>
        <v>-1.8999999999999986</v>
      </c>
      <c r="AS93" s="447">
        <v>9.6999999999999993</v>
      </c>
      <c r="AT93" s="341">
        <v>10</v>
      </c>
      <c r="AU93" s="341">
        <f t="shared" si="41"/>
        <v>0.30000000000000071</v>
      </c>
      <c r="AV93" s="303"/>
      <c r="AW93" s="303"/>
      <c r="AX93" s="303"/>
      <c r="AY93" s="303"/>
      <c r="AZ93" s="322" t="s">
        <v>686</v>
      </c>
      <c r="BA93" s="461">
        <v>16572.428620760002</v>
      </c>
      <c r="BB93" s="461">
        <v>18.845594699999999</v>
      </c>
      <c r="BC93" s="461">
        <v>1328.2183663999999</v>
      </c>
      <c r="BD93" s="461">
        <v>1117.5999999999999</v>
      </c>
      <c r="BE93" s="461">
        <v>4.9859550500000003</v>
      </c>
      <c r="BF93" s="461">
        <v>4.7083666700000002</v>
      </c>
      <c r="BG93" s="461">
        <v>-1.09300734</v>
      </c>
      <c r="BH93" s="461">
        <v>3.3809709699999999</v>
      </c>
      <c r="BI93" s="461">
        <v>3.4183336099999999</v>
      </c>
      <c r="BJ93" s="461">
        <v>6.5995614800000002</v>
      </c>
      <c r="BK93" s="461">
        <v>5.8956405600000004</v>
      </c>
      <c r="BL93" s="461">
        <v>0.46820610000000001</v>
      </c>
    </row>
    <row r="94" spans="1:64" ht="15" customHeight="1" x14ac:dyDescent="0.2">
      <c r="A94" s="328">
        <v>62008008</v>
      </c>
      <c r="B94" s="321" t="s">
        <v>679</v>
      </c>
      <c r="C94" s="321" t="s">
        <v>776</v>
      </c>
      <c r="D94" s="352" t="s">
        <v>751</v>
      </c>
      <c r="E94" s="307" t="s">
        <v>752</v>
      </c>
      <c r="F94" s="307" t="str">
        <f t="shared" si="28"/>
        <v>08/04/20</v>
      </c>
      <c r="G94" s="322" t="s">
        <v>753</v>
      </c>
      <c r="H94" s="322" t="s">
        <v>685</v>
      </c>
      <c r="I94" s="330"/>
      <c r="J94" s="323">
        <v>24.496578</v>
      </c>
      <c r="K94" s="323">
        <v>39.582039000000002</v>
      </c>
      <c r="L94" s="323">
        <v>29.368494999999999</v>
      </c>
      <c r="M94" s="323">
        <v>32.370562999999997</v>
      </c>
      <c r="N94" s="308">
        <v>4250</v>
      </c>
      <c r="O94" s="308">
        <v>30.36</v>
      </c>
      <c r="P94" s="308">
        <v>0.3201</v>
      </c>
      <c r="Q94" s="308">
        <v>1.9560000000000001E-2</v>
      </c>
      <c r="R94" s="309">
        <v>3.3733106799999999</v>
      </c>
      <c r="S94" s="309">
        <f t="shared" si="29"/>
        <v>6.7542711999999998</v>
      </c>
      <c r="T94" s="338">
        <v>63.1</v>
      </c>
      <c r="U94" s="338">
        <v>59.9</v>
      </c>
      <c r="V94" s="313">
        <v>22309</v>
      </c>
      <c r="W94" s="313">
        <v>24247</v>
      </c>
      <c r="X94" s="313">
        <f t="shared" si="30"/>
        <v>1938</v>
      </c>
      <c r="Y94" s="313">
        <f t="shared" si="31"/>
        <v>574.50978692540707</v>
      </c>
      <c r="Z94" s="332">
        <v>254.967592</v>
      </c>
      <c r="AA94" s="313">
        <v>265.24763899999999</v>
      </c>
      <c r="AB94" s="313">
        <f t="shared" si="32"/>
        <v>10.280046999999996</v>
      </c>
      <c r="AC94" s="331">
        <f t="shared" si="33"/>
        <v>3.0474652278396119</v>
      </c>
      <c r="AD94" s="332">
        <v>-1.1100000000000001</v>
      </c>
      <c r="AE94" s="313">
        <v>-1.26</v>
      </c>
      <c r="AF94" s="313">
        <f t="shared" si="34"/>
        <v>-0.14999999999999991</v>
      </c>
      <c r="AG94" s="331">
        <f t="shared" si="35"/>
        <v>-4.4466701774412289E-2</v>
      </c>
      <c r="AH94" s="332">
        <v>0</v>
      </c>
      <c r="AI94" s="313">
        <v>0</v>
      </c>
      <c r="AJ94" s="313">
        <f t="shared" si="36"/>
        <v>0</v>
      </c>
      <c r="AK94" s="331">
        <f t="shared" si="37"/>
        <v>0</v>
      </c>
      <c r="AL94" s="332">
        <v>0</v>
      </c>
      <c r="AM94" s="313">
        <v>0</v>
      </c>
      <c r="AN94" s="313">
        <f t="shared" si="38"/>
        <v>0</v>
      </c>
      <c r="AO94" s="331">
        <f t="shared" si="39"/>
        <v>0</v>
      </c>
      <c r="AP94" s="303">
        <v>63.1</v>
      </c>
      <c r="AQ94" s="303">
        <v>59.9</v>
      </c>
      <c r="AR94" s="303">
        <f t="shared" si="40"/>
        <v>-3.2000000000000028</v>
      </c>
      <c r="AS94" s="447">
        <v>10.075925</v>
      </c>
      <c r="AT94" s="341">
        <v>10.4</v>
      </c>
      <c r="AU94" s="341">
        <f t="shared" si="41"/>
        <v>0.32407500000000056</v>
      </c>
      <c r="AV94" s="303"/>
      <c r="AW94" s="303"/>
      <c r="AX94" s="303"/>
      <c r="AY94" s="303"/>
      <c r="AZ94" s="322" t="s">
        <v>686</v>
      </c>
      <c r="BA94" s="461">
        <v>16528.893025320001</v>
      </c>
      <c r="BB94" s="461">
        <v>21.841149340000001</v>
      </c>
      <c r="BC94" s="461">
        <v>1361.6966850700001</v>
      </c>
      <c r="BD94" s="461">
        <v>1117.5999999999999</v>
      </c>
      <c r="BE94" s="461">
        <v>5.0755536599999997</v>
      </c>
      <c r="BF94" s="461">
        <v>4.7083176399999997</v>
      </c>
      <c r="BG94" s="461">
        <v>-1.3167498500000001</v>
      </c>
      <c r="BH94" s="461">
        <v>3.3733236</v>
      </c>
      <c r="BI94" s="461">
        <v>3.4183345100000002</v>
      </c>
      <c r="BJ94" s="461">
        <v>8.4568661800000005</v>
      </c>
      <c r="BK94" s="461">
        <v>7.7997289700000003</v>
      </c>
      <c r="BL94" s="461">
        <v>0.46821097</v>
      </c>
    </row>
    <row r="95" spans="1:64" ht="15" customHeight="1" x14ac:dyDescent="0.2">
      <c r="A95" s="328">
        <v>62008008</v>
      </c>
      <c r="B95" s="321" t="s">
        <v>679</v>
      </c>
      <c r="C95" s="321" t="s">
        <v>777</v>
      </c>
      <c r="D95" s="352" t="s">
        <v>751</v>
      </c>
      <c r="E95" s="307" t="s">
        <v>752</v>
      </c>
      <c r="F95" s="307" t="str">
        <f t="shared" si="28"/>
        <v>08/04/20</v>
      </c>
      <c r="G95" s="322" t="s">
        <v>753</v>
      </c>
      <c r="H95" s="322" t="s">
        <v>685</v>
      </c>
      <c r="I95" s="330"/>
      <c r="J95" s="323">
        <v>24.327072999999999</v>
      </c>
      <c r="K95" s="323">
        <v>40.096409000000001</v>
      </c>
      <c r="L95" s="323">
        <v>29.365269000000001</v>
      </c>
      <c r="M95" s="323">
        <v>32.911966</v>
      </c>
      <c r="N95" s="308">
        <v>4250</v>
      </c>
      <c r="O95" s="308">
        <v>30.36</v>
      </c>
      <c r="P95" s="308">
        <v>0.3201</v>
      </c>
      <c r="Q95" s="308">
        <v>1.9560000000000001E-2</v>
      </c>
      <c r="R95" s="309">
        <v>3.3683062100000001</v>
      </c>
      <c r="S95" s="309">
        <f t="shared" si="29"/>
        <v>6.7416168899999995</v>
      </c>
      <c r="T95" s="338">
        <v>59.9</v>
      </c>
      <c r="U95" s="338">
        <v>55.7</v>
      </c>
      <c r="V95" s="313">
        <v>24249</v>
      </c>
      <c r="W95" s="313">
        <v>26717</v>
      </c>
      <c r="X95" s="313">
        <f t="shared" si="30"/>
        <v>2468</v>
      </c>
      <c r="Y95" s="313">
        <f t="shared" si="31"/>
        <v>732.71248103063647</v>
      </c>
      <c r="Z95" s="332">
        <v>266.52999999999997</v>
      </c>
      <c r="AA95" s="313">
        <v>276.82</v>
      </c>
      <c r="AB95" s="313">
        <f t="shared" si="32"/>
        <v>10.29000000000002</v>
      </c>
      <c r="AC95" s="331">
        <f t="shared" si="33"/>
        <v>3.0549479051074813</v>
      </c>
      <c r="AD95" s="332">
        <v>-1.28</v>
      </c>
      <c r="AE95" s="313">
        <v>-1.42</v>
      </c>
      <c r="AF95" s="313">
        <f t="shared" si="34"/>
        <v>-0.1399999999999999</v>
      </c>
      <c r="AG95" s="331">
        <f t="shared" si="35"/>
        <v>-4.1563917076292152E-2</v>
      </c>
      <c r="AH95" s="332">
        <v>0</v>
      </c>
      <c r="AI95" s="313">
        <v>0</v>
      </c>
      <c r="AJ95" s="313">
        <f t="shared" si="36"/>
        <v>0</v>
      </c>
      <c r="AK95" s="331">
        <f t="shared" si="37"/>
        <v>0</v>
      </c>
      <c r="AL95" s="332">
        <v>0</v>
      </c>
      <c r="AM95" s="313">
        <v>0</v>
      </c>
      <c r="AN95" s="313">
        <f t="shared" si="38"/>
        <v>0</v>
      </c>
      <c r="AO95" s="331">
        <f t="shared" si="39"/>
        <v>0</v>
      </c>
      <c r="AP95" s="303">
        <v>59.9</v>
      </c>
      <c r="AQ95" s="303">
        <v>55.7</v>
      </c>
      <c r="AR95" s="303">
        <f t="shared" si="40"/>
        <v>-4.1999999999999957</v>
      </c>
      <c r="AS95" s="447">
        <v>10.4</v>
      </c>
      <c r="AT95" s="341">
        <v>10.8</v>
      </c>
      <c r="AU95" s="341">
        <f t="shared" si="41"/>
        <v>0.40000000000000036</v>
      </c>
      <c r="AV95" s="303"/>
      <c r="AW95" s="303"/>
      <c r="AX95" s="303"/>
      <c r="AY95" s="303"/>
      <c r="AZ95" s="322" t="s">
        <v>686</v>
      </c>
      <c r="BA95" s="461">
        <v>16585.89662449</v>
      </c>
      <c r="BB95" s="461">
        <v>18.745640210000001</v>
      </c>
      <c r="BC95" s="461">
        <v>1327.1012750100001</v>
      </c>
      <c r="BD95" s="461">
        <v>1117.5999999999999</v>
      </c>
      <c r="BE95" s="461">
        <v>4.9390491799999996</v>
      </c>
      <c r="BF95" s="461">
        <v>4.7082685800000004</v>
      </c>
      <c r="BG95" s="461">
        <v>-1.4628792799999999</v>
      </c>
      <c r="BH95" s="461">
        <v>3.3683270200000002</v>
      </c>
      <c r="BI95" s="461">
        <v>3.4183331099999998</v>
      </c>
      <c r="BJ95" s="461">
        <v>6.0670966399999999</v>
      </c>
      <c r="BK95" s="461">
        <v>4.9016023100000004</v>
      </c>
      <c r="BL95" s="461">
        <v>0.46821584999999999</v>
      </c>
    </row>
    <row r="96" spans="1:64" ht="15" customHeight="1" x14ac:dyDescent="0.2">
      <c r="A96" s="328">
        <v>62008009</v>
      </c>
      <c r="B96" s="376" t="s">
        <v>680</v>
      </c>
      <c r="C96" s="321" t="s">
        <v>773</v>
      </c>
      <c r="D96" s="352" t="s">
        <v>754</v>
      </c>
      <c r="E96" s="307" t="s">
        <v>755</v>
      </c>
      <c r="F96" s="307" t="str">
        <f t="shared" si="28"/>
        <v>08/04/20</v>
      </c>
      <c r="G96" s="322" t="s">
        <v>756</v>
      </c>
      <c r="H96" s="322" t="s">
        <v>685</v>
      </c>
      <c r="I96" s="330"/>
      <c r="J96" s="323">
        <v>21.717538999999999</v>
      </c>
      <c r="K96" s="323">
        <v>47.850563999999999</v>
      </c>
      <c r="L96" s="323">
        <v>29.353363000000002</v>
      </c>
      <c r="M96" s="323">
        <v>31.130009999999999</v>
      </c>
      <c r="N96" s="308">
        <v>4250</v>
      </c>
      <c r="O96" s="308">
        <v>30.36</v>
      </c>
      <c r="P96" s="308">
        <v>0.3201</v>
      </c>
      <c r="Q96" s="308">
        <v>1.9560000000000001E-2</v>
      </c>
      <c r="R96" s="309">
        <v>7.7156085299999999</v>
      </c>
      <c r="S96" s="309">
        <f t="shared" si="29"/>
        <v>11.083914740000001</v>
      </c>
      <c r="T96" s="338">
        <v>55.7</v>
      </c>
      <c r="U96" s="338">
        <v>52.1</v>
      </c>
      <c r="V96" s="313">
        <v>26721</v>
      </c>
      <c r="W96" s="313">
        <v>28833</v>
      </c>
      <c r="X96" s="313">
        <f t="shared" si="30"/>
        <v>2112</v>
      </c>
      <c r="Y96" s="313">
        <f t="shared" si="31"/>
        <v>273.73083947793293</v>
      </c>
      <c r="Z96" s="332">
        <v>279.717399</v>
      </c>
      <c r="AA96" s="313">
        <v>316.21687500000002</v>
      </c>
      <c r="AB96" s="313">
        <f t="shared" si="32"/>
        <v>36.499476000000016</v>
      </c>
      <c r="AC96" s="331">
        <f t="shared" si="33"/>
        <v>4.730602370257893</v>
      </c>
      <c r="AD96" s="332">
        <v>-0.5</v>
      </c>
      <c r="AE96" s="313">
        <v>-1.43</v>
      </c>
      <c r="AF96" s="313">
        <f t="shared" si="34"/>
        <v>-0.92999999999999994</v>
      </c>
      <c r="AG96" s="331">
        <f t="shared" si="35"/>
        <v>-0.12053488670193069</v>
      </c>
      <c r="AH96" s="332">
        <v>0</v>
      </c>
      <c r="AI96" s="313">
        <v>0</v>
      </c>
      <c r="AJ96" s="313">
        <f t="shared" si="36"/>
        <v>0</v>
      </c>
      <c r="AK96" s="331">
        <f t="shared" si="37"/>
        <v>0</v>
      </c>
      <c r="AL96" s="332">
        <v>0</v>
      </c>
      <c r="AM96" s="313">
        <v>0</v>
      </c>
      <c r="AN96" s="313">
        <f t="shared" si="38"/>
        <v>0</v>
      </c>
      <c r="AO96" s="331">
        <f t="shared" si="39"/>
        <v>0</v>
      </c>
      <c r="AP96" s="303">
        <v>55.7</v>
      </c>
      <c r="AQ96" s="303">
        <v>52.1</v>
      </c>
      <c r="AR96" s="303">
        <f t="shared" si="40"/>
        <v>-3.6000000000000014</v>
      </c>
      <c r="AS96" s="447">
        <v>11.2</v>
      </c>
      <c r="AT96" s="341">
        <v>12.4</v>
      </c>
      <c r="AU96" s="341">
        <f t="shared" si="41"/>
        <v>1.2000000000000011</v>
      </c>
      <c r="AV96" s="303"/>
      <c r="AW96" s="303"/>
      <c r="AX96" s="303"/>
      <c r="AY96" s="303"/>
      <c r="AZ96" s="322" t="s">
        <v>686</v>
      </c>
      <c r="BA96" s="461">
        <v>1722.73189604</v>
      </c>
      <c r="BB96" s="461">
        <v>-1.4629308299999999</v>
      </c>
      <c r="BC96" s="461">
        <v>5143.4163778299999</v>
      </c>
      <c r="BD96" s="461">
        <v>5219.7781213199996</v>
      </c>
      <c r="BE96" s="461">
        <v>9.63554332</v>
      </c>
      <c r="BF96" s="461">
        <v>9.7507129300000006</v>
      </c>
      <c r="BG96" s="461">
        <v>-0.21648315000000001</v>
      </c>
      <c r="BH96" s="461">
        <v>7.7155987399999999</v>
      </c>
      <c r="BI96" s="461">
        <v>7.7323379499999998</v>
      </c>
      <c r="BJ96" s="461">
        <v>-0.97618742999999997</v>
      </c>
      <c r="BK96" s="461">
        <v>-1.1811404299999999</v>
      </c>
      <c r="BL96" s="461">
        <v>0.68546530000000006</v>
      </c>
    </row>
    <row r="97" spans="1:70" ht="15" customHeight="1" x14ac:dyDescent="0.2">
      <c r="A97" s="328">
        <v>62008010</v>
      </c>
      <c r="B97" s="321" t="s">
        <v>681</v>
      </c>
      <c r="C97" s="321" t="s">
        <v>773</v>
      </c>
      <c r="D97" s="352" t="s">
        <v>743</v>
      </c>
      <c r="E97" s="307" t="s">
        <v>757</v>
      </c>
      <c r="F97" s="307" t="str">
        <f t="shared" si="28"/>
        <v>08/04/20</v>
      </c>
      <c r="G97" s="322" t="s">
        <v>758</v>
      </c>
      <c r="H97" s="322" t="s">
        <v>759</v>
      </c>
      <c r="I97" s="330"/>
      <c r="J97" s="323">
        <v>22.423736999999999</v>
      </c>
      <c r="K97" s="323">
        <v>47.721172000000003</v>
      </c>
      <c r="L97" s="323">
        <v>29.355232999999998</v>
      </c>
      <c r="M97" s="323">
        <v>33.629525999999998</v>
      </c>
      <c r="N97" s="308">
        <v>4250</v>
      </c>
      <c r="O97" s="308">
        <v>30.36</v>
      </c>
      <c r="P97" s="308">
        <v>0.3201</v>
      </c>
      <c r="Q97" s="308">
        <v>1.9560000000000001E-2</v>
      </c>
      <c r="R97" s="309">
        <v>9.2203406300000008</v>
      </c>
      <c r="S97" s="309">
        <f t="shared" si="29"/>
        <v>16.93594916</v>
      </c>
      <c r="T97" s="338">
        <v>52.1</v>
      </c>
      <c r="U97" s="338">
        <v>44.8</v>
      </c>
      <c r="V97" s="313">
        <v>28839</v>
      </c>
      <c r="W97" s="313">
        <v>32976</v>
      </c>
      <c r="X97" s="313">
        <f t="shared" si="30"/>
        <v>4137</v>
      </c>
      <c r="Y97" s="313">
        <f t="shared" si="31"/>
        <v>448.68190514996189</v>
      </c>
      <c r="Z97" s="332">
        <v>320.52999999999997</v>
      </c>
      <c r="AA97" s="313">
        <v>367.72</v>
      </c>
      <c r="AB97" s="313">
        <f t="shared" si="32"/>
        <v>47.190000000000055</v>
      </c>
      <c r="AC97" s="331">
        <f t="shared" si="33"/>
        <v>5.1180321740456192</v>
      </c>
      <c r="AD97" s="332">
        <v>-0.81</v>
      </c>
      <c r="AE97" s="313">
        <v>-1.44</v>
      </c>
      <c r="AF97" s="313">
        <f t="shared" si="34"/>
        <v>-0.62999999999999989</v>
      </c>
      <c r="AG97" s="331">
        <f t="shared" si="35"/>
        <v>-6.8327193677659159E-2</v>
      </c>
      <c r="AH97" s="332">
        <v>0</v>
      </c>
      <c r="AI97" s="313">
        <v>0</v>
      </c>
      <c r="AJ97" s="313">
        <f t="shared" si="36"/>
        <v>0</v>
      </c>
      <c r="AK97" s="331">
        <f t="shared" si="37"/>
        <v>0</v>
      </c>
      <c r="AL97" s="332">
        <v>0</v>
      </c>
      <c r="AM97" s="313">
        <v>0</v>
      </c>
      <c r="AN97" s="313">
        <f t="shared" si="38"/>
        <v>0</v>
      </c>
      <c r="AO97" s="331">
        <f t="shared" si="39"/>
        <v>0</v>
      </c>
      <c r="AP97" s="303">
        <v>52.1</v>
      </c>
      <c r="AQ97" s="303">
        <v>44.8</v>
      </c>
      <c r="AR97" s="303">
        <f t="shared" si="40"/>
        <v>-7.3000000000000043</v>
      </c>
      <c r="AS97" s="447">
        <v>12.9</v>
      </c>
      <c r="AT97" s="341">
        <v>14.5</v>
      </c>
      <c r="AU97" s="341">
        <f t="shared" si="41"/>
        <v>1.5999999999999996</v>
      </c>
      <c r="AV97" s="303"/>
      <c r="AW97" s="303"/>
      <c r="AX97" s="303"/>
      <c r="AY97" s="303"/>
      <c r="AZ97" s="322" t="s">
        <v>760</v>
      </c>
      <c r="BA97" s="461">
        <v>0</v>
      </c>
      <c r="BB97" s="461" t="s">
        <v>747</v>
      </c>
      <c r="BC97" s="461">
        <v>8165.6107277900001</v>
      </c>
      <c r="BD97" s="461">
        <v>0</v>
      </c>
      <c r="BE97" s="461">
        <v>19.020128790000001</v>
      </c>
      <c r="BF97" s="461">
        <v>0</v>
      </c>
      <c r="BG97" s="461" t="s">
        <v>747</v>
      </c>
      <c r="BH97" s="461">
        <v>9.2199980999999998</v>
      </c>
      <c r="BI97" s="461">
        <v>0</v>
      </c>
      <c r="BJ97" s="461" t="s">
        <v>691</v>
      </c>
      <c r="BK97" s="461" t="s">
        <v>747</v>
      </c>
      <c r="BL97" s="461" t="s">
        <v>691</v>
      </c>
    </row>
    <row r="98" spans="1:70" ht="15" customHeight="1" x14ac:dyDescent="0.2">
      <c r="A98" s="328">
        <v>62008011</v>
      </c>
      <c r="B98" s="321" t="s">
        <v>677</v>
      </c>
      <c r="C98" s="321" t="s">
        <v>773</v>
      </c>
      <c r="D98" s="352" t="s">
        <v>761</v>
      </c>
      <c r="E98" s="307" t="s">
        <v>762</v>
      </c>
      <c r="F98" s="307" t="str">
        <f t="shared" si="28"/>
        <v>08/04/20</v>
      </c>
      <c r="G98" s="322" t="s">
        <v>763</v>
      </c>
      <c r="H98" s="322" t="s">
        <v>764</v>
      </c>
      <c r="I98" s="330"/>
      <c r="J98" s="323">
        <v>25.366935000000002</v>
      </c>
      <c r="K98" s="323">
        <v>36.930756000000002</v>
      </c>
      <c r="L98" s="323">
        <v>29.364225999999999</v>
      </c>
      <c r="M98" s="323">
        <v>31.440245999999998</v>
      </c>
      <c r="N98" s="308">
        <v>4250</v>
      </c>
      <c r="O98" s="308">
        <v>30.36</v>
      </c>
      <c r="P98" s="308">
        <v>0.3201</v>
      </c>
      <c r="Q98" s="308">
        <v>1.9560000000000001E-2</v>
      </c>
      <c r="R98" s="309">
        <v>9.1701210300000007</v>
      </c>
      <c r="S98" s="309">
        <f t="shared" si="29"/>
        <v>18.39046166</v>
      </c>
      <c r="T98" s="338">
        <v>44.3</v>
      </c>
      <c r="U98" s="338">
        <v>40.799999999999997</v>
      </c>
      <c r="V98" s="313">
        <v>33294.618404000001</v>
      </c>
      <c r="W98" s="313">
        <v>35399</v>
      </c>
      <c r="X98" s="313">
        <f t="shared" si="30"/>
        <v>2104.3815959999993</v>
      </c>
      <c r="Y98" s="313">
        <f t="shared" si="31"/>
        <v>229.48242330886652</v>
      </c>
      <c r="Z98" s="332">
        <v>373.7</v>
      </c>
      <c r="AA98" s="313">
        <v>398.68</v>
      </c>
      <c r="AB98" s="313">
        <f t="shared" si="32"/>
        <v>24.980000000000018</v>
      </c>
      <c r="AC98" s="331">
        <f t="shared" si="33"/>
        <v>2.7240643736629084</v>
      </c>
      <c r="AD98" s="332">
        <v>-0.47381600000000001</v>
      </c>
      <c r="AE98" s="313">
        <v>-1</v>
      </c>
      <c r="AF98" s="313">
        <f t="shared" si="34"/>
        <v>-0.52618399999999999</v>
      </c>
      <c r="AG98" s="331">
        <f t="shared" si="35"/>
        <v>-5.7380267749857598E-2</v>
      </c>
      <c r="AH98" s="332">
        <v>0</v>
      </c>
      <c r="AI98" s="313">
        <v>0</v>
      </c>
      <c r="AJ98" s="313">
        <f t="shared" si="36"/>
        <v>0</v>
      </c>
      <c r="AK98" s="331">
        <f t="shared" si="37"/>
        <v>0</v>
      </c>
      <c r="AL98" s="332">
        <v>-0.05</v>
      </c>
      <c r="AM98" s="313">
        <v>-0.05</v>
      </c>
      <c r="AN98" s="313">
        <f t="shared" si="38"/>
        <v>0</v>
      </c>
      <c r="AO98" s="331">
        <f t="shared" si="39"/>
        <v>0</v>
      </c>
      <c r="AP98" s="303">
        <v>44.3</v>
      </c>
      <c r="AQ98" s="303">
        <v>40.799999999999997</v>
      </c>
      <c r="AR98" s="303">
        <f t="shared" si="40"/>
        <v>-3.5</v>
      </c>
      <c r="AS98" s="447">
        <v>15.2</v>
      </c>
      <c r="AT98" s="341">
        <v>16.100000000000001</v>
      </c>
      <c r="AU98" s="341">
        <f t="shared" si="41"/>
        <v>0.90000000000000213</v>
      </c>
      <c r="AV98" s="303"/>
      <c r="AW98" s="303"/>
      <c r="AX98" s="303"/>
      <c r="AY98" s="303"/>
      <c r="AZ98" s="322" t="s">
        <v>686</v>
      </c>
      <c r="BA98" s="461">
        <v>7878.5162028300001</v>
      </c>
      <c r="BB98" s="461">
        <v>4.9707594000000004</v>
      </c>
      <c r="BC98" s="461">
        <v>516.18741110999997</v>
      </c>
      <c r="BD98" s="461">
        <v>491.74400000000003</v>
      </c>
      <c r="BE98" s="461">
        <v>7.6042115700000004</v>
      </c>
      <c r="BF98" s="461">
        <v>7.6248606299999997</v>
      </c>
      <c r="BG98" s="461">
        <v>-0.11090941999999999</v>
      </c>
      <c r="BH98" s="461">
        <v>9.1677916600000007</v>
      </c>
      <c r="BI98" s="461">
        <v>9.1779709</v>
      </c>
      <c r="BJ98" s="461">
        <v>-0.16033703999999999</v>
      </c>
      <c r="BK98" s="461">
        <v>-0.27081224999999998</v>
      </c>
      <c r="BL98" s="461">
        <v>7.7568300000000007E-2</v>
      </c>
    </row>
    <row r="99" spans="1:70" ht="15" customHeight="1" x14ac:dyDescent="0.2">
      <c r="A99" s="485" t="s">
        <v>852</v>
      </c>
      <c r="B99" s="362"/>
      <c r="C99" s="363"/>
      <c r="D99" s="363"/>
      <c r="E99" s="363"/>
      <c r="F99" s="363"/>
      <c r="G99" s="363"/>
      <c r="H99" s="362"/>
      <c r="I99" s="362"/>
      <c r="J99" s="373"/>
      <c r="K99" s="374"/>
      <c r="L99" s="362"/>
      <c r="M99" s="362"/>
      <c r="N99" s="362"/>
      <c r="O99" s="362"/>
      <c r="P99" s="362"/>
      <c r="Q99" s="362"/>
      <c r="R99" s="362"/>
      <c r="S99" s="362"/>
      <c r="T99" s="362"/>
      <c r="U99" s="362"/>
      <c r="V99" s="362"/>
      <c r="W99" s="362"/>
      <c r="X99" s="362"/>
      <c r="Y99" s="362"/>
      <c r="Z99" s="362"/>
      <c r="AA99" s="362"/>
      <c r="AB99" s="362"/>
      <c r="AC99" s="362"/>
      <c r="AD99" s="362"/>
      <c r="AE99" s="362"/>
      <c r="AF99" s="362"/>
      <c r="AG99" s="362"/>
      <c r="AH99" s="362"/>
      <c r="AI99" s="362"/>
      <c r="AJ99" s="362"/>
      <c r="AK99" s="362"/>
      <c r="AL99" s="362"/>
      <c r="AM99" s="362"/>
      <c r="AN99" s="362"/>
      <c r="AO99" s="362"/>
      <c r="AP99" s="362"/>
      <c r="AQ99" s="362"/>
      <c r="AR99" s="362"/>
      <c r="AS99" s="362"/>
      <c r="AT99" s="362"/>
      <c r="AU99" s="362"/>
      <c r="AV99" s="362"/>
      <c r="AW99" s="362"/>
      <c r="AX99" s="362"/>
      <c r="AY99" s="362"/>
      <c r="AZ99" s="362"/>
      <c r="BA99" s="362"/>
      <c r="BB99" s="362"/>
      <c r="BC99" s="362"/>
      <c r="BD99" s="362"/>
      <c r="BE99" s="362"/>
      <c r="BF99" s="375"/>
      <c r="BG99" s="362"/>
      <c r="BH99" s="362"/>
      <c r="BI99" s="362"/>
      <c r="BJ99" s="362"/>
      <c r="BK99" s="362"/>
      <c r="BL99" s="362"/>
      <c r="BM99" s="362"/>
      <c r="BN99" s="362"/>
      <c r="BO99" s="362"/>
      <c r="BP99" s="362"/>
      <c r="BQ99" s="362"/>
      <c r="BR99" s="366"/>
    </row>
    <row r="100" spans="1:70" ht="15" customHeight="1" x14ac:dyDescent="0.2">
      <c r="A100" s="321">
        <v>62008012</v>
      </c>
      <c r="B100" s="321" t="s">
        <v>627</v>
      </c>
      <c r="C100" s="321" t="s">
        <v>773</v>
      </c>
      <c r="D100" s="352" t="s">
        <v>718</v>
      </c>
      <c r="E100" s="307" t="s">
        <v>789</v>
      </c>
      <c r="F100" s="307" t="str">
        <f t="shared" si="28"/>
        <v>08/05/20</v>
      </c>
      <c r="G100" s="322" t="s">
        <v>790</v>
      </c>
      <c r="H100" s="322" t="s">
        <v>685</v>
      </c>
      <c r="I100" s="330"/>
      <c r="J100" s="323">
        <v>24.109041000000001</v>
      </c>
      <c r="K100" s="323">
        <v>40.323903000000001</v>
      </c>
      <c r="L100" s="323">
        <v>29.418085000000001</v>
      </c>
      <c r="M100" s="323">
        <v>25.430351999999999</v>
      </c>
      <c r="N100" s="308">
        <v>4250</v>
      </c>
      <c r="O100" s="308">
        <v>30.36</v>
      </c>
      <c r="P100" s="308">
        <v>0.3201</v>
      </c>
      <c r="Q100" s="308">
        <v>1.9560000000000001E-2</v>
      </c>
      <c r="R100" s="309">
        <v>3.5810081299999998</v>
      </c>
      <c r="S100" s="309">
        <f>R100+R99</f>
        <v>3.5810081299999998</v>
      </c>
      <c r="T100" s="338">
        <v>98.8</v>
      </c>
      <c r="U100" s="338">
        <v>97.2</v>
      </c>
      <c r="V100" s="313">
        <v>-1825</v>
      </c>
      <c r="W100" s="313">
        <v>-970</v>
      </c>
      <c r="X100" s="313">
        <f>W100-V100</f>
        <v>855</v>
      </c>
      <c r="Y100" s="313">
        <f t="shared" ref="Y100:Y127" si="42">X100/$R100</f>
        <v>238.75958081111645</v>
      </c>
      <c r="Z100" s="332">
        <v>1036.954346</v>
      </c>
      <c r="AA100" s="313">
        <v>1058.72</v>
      </c>
      <c r="AB100" s="313">
        <f>AA100-Z100</f>
        <v>21.76565400000004</v>
      </c>
      <c r="AC100" s="331">
        <f t="shared" ref="AC100:AC127" si="43">AB100/$R100</f>
        <v>6.0780800293798949</v>
      </c>
      <c r="AD100" s="332">
        <v>-7.56</v>
      </c>
      <c r="AE100" s="313">
        <v>-8.07</v>
      </c>
      <c r="AF100" s="313">
        <f>AE100-AD100</f>
        <v>-0.51000000000000068</v>
      </c>
      <c r="AG100" s="331">
        <f t="shared" ref="AG100:AG127" si="44">AF100/$R100</f>
        <v>-0.14241799557154333</v>
      </c>
      <c r="AH100" s="332">
        <v>0</v>
      </c>
      <c r="AI100" s="313">
        <v>0</v>
      </c>
      <c r="AJ100" s="313">
        <f>AI100-AH100</f>
        <v>0</v>
      </c>
      <c r="AK100" s="331">
        <f t="shared" ref="AK100:AK127" si="45">AJ100/$R100</f>
        <v>0</v>
      </c>
      <c r="AL100" s="332">
        <v>0</v>
      </c>
      <c r="AM100" s="313">
        <v>0</v>
      </c>
      <c r="AN100" s="313">
        <f>AM100-AL100</f>
        <v>0</v>
      </c>
      <c r="AO100" s="331">
        <f t="shared" ref="AO100:AO127" si="46">AN100/$R100</f>
        <v>0</v>
      </c>
      <c r="AP100" s="303">
        <v>98.8</v>
      </c>
      <c r="AQ100" s="303">
        <v>97.2</v>
      </c>
      <c r="AR100" s="303">
        <f>AQ100-AP100</f>
        <v>-1.5999999999999943</v>
      </c>
      <c r="AS100" s="447">
        <v>45795.7</v>
      </c>
      <c r="AT100" s="341">
        <v>45796.4</v>
      </c>
      <c r="AU100" s="341">
        <f>AT100-AS100</f>
        <v>0.70000000000436557</v>
      </c>
      <c r="AV100" s="303"/>
      <c r="AW100" s="303"/>
      <c r="AX100" s="303"/>
      <c r="AY100" s="303"/>
      <c r="AZ100" s="322" t="s">
        <v>686</v>
      </c>
      <c r="BA100" s="461">
        <v>2418.1796247500001</v>
      </c>
      <c r="BB100" s="461">
        <v>-2.12712616</v>
      </c>
      <c r="BC100" s="461">
        <v>2005.23767557</v>
      </c>
      <c r="BD100" s="461">
        <v>2048.8186325800002</v>
      </c>
      <c r="BE100" s="461">
        <v>3.2092491399999998</v>
      </c>
      <c r="BF100" s="461">
        <v>3.2585095499999999</v>
      </c>
      <c r="BG100" s="461">
        <v>-0.27952922000000002</v>
      </c>
      <c r="BH100" s="461">
        <v>3.5809425899999998</v>
      </c>
      <c r="BI100" s="461">
        <v>3.5909804300000001</v>
      </c>
      <c r="BJ100" s="461">
        <v>-1.2511314600000001</v>
      </c>
      <c r="BK100" s="461">
        <v>-1.51174674</v>
      </c>
      <c r="BL100" s="461">
        <v>0.59039096000000002</v>
      </c>
    </row>
    <row r="101" spans="1:70" ht="15" customHeight="1" x14ac:dyDescent="0.2">
      <c r="A101" s="321">
        <v>62008012</v>
      </c>
      <c r="B101" s="321" t="s">
        <v>628</v>
      </c>
      <c r="C101" s="321" t="s">
        <v>774</v>
      </c>
      <c r="D101" s="352" t="s">
        <v>718</v>
      </c>
      <c r="E101" s="307" t="s">
        <v>789</v>
      </c>
      <c r="F101" s="307" t="str">
        <f t="shared" si="28"/>
        <v>08/05/20</v>
      </c>
      <c r="G101" s="322" t="s">
        <v>790</v>
      </c>
      <c r="H101" s="322" t="s">
        <v>685</v>
      </c>
      <c r="I101" s="330"/>
      <c r="J101" s="323">
        <v>20.453296000000002</v>
      </c>
      <c r="K101" s="323">
        <v>50.365063999999997</v>
      </c>
      <c r="L101" s="323">
        <v>29.414292</v>
      </c>
      <c r="M101" s="323">
        <v>27.427696000000001</v>
      </c>
      <c r="N101" s="308">
        <v>4250</v>
      </c>
      <c r="O101" s="308">
        <v>30.36</v>
      </c>
      <c r="P101" s="308">
        <v>0.3201</v>
      </c>
      <c r="Q101" s="308">
        <v>1.9560000000000001E-2</v>
      </c>
      <c r="R101" s="309">
        <v>3.8437738600000002</v>
      </c>
      <c r="S101" s="309">
        <f>R101+R100</f>
        <v>7.4247819899999996</v>
      </c>
      <c r="T101" s="338">
        <v>97.2</v>
      </c>
      <c r="U101" s="338">
        <v>95.6</v>
      </c>
      <c r="V101" s="313">
        <v>-970</v>
      </c>
      <c r="W101" s="313">
        <v>-277</v>
      </c>
      <c r="X101" s="313">
        <f>W101-V101</f>
        <v>693</v>
      </c>
      <c r="Y101" s="313">
        <f t="shared" si="42"/>
        <v>180.29156377061162</v>
      </c>
      <c r="Z101" s="332">
        <v>1058.7244129999999</v>
      </c>
      <c r="AA101" s="313">
        <v>1095.57</v>
      </c>
      <c r="AB101" s="313">
        <f>AA101-Z101</f>
        <v>36.845587000000023</v>
      </c>
      <c r="AC101" s="331">
        <f t="shared" si="43"/>
        <v>9.5857842687967132</v>
      </c>
      <c r="AD101" s="332">
        <v>-8.07</v>
      </c>
      <c r="AE101" s="313">
        <v>-8.57</v>
      </c>
      <c r="AF101" s="313">
        <f>AE101-AD101</f>
        <v>-0.5</v>
      </c>
      <c r="AG101" s="331">
        <f t="shared" si="44"/>
        <v>-0.13008049334098962</v>
      </c>
      <c r="AH101" s="332">
        <v>0</v>
      </c>
      <c r="AI101" s="313">
        <v>0</v>
      </c>
      <c r="AJ101" s="313">
        <f>AI101-AH101</f>
        <v>0</v>
      </c>
      <c r="AK101" s="331">
        <f t="shared" si="45"/>
        <v>0</v>
      </c>
      <c r="AL101" s="332">
        <v>0</v>
      </c>
      <c r="AM101" s="313">
        <v>0</v>
      </c>
      <c r="AN101" s="313">
        <f>AM101-AL101</f>
        <v>0</v>
      </c>
      <c r="AO101" s="331">
        <f t="shared" si="46"/>
        <v>0</v>
      </c>
      <c r="AP101" s="303">
        <v>97.2</v>
      </c>
      <c r="AQ101" s="303">
        <v>95.6</v>
      </c>
      <c r="AR101" s="303">
        <f>AQ101-AP101</f>
        <v>-1.6000000000000085</v>
      </c>
      <c r="AS101" s="447">
        <v>45796.4</v>
      </c>
      <c r="AT101" s="341">
        <v>45797.599999999999</v>
      </c>
      <c r="AU101" s="341">
        <f>AT101-AS101</f>
        <v>1.1999999999970896</v>
      </c>
      <c r="AV101" s="303"/>
      <c r="AW101" s="303"/>
      <c r="AX101" s="303"/>
      <c r="AY101" s="303"/>
      <c r="AZ101" s="322" t="s">
        <v>686</v>
      </c>
      <c r="BA101" s="461">
        <v>1482.6464197</v>
      </c>
      <c r="BB101" s="461">
        <v>-2.1338055900000001</v>
      </c>
      <c r="BC101" s="461">
        <v>3343.2343366800001</v>
      </c>
      <c r="BD101" s="461">
        <v>3416.1278638499998</v>
      </c>
      <c r="BE101" s="461">
        <v>2.9545433999999999</v>
      </c>
      <c r="BF101" s="461">
        <v>3.0186206000000002</v>
      </c>
      <c r="BG101" s="461">
        <v>-0.42096801</v>
      </c>
      <c r="BH101" s="461">
        <v>3.84358149</v>
      </c>
      <c r="BI101" s="461">
        <v>3.8598301400000001</v>
      </c>
      <c r="BJ101" s="461">
        <v>-1.73867024</v>
      </c>
      <c r="BK101" s="461">
        <v>-2.1227309600000002</v>
      </c>
      <c r="BL101" s="461">
        <v>0.71450683000000004</v>
      </c>
    </row>
    <row r="102" spans="1:70" ht="15" customHeight="1" x14ac:dyDescent="0.2">
      <c r="A102" s="321">
        <v>62008012</v>
      </c>
      <c r="B102" s="321" t="s">
        <v>629</v>
      </c>
      <c r="C102" s="321" t="s">
        <v>775</v>
      </c>
      <c r="D102" s="352" t="s">
        <v>718</v>
      </c>
      <c r="E102" s="307" t="s">
        <v>789</v>
      </c>
      <c r="F102" s="307" t="str">
        <f t="shared" si="28"/>
        <v>08/05/20</v>
      </c>
      <c r="G102" s="322" t="s">
        <v>790</v>
      </c>
      <c r="H102" s="322" t="s">
        <v>685</v>
      </c>
      <c r="I102" s="330"/>
      <c r="J102" s="324">
        <f>AVERAGE(J100:J101)</f>
        <v>22.2811685</v>
      </c>
      <c r="K102" s="324">
        <f>AVERAGE(K100:K101)</f>
        <v>45.344483499999996</v>
      </c>
      <c r="L102" s="324">
        <f>AVERAGE(L100:L101)</f>
        <v>29.416188500000001</v>
      </c>
      <c r="M102" s="324">
        <f>AVERAGE(M100:M101)</f>
        <v>26.429023999999998</v>
      </c>
      <c r="N102" s="310"/>
      <c r="O102" s="308"/>
      <c r="P102" s="326"/>
      <c r="Q102" s="325"/>
      <c r="R102" s="311">
        <f>R101+R100</f>
        <v>7.4247819899999996</v>
      </c>
      <c r="S102" s="311">
        <f>S101</f>
        <v>7.4247819899999996</v>
      </c>
      <c r="T102" s="339">
        <f>T100</f>
        <v>98.8</v>
      </c>
      <c r="U102" s="339">
        <f>U101</f>
        <v>95.6</v>
      </c>
      <c r="V102" s="314">
        <f>V100</f>
        <v>-1825</v>
      </c>
      <c r="W102" s="314">
        <f>W101</f>
        <v>-277</v>
      </c>
      <c r="X102" s="314">
        <f>SUM(X100:X101)</f>
        <v>1548</v>
      </c>
      <c r="Y102" s="314">
        <f t="shared" si="42"/>
        <v>208.49097011668621</v>
      </c>
      <c r="Z102" s="314">
        <f>Z100</f>
        <v>1036.954346</v>
      </c>
      <c r="AA102" s="314">
        <f>AA101</f>
        <v>1095.57</v>
      </c>
      <c r="AB102" s="314">
        <f>SUM(AB100:AB101)</f>
        <v>58.611241000000064</v>
      </c>
      <c r="AC102" s="312">
        <f t="shared" si="43"/>
        <v>7.8940016122951597</v>
      </c>
      <c r="AD102" s="314">
        <f>AD100</f>
        <v>-7.56</v>
      </c>
      <c r="AE102" s="314">
        <f>AE101</f>
        <v>-8.57</v>
      </c>
      <c r="AF102" s="314">
        <f>SUM(AF100:AF101)</f>
        <v>-1.0100000000000007</v>
      </c>
      <c r="AG102" s="312">
        <f t="shared" si="44"/>
        <v>-0.13603093011489226</v>
      </c>
      <c r="AH102" s="314">
        <f>AH100</f>
        <v>0</v>
      </c>
      <c r="AI102" s="314">
        <f>AI101</f>
        <v>0</v>
      </c>
      <c r="AJ102" s="314">
        <f>SUM(AJ100:AJ101)</f>
        <v>0</v>
      </c>
      <c r="AK102" s="312">
        <f t="shared" si="45"/>
        <v>0</v>
      </c>
      <c r="AL102" s="314">
        <f>AL100</f>
        <v>0</v>
      </c>
      <c r="AM102" s="314">
        <f>AM101</f>
        <v>0</v>
      </c>
      <c r="AN102" s="314">
        <f>SUM(AN100:AN101)</f>
        <v>0</v>
      </c>
      <c r="AO102" s="312">
        <f t="shared" si="46"/>
        <v>0</v>
      </c>
      <c r="AP102" s="305"/>
      <c r="AQ102" s="305"/>
      <c r="AR102" s="305">
        <f>SUM(AR100:AR101)</f>
        <v>-3.2000000000000028</v>
      </c>
      <c r="AS102" s="342">
        <f>AS100</f>
        <v>45795.7</v>
      </c>
      <c r="AT102" s="342">
        <f>AT101</f>
        <v>45797.599999999999</v>
      </c>
      <c r="AU102" s="342">
        <f>SUM(AU100:AU101)</f>
        <v>1.9000000000014552</v>
      </c>
      <c r="AV102" s="305"/>
      <c r="AW102" s="305"/>
      <c r="AX102" s="305"/>
      <c r="AY102" s="305"/>
      <c r="AZ102" s="322" t="s">
        <v>686</v>
      </c>
    </row>
    <row r="103" spans="1:70" ht="15" customHeight="1" x14ac:dyDescent="0.2">
      <c r="A103" s="321">
        <v>62008012</v>
      </c>
      <c r="B103" s="321" t="s">
        <v>630</v>
      </c>
      <c r="C103" s="321" t="s">
        <v>776</v>
      </c>
      <c r="D103" s="352" t="s">
        <v>718</v>
      </c>
      <c r="E103" s="307" t="s">
        <v>789</v>
      </c>
      <c r="F103" s="307" t="str">
        <f t="shared" si="28"/>
        <v>08/05/20</v>
      </c>
      <c r="G103" s="322" t="s">
        <v>790</v>
      </c>
      <c r="H103" s="322" t="s">
        <v>685</v>
      </c>
      <c r="I103" s="330"/>
      <c r="J103" s="323">
        <v>24.669405999999999</v>
      </c>
      <c r="K103" s="323">
        <v>39.608905999999998</v>
      </c>
      <c r="L103" s="323">
        <v>29.426545999999998</v>
      </c>
      <c r="M103" s="323">
        <v>28.776691</v>
      </c>
      <c r="N103" s="308">
        <v>4250</v>
      </c>
      <c r="O103" s="308">
        <v>30.36</v>
      </c>
      <c r="P103" s="308">
        <v>0.3201</v>
      </c>
      <c r="Q103" s="308">
        <v>1.9560000000000001E-2</v>
      </c>
      <c r="R103" s="309">
        <v>10.24567706</v>
      </c>
      <c r="S103" s="309">
        <f>R103+R102</f>
        <v>17.670459049999998</v>
      </c>
      <c r="T103" s="338">
        <v>95.6</v>
      </c>
      <c r="U103" s="338">
        <v>92.1</v>
      </c>
      <c r="V103" s="313">
        <v>-276</v>
      </c>
      <c r="W103" s="313">
        <v>2009</v>
      </c>
      <c r="X103" s="313">
        <f>W103-V103</f>
        <v>2285</v>
      </c>
      <c r="Y103" s="313">
        <f t="shared" si="42"/>
        <v>223.02088838236327</v>
      </c>
      <c r="Z103" s="332">
        <v>1096.253946</v>
      </c>
      <c r="AA103" s="313">
        <v>1128.0999999999999</v>
      </c>
      <c r="AB103" s="313">
        <f>AA103-Z103</f>
        <v>31.846053999999867</v>
      </c>
      <c r="AC103" s="331">
        <f t="shared" si="43"/>
        <v>3.1082429998042382</v>
      </c>
      <c r="AD103" s="332">
        <v>-8.58</v>
      </c>
      <c r="AE103" s="313">
        <v>-8.92</v>
      </c>
      <c r="AF103" s="313">
        <f>AE103-AD103</f>
        <v>-0.33999999999999986</v>
      </c>
      <c r="AG103" s="331">
        <f t="shared" si="44"/>
        <v>-3.3184727374180954E-2</v>
      </c>
      <c r="AH103" s="332">
        <v>0</v>
      </c>
      <c r="AI103" s="313">
        <v>0</v>
      </c>
      <c r="AJ103" s="313">
        <f>AI103-AH103</f>
        <v>0</v>
      </c>
      <c r="AK103" s="331">
        <f t="shared" si="45"/>
        <v>0</v>
      </c>
      <c r="AL103" s="332">
        <v>0</v>
      </c>
      <c r="AM103" s="313">
        <v>0</v>
      </c>
      <c r="AN103" s="313">
        <f>AM103-AL103</f>
        <v>0</v>
      </c>
      <c r="AO103" s="331">
        <f t="shared" si="46"/>
        <v>0</v>
      </c>
      <c r="AP103" s="303">
        <v>95.6</v>
      </c>
      <c r="AQ103" s="303">
        <v>92.1</v>
      </c>
      <c r="AR103" s="303">
        <f>AQ103-AP103</f>
        <v>-3.5</v>
      </c>
      <c r="AS103" s="447">
        <v>45797.599999999999</v>
      </c>
      <c r="AT103" s="341">
        <v>45798.7</v>
      </c>
      <c r="AU103" s="341">
        <f>AT103-AS103</f>
        <v>1.0999999999985448</v>
      </c>
      <c r="AV103" s="303"/>
      <c r="AW103" s="303"/>
      <c r="AX103" s="303"/>
      <c r="AY103" s="303"/>
      <c r="AZ103" s="322" t="s">
        <v>686</v>
      </c>
      <c r="BA103" s="461">
        <v>1945.1384776299999</v>
      </c>
      <c r="BB103" s="461">
        <v>-0.79056344000000001</v>
      </c>
      <c r="BC103" s="461">
        <v>1296.38948772</v>
      </c>
      <c r="BD103" s="461">
        <v>1306.7199377899999</v>
      </c>
      <c r="BE103" s="461">
        <v>7.9714231299999998</v>
      </c>
      <c r="BF103" s="461">
        <v>8.0200448200000007</v>
      </c>
      <c r="BG103" s="461">
        <v>-0.10652969</v>
      </c>
      <c r="BH103" s="461">
        <v>10.24575402</v>
      </c>
      <c r="BI103" s="461">
        <v>10.256680429999999</v>
      </c>
      <c r="BJ103" s="461">
        <v>-0.50277044000000004</v>
      </c>
      <c r="BK103" s="461">
        <v>-0.60625207999999997</v>
      </c>
      <c r="BL103" s="461">
        <v>0.28276622000000001</v>
      </c>
    </row>
    <row r="104" spans="1:70" ht="15" customHeight="1" x14ac:dyDescent="0.2">
      <c r="A104" s="321">
        <v>62008012</v>
      </c>
      <c r="B104" s="321" t="s">
        <v>631</v>
      </c>
      <c r="C104" s="321" t="s">
        <v>777</v>
      </c>
      <c r="D104" s="352" t="s">
        <v>718</v>
      </c>
      <c r="E104" s="307" t="s">
        <v>789</v>
      </c>
      <c r="F104" s="307" t="str">
        <f t="shared" si="28"/>
        <v>08/05/20</v>
      </c>
      <c r="G104" s="322" t="s">
        <v>790</v>
      </c>
      <c r="H104" s="322" t="s">
        <v>685</v>
      </c>
      <c r="I104" s="330"/>
      <c r="J104" s="323">
        <v>20.624096000000002</v>
      </c>
      <c r="K104" s="323">
        <v>53.375731999999999</v>
      </c>
      <c r="L104" s="323">
        <v>29.417517</v>
      </c>
      <c r="M104" s="323">
        <v>28.563708999999999</v>
      </c>
      <c r="N104" s="308">
        <v>4250</v>
      </c>
      <c r="O104" s="308">
        <v>30.36</v>
      </c>
      <c r="P104" s="308">
        <v>0.3201</v>
      </c>
      <c r="Q104" s="308">
        <v>1.9560000000000001E-2</v>
      </c>
      <c r="R104" s="309">
        <v>3.5824561500000001</v>
      </c>
      <c r="S104" s="309">
        <f>R104+R103</f>
        <v>13.828133210000001</v>
      </c>
      <c r="T104" s="338">
        <v>92.1</v>
      </c>
      <c r="U104" s="338">
        <v>90.9</v>
      </c>
      <c r="V104" s="313">
        <v>2015</v>
      </c>
      <c r="W104" s="313">
        <v>2752</v>
      </c>
      <c r="X104" s="313">
        <f>W104-V104</f>
        <v>737</v>
      </c>
      <c r="Y104" s="313">
        <f t="shared" si="42"/>
        <v>205.72477907370896</v>
      </c>
      <c r="Z104" s="332">
        <v>1133.55</v>
      </c>
      <c r="AA104" s="313">
        <v>1155.132926</v>
      </c>
      <c r="AB104" s="313">
        <f>AA104-Z104</f>
        <v>21.582926000000043</v>
      </c>
      <c r="AC104" s="331">
        <f t="shared" si="43"/>
        <v>6.02461693773978</v>
      </c>
      <c r="AD104" s="332">
        <v>-8.07</v>
      </c>
      <c r="AE104" s="313">
        <v>-8.5500000000000007</v>
      </c>
      <c r="AF104" s="313">
        <f>AE104-AD104</f>
        <v>-0.48000000000000043</v>
      </c>
      <c r="AG104" s="331">
        <f t="shared" si="44"/>
        <v>-0.13398628759210365</v>
      </c>
      <c r="AH104" s="332">
        <v>0</v>
      </c>
      <c r="AI104" s="313">
        <v>0</v>
      </c>
      <c r="AJ104" s="313">
        <f>AI104-AH104</f>
        <v>0</v>
      </c>
      <c r="AK104" s="331">
        <f t="shared" si="45"/>
        <v>0</v>
      </c>
      <c r="AL104" s="332">
        <v>0</v>
      </c>
      <c r="AM104" s="313">
        <v>0</v>
      </c>
      <c r="AN104" s="313">
        <f>AM104-AL104</f>
        <v>0</v>
      </c>
      <c r="AO104" s="331">
        <f t="shared" si="46"/>
        <v>0</v>
      </c>
      <c r="AP104" s="303">
        <v>92.1</v>
      </c>
      <c r="AQ104" s="303">
        <v>90.9</v>
      </c>
      <c r="AR104" s="303">
        <f>AQ104-AP104</f>
        <v>-1.1999999999999886</v>
      </c>
      <c r="AS104" s="447">
        <v>45799.5</v>
      </c>
      <c r="AT104" s="341">
        <v>45800.2</v>
      </c>
      <c r="AU104" s="341">
        <f>AT104-AS104</f>
        <v>0.69999999999708962</v>
      </c>
      <c r="AV104" s="303"/>
      <c r="AW104" s="303"/>
      <c r="AX104" s="303"/>
      <c r="AY104" s="303"/>
      <c r="AZ104" s="322" t="s">
        <v>686</v>
      </c>
      <c r="BA104" s="461">
        <v>2410.5843180900001</v>
      </c>
      <c r="BB104" s="461">
        <v>-2.1928357799999998</v>
      </c>
      <c r="BC104" s="461">
        <v>2003.7205731900001</v>
      </c>
      <c r="BD104" s="461">
        <v>2048.64397113</v>
      </c>
      <c r="BE104" s="461">
        <v>3.2092198000000001</v>
      </c>
      <c r="BF104" s="461">
        <v>3.2582724600000001</v>
      </c>
      <c r="BG104" s="461">
        <v>-0.24051306</v>
      </c>
      <c r="BH104" s="461">
        <v>3.5823428700000002</v>
      </c>
      <c r="BI104" s="461">
        <v>3.59097964</v>
      </c>
      <c r="BJ104" s="461">
        <v>-1.2843023</v>
      </c>
      <c r="BK104" s="461">
        <v>-1.5054804399999999</v>
      </c>
      <c r="BL104" s="461">
        <v>0.59035970999999998</v>
      </c>
    </row>
    <row r="105" spans="1:70" ht="15" customHeight="1" x14ac:dyDescent="0.2">
      <c r="A105" s="321">
        <v>62008012</v>
      </c>
      <c r="B105" s="321" t="s">
        <v>225</v>
      </c>
      <c r="C105" s="321" t="s">
        <v>778</v>
      </c>
      <c r="D105" s="352" t="s">
        <v>718</v>
      </c>
      <c r="E105" s="307" t="s">
        <v>789</v>
      </c>
      <c r="F105" s="307" t="str">
        <f t="shared" si="28"/>
        <v>08/05/20</v>
      </c>
      <c r="G105" s="322" t="s">
        <v>790</v>
      </c>
      <c r="H105" s="322" t="s">
        <v>685</v>
      </c>
      <c r="I105" s="330"/>
      <c r="J105" s="323">
        <v>20.124296000000001</v>
      </c>
      <c r="K105" s="323">
        <v>54.252215</v>
      </c>
      <c r="L105" s="323">
        <v>29.419021000000001</v>
      </c>
      <c r="M105" s="323">
        <v>27.868089000000001</v>
      </c>
      <c r="N105" s="308">
        <v>4250</v>
      </c>
      <c r="O105" s="308">
        <v>30.36</v>
      </c>
      <c r="P105" s="308">
        <v>0.3201</v>
      </c>
      <c r="Q105" s="308">
        <v>1.9560000000000001E-2</v>
      </c>
      <c r="R105" s="309">
        <v>3.8434989100000001</v>
      </c>
      <c r="S105" s="309">
        <f>R105+R104</f>
        <v>7.4259550599999997</v>
      </c>
      <c r="T105" s="338">
        <v>90.9</v>
      </c>
      <c r="U105" s="338">
        <v>89.9</v>
      </c>
      <c r="V105" s="313">
        <v>2752</v>
      </c>
      <c r="W105" s="313">
        <v>3400</v>
      </c>
      <c r="X105" s="313">
        <f>W105-V105</f>
        <v>648</v>
      </c>
      <c r="Y105" s="313">
        <f t="shared" si="42"/>
        <v>168.59637928191842</v>
      </c>
      <c r="Z105" s="332">
        <v>1155.142926</v>
      </c>
      <c r="AA105" s="313">
        <v>1191.68</v>
      </c>
      <c r="AB105" s="313">
        <f>AA105-Z105</f>
        <v>36.537074000000075</v>
      </c>
      <c r="AC105" s="331">
        <f t="shared" si="43"/>
        <v>9.5062012128943394</v>
      </c>
      <c r="AD105" s="332">
        <v>-8.5500000000000007</v>
      </c>
      <c r="AE105" s="313">
        <v>-9.0299999999999994</v>
      </c>
      <c r="AF105" s="313">
        <f>AE105-AD105</f>
        <v>-0.47999999999999865</v>
      </c>
      <c r="AG105" s="331">
        <f t="shared" si="44"/>
        <v>-0.12488620687549476</v>
      </c>
      <c r="AH105" s="332">
        <v>0</v>
      </c>
      <c r="AI105" s="313">
        <v>0</v>
      </c>
      <c r="AJ105" s="313">
        <f>AI105-AH105</f>
        <v>0</v>
      </c>
      <c r="AK105" s="331">
        <f t="shared" si="45"/>
        <v>0</v>
      </c>
      <c r="AL105" s="332">
        <v>0</v>
      </c>
      <c r="AM105" s="313">
        <v>0</v>
      </c>
      <c r="AN105" s="313">
        <f>AM105-AL105</f>
        <v>0</v>
      </c>
      <c r="AO105" s="331">
        <f t="shared" si="46"/>
        <v>0</v>
      </c>
      <c r="AP105" s="303">
        <v>90.9</v>
      </c>
      <c r="AQ105" s="303">
        <v>89.9</v>
      </c>
      <c r="AR105" s="303">
        <f>AQ105-AP105</f>
        <v>-1</v>
      </c>
      <c r="AS105" s="447">
        <v>45800.2</v>
      </c>
      <c r="AT105" s="341">
        <v>45801.4</v>
      </c>
      <c r="AU105" s="341">
        <f>AT105-AS105</f>
        <v>1.2000000000043656</v>
      </c>
      <c r="AV105" s="303"/>
      <c r="AW105" s="303"/>
      <c r="AX105" s="303"/>
      <c r="AY105" s="303"/>
      <c r="AZ105" s="322" t="s">
        <v>686</v>
      </c>
      <c r="BA105" s="461">
        <v>1481.71563659</v>
      </c>
      <c r="BB105" s="461">
        <v>-2.09788738</v>
      </c>
      <c r="BC105" s="461">
        <v>3344.32943492</v>
      </c>
      <c r="BD105" s="461">
        <v>3415.9931236900002</v>
      </c>
      <c r="BE105" s="461">
        <v>2.9550441799999998</v>
      </c>
      <c r="BF105" s="461">
        <v>3.01841955</v>
      </c>
      <c r="BG105" s="461">
        <v>-0.42775812000000002</v>
      </c>
      <c r="BH105" s="461">
        <v>3.8433188700000001</v>
      </c>
      <c r="BI105" s="461">
        <v>3.8598295999999999</v>
      </c>
      <c r="BJ105" s="461">
        <v>-1.70771856</v>
      </c>
      <c r="BK105" s="461">
        <v>-2.09962106</v>
      </c>
      <c r="BL105" s="461">
        <v>0.71451659000000001</v>
      </c>
    </row>
    <row r="106" spans="1:70" ht="15" customHeight="1" x14ac:dyDescent="0.2">
      <c r="A106" s="321">
        <v>62008012</v>
      </c>
      <c r="B106" s="321" t="s">
        <v>632</v>
      </c>
      <c r="C106" s="321" t="s">
        <v>779</v>
      </c>
      <c r="D106" s="352" t="s">
        <v>718</v>
      </c>
      <c r="E106" s="307" t="s">
        <v>789</v>
      </c>
      <c r="F106" s="307" t="str">
        <f t="shared" si="28"/>
        <v>08/05/20</v>
      </c>
      <c r="G106" s="322" t="s">
        <v>790</v>
      </c>
      <c r="H106" s="322" t="s">
        <v>685</v>
      </c>
      <c r="I106" s="330"/>
      <c r="J106" s="324">
        <f>AVERAGE(J104:J105)</f>
        <v>20.374196000000001</v>
      </c>
      <c r="K106" s="324">
        <f>AVERAGE(K104:K105)</f>
        <v>53.813973500000003</v>
      </c>
      <c r="L106" s="324">
        <f>AVERAGE(L104:L105)</f>
        <v>29.418269000000002</v>
      </c>
      <c r="M106" s="324">
        <f>AVERAGE(M104:M105)</f>
        <v>28.215899</v>
      </c>
      <c r="N106" s="310"/>
      <c r="O106" s="308"/>
      <c r="P106" s="326"/>
      <c r="Q106" s="325"/>
      <c r="R106" s="311">
        <f>R105+R104</f>
        <v>7.4259550599999997</v>
      </c>
      <c r="S106" s="311">
        <f>S105</f>
        <v>7.4259550599999997</v>
      </c>
      <c r="T106" s="339">
        <f>T104</f>
        <v>92.1</v>
      </c>
      <c r="U106" s="339">
        <f>U105</f>
        <v>89.9</v>
      </c>
      <c r="V106" s="314">
        <f>V104</f>
        <v>2015</v>
      </c>
      <c r="W106" s="314">
        <f>W105</f>
        <v>3400</v>
      </c>
      <c r="X106" s="314">
        <f>SUM(X104:X105)</f>
        <v>1385</v>
      </c>
      <c r="Y106" s="314">
        <f t="shared" si="42"/>
        <v>186.50799645426349</v>
      </c>
      <c r="Z106" s="314">
        <f>Z104</f>
        <v>1133.55</v>
      </c>
      <c r="AA106" s="314">
        <f>AA105</f>
        <v>1191.68</v>
      </c>
      <c r="AB106" s="314">
        <f>SUM(AB104:AB105)</f>
        <v>58.120000000000118</v>
      </c>
      <c r="AC106" s="312">
        <f t="shared" si="43"/>
        <v>7.8266027104128639</v>
      </c>
      <c r="AD106" s="314">
        <f>AD104</f>
        <v>-8.07</v>
      </c>
      <c r="AE106" s="314">
        <f>AE105</f>
        <v>-9.0299999999999994</v>
      </c>
      <c r="AF106" s="314">
        <f>SUM(AF104:AF105)</f>
        <v>-0.95999999999999908</v>
      </c>
      <c r="AG106" s="312">
        <f t="shared" si="44"/>
        <v>-0.12927630079140273</v>
      </c>
      <c r="AH106" s="314">
        <f>AH104</f>
        <v>0</v>
      </c>
      <c r="AI106" s="314">
        <f>AI105</f>
        <v>0</v>
      </c>
      <c r="AJ106" s="314">
        <f>SUM(AJ104:AJ105)</f>
        <v>0</v>
      </c>
      <c r="AK106" s="312">
        <f t="shared" si="45"/>
        <v>0</v>
      </c>
      <c r="AL106" s="314">
        <f>AL104</f>
        <v>0</v>
      </c>
      <c r="AM106" s="314">
        <f>AM105</f>
        <v>0</v>
      </c>
      <c r="AN106" s="314">
        <f>SUM(AN104:AN105)</f>
        <v>0</v>
      </c>
      <c r="AO106" s="312">
        <f t="shared" si="46"/>
        <v>0</v>
      </c>
      <c r="AP106" s="305"/>
      <c r="AQ106" s="305"/>
      <c r="AR106" s="305">
        <f>SUM(AR104:AR105)</f>
        <v>-2.1999999999999886</v>
      </c>
      <c r="AS106" s="342">
        <f>AS104</f>
        <v>45799.5</v>
      </c>
      <c r="AT106" s="342">
        <f>AT105</f>
        <v>45801.4</v>
      </c>
      <c r="AU106" s="342">
        <f>SUM(AU104:AU105)</f>
        <v>1.9000000000014552</v>
      </c>
      <c r="AV106" s="305"/>
      <c r="AW106" s="305"/>
      <c r="AX106" s="305"/>
      <c r="AY106" s="305"/>
      <c r="AZ106" s="322" t="s">
        <v>686</v>
      </c>
    </row>
    <row r="107" spans="1:70" ht="15" customHeight="1" x14ac:dyDescent="0.2">
      <c r="A107" s="321">
        <v>62008012</v>
      </c>
      <c r="B107" s="321" t="s">
        <v>633</v>
      </c>
      <c r="C107" s="321" t="s">
        <v>780</v>
      </c>
      <c r="D107" s="352" t="s">
        <v>718</v>
      </c>
      <c r="E107" s="307" t="s">
        <v>789</v>
      </c>
      <c r="F107" s="307" t="str">
        <f t="shared" si="28"/>
        <v>08/05/20</v>
      </c>
      <c r="G107" s="322" t="s">
        <v>790</v>
      </c>
      <c r="H107" s="322" t="s">
        <v>685</v>
      </c>
      <c r="I107" s="330"/>
      <c r="J107" s="323">
        <v>23.267461999999998</v>
      </c>
      <c r="K107" s="323">
        <v>42.222805000000001</v>
      </c>
      <c r="L107" s="323">
        <v>29.426185</v>
      </c>
      <c r="M107" s="323">
        <v>30.288867</v>
      </c>
      <c r="N107" s="308">
        <v>4250</v>
      </c>
      <c r="O107" s="308">
        <v>30.36</v>
      </c>
      <c r="P107" s="308">
        <v>0.3201</v>
      </c>
      <c r="Q107" s="308">
        <v>1.9560000000000001E-2</v>
      </c>
      <c r="R107" s="309">
        <v>1.76514952</v>
      </c>
      <c r="S107" s="309">
        <f>R107+R106</f>
        <v>9.1911045799999993</v>
      </c>
      <c r="T107" s="338">
        <v>89.9</v>
      </c>
      <c r="U107" s="338">
        <v>86.2</v>
      </c>
      <c r="V107" s="313">
        <v>3404</v>
      </c>
      <c r="W107" s="313">
        <v>5828</v>
      </c>
      <c r="X107" s="313">
        <f>W107-V107-X108</f>
        <v>550</v>
      </c>
      <c r="Y107" s="313">
        <f t="shared" si="42"/>
        <v>311.58833502104682</v>
      </c>
      <c r="Z107" s="332">
        <v>1195.56</v>
      </c>
      <c r="AA107" s="313">
        <v>1220.57</v>
      </c>
      <c r="AB107" s="313">
        <f>AA107-Z107-AB108</f>
        <v>9.9123379999998633</v>
      </c>
      <c r="AC107" s="331">
        <f t="shared" si="43"/>
        <v>5.6155798065196558</v>
      </c>
      <c r="AD107" s="332">
        <v>-9.08</v>
      </c>
      <c r="AE107" s="313">
        <v>-9.32</v>
      </c>
      <c r="AF107" s="313">
        <f>AE107-AD107-AF108</f>
        <v>-9.0000000000001634E-2</v>
      </c>
      <c r="AG107" s="331">
        <f t="shared" si="44"/>
        <v>-5.0987182094354044E-2</v>
      </c>
      <c r="AH107" s="332">
        <v>0</v>
      </c>
      <c r="AI107" s="313">
        <v>0</v>
      </c>
      <c r="AJ107" s="313">
        <f>AI107-AH107-AJ108</f>
        <v>0</v>
      </c>
      <c r="AK107" s="331">
        <f t="shared" si="45"/>
        <v>0</v>
      </c>
      <c r="AL107" s="332">
        <v>0</v>
      </c>
      <c r="AM107" s="313">
        <v>0</v>
      </c>
      <c r="AN107" s="313">
        <f>AM107-AL107-AN108</f>
        <v>0</v>
      </c>
      <c r="AO107" s="331">
        <f t="shared" si="46"/>
        <v>0</v>
      </c>
      <c r="AP107" s="303">
        <v>89.9</v>
      </c>
      <c r="AQ107" s="303">
        <v>86.2</v>
      </c>
      <c r="AR107" s="303">
        <f>AQ107-AP107-AR108</f>
        <v>-0.79999999999999716</v>
      </c>
      <c r="AS107" s="447">
        <v>45801.599999999999</v>
      </c>
      <c r="AT107" s="341">
        <v>45802.400000000001</v>
      </c>
      <c r="AU107" s="341">
        <f>AT107-AS107-AU108</f>
        <v>0.30000000000291038</v>
      </c>
      <c r="AV107" s="303"/>
      <c r="AW107" s="303"/>
      <c r="AX107" s="303"/>
      <c r="AY107" s="303"/>
      <c r="AZ107" s="322" t="s">
        <v>686</v>
      </c>
      <c r="BA107" s="461">
        <v>5560.2914646700001</v>
      </c>
      <c r="BB107" s="461">
        <v>-1.1973955000000001</v>
      </c>
      <c r="BC107" s="461">
        <v>2429.8358759500002</v>
      </c>
      <c r="BD107" s="461">
        <v>2459.2832224700001</v>
      </c>
      <c r="BE107" s="461">
        <v>3.1637078600000001</v>
      </c>
      <c r="BF107" s="461">
        <v>3.2077190099999999</v>
      </c>
      <c r="BG107" s="461">
        <v>-0.39396938999999997</v>
      </c>
      <c r="BH107" s="461">
        <v>1.7651232299999999</v>
      </c>
      <c r="BI107" s="461">
        <v>1.77210478</v>
      </c>
      <c r="BJ107" s="461">
        <v>-0.99167561000000004</v>
      </c>
      <c r="BK107" s="461">
        <v>-1.37203882</v>
      </c>
      <c r="BL107" s="461">
        <v>0.81478379000000001</v>
      </c>
    </row>
    <row r="108" spans="1:70" ht="15" customHeight="1" x14ac:dyDescent="0.2">
      <c r="A108" s="321">
        <v>62008012</v>
      </c>
      <c r="B108" s="321" t="s">
        <v>634</v>
      </c>
      <c r="C108" s="321" t="s">
        <v>781</v>
      </c>
      <c r="D108" s="352" t="s">
        <v>718</v>
      </c>
      <c r="E108" s="307" t="s">
        <v>789</v>
      </c>
      <c r="F108" s="307" t="str">
        <f t="shared" si="28"/>
        <v>08/05/20</v>
      </c>
      <c r="G108" s="322" t="s">
        <v>790</v>
      </c>
      <c r="H108" s="322" t="s">
        <v>685</v>
      </c>
      <c r="I108" s="330"/>
      <c r="J108" s="323">
        <v>27.157176</v>
      </c>
      <c r="K108" s="323">
        <v>33.884852000000002</v>
      </c>
      <c r="L108" s="323">
        <v>29.460135999999999</v>
      </c>
      <c r="M108" s="323">
        <v>30.457491999999998</v>
      </c>
      <c r="N108" s="308">
        <v>4250</v>
      </c>
      <c r="O108" s="308">
        <v>30.36</v>
      </c>
      <c r="P108" s="308">
        <v>0.3201</v>
      </c>
      <c r="Q108" s="308">
        <v>1.9560000000000001E-2</v>
      </c>
      <c r="R108" s="309">
        <v>6.2270989300000004</v>
      </c>
      <c r="S108" s="309">
        <f>R108+R107</f>
        <v>7.9922484499999999</v>
      </c>
      <c r="T108" s="338">
        <v>89.4</v>
      </c>
      <c r="U108" s="338">
        <v>86.5</v>
      </c>
      <c r="V108" s="313">
        <v>3774</v>
      </c>
      <c r="W108" s="313">
        <v>5648</v>
      </c>
      <c r="X108" s="313">
        <f>W108-V108</f>
        <v>1874</v>
      </c>
      <c r="Y108" s="313">
        <f t="shared" si="42"/>
        <v>300.94270559469015</v>
      </c>
      <c r="Z108" s="332">
        <v>1201.062338</v>
      </c>
      <c r="AA108" s="313">
        <v>1216.1600000000001</v>
      </c>
      <c r="AB108" s="313">
        <f>AA108-Z108</f>
        <v>15.097662000000128</v>
      </c>
      <c r="AC108" s="331">
        <f t="shared" si="43"/>
        <v>2.4245097387589003</v>
      </c>
      <c r="AD108" s="332">
        <v>-9.1300000000000008</v>
      </c>
      <c r="AE108" s="313">
        <v>-9.2799999999999994</v>
      </c>
      <c r="AF108" s="313">
        <f>AE108-AD108</f>
        <v>-0.14999999999999858</v>
      </c>
      <c r="AG108" s="331">
        <f t="shared" si="44"/>
        <v>-2.4088263521453091E-2</v>
      </c>
      <c r="AH108" s="332">
        <v>0</v>
      </c>
      <c r="AI108" s="313">
        <v>0</v>
      </c>
      <c r="AJ108" s="313">
        <f>AI108-AH108</f>
        <v>0</v>
      </c>
      <c r="AK108" s="331">
        <f t="shared" si="45"/>
        <v>0</v>
      </c>
      <c r="AL108" s="332">
        <v>0</v>
      </c>
      <c r="AM108" s="313">
        <v>0</v>
      </c>
      <c r="AN108" s="313">
        <f>AM108-AL108</f>
        <v>0</v>
      </c>
      <c r="AO108" s="331">
        <f t="shared" si="46"/>
        <v>0</v>
      </c>
      <c r="AP108" s="303">
        <v>89.4</v>
      </c>
      <c r="AQ108" s="303">
        <v>86.5</v>
      </c>
      <c r="AR108" s="303">
        <f>AQ108-AP108</f>
        <v>-2.9000000000000057</v>
      </c>
      <c r="AS108" s="447">
        <v>45801.7</v>
      </c>
      <c r="AT108" s="341">
        <v>45802.2</v>
      </c>
      <c r="AU108" s="341">
        <f>AT108-AS108</f>
        <v>0.5</v>
      </c>
      <c r="AV108" s="303"/>
      <c r="AW108" s="303"/>
      <c r="AX108" s="303"/>
      <c r="AY108" s="303"/>
      <c r="AZ108" s="322" t="s">
        <v>686</v>
      </c>
      <c r="BA108" s="461">
        <v>11813.037838669999</v>
      </c>
      <c r="BB108" s="461">
        <v>-9.4965539900000007</v>
      </c>
      <c r="BC108" s="461">
        <v>1030.19337305</v>
      </c>
      <c r="BD108" s="461">
        <v>1138.2918756399999</v>
      </c>
      <c r="BE108" s="461">
        <v>6.9186727499999998</v>
      </c>
      <c r="BF108" s="461">
        <v>7.0841286400000003</v>
      </c>
      <c r="BG108" s="461">
        <v>-0.12389453</v>
      </c>
      <c r="BH108" s="461">
        <v>6.2271335800000003</v>
      </c>
      <c r="BI108" s="461">
        <v>6.2348582300000004</v>
      </c>
      <c r="BJ108" s="461">
        <v>-2.2645822600000001</v>
      </c>
      <c r="BK108" s="461">
        <v>-2.3355855399999998</v>
      </c>
      <c r="BL108" s="461">
        <v>0.34892001</v>
      </c>
    </row>
    <row r="109" spans="1:70" ht="15" customHeight="1" x14ac:dyDescent="0.2">
      <c r="A109" s="321">
        <v>62008012</v>
      </c>
      <c r="B109" s="321" t="s">
        <v>635</v>
      </c>
      <c r="C109" s="321" t="s">
        <v>782</v>
      </c>
      <c r="D109" s="352" t="s">
        <v>718</v>
      </c>
      <c r="E109" s="307" t="s">
        <v>789</v>
      </c>
      <c r="F109" s="307" t="str">
        <f t="shared" si="28"/>
        <v>08/05/20</v>
      </c>
      <c r="G109" s="322" t="s">
        <v>790</v>
      </c>
      <c r="H109" s="322" t="s">
        <v>685</v>
      </c>
      <c r="I109" s="330"/>
      <c r="J109" s="324">
        <f>AVERAGE(J107:J108)</f>
        <v>25.212319000000001</v>
      </c>
      <c r="K109" s="324">
        <f>AVERAGE(K107:K108)</f>
        <v>38.053828500000002</v>
      </c>
      <c r="L109" s="324">
        <f>AVERAGE(L107:L108)</f>
        <v>29.443160499999998</v>
      </c>
      <c r="M109" s="324">
        <f>AVERAGE(M107:M108)</f>
        <v>30.373179499999999</v>
      </c>
      <c r="N109" s="310"/>
      <c r="O109" s="308"/>
      <c r="P109" s="326"/>
      <c r="Q109" s="325"/>
      <c r="R109" s="311">
        <f>R108+R107</f>
        <v>7.9922484499999999</v>
      </c>
      <c r="S109" s="311">
        <f>S108</f>
        <v>7.9922484499999999</v>
      </c>
      <c r="T109" s="339">
        <f>T107</f>
        <v>89.9</v>
      </c>
      <c r="U109" s="339">
        <f>U108</f>
        <v>86.5</v>
      </c>
      <c r="V109" s="314">
        <f>V107</f>
        <v>3404</v>
      </c>
      <c r="W109" s="314">
        <f>W108</f>
        <v>5648</v>
      </c>
      <c r="X109" s="314">
        <f>SUM(X107:X108)</f>
        <v>2424</v>
      </c>
      <c r="Y109" s="314">
        <f t="shared" si="42"/>
        <v>303.29387470430805</v>
      </c>
      <c r="Z109" s="314">
        <f>Z107</f>
        <v>1195.56</v>
      </c>
      <c r="AA109" s="314">
        <f>AA108</f>
        <v>1216.1600000000001</v>
      </c>
      <c r="AB109" s="314">
        <f>SUM(AB107:AB108)</f>
        <v>25.009999999999991</v>
      </c>
      <c r="AC109" s="312">
        <f t="shared" si="43"/>
        <v>3.1292820983311636</v>
      </c>
      <c r="AD109" s="314">
        <f>AD107</f>
        <v>-9.08</v>
      </c>
      <c r="AE109" s="314">
        <f>AE108</f>
        <v>-9.2799999999999994</v>
      </c>
      <c r="AF109" s="314">
        <f>SUM(AF107:AF108)</f>
        <v>-0.24000000000000021</v>
      </c>
      <c r="AG109" s="312">
        <f t="shared" si="44"/>
        <v>-3.0029096505377058E-2</v>
      </c>
      <c r="AH109" s="314">
        <f>AH107</f>
        <v>0</v>
      </c>
      <c r="AI109" s="314">
        <f>AI108</f>
        <v>0</v>
      </c>
      <c r="AJ109" s="314">
        <f>SUM(AJ107:AJ108)</f>
        <v>0</v>
      </c>
      <c r="AK109" s="312">
        <f t="shared" si="45"/>
        <v>0</v>
      </c>
      <c r="AL109" s="314">
        <f>AL107</f>
        <v>0</v>
      </c>
      <c r="AM109" s="314">
        <f>AM108</f>
        <v>0</v>
      </c>
      <c r="AN109" s="314">
        <f>SUM(AN107:AN108)</f>
        <v>0</v>
      </c>
      <c r="AO109" s="312">
        <f t="shared" si="46"/>
        <v>0</v>
      </c>
      <c r="AP109" s="305"/>
      <c r="AQ109" s="305"/>
      <c r="AR109" s="305">
        <f>SUM(AR107:AR108)</f>
        <v>-3.7000000000000028</v>
      </c>
      <c r="AS109" s="342">
        <f>AS107</f>
        <v>45801.599999999999</v>
      </c>
      <c r="AT109" s="342">
        <f>AT108</f>
        <v>45802.2</v>
      </c>
      <c r="AU109" s="342">
        <f>SUM(AU107:AU108)</f>
        <v>0.80000000000291038</v>
      </c>
      <c r="AV109" s="305"/>
      <c r="AW109" s="305"/>
      <c r="AX109" s="305"/>
      <c r="AY109" s="305"/>
      <c r="AZ109" s="322" t="s">
        <v>686</v>
      </c>
    </row>
    <row r="110" spans="1:70" ht="15" customHeight="1" x14ac:dyDescent="0.2">
      <c r="A110" s="321">
        <v>62008013</v>
      </c>
      <c r="B110" s="321" t="s">
        <v>769</v>
      </c>
      <c r="C110" s="321" t="s">
        <v>773</v>
      </c>
      <c r="D110" s="352" t="s">
        <v>791</v>
      </c>
      <c r="E110" s="307" t="s">
        <v>792</v>
      </c>
      <c r="F110" s="307" t="str">
        <f t="shared" si="28"/>
        <v>08/05/20</v>
      </c>
      <c r="G110" s="322" t="s">
        <v>793</v>
      </c>
      <c r="H110" s="322" t="s">
        <v>685</v>
      </c>
      <c r="I110" s="330"/>
      <c r="J110" s="323">
        <v>18.469584999999999</v>
      </c>
      <c r="K110" s="323">
        <v>58.557301000000002</v>
      </c>
      <c r="L110" s="323">
        <v>29.426846000000001</v>
      </c>
      <c r="M110" s="323">
        <v>28.895164000000001</v>
      </c>
      <c r="N110" s="308">
        <v>4250</v>
      </c>
      <c r="O110" s="308">
        <v>30.36</v>
      </c>
      <c r="P110" s="308">
        <v>0.3201</v>
      </c>
      <c r="Q110" s="308">
        <v>1.9560000000000001E-2</v>
      </c>
      <c r="R110" s="309">
        <v>1.90727571</v>
      </c>
      <c r="S110" s="309">
        <f t="shared" ref="S110:S127" si="47">R110+R109</f>
        <v>9.8995241600000004</v>
      </c>
      <c r="T110" s="338">
        <v>86.2</v>
      </c>
      <c r="U110" s="338">
        <v>85.7</v>
      </c>
      <c r="V110" s="313">
        <v>5843</v>
      </c>
      <c r="W110" s="313">
        <v>6170</v>
      </c>
      <c r="X110" s="313">
        <f t="shared" ref="X110:X127" si="48">W110-V110</f>
        <v>327</v>
      </c>
      <c r="Y110" s="313">
        <f t="shared" si="42"/>
        <v>171.44873092312386</v>
      </c>
      <c r="Z110" s="332">
        <v>1233.602367</v>
      </c>
      <c r="AA110" s="313">
        <v>1258.7</v>
      </c>
      <c r="AB110" s="313">
        <f t="shared" ref="AB110:AB127" si="49">AA110-Z110</f>
        <v>25.097633000000087</v>
      </c>
      <c r="AC110" s="331">
        <f t="shared" si="43"/>
        <v>13.15889090833128</v>
      </c>
      <c r="AD110" s="332">
        <v>-8.74</v>
      </c>
      <c r="AE110" s="313">
        <v>-9.17</v>
      </c>
      <c r="AF110" s="313">
        <f t="shared" ref="AF110:AF127" si="50">AE110-AD110</f>
        <v>-0.42999999999999972</v>
      </c>
      <c r="AG110" s="331">
        <f t="shared" si="44"/>
        <v>-0.22545245962367955</v>
      </c>
      <c r="AH110" s="332">
        <v>0</v>
      </c>
      <c r="AI110" s="313">
        <v>0</v>
      </c>
      <c r="AJ110" s="313">
        <f t="shared" ref="AJ110:AJ127" si="51">AI110-AH110</f>
        <v>0</v>
      </c>
      <c r="AK110" s="331">
        <f t="shared" si="45"/>
        <v>0</v>
      </c>
      <c r="AL110" s="332">
        <v>-0.05</v>
      </c>
      <c r="AM110" s="313">
        <v>-0.05</v>
      </c>
      <c r="AN110" s="313">
        <f t="shared" ref="AN110:AN127" si="52">AM110-AL110</f>
        <v>0</v>
      </c>
      <c r="AO110" s="331">
        <f t="shared" si="46"/>
        <v>0</v>
      </c>
      <c r="AP110" s="303">
        <v>86.2</v>
      </c>
      <c r="AQ110" s="303">
        <v>85.7</v>
      </c>
      <c r="AR110" s="303">
        <f t="shared" ref="AR110:AR127" si="53">AQ110-AP110</f>
        <v>-0.5</v>
      </c>
      <c r="AS110" s="447">
        <v>45803.199999999997</v>
      </c>
      <c r="AT110" s="341">
        <v>45804</v>
      </c>
      <c r="AU110" s="341">
        <f t="shared" ref="AU110:AU127" si="54">AT110-AS110</f>
        <v>0.80000000000291038</v>
      </c>
      <c r="AV110" s="303"/>
      <c r="AW110" s="303"/>
      <c r="AX110" s="303"/>
      <c r="AY110" s="303"/>
      <c r="AZ110" s="322" t="s">
        <v>686</v>
      </c>
      <c r="BA110" s="461">
        <v>1099.10651699</v>
      </c>
      <c r="BB110" s="461">
        <v>-3.0399143400000002</v>
      </c>
      <c r="BC110" s="461">
        <v>1938.30358503</v>
      </c>
      <c r="BD110" s="461">
        <v>1999.0737135899999</v>
      </c>
      <c r="BE110" s="461">
        <v>1.5547681900000001</v>
      </c>
      <c r="BF110" s="461">
        <v>1.5960480800000001</v>
      </c>
      <c r="BG110" s="461">
        <v>-0.37586095000000003</v>
      </c>
      <c r="BH110" s="461">
        <v>1.90711516</v>
      </c>
      <c r="BI110" s="461">
        <v>1.9143102999999999</v>
      </c>
      <c r="BJ110" s="461">
        <v>-2.2692109500000002</v>
      </c>
      <c r="BK110" s="461">
        <v>-2.5863814500000002</v>
      </c>
      <c r="BL110" s="461">
        <v>0.79192169999999995</v>
      </c>
    </row>
    <row r="111" spans="1:70" ht="15" customHeight="1" x14ac:dyDescent="0.2">
      <c r="A111" s="321">
        <v>62008013</v>
      </c>
      <c r="B111" s="321" t="s">
        <v>769</v>
      </c>
      <c r="C111" s="321" t="s">
        <v>774</v>
      </c>
      <c r="D111" s="352" t="s">
        <v>791</v>
      </c>
      <c r="E111" s="307" t="s">
        <v>792</v>
      </c>
      <c r="F111" s="307" t="str">
        <f t="shared" si="28"/>
        <v>08/05/20</v>
      </c>
      <c r="G111" s="322" t="s">
        <v>793</v>
      </c>
      <c r="H111" s="322" t="s">
        <v>685</v>
      </c>
      <c r="I111" s="330"/>
      <c r="J111" s="323">
        <v>21.508890000000001</v>
      </c>
      <c r="K111" s="323">
        <v>50.668622999999997</v>
      </c>
      <c r="L111" s="323">
        <v>29.426870999999998</v>
      </c>
      <c r="M111" s="323">
        <v>27.911673</v>
      </c>
      <c r="N111" s="308">
        <v>4250</v>
      </c>
      <c r="O111" s="308">
        <v>30.36</v>
      </c>
      <c r="P111" s="308">
        <v>0.3201</v>
      </c>
      <c r="Q111" s="308">
        <v>1.9560000000000001E-2</v>
      </c>
      <c r="R111" s="309">
        <v>2.9447794799999998</v>
      </c>
      <c r="S111" s="309">
        <f t="shared" si="47"/>
        <v>4.8520551899999997</v>
      </c>
      <c r="T111" s="338">
        <v>85.7</v>
      </c>
      <c r="U111" s="338">
        <v>84.9</v>
      </c>
      <c r="V111" s="313">
        <v>6170</v>
      </c>
      <c r="W111" s="313">
        <v>6708</v>
      </c>
      <c r="X111" s="313">
        <f t="shared" si="48"/>
        <v>538</v>
      </c>
      <c r="Y111" s="313">
        <f t="shared" si="42"/>
        <v>182.69619292511507</v>
      </c>
      <c r="Z111" s="332">
        <v>1258.71</v>
      </c>
      <c r="AA111" s="313">
        <v>1276.8416139999999</v>
      </c>
      <c r="AB111" s="313">
        <f t="shared" si="49"/>
        <v>18.1316139999999</v>
      </c>
      <c r="AC111" s="331">
        <f t="shared" si="43"/>
        <v>6.1572060397540875</v>
      </c>
      <c r="AD111" s="332">
        <v>-9.17</v>
      </c>
      <c r="AE111" s="313">
        <v>-9.4</v>
      </c>
      <c r="AF111" s="313">
        <f t="shared" si="50"/>
        <v>-0.23000000000000043</v>
      </c>
      <c r="AG111" s="331">
        <f t="shared" si="44"/>
        <v>-7.8104320395495433E-2</v>
      </c>
      <c r="AH111" s="332">
        <v>0</v>
      </c>
      <c r="AI111" s="313">
        <v>0</v>
      </c>
      <c r="AJ111" s="313">
        <f t="shared" si="51"/>
        <v>0</v>
      </c>
      <c r="AK111" s="331">
        <f t="shared" si="45"/>
        <v>0</v>
      </c>
      <c r="AL111" s="332">
        <v>-0.05</v>
      </c>
      <c r="AM111" s="313">
        <v>-0.05</v>
      </c>
      <c r="AN111" s="313">
        <f t="shared" si="52"/>
        <v>0</v>
      </c>
      <c r="AO111" s="331">
        <f t="shared" si="46"/>
        <v>0</v>
      </c>
      <c r="AP111" s="303">
        <v>85.7</v>
      </c>
      <c r="AQ111" s="303">
        <v>84.9</v>
      </c>
      <c r="AR111" s="303">
        <f t="shared" si="53"/>
        <v>-0.79999999999999716</v>
      </c>
      <c r="AS111" s="447">
        <v>45804</v>
      </c>
      <c r="AT111" s="341">
        <v>45804.6</v>
      </c>
      <c r="AU111" s="341">
        <f t="shared" si="54"/>
        <v>0.59999999999854481</v>
      </c>
      <c r="AV111" s="303"/>
      <c r="AW111" s="303"/>
      <c r="AX111" s="303"/>
      <c r="AY111" s="303"/>
      <c r="AZ111" s="322" t="s">
        <v>686</v>
      </c>
      <c r="BA111" s="461">
        <v>2157.0837896500002</v>
      </c>
      <c r="BB111" s="461">
        <v>-3.7555821900000002</v>
      </c>
      <c r="BC111" s="461">
        <v>1788.07565666</v>
      </c>
      <c r="BD111" s="461">
        <v>1857.8486913199999</v>
      </c>
      <c r="BE111" s="461">
        <v>2.6442320800000001</v>
      </c>
      <c r="BF111" s="461">
        <v>2.6987005900000001</v>
      </c>
      <c r="BG111" s="461">
        <v>-0.1210936</v>
      </c>
      <c r="BH111" s="461">
        <v>2.94474824</v>
      </c>
      <c r="BI111" s="461">
        <v>2.9483184599999999</v>
      </c>
      <c r="BJ111" s="461">
        <v>-1.93631123</v>
      </c>
      <c r="BK111" s="461">
        <v>-2.0183238000000001</v>
      </c>
      <c r="BL111" s="461">
        <v>0.68410632999999998</v>
      </c>
    </row>
    <row r="112" spans="1:70" ht="15" customHeight="1" x14ac:dyDescent="0.2">
      <c r="A112" s="321">
        <v>62008013</v>
      </c>
      <c r="B112" s="321" t="s">
        <v>770</v>
      </c>
      <c r="C112" s="321" t="s">
        <v>776</v>
      </c>
      <c r="D112" s="352" t="s">
        <v>791</v>
      </c>
      <c r="E112" s="307" t="s">
        <v>792</v>
      </c>
      <c r="F112" s="307" t="str">
        <f t="shared" si="28"/>
        <v>08/05/20</v>
      </c>
      <c r="G112" s="322" t="s">
        <v>793</v>
      </c>
      <c r="H112" s="322" t="s">
        <v>685</v>
      </c>
      <c r="I112" s="330"/>
      <c r="J112" s="323">
        <v>24.396885000000001</v>
      </c>
      <c r="K112" s="323">
        <v>41.122857000000003</v>
      </c>
      <c r="L112" s="323">
        <v>29.435265999999999</v>
      </c>
      <c r="M112" s="323">
        <v>29.646647000000002</v>
      </c>
      <c r="N112" s="308">
        <v>4250</v>
      </c>
      <c r="O112" s="308">
        <v>30.36</v>
      </c>
      <c r="P112" s="308">
        <v>0.3201</v>
      </c>
      <c r="Q112" s="308">
        <v>1.9560000000000001E-2</v>
      </c>
      <c r="R112" s="309">
        <v>4.3821202899999996</v>
      </c>
      <c r="S112" s="309">
        <f t="shared" si="47"/>
        <v>7.3268997699999989</v>
      </c>
      <c r="T112" s="338">
        <v>84.9</v>
      </c>
      <c r="U112" s="338">
        <v>83.4</v>
      </c>
      <c r="V112" s="313">
        <v>6708</v>
      </c>
      <c r="W112" s="313">
        <v>7639</v>
      </c>
      <c r="X112" s="313">
        <f t="shared" si="48"/>
        <v>931</v>
      </c>
      <c r="Y112" s="313">
        <f t="shared" si="42"/>
        <v>212.45423183031795</v>
      </c>
      <c r="Z112" s="332">
        <v>1276.8516999999999</v>
      </c>
      <c r="AA112" s="313">
        <v>1295.81</v>
      </c>
      <c r="AB112" s="313">
        <f t="shared" si="49"/>
        <v>18.958300000000008</v>
      </c>
      <c r="AC112" s="331">
        <f t="shared" si="43"/>
        <v>4.3262847081726301</v>
      </c>
      <c r="AD112" s="332">
        <v>-9.4</v>
      </c>
      <c r="AE112" s="313">
        <v>-9.6</v>
      </c>
      <c r="AF112" s="313">
        <f t="shared" si="50"/>
        <v>-0.19999999999999929</v>
      </c>
      <c r="AG112" s="331">
        <f t="shared" si="44"/>
        <v>-4.5640006837876945E-2</v>
      </c>
      <c r="AH112" s="332">
        <v>0</v>
      </c>
      <c r="AI112" s="313">
        <v>0</v>
      </c>
      <c r="AJ112" s="313">
        <f t="shared" si="51"/>
        <v>0</v>
      </c>
      <c r="AK112" s="331">
        <f t="shared" si="45"/>
        <v>0</v>
      </c>
      <c r="AL112" s="332">
        <v>-0.05</v>
      </c>
      <c r="AM112" s="313">
        <v>-0.05</v>
      </c>
      <c r="AN112" s="313">
        <f t="shared" si="52"/>
        <v>0</v>
      </c>
      <c r="AO112" s="331">
        <f t="shared" si="46"/>
        <v>0</v>
      </c>
      <c r="AP112" s="303">
        <v>84.9</v>
      </c>
      <c r="AQ112" s="303">
        <v>83.4</v>
      </c>
      <c r="AR112" s="303">
        <f t="shared" si="53"/>
        <v>-1.5</v>
      </c>
      <c r="AS112" s="447">
        <v>45804.6</v>
      </c>
      <c r="AT112" s="341">
        <v>45805.3</v>
      </c>
      <c r="AU112" s="341">
        <f t="shared" si="54"/>
        <v>0.70000000000436557</v>
      </c>
      <c r="AV112" s="303"/>
      <c r="AW112" s="303"/>
      <c r="AX112" s="303"/>
      <c r="AY112" s="303"/>
      <c r="AZ112" s="322" t="s">
        <v>686</v>
      </c>
      <c r="BA112" s="461">
        <v>1900.9160658599999</v>
      </c>
      <c r="BB112" s="461">
        <v>-3.3554063799999998</v>
      </c>
      <c r="BC112" s="461">
        <v>1572.6272039999999</v>
      </c>
      <c r="BD112" s="461">
        <v>1627.2272923099999</v>
      </c>
      <c r="BE112" s="461">
        <v>3.7991471899999998</v>
      </c>
      <c r="BF112" s="461">
        <v>3.85361339</v>
      </c>
      <c r="BG112" s="461">
        <v>-0.12482158</v>
      </c>
      <c r="BH112" s="461">
        <v>4.3821346099999996</v>
      </c>
      <c r="BI112" s="461">
        <v>4.3876112899999997</v>
      </c>
      <c r="BJ112" s="461">
        <v>-1.3070318400000001</v>
      </c>
      <c r="BK112" s="461">
        <v>-1.41338009</v>
      </c>
      <c r="BL112" s="461">
        <v>0.49622996000000003</v>
      </c>
    </row>
    <row r="113" spans="1:70" ht="15" customHeight="1" x14ac:dyDescent="0.2">
      <c r="A113" s="321">
        <v>62008013</v>
      </c>
      <c r="B113" s="321" t="s">
        <v>770</v>
      </c>
      <c r="C113" s="321" t="s">
        <v>777</v>
      </c>
      <c r="D113" s="352" t="s">
        <v>791</v>
      </c>
      <c r="E113" s="307" t="s">
        <v>792</v>
      </c>
      <c r="F113" s="307" t="str">
        <f t="shared" si="28"/>
        <v>08/05/20</v>
      </c>
      <c r="G113" s="322" t="s">
        <v>793</v>
      </c>
      <c r="H113" s="322" t="s">
        <v>685</v>
      </c>
      <c r="I113" s="330"/>
      <c r="J113" s="323">
        <v>25.785481000000001</v>
      </c>
      <c r="K113" s="323">
        <v>36.591963</v>
      </c>
      <c r="L113" s="323">
        <v>29.451066000000001</v>
      </c>
      <c r="M113" s="323">
        <v>31.067176</v>
      </c>
      <c r="N113" s="308">
        <v>4250</v>
      </c>
      <c r="O113" s="308">
        <v>30.36</v>
      </c>
      <c r="P113" s="308">
        <v>0.3201</v>
      </c>
      <c r="Q113" s="308">
        <v>1.9560000000000001E-2</v>
      </c>
      <c r="R113" s="309">
        <v>5.1223001000000004</v>
      </c>
      <c r="S113" s="309">
        <f t="shared" si="47"/>
        <v>9.5044203899999999</v>
      </c>
      <c r="T113" s="338">
        <v>83.4</v>
      </c>
      <c r="U113" s="338">
        <v>81</v>
      </c>
      <c r="V113" s="313">
        <v>7639</v>
      </c>
      <c r="W113" s="313">
        <v>9220</v>
      </c>
      <c r="X113" s="313">
        <f t="shared" si="48"/>
        <v>1581</v>
      </c>
      <c r="Y113" s="313">
        <f t="shared" si="42"/>
        <v>308.65040492258544</v>
      </c>
      <c r="Z113" s="332">
        <v>1295.82</v>
      </c>
      <c r="AA113" s="313">
        <v>1309.0912880000001</v>
      </c>
      <c r="AB113" s="313">
        <f t="shared" si="49"/>
        <v>13.271288000000141</v>
      </c>
      <c r="AC113" s="331">
        <f t="shared" si="43"/>
        <v>2.5908845129944922</v>
      </c>
      <c r="AD113" s="332">
        <v>-9.6</v>
      </c>
      <c r="AE113" s="313">
        <v>-9.73</v>
      </c>
      <c r="AF113" s="313">
        <f t="shared" si="50"/>
        <v>-0.13000000000000078</v>
      </c>
      <c r="AG113" s="331">
        <f t="shared" si="44"/>
        <v>-2.5379223681174162E-2</v>
      </c>
      <c r="AH113" s="332">
        <v>0</v>
      </c>
      <c r="AI113" s="313">
        <v>0</v>
      </c>
      <c r="AJ113" s="313">
        <f t="shared" si="51"/>
        <v>0</v>
      </c>
      <c r="AK113" s="331">
        <f t="shared" si="45"/>
        <v>0</v>
      </c>
      <c r="AL113" s="332">
        <v>-0.05</v>
      </c>
      <c r="AM113" s="313">
        <v>-0.05</v>
      </c>
      <c r="AN113" s="313">
        <f t="shared" si="52"/>
        <v>0</v>
      </c>
      <c r="AO113" s="331">
        <f t="shared" si="46"/>
        <v>0</v>
      </c>
      <c r="AP113" s="303">
        <v>83.4</v>
      </c>
      <c r="AQ113" s="303">
        <v>81</v>
      </c>
      <c r="AR113" s="303">
        <f t="shared" si="53"/>
        <v>-2.4000000000000057</v>
      </c>
      <c r="AS113" s="447">
        <v>45805.3</v>
      </c>
      <c r="AT113" s="341">
        <v>45805.7</v>
      </c>
      <c r="AU113" s="341">
        <f t="shared" si="54"/>
        <v>0.39999999999417923</v>
      </c>
      <c r="AV113" s="303"/>
      <c r="AW113" s="303"/>
      <c r="AX113" s="303"/>
      <c r="AY113" s="303"/>
      <c r="AZ113" s="322" t="s">
        <v>686</v>
      </c>
      <c r="BA113" s="461">
        <v>1659.1101684400001</v>
      </c>
      <c r="BB113" s="461">
        <v>0.34368377</v>
      </c>
      <c r="BC113" s="461">
        <v>996.79464539000003</v>
      </c>
      <c r="BD113" s="461">
        <v>993.38055767000003</v>
      </c>
      <c r="BE113" s="461">
        <v>5.9264929100000003</v>
      </c>
      <c r="BF113" s="461">
        <v>5.9280774899999997</v>
      </c>
      <c r="BG113" s="461">
        <v>-0.12640074000000001</v>
      </c>
      <c r="BH113" s="461">
        <v>5.12234955</v>
      </c>
      <c r="BI113" s="461">
        <v>5.1288324300000001</v>
      </c>
      <c r="BJ113" s="461">
        <v>9.9697450000000007E-2</v>
      </c>
      <c r="BK113" s="461">
        <v>-2.6729940000000001E-2</v>
      </c>
      <c r="BL113" s="461">
        <v>0.34096398999999999</v>
      </c>
    </row>
    <row r="114" spans="1:70" ht="15" customHeight="1" x14ac:dyDescent="0.2">
      <c r="A114" s="321">
        <v>62008013</v>
      </c>
      <c r="B114" s="321" t="s">
        <v>770</v>
      </c>
      <c r="C114" s="321" t="s">
        <v>778</v>
      </c>
      <c r="D114" s="352" t="s">
        <v>791</v>
      </c>
      <c r="E114" s="307" t="s">
        <v>792</v>
      </c>
      <c r="F114" s="307" t="str">
        <f t="shared" si="28"/>
        <v>08/05/20</v>
      </c>
      <c r="G114" s="322" t="s">
        <v>793</v>
      </c>
      <c r="H114" s="322" t="s">
        <v>685</v>
      </c>
      <c r="I114" s="330"/>
      <c r="J114" s="323">
        <v>20.087005999999999</v>
      </c>
      <c r="K114" s="323">
        <v>50.492570999999998</v>
      </c>
      <c r="L114" s="323">
        <v>29.426486000000001</v>
      </c>
      <c r="M114" s="323">
        <v>31.453139</v>
      </c>
      <c r="N114" s="308">
        <v>4250</v>
      </c>
      <c r="O114" s="308">
        <v>30.36</v>
      </c>
      <c r="P114" s="308">
        <v>0.3201</v>
      </c>
      <c r="Q114" s="308">
        <v>1.9560000000000001E-2</v>
      </c>
      <c r="R114" s="309">
        <v>1.9075114500000001</v>
      </c>
      <c r="S114" s="309">
        <f t="shared" si="47"/>
        <v>7.0298115500000007</v>
      </c>
      <c r="T114" s="338">
        <v>81</v>
      </c>
      <c r="U114" s="338">
        <v>80.5</v>
      </c>
      <c r="V114" s="313">
        <v>9221</v>
      </c>
      <c r="W114" s="313">
        <v>9541</v>
      </c>
      <c r="X114" s="313">
        <f t="shared" si="48"/>
        <v>320</v>
      </c>
      <c r="Y114" s="313">
        <f t="shared" si="42"/>
        <v>167.75783967115899</v>
      </c>
      <c r="Z114" s="332">
        <v>1309.821199</v>
      </c>
      <c r="AA114" s="313">
        <v>1334.45</v>
      </c>
      <c r="AB114" s="313">
        <f t="shared" si="49"/>
        <v>24.628801000000067</v>
      </c>
      <c r="AC114" s="331">
        <f t="shared" si="43"/>
        <v>12.911482654534035</v>
      </c>
      <c r="AD114" s="332">
        <v>-9.74</v>
      </c>
      <c r="AE114" s="313">
        <v>-9.9499999999999993</v>
      </c>
      <c r="AF114" s="313">
        <f t="shared" si="50"/>
        <v>-0.20999999999999908</v>
      </c>
      <c r="AG114" s="331">
        <f t="shared" si="44"/>
        <v>-0.11009108228419759</v>
      </c>
      <c r="AH114" s="332">
        <v>0</v>
      </c>
      <c r="AI114" s="313">
        <v>0</v>
      </c>
      <c r="AJ114" s="313">
        <f t="shared" si="51"/>
        <v>0</v>
      </c>
      <c r="AK114" s="331">
        <f t="shared" si="45"/>
        <v>0</v>
      </c>
      <c r="AL114" s="332">
        <v>-0.05</v>
      </c>
      <c r="AM114" s="313">
        <v>-0.05</v>
      </c>
      <c r="AN114" s="313">
        <f t="shared" si="52"/>
        <v>0</v>
      </c>
      <c r="AO114" s="331">
        <f t="shared" si="46"/>
        <v>0</v>
      </c>
      <c r="AP114" s="303">
        <v>81</v>
      </c>
      <c r="AQ114" s="303">
        <v>80.5</v>
      </c>
      <c r="AR114" s="303">
        <f t="shared" si="53"/>
        <v>-0.5</v>
      </c>
      <c r="AS114" s="447">
        <v>45805.7</v>
      </c>
      <c r="AT114" s="341">
        <v>45806.5</v>
      </c>
      <c r="AU114" s="341">
        <f t="shared" si="54"/>
        <v>0.80000000000291038</v>
      </c>
      <c r="AV114" s="303"/>
      <c r="AW114" s="303"/>
      <c r="AX114" s="303"/>
      <c r="AY114" s="303"/>
      <c r="AZ114" s="322" t="s">
        <v>686</v>
      </c>
      <c r="BA114" s="461">
        <v>1098.1661932899999</v>
      </c>
      <c r="BB114" s="461">
        <v>-3.0160680499999999</v>
      </c>
      <c r="BC114" s="461">
        <v>1938.72475442</v>
      </c>
      <c r="BD114" s="461">
        <v>1999.0164510100001</v>
      </c>
      <c r="BE114" s="461">
        <v>1.5549300399999999</v>
      </c>
      <c r="BF114" s="461">
        <v>1.59598679</v>
      </c>
      <c r="BG114" s="461">
        <v>-0.36304992000000003</v>
      </c>
      <c r="BH114" s="461">
        <v>1.9073603299999999</v>
      </c>
      <c r="BI114" s="461">
        <v>1.9143102299999999</v>
      </c>
      <c r="BJ114" s="461">
        <v>-2.2677881200000001</v>
      </c>
      <c r="BK114" s="461">
        <v>-2.5724992100000001</v>
      </c>
      <c r="BL114" s="461">
        <v>0.79192622999999995</v>
      </c>
    </row>
    <row r="115" spans="1:70" ht="15" customHeight="1" x14ac:dyDescent="0.2">
      <c r="A115" s="321">
        <v>62008013</v>
      </c>
      <c r="B115" s="321" t="s">
        <v>770</v>
      </c>
      <c r="C115" s="321" t="s">
        <v>783</v>
      </c>
      <c r="D115" s="352" t="s">
        <v>791</v>
      </c>
      <c r="E115" s="307" t="s">
        <v>792</v>
      </c>
      <c r="F115" s="307" t="str">
        <f t="shared" si="28"/>
        <v>08/05/20</v>
      </c>
      <c r="G115" s="322" t="s">
        <v>793</v>
      </c>
      <c r="H115" s="322" t="s">
        <v>685</v>
      </c>
      <c r="I115" s="330"/>
      <c r="J115" s="323">
        <v>19.943971999999999</v>
      </c>
      <c r="K115" s="323">
        <v>52.501489999999997</v>
      </c>
      <c r="L115" s="323">
        <v>29.426940999999999</v>
      </c>
      <c r="M115" s="323">
        <v>28.773306999999999</v>
      </c>
      <c r="N115" s="308">
        <v>4250</v>
      </c>
      <c r="O115" s="308">
        <v>30.36</v>
      </c>
      <c r="P115" s="308">
        <v>0.3201</v>
      </c>
      <c r="Q115" s="308">
        <v>1.9560000000000001E-2</v>
      </c>
      <c r="R115" s="309">
        <v>2.9444743199999999</v>
      </c>
      <c r="S115" s="309">
        <f t="shared" si="47"/>
        <v>4.8519857699999998</v>
      </c>
      <c r="T115" s="338">
        <v>80.5</v>
      </c>
      <c r="U115" s="338">
        <v>79.599999999999994</v>
      </c>
      <c r="V115" s="313">
        <v>9541</v>
      </c>
      <c r="W115" s="313">
        <v>10075</v>
      </c>
      <c r="X115" s="313">
        <f t="shared" si="48"/>
        <v>534</v>
      </c>
      <c r="Y115" s="313">
        <f t="shared" si="42"/>
        <v>181.35665044618219</v>
      </c>
      <c r="Z115" s="332">
        <v>1334.46</v>
      </c>
      <c r="AA115" s="313">
        <v>1352.490303</v>
      </c>
      <c r="AB115" s="313">
        <f t="shared" si="49"/>
        <v>18.030303000000004</v>
      </c>
      <c r="AC115" s="331">
        <f t="shared" si="43"/>
        <v>6.1234370011418555</v>
      </c>
      <c r="AD115" s="332">
        <v>-9.9499999999999993</v>
      </c>
      <c r="AE115" s="313">
        <v>-10.1</v>
      </c>
      <c r="AF115" s="313">
        <f t="shared" si="50"/>
        <v>-0.15000000000000036</v>
      </c>
      <c r="AG115" s="331">
        <f t="shared" si="44"/>
        <v>-5.0942879338815347E-2</v>
      </c>
      <c r="AH115" s="332">
        <v>0</v>
      </c>
      <c r="AI115" s="313">
        <v>0</v>
      </c>
      <c r="AJ115" s="313">
        <f t="shared" si="51"/>
        <v>0</v>
      </c>
      <c r="AK115" s="331">
        <f t="shared" si="45"/>
        <v>0</v>
      </c>
      <c r="AL115" s="332">
        <v>-0.05</v>
      </c>
      <c r="AM115" s="313">
        <v>-0.05</v>
      </c>
      <c r="AN115" s="313">
        <f t="shared" si="52"/>
        <v>0</v>
      </c>
      <c r="AO115" s="331">
        <f t="shared" si="46"/>
        <v>0</v>
      </c>
      <c r="AP115" s="303">
        <v>80.5</v>
      </c>
      <c r="AQ115" s="303">
        <v>79.599999999999994</v>
      </c>
      <c r="AR115" s="303">
        <f t="shared" si="53"/>
        <v>-0.90000000000000568</v>
      </c>
      <c r="AS115" s="447">
        <v>45806.5</v>
      </c>
      <c r="AT115" s="341">
        <v>45807.1</v>
      </c>
      <c r="AU115" s="341">
        <f t="shared" si="54"/>
        <v>0.59999999999854481</v>
      </c>
      <c r="AV115" s="303"/>
      <c r="AW115" s="303"/>
      <c r="AX115" s="303"/>
      <c r="AY115" s="303"/>
      <c r="AZ115" s="322" t="s">
        <v>686</v>
      </c>
      <c r="BA115" s="461">
        <v>2156.78949956</v>
      </c>
      <c r="BB115" s="461">
        <v>-3.75320075</v>
      </c>
      <c r="BC115" s="461">
        <v>1788.06029025</v>
      </c>
      <c r="BD115" s="461">
        <v>1857.78675671</v>
      </c>
      <c r="BE115" s="461">
        <v>2.64438511</v>
      </c>
      <c r="BF115" s="461">
        <v>2.6986220900000002</v>
      </c>
      <c r="BG115" s="461">
        <v>-0.13122835999999999</v>
      </c>
      <c r="BH115" s="461">
        <v>2.9444492800000002</v>
      </c>
      <c r="BI115" s="461">
        <v>2.9483183099999999</v>
      </c>
      <c r="BJ115" s="461">
        <v>-1.9171043400000001</v>
      </c>
      <c r="BK115" s="461">
        <v>-2.00980268</v>
      </c>
      <c r="BL115" s="461">
        <v>0.68410526000000005</v>
      </c>
    </row>
    <row r="116" spans="1:70" ht="15" customHeight="1" x14ac:dyDescent="0.2">
      <c r="A116" s="321">
        <v>62008013</v>
      </c>
      <c r="B116" s="321" t="s">
        <v>770</v>
      </c>
      <c r="C116" s="321" t="s">
        <v>781</v>
      </c>
      <c r="D116" s="352" t="s">
        <v>791</v>
      </c>
      <c r="E116" s="307" t="s">
        <v>792</v>
      </c>
      <c r="F116" s="307" t="str">
        <f t="shared" si="28"/>
        <v>08/05/20</v>
      </c>
      <c r="G116" s="322" t="s">
        <v>793</v>
      </c>
      <c r="H116" s="322" t="s">
        <v>685</v>
      </c>
      <c r="I116" s="330"/>
      <c r="J116" s="323">
        <v>23.126695999999999</v>
      </c>
      <c r="K116" s="323">
        <v>44.058132000000001</v>
      </c>
      <c r="L116" s="323">
        <v>29.429506</v>
      </c>
      <c r="M116" s="323">
        <v>29.329620999999999</v>
      </c>
      <c r="N116" s="308">
        <v>4250</v>
      </c>
      <c r="O116" s="308">
        <v>30.36</v>
      </c>
      <c r="P116" s="308">
        <v>0.3201</v>
      </c>
      <c r="Q116" s="308">
        <v>1.9560000000000001E-2</v>
      </c>
      <c r="R116" s="309">
        <v>4.3821645900000004</v>
      </c>
      <c r="S116" s="309">
        <f t="shared" si="47"/>
        <v>7.3266389099999998</v>
      </c>
      <c r="T116" s="338">
        <v>79.599999999999994</v>
      </c>
      <c r="U116" s="338">
        <v>78.2</v>
      </c>
      <c r="V116" s="313">
        <v>10075</v>
      </c>
      <c r="W116" s="313">
        <v>11000</v>
      </c>
      <c r="X116" s="313">
        <f t="shared" si="48"/>
        <v>925</v>
      </c>
      <c r="Y116" s="313">
        <f t="shared" si="42"/>
        <v>211.08289773296715</v>
      </c>
      <c r="Z116" s="332">
        <v>1352.5008089999999</v>
      </c>
      <c r="AA116" s="313">
        <v>1371.3688979999999</v>
      </c>
      <c r="AB116" s="313">
        <f t="shared" si="49"/>
        <v>18.868089000000055</v>
      </c>
      <c r="AC116" s="331">
        <f t="shared" si="43"/>
        <v>4.3056550278957122</v>
      </c>
      <c r="AD116" s="332">
        <v>-10.1</v>
      </c>
      <c r="AE116" s="313">
        <v>-10.26</v>
      </c>
      <c r="AF116" s="313">
        <f t="shared" si="50"/>
        <v>-0.16000000000000014</v>
      </c>
      <c r="AG116" s="331">
        <f t="shared" si="44"/>
        <v>-3.6511636364621375E-2</v>
      </c>
      <c r="AH116" s="332">
        <v>0</v>
      </c>
      <c r="AI116" s="313">
        <v>0</v>
      </c>
      <c r="AJ116" s="313">
        <f t="shared" si="51"/>
        <v>0</v>
      </c>
      <c r="AK116" s="331">
        <f t="shared" si="45"/>
        <v>0</v>
      </c>
      <c r="AL116" s="332">
        <v>-0.05</v>
      </c>
      <c r="AM116" s="313">
        <v>-0.05</v>
      </c>
      <c r="AN116" s="313">
        <f t="shared" si="52"/>
        <v>0</v>
      </c>
      <c r="AO116" s="331">
        <f t="shared" si="46"/>
        <v>0</v>
      </c>
      <c r="AP116" s="303">
        <v>79.599999999999994</v>
      </c>
      <c r="AQ116" s="303">
        <v>78.2</v>
      </c>
      <c r="AR116" s="303">
        <f t="shared" si="53"/>
        <v>-1.3999999999999915</v>
      </c>
      <c r="AS116" s="447">
        <v>45807.1</v>
      </c>
      <c r="AT116" s="341">
        <v>45807.7</v>
      </c>
      <c r="AU116" s="341">
        <f t="shared" si="54"/>
        <v>0.59999999999854481</v>
      </c>
      <c r="AV116" s="303"/>
      <c r="AW116" s="303"/>
      <c r="AX116" s="303"/>
      <c r="AY116" s="303"/>
      <c r="AZ116" s="322" t="s">
        <v>686</v>
      </c>
      <c r="BA116" s="461">
        <v>1900.1804863699999</v>
      </c>
      <c r="BB116" s="461">
        <v>-3.3404395999999998</v>
      </c>
      <c r="BC116" s="461">
        <v>1572.839099</v>
      </c>
      <c r="BD116" s="461">
        <v>1627.1945501600001</v>
      </c>
      <c r="BE116" s="461">
        <v>3.8001719199999999</v>
      </c>
      <c r="BF116" s="461">
        <v>3.8535708</v>
      </c>
      <c r="BG116" s="461">
        <v>-0.12386579</v>
      </c>
      <c r="BH116" s="461">
        <v>4.3821764099999996</v>
      </c>
      <c r="BI116" s="461">
        <v>4.3876111599999996</v>
      </c>
      <c r="BJ116" s="461">
        <v>-1.2795637</v>
      </c>
      <c r="BK116" s="461">
        <v>-1.3856986</v>
      </c>
      <c r="BL116" s="461">
        <v>0.49622622999999999</v>
      </c>
    </row>
    <row r="117" spans="1:70" ht="15" customHeight="1" x14ac:dyDescent="0.2">
      <c r="A117" s="321">
        <v>62008013</v>
      </c>
      <c r="B117" s="321" t="s">
        <v>770</v>
      </c>
      <c r="C117" s="321" t="s">
        <v>784</v>
      </c>
      <c r="D117" s="352" t="s">
        <v>791</v>
      </c>
      <c r="E117" s="307" t="s">
        <v>792</v>
      </c>
      <c r="F117" s="307" t="str">
        <f t="shared" si="28"/>
        <v>08/05/20</v>
      </c>
      <c r="G117" s="322" t="s">
        <v>793</v>
      </c>
      <c r="H117" s="322" t="s">
        <v>685</v>
      </c>
      <c r="I117" s="330"/>
      <c r="J117" s="323">
        <v>25.669066000000001</v>
      </c>
      <c r="K117" s="323">
        <v>37.531556999999999</v>
      </c>
      <c r="L117" s="323">
        <v>29.451851000000001</v>
      </c>
      <c r="M117" s="323">
        <v>30.799296999999999</v>
      </c>
      <c r="N117" s="308">
        <v>4250</v>
      </c>
      <c r="O117" s="308">
        <v>30.36</v>
      </c>
      <c r="P117" s="308">
        <v>0.3201</v>
      </c>
      <c r="Q117" s="308">
        <v>1.9560000000000001E-2</v>
      </c>
      <c r="R117" s="309">
        <v>5.1223645500000003</v>
      </c>
      <c r="S117" s="309">
        <f t="shared" si="47"/>
        <v>9.5045291400000007</v>
      </c>
      <c r="T117" s="338">
        <v>78.2</v>
      </c>
      <c r="U117" s="338">
        <v>75.7</v>
      </c>
      <c r="V117" s="313">
        <v>11000</v>
      </c>
      <c r="W117" s="313">
        <v>12579</v>
      </c>
      <c r="X117" s="313">
        <f t="shared" si="48"/>
        <v>1579</v>
      </c>
      <c r="Y117" s="313">
        <f t="shared" si="42"/>
        <v>308.25607677610526</v>
      </c>
      <c r="Z117" s="332">
        <v>1371.37</v>
      </c>
      <c r="AA117" s="313">
        <v>1384.61031</v>
      </c>
      <c r="AB117" s="313">
        <f t="shared" si="49"/>
        <v>13.240310000000136</v>
      </c>
      <c r="AC117" s="331">
        <f t="shared" si="43"/>
        <v>2.5848043165924484</v>
      </c>
      <c r="AD117" s="332">
        <v>-10.26</v>
      </c>
      <c r="AE117" s="313">
        <v>-10.36</v>
      </c>
      <c r="AF117" s="313">
        <f t="shared" si="50"/>
        <v>-9.9999999999999645E-2</v>
      </c>
      <c r="AG117" s="331">
        <f t="shared" si="44"/>
        <v>-1.9522234121349218E-2</v>
      </c>
      <c r="AH117" s="332">
        <v>0</v>
      </c>
      <c r="AI117" s="313">
        <v>0</v>
      </c>
      <c r="AJ117" s="313">
        <f t="shared" si="51"/>
        <v>0</v>
      </c>
      <c r="AK117" s="331">
        <f t="shared" si="45"/>
        <v>0</v>
      </c>
      <c r="AL117" s="332">
        <v>-0.05</v>
      </c>
      <c r="AM117" s="313">
        <v>-0.05</v>
      </c>
      <c r="AN117" s="313">
        <f t="shared" si="52"/>
        <v>0</v>
      </c>
      <c r="AO117" s="331">
        <f t="shared" si="46"/>
        <v>0</v>
      </c>
      <c r="AP117" s="303">
        <v>78.2</v>
      </c>
      <c r="AQ117" s="303">
        <v>75.7</v>
      </c>
      <c r="AR117" s="303">
        <f t="shared" si="53"/>
        <v>-2.5</v>
      </c>
      <c r="AS117" s="447">
        <v>45807.7</v>
      </c>
      <c r="AT117" s="341">
        <v>45808.2</v>
      </c>
      <c r="AU117" s="341">
        <f t="shared" si="54"/>
        <v>0.5</v>
      </c>
      <c r="AV117" s="303"/>
      <c r="AW117" s="303"/>
      <c r="AX117" s="303"/>
      <c r="AY117" s="303"/>
      <c r="AZ117" s="322" t="s">
        <v>686</v>
      </c>
      <c r="BA117" s="461">
        <v>1659.9819345000001</v>
      </c>
      <c r="BB117" s="461">
        <v>0.32410843</v>
      </c>
      <c r="BC117" s="461">
        <v>996.59919626999999</v>
      </c>
      <c r="BD117" s="461">
        <v>993.37956935</v>
      </c>
      <c r="BE117" s="461">
        <v>5.9260309700000002</v>
      </c>
      <c r="BF117" s="461">
        <v>5.9280698100000002</v>
      </c>
      <c r="BG117" s="461">
        <v>-0.1252346</v>
      </c>
      <c r="BH117" s="461">
        <v>5.1224095700000003</v>
      </c>
      <c r="BI117" s="461">
        <v>5.1288326399999997</v>
      </c>
      <c r="BJ117" s="461">
        <v>9.0873019999999999E-2</v>
      </c>
      <c r="BK117" s="461">
        <v>-3.4392829999999999E-2</v>
      </c>
      <c r="BL117" s="461">
        <v>0.34096402999999997</v>
      </c>
    </row>
    <row r="118" spans="1:70" ht="15" customHeight="1" x14ac:dyDescent="0.2">
      <c r="A118" s="321">
        <v>62008014</v>
      </c>
      <c r="B118" s="321" t="s">
        <v>771</v>
      </c>
      <c r="C118" s="321" t="s">
        <v>773</v>
      </c>
      <c r="D118" s="352" t="s">
        <v>794</v>
      </c>
      <c r="E118" s="307" t="s">
        <v>795</v>
      </c>
      <c r="F118" s="307" t="str">
        <f t="shared" si="28"/>
        <v>08/05/20</v>
      </c>
      <c r="G118" s="322" t="s">
        <v>796</v>
      </c>
      <c r="H118" s="322" t="s">
        <v>685</v>
      </c>
      <c r="I118" s="330"/>
      <c r="J118" s="323">
        <v>24.070167999999999</v>
      </c>
      <c r="K118" s="323">
        <v>41.625672999999999</v>
      </c>
      <c r="L118" s="323">
        <v>29.436608</v>
      </c>
      <c r="M118" s="323">
        <v>30.960377999999999</v>
      </c>
      <c r="N118" s="308">
        <v>4250</v>
      </c>
      <c r="O118" s="308">
        <v>30.36</v>
      </c>
      <c r="P118" s="308">
        <v>0.3201</v>
      </c>
      <c r="Q118" s="308">
        <v>1.9560000000000001E-2</v>
      </c>
      <c r="R118" s="309">
        <v>7.9946622999999999</v>
      </c>
      <c r="S118" s="309">
        <f t="shared" si="47"/>
        <v>13.11702685</v>
      </c>
      <c r="T118" s="338">
        <v>75.7</v>
      </c>
      <c r="U118" s="338">
        <v>71.900000000000006</v>
      </c>
      <c r="V118" s="313">
        <v>12584</v>
      </c>
      <c r="W118" s="313">
        <v>14975</v>
      </c>
      <c r="X118" s="313">
        <f t="shared" si="48"/>
        <v>2391</v>
      </c>
      <c r="Y118" s="313">
        <f t="shared" si="42"/>
        <v>299.07454627570701</v>
      </c>
      <c r="Z118" s="332">
        <v>1388.8204040000001</v>
      </c>
      <c r="AA118" s="313">
        <v>1414.38</v>
      </c>
      <c r="AB118" s="313">
        <f t="shared" si="49"/>
        <v>25.559596000000056</v>
      </c>
      <c r="AC118" s="331">
        <f t="shared" si="43"/>
        <v>3.1970826334966089</v>
      </c>
      <c r="AD118" s="332">
        <v>-8.7799999999999994</v>
      </c>
      <c r="AE118" s="313">
        <v>-9.44</v>
      </c>
      <c r="AF118" s="313">
        <f t="shared" si="50"/>
        <v>-0.66000000000000014</v>
      </c>
      <c r="AG118" s="331">
        <f t="shared" si="44"/>
        <v>-8.2555081782503828E-2</v>
      </c>
      <c r="AH118" s="332">
        <v>0</v>
      </c>
      <c r="AI118" s="313">
        <v>0</v>
      </c>
      <c r="AJ118" s="313">
        <f t="shared" si="51"/>
        <v>0</v>
      </c>
      <c r="AK118" s="331">
        <f t="shared" si="45"/>
        <v>0</v>
      </c>
      <c r="AL118" s="332">
        <v>-0.05</v>
      </c>
      <c r="AM118" s="313">
        <v>-0.05</v>
      </c>
      <c r="AN118" s="313">
        <f t="shared" si="52"/>
        <v>0</v>
      </c>
      <c r="AO118" s="331">
        <f t="shared" si="46"/>
        <v>0</v>
      </c>
      <c r="AP118" s="303">
        <v>75.7</v>
      </c>
      <c r="AQ118" s="303">
        <v>71.900000000000006</v>
      </c>
      <c r="AR118" s="303">
        <f t="shared" si="53"/>
        <v>-3.7999999999999972</v>
      </c>
      <c r="AS118" s="447">
        <v>45808.9</v>
      </c>
      <c r="AT118" s="341">
        <v>45809.7</v>
      </c>
      <c r="AU118" s="341">
        <f t="shared" si="54"/>
        <v>0.79999999999563443</v>
      </c>
      <c r="AV118" s="303"/>
      <c r="AW118" s="303"/>
      <c r="AX118" s="303"/>
      <c r="AY118" s="303"/>
      <c r="AZ118" s="322" t="s">
        <v>686</v>
      </c>
      <c r="BA118" s="461">
        <v>9390.2184618299998</v>
      </c>
      <c r="BB118" s="461">
        <v>-3.7905544400000002</v>
      </c>
      <c r="BC118" s="461">
        <v>3462.18038325</v>
      </c>
      <c r="BD118" s="461">
        <v>3598.5867740899998</v>
      </c>
      <c r="BE118" s="461">
        <v>10.0874896</v>
      </c>
      <c r="BF118" s="461">
        <v>10.29583083</v>
      </c>
      <c r="BG118" s="461">
        <v>-0.16575587999999999</v>
      </c>
      <c r="BH118" s="461">
        <v>7.9946781400000004</v>
      </c>
      <c r="BI118" s="461">
        <v>8.0079517899999999</v>
      </c>
      <c r="BJ118" s="461">
        <v>-1.89616341</v>
      </c>
      <c r="BK118" s="461">
        <v>-2.0235494900000002</v>
      </c>
      <c r="BL118" s="461">
        <v>0.49419772000000001</v>
      </c>
    </row>
    <row r="119" spans="1:70" ht="15" customHeight="1" x14ac:dyDescent="0.2">
      <c r="A119" s="321">
        <v>62008014</v>
      </c>
      <c r="B119" s="321" t="s">
        <v>771</v>
      </c>
      <c r="C119" s="321" t="s">
        <v>774</v>
      </c>
      <c r="D119" s="352" t="s">
        <v>794</v>
      </c>
      <c r="E119" s="307" t="s">
        <v>795</v>
      </c>
      <c r="F119" s="307" t="str">
        <f t="shared" si="28"/>
        <v>08/05/20</v>
      </c>
      <c r="G119" s="322" t="s">
        <v>796</v>
      </c>
      <c r="H119" s="322" t="s">
        <v>685</v>
      </c>
      <c r="I119" s="330"/>
      <c r="J119" s="323">
        <v>24.209786999999999</v>
      </c>
      <c r="K119" s="323">
        <v>40.594360000000002</v>
      </c>
      <c r="L119" s="323">
        <v>29.437374999999999</v>
      </c>
      <c r="M119" s="323">
        <v>31.718945000000001</v>
      </c>
      <c r="N119" s="308">
        <v>4250</v>
      </c>
      <c r="O119" s="308">
        <v>30.36</v>
      </c>
      <c r="P119" s="308">
        <v>0.3201</v>
      </c>
      <c r="Q119" s="308">
        <v>1.9560000000000001E-2</v>
      </c>
      <c r="R119" s="309">
        <v>7.9939228099999999</v>
      </c>
      <c r="S119" s="309">
        <f t="shared" si="47"/>
        <v>15.988585109999999</v>
      </c>
      <c r="T119" s="338">
        <v>71.900000000000006</v>
      </c>
      <c r="U119" s="338">
        <v>68.099999999999994</v>
      </c>
      <c r="V119" s="313">
        <v>14975</v>
      </c>
      <c r="W119" s="313">
        <v>17355</v>
      </c>
      <c r="X119" s="313">
        <f t="shared" si="48"/>
        <v>2380</v>
      </c>
      <c r="Y119" s="313">
        <f t="shared" si="42"/>
        <v>297.72616731083997</v>
      </c>
      <c r="Z119" s="332">
        <v>1414.3800080000001</v>
      </c>
      <c r="AA119" s="313">
        <v>1439.52</v>
      </c>
      <c r="AB119" s="313">
        <f t="shared" si="49"/>
        <v>25.139991999999893</v>
      </c>
      <c r="AC119" s="331">
        <f t="shared" si="43"/>
        <v>3.1448880102458601</v>
      </c>
      <c r="AD119" s="332">
        <v>-9.44</v>
      </c>
      <c r="AE119" s="313">
        <v>-9.83</v>
      </c>
      <c r="AF119" s="313">
        <f t="shared" si="50"/>
        <v>-0.39000000000000057</v>
      </c>
      <c r="AG119" s="331">
        <f t="shared" si="44"/>
        <v>-4.8787061029927629E-2</v>
      </c>
      <c r="AH119" s="332">
        <v>0</v>
      </c>
      <c r="AI119" s="313">
        <v>0</v>
      </c>
      <c r="AJ119" s="313">
        <f t="shared" si="51"/>
        <v>0</v>
      </c>
      <c r="AK119" s="331">
        <f t="shared" si="45"/>
        <v>0</v>
      </c>
      <c r="AL119" s="332">
        <v>-0.05</v>
      </c>
      <c r="AM119" s="313">
        <v>-0.05</v>
      </c>
      <c r="AN119" s="313">
        <f t="shared" si="52"/>
        <v>0</v>
      </c>
      <c r="AO119" s="331">
        <f t="shared" si="46"/>
        <v>0</v>
      </c>
      <c r="AP119" s="303">
        <v>71.900000000000006</v>
      </c>
      <c r="AQ119" s="303">
        <v>68.099999999999994</v>
      </c>
      <c r="AR119" s="303">
        <f t="shared" si="53"/>
        <v>-3.8000000000000114</v>
      </c>
      <c r="AS119" s="447">
        <v>45809.7</v>
      </c>
      <c r="AT119" s="341">
        <v>45810.5</v>
      </c>
      <c r="AU119" s="341">
        <f t="shared" si="54"/>
        <v>0.80000000000291038</v>
      </c>
      <c r="AV119" s="303"/>
      <c r="AW119" s="303"/>
      <c r="AX119" s="303"/>
      <c r="AY119" s="303"/>
      <c r="AZ119" s="322" t="s">
        <v>686</v>
      </c>
      <c r="BA119" s="461">
        <v>9396.4797278900005</v>
      </c>
      <c r="BB119" s="461">
        <v>-3.8121346300000001</v>
      </c>
      <c r="BC119" s="461">
        <v>3461.0887702099999</v>
      </c>
      <c r="BD119" s="461">
        <v>3598.2592575899998</v>
      </c>
      <c r="BE119" s="461">
        <v>10.08661556</v>
      </c>
      <c r="BF119" s="461">
        <v>10.29536476</v>
      </c>
      <c r="BG119" s="461">
        <v>-0.17486165000000001</v>
      </c>
      <c r="BH119" s="461">
        <v>7.9939514300000001</v>
      </c>
      <c r="BI119" s="461">
        <v>8.0079542700000008</v>
      </c>
      <c r="BJ119" s="461">
        <v>-1.89108579</v>
      </c>
      <c r="BK119" s="461">
        <v>-2.0276037100000002</v>
      </c>
      <c r="BL119" s="461">
        <v>0.49414163999999999</v>
      </c>
    </row>
    <row r="120" spans="1:70" ht="15" customHeight="1" x14ac:dyDescent="0.2">
      <c r="A120" s="321">
        <v>62008014</v>
      </c>
      <c r="B120" s="321" t="s">
        <v>772</v>
      </c>
      <c r="C120" s="321" t="s">
        <v>776</v>
      </c>
      <c r="D120" s="352" t="s">
        <v>794</v>
      </c>
      <c r="E120" s="307" t="s">
        <v>795</v>
      </c>
      <c r="F120" s="307" t="str">
        <f t="shared" si="28"/>
        <v>08/05/20</v>
      </c>
      <c r="G120" s="322" t="s">
        <v>796</v>
      </c>
      <c r="H120" s="322" t="s">
        <v>685</v>
      </c>
      <c r="I120" s="330"/>
      <c r="J120" s="323">
        <v>24.208565</v>
      </c>
      <c r="K120" s="323">
        <v>39.789693999999997</v>
      </c>
      <c r="L120" s="323">
        <v>29.440097999999999</v>
      </c>
      <c r="M120" s="323">
        <v>31.946373000000001</v>
      </c>
      <c r="N120" s="308">
        <v>4250</v>
      </c>
      <c r="O120" s="308">
        <v>30.36</v>
      </c>
      <c r="P120" s="308">
        <v>0.3201</v>
      </c>
      <c r="Q120" s="308">
        <v>1.9560000000000001E-2</v>
      </c>
      <c r="R120" s="309">
        <v>7.9946515399999996</v>
      </c>
      <c r="S120" s="309">
        <f t="shared" si="47"/>
        <v>15.98857435</v>
      </c>
      <c r="T120" s="338">
        <v>68.099999999999994</v>
      </c>
      <c r="U120" s="338">
        <v>64.2</v>
      </c>
      <c r="V120" s="313">
        <v>17355</v>
      </c>
      <c r="W120" s="313">
        <v>19732</v>
      </c>
      <c r="X120" s="313">
        <f t="shared" si="48"/>
        <v>2377</v>
      </c>
      <c r="Y120" s="313">
        <f t="shared" si="42"/>
        <v>297.32377804173814</v>
      </c>
      <c r="Z120" s="332">
        <v>1439.53</v>
      </c>
      <c r="AA120" s="313">
        <v>1464.54</v>
      </c>
      <c r="AB120" s="313">
        <f t="shared" si="49"/>
        <v>25.009999999999991</v>
      </c>
      <c r="AC120" s="331">
        <f t="shared" si="43"/>
        <v>3.1283414761564443</v>
      </c>
      <c r="AD120" s="332">
        <v>-9.83</v>
      </c>
      <c r="AE120" s="313">
        <v>-10.130000000000001</v>
      </c>
      <c r="AF120" s="313">
        <f t="shared" si="50"/>
        <v>-0.30000000000000071</v>
      </c>
      <c r="AG120" s="331">
        <f t="shared" si="44"/>
        <v>-3.7525087678805913E-2</v>
      </c>
      <c r="AH120" s="332">
        <v>0</v>
      </c>
      <c r="AI120" s="313">
        <v>0</v>
      </c>
      <c r="AJ120" s="313">
        <f t="shared" si="51"/>
        <v>0</v>
      </c>
      <c r="AK120" s="331">
        <f t="shared" si="45"/>
        <v>0</v>
      </c>
      <c r="AL120" s="332">
        <v>-0.05</v>
      </c>
      <c r="AM120" s="313">
        <v>-0.05</v>
      </c>
      <c r="AN120" s="313">
        <f t="shared" si="52"/>
        <v>0</v>
      </c>
      <c r="AO120" s="331">
        <f t="shared" si="46"/>
        <v>0</v>
      </c>
      <c r="AP120" s="303">
        <v>68.099999999999994</v>
      </c>
      <c r="AQ120" s="303">
        <v>64.2</v>
      </c>
      <c r="AR120" s="303">
        <f t="shared" si="53"/>
        <v>-3.8999999999999915</v>
      </c>
      <c r="AS120" s="447">
        <v>45810.5</v>
      </c>
      <c r="AT120" s="341">
        <v>45811.3</v>
      </c>
      <c r="AU120" s="341">
        <f t="shared" si="54"/>
        <v>0.80000000000291038</v>
      </c>
      <c r="AV120" s="303"/>
      <c r="AW120" s="303"/>
      <c r="AX120" s="303"/>
      <c r="AY120" s="303"/>
      <c r="AZ120" s="322" t="s">
        <v>686</v>
      </c>
      <c r="BA120" s="461">
        <v>9390.1459599400005</v>
      </c>
      <c r="BB120" s="461">
        <v>-3.8005427200000002</v>
      </c>
      <c r="BC120" s="461">
        <v>3461.2488701900002</v>
      </c>
      <c r="BD120" s="461">
        <v>3597.9920968900001</v>
      </c>
      <c r="BE120" s="461">
        <v>10.087620129999999</v>
      </c>
      <c r="BF120" s="461">
        <v>10.29493433</v>
      </c>
      <c r="BG120" s="461">
        <v>-0.16625330999999999</v>
      </c>
      <c r="BH120" s="461">
        <v>7.99463934</v>
      </c>
      <c r="BI120" s="461">
        <v>8.0079528199999999</v>
      </c>
      <c r="BJ120" s="461">
        <v>-1.8854648199999999</v>
      </c>
      <c r="BK120" s="461">
        <v>-2.0137495900000002</v>
      </c>
      <c r="BL120" s="461">
        <v>0.49409842999999998</v>
      </c>
    </row>
    <row r="121" spans="1:70" ht="15" customHeight="1" x14ac:dyDescent="0.2">
      <c r="A121" s="321">
        <v>62008014</v>
      </c>
      <c r="B121" s="321" t="s">
        <v>772</v>
      </c>
      <c r="C121" s="321" t="s">
        <v>777</v>
      </c>
      <c r="D121" s="352" t="s">
        <v>794</v>
      </c>
      <c r="E121" s="307" t="s">
        <v>795</v>
      </c>
      <c r="F121" s="307" t="str">
        <f t="shared" si="28"/>
        <v>08/05/20</v>
      </c>
      <c r="G121" s="322" t="s">
        <v>796</v>
      </c>
      <c r="H121" s="322" t="s">
        <v>685</v>
      </c>
      <c r="I121" s="330"/>
      <c r="J121" s="323">
        <v>24.236699999999999</v>
      </c>
      <c r="K121" s="323">
        <v>39.770693000000001</v>
      </c>
      <c r="L121" s="323">
        <v>29.437439999999999</v>
      </c>
      <c r="M121" s="323">
        <v>32.028984000000001</v>
      </c>
      <c r="N121" s="308">
        <v>4250</v>
      </c>
      <c r="O121" s="308">
        <v>30.36</v>
      </c>
      <c r="P121" s="308">
        <v>0.3201</v>
      </c>
      <c r="Q121" s="308">
        <v>1.9560000000000001E-2</v>
      </c>
      <c r="R121" s="309">
        <v>7.9937411599999999</v>
      </c>
      <c r="S121" s="309">
        <f t="shared" si="47"/>
        <v>15.988392699999999</v>
      </c>
      <c r="T121" s="338">
        <v>64.2</v>
      </c>
      <c r="U121" s="338">
        <v>60.3</v>
      </c>
      <c r="V121" s="313">
        <v>19732</v>
      </c>
      <c r="W121" s="313">
        <v>22104</v>
      </c>
      <c r="X121" s="313">
        <f t="shared" si="48"/>
        <v>2372</v>
      </c>
      <c r="Y121" s="313">
        <f t="shared" si="42"/>
        <v>296.73214988112022</v>
      </c>
      <c r="Z121" s="332">
        <v>1464.55</v>
      </c>
      <c r="AA121" s="313">
        <v>1489.48</v>
      </c>
      <c r="AB121" s="313">
        <f t="shared" si="49"/>
        <v>24.930000000000064</v>
      </c>
      <c r="AC121" s="331">
        <f t="shared" si="43"/>
        <v>3.1186899226544464</v>
      </c>
      <c r="AD121" s="332">
        <v>-10.130000000000001</v>
      </c>
      <c r="AE121" s="313">
        <v>-10.39</v>
      </c>
      <c r="AF121" s="313">
        <f t="shared" si="50"/>
        <v>-0.25999999999999979</v>
      </c>
      <c r="AG121" s="331">
        <f t="shared" si="44"/>
        <v>-3.2525446445653965E-2</v>
      </c>
      <c r="AH121" s="332">
        <v>0</v>
      </c>
      <c r="AI121" s="313">
        <v>0</v>
      </c>
      <c r="AJ121" s="313">
        <f t="shared" si="51"/>
        <v>0</v>
      </c>
      <c r="AK121" s="331">
        <f t="shared" si="45"/>
        <v>0</v>
      </c>
      <c r="AL121" s="332">
        <v>-0.05</v>
      </c>
      <c r="AM121" s="313">
        <v>-0.05</v>
      </c>
      <c r="AN121" s="313">
        <f t="shared" si="52"/>
        <v>0</v>
      </c>
      <c r="AO121" s="331">
        <f t="shared" si="46"/>
        <v>0</v>
      </c>
      <c r="AP121" s="303">
        <v>64.2</v>
      </c>
      <c r="AQ121" s="303">
        <v>60.3</v>
      </c>
      <c r="AR121" s="303">
        <f t="shared" si="53"/>
        <v>-3.9000000000000057</v>
      </c>
      <c r="AS121" s="447">
        <v>45811.3</v>
      </c>
      <c r="AT121" s="341">
        <v>45812.1</v>
      </c>
      <c r="AU121" s="341">
        <f t="shared" si="54"/>
        <v>0.79999999999563443</v>
      </c>
      <c r="AV121" s="303"/>
      <c r="AW121" s="303"/>
      <c r="AX121" s="303"/>
      <c r="AY121" s="303"/>
      <c r="AZ121" s="322" t="s">
        <v>686</v>
      </c>
      <c r="BA121" s="461">
        <v>9385.7471063899993</v>
      </c>
      <c r="BB121" s="461">
        <v>-3.7812758400000002</v>
      </c>
      <c r="BC121" s="461">
        <v>3461.7733451700001</v>
      </c>
      <c r="BD121" s="461">
        <v>3597.81671972</v>
      </c>
      <c r="BE121" s="461">
        <v>10.086798659999999</v>
      </c>
      <c r="BF121" s="461">
        <v>10.294714109999999</v>
      </c>
      <c r="BG121" s="461">
        <v>-0.1771365</v>
      </c>
      <c r="BH121" s="461">
        <v>7.9937667399999999</v>
      </c>
      <c r="BI121" s="461">
        <v>8.0079517500000001</v>
      </c>
      <c r="BJ121" s="461">
        <v>-1.8804752499999999</v>
      </c>
      <c r="BK121" s="461">
        <v>-2.01963304</v>
      </c>
      <c r="BL121" s="461">
        <v>0.49406712000000003</v>
      </c>
    </row>
    <row r="122" spans="1:70" ht="15" customHeight="1" x14ac:dyDescent="0.2">
      <c r="A122" s="321">
        <v>62008014</v>
      </c>
      <c r="B122" s="321" t="s">
        <v>772</v>
      </c>
      <c r="C122" s="321" t="s">
        <v>778</v>
      </c>
      <c r="D122" s="352" t="s">
        <v>794</v>
      </c>
      <c r="E122" s="307" t="s">
        <v>795</v>
      </c>
      <c r="F122" s="307" t="str">
        <f t="shared" si="28"/>
        <v>08/05/20</v>
      </c>
      <c r="G122" s="322" t="s">
        <v>796</v>
      </c>
      <c r="H122" s="322" t="s">
        <v>685</v>
      </c>
      <c r="I122" s="330"/>
      <c r="J122" s="323">
        <v>24.240732999999999</v>
      </c>
      <c r="K122" s="323">
        <v>39.827753999999999</v>
      </c>
      <c r="L122" s="323">
        <v>29.441680000000002</v>
      </c>
      <c r="M122" s="323">
        <v>32.061476999999996</v>
      </c>
      <c r="N122" s="308">
        <v>4250</v>
      </c>
      <c r="O122" s="308">
        <v>30.36</v>
      </c>
      <c r="P122" s="308">
        <v>0.3201</v>
      </c>
      <c r="Q122" s="308">
        <v>1.9560000000000001E-2</v>
      </c>
      <c r="R122" s="309">
        <v>7.9946857299999996</v>
      </c>
      <c r="S122" s="309">
        <f t="shared" si="47"/>
        <v>15.98842689</v>
      </c>
      <c r="T122" s="338">
        <v>60.3</v>
      </c>
      <c r="U122" s="338">
        <v>56.4</v>
      </c>
      <c r="V122" s="313">
        <v>22104</v>
      </c>
      <c r="W122" s="313">
        <v>24473</v>
      </c>
      <c r="X122" s="313">
        <f t="shared" si="48"/>
        <v>2369</v>
      </c>
      <c r="Y122" s="313">
        <f t="shared" si="42"/>
        <v>296.32184178426735</v>
      </c>
      <c r="Z122" s="332">
        <v>1489.489147</v>
      </c>
      <c r="AA122" s="313">
        <v>1514.35</v>
      </c>
      <c r="AB122" s="313">
        <f t="shared" si="49"/>
        <v>24.860852999999906</v>
      </c>
      <c r="AC122" s="331">
        <f t="shared" si="43"/>
        <v>3.109672329796497</v>
      </c>
      <c r="AD122" s="332">
        <v>-10.39</v>
      </c>
      <c r="AE122" s="313">
        <v>-10.62</v>
      </c>
      <c r="AF122" s="313">
        <f t="shared" si="50"/>
        <v>-0.22999999999999865</v>
      </c>
      <c r="AG122" s="331">
        <f t="shared" si="44"/>
        <v>-2.8769110852841322E-2</v>
      </c>
      <c r="AH122" s="332">
        <v>0</v>
      </c>
      <c r="AI122" s="313">
        <v>0</v>
      </c>
      <c r="AJ122" s="313">
        <f t="shared" si="51"/>
        <v>0</v>
      </c>
      <c r="AK122" s="331">
        <f t="shared" si="45"/>
        <v>0</v>
      </c>
      <c r="AL122" s="332">
        <v>-0.05</v>
      </c>
      <c r="AM122" s="313">
        <v>-0.05</v>
      </c>
      <c r="AN122" s="313">
        <f t="shared" si="52"/>
        <v>0</v>
      </c>
      <c r="AO122" s="331">
        <f t="shared" si="46"/>
        <v>0</v>
      </c>
      <c r="AP122" s="303">
        <v>60.3</v>
      </c>
      <c r="AQ122" s="303">
        <v>56.4</v>
      </c>
      <c r="AR122" s="303">
        <f t="shared" si="53"/>
        <v>-3.8999999999999986</v>
      </c>
      <c r="AS122" s="447">
        <v>45812.1</v>
      </c>
      <c r="AT122" s="341">
        <v>45812.9</v>
      </c>
      <c r="AU122" s="341">
        <f t="shared" si="54"/>
        <v>0.80000000000291038</v>
      </c>
      <c r="AV122" s="303"/>
      <c r="AW122" s="303"/>
      <c r="AX122" s="303"/>
      <c r="AY122" s="303"/>
      <c r="AZ122" s="322" t="s">
        <v>686</v>
      </c>
      <c r="BA122" s="461">
        <v>9383.8305078899994</v>
      </c>
      <c r="BB122" s="461">
        <v>-3.8097986800000001</v>
      </c>
      <c r="BC122" s="461">
        <v>3460.67381037</v>
      </c>
      <c r="BD122" s="461">
        <v>3597.7404797700001</v>
      </c>
      <c r="BE122" s="461">
        <v>10.08816844</v>
      </c>
      <c r="BF122" s="461">
        <v>10.294589999999999</v>
      </c>
      <c r="BG122" s="461">
        <v>-0.16524490999999999</v>
      </c>
      <c r="BH122" s="461">
        <v>7.9947185300000001</v>
      </c>
      <c r="BI122" s="461">
        <v>8.0079512600000005</v>
      </c>
      <c r="BJ122" s="461">
        <v>-1.87754873</v>
      </c>
      <c r="BK122" s="461">
        <v>-2.0051460400000001</v>
      </c>
      <c r="BL122" s="461">
        <v>0.49405469000000002</v>
      </c>
    </row>
    <row r="123" spans="1:70" ht="15" customHeight="1" x14ac:dyDescent="0.2">
      <c r="A123" s="321">
        <v>62008014</v>
      </c>
      <c r="B123" s="321" t="s">
        <v>772</v>
      </c>
      <c r="C123" s="321" t="s">
        <v>783</v>
      </c>
      <c r="D123" s="352" t="s">
        <v>794</v>
      </c>
      <c r="E123" s="307" t="s">
        <v>795</v>
      </c>
      <c r="F123" s="307" t="str">
        <f t="shared" si="28"/>
        <v>08/05/20</v>
      </c>
      <c r="G123" s="322" t="s">
        <v>796</v>
      </c>
      <c r="H123" s="322" t="s">
        <v>685</v>
      </c>
      <c r="I123" s="330"/>
      <c r="J123" s="323">
        <v>24.301548</v>
      </c>
      <c r="K123" s="323">
        <v>39.587359999999997</v>
      </c>
      <c r="L123" s="323">
        <v>29.443908</v>
      </c>
      <c r="M123" s="323">
        <v>32.078355999999999</v>
      </c>
      <c r="N123" s="308">
        <v>4250</v>
      </c>
      <c r="O123" s="308">
        <v>30.36</v>
      </c>
      <c r="P123" s="308">
        <v>0.3201</v>
      </c>
      <c r="Q123" s="308">
        <v>1.9560000000000001E-2</v>
      </c>
      <c r="R123" s="309">
        <v>7.9939586299999998</v>
      </c>
      <c r="S123" s="309">
        <f t="shared" si="47"/>
        <v>15.988644359999999</v>
      </c>
      <c r="T123" s="338">
        <v>56.4</v>
      </c>
      <c r="U123" s="338">
        <v>52.4</v>
      </c>
      <c r="V123" s="313">
        <v>24473</v>
      </c>
      <c r="W123" s="313">
        <v>26842</v>
      </c>
      <c r="X123" s="313">
        <f t="shared" si="48"/>
        <v>2369</v>
      </c>
      <c r="Y123" s="313">
        <f t="shared" si="42"/>
        <v>296.34879408926838</v>
      </c>
      <c r="Z123" s="332">
        <v>1514.36</v>
      </c>
      <c r="AA123" s="313">
        <v>1539.2084299999999</v>
      </c>
      <c r="AB123" s="313">
        <f t="shared" si="49"/>
        <v>24.848430000000008</v>
      </c>
      <c r="AC123" s="331">
        <f t="shared" si="43"/>
        <v>3.108401125163192</v>
      </c>
      <c r="AD123" s="332">
        <v>-10.62</v>
      </c>
      <c r="AE123" s="313">
        <v>-10.83</v>
      </c>
      <c r="AF123" s="313">
        <f t="shared" si="50"/>
        <v>-0.21000000000000085</v>
      </c>
      <c r="AG123" s="331">
        <f t="shared" si="44"/>
        <v>-2.6269838226570964E-2</v>
      </c>
      <c r="AH123" s="332">
        <v>0</v>
      </c>
      <c r="AI123" s="313">
        <v>0</v>
      </c>
      <c r="AJ123" s="313">
        <f t="shared" si="51"/>
        <v>0</v>
      </c>
      <c r="AK123" s="331">
        <f t="shared" si="45"/>
        <v>0</v>
      </c>
      <c r="AL123" s="332">
        <v>-0.05</v>
      </c>
      <c r="AM123" s="313">
        <v>-0.05</v>
      </c>
      <c r="AN123" s="313">
        <f t="shared" si="52"/>
        <v>0</v>
      </c>
      <c r="AO123" s="331">
        <f t="shared" si="46"/>
        <v>0</v>
      </c>
      <c r="AP123" s="303">
        <v>56.4</v>
      </c>
      <c r="AQ123" s="303">
        <v>52.4</v>
      </c>
      <c r="AR123" s="303">
        <f t="shared" si="53"/>
        <v>-4</v>
      </c>
      <c r="AS123" s="447">
        <v>45812.9</v>
      </c>
      <c r="AT123" s="341">
        <v>45813.8</v>
      </c>
      <c r="AU123" s="341">
        <f t="shared" si="54"/>
        <v>0.90000000000145519</v>
      </c>
      <c r="AV123" s="303"/>
      <c r="AW123" s="303"/>
      <c r="AX123" s="303"/>
      <c r="AY123" s="303"/>
      <c r="AZ123" s="322" t="s">
        <v>686</v>
      </c>
      <c r="BA123" s="461">
        <v>9383.7963655799995</v>
      </c>
      <c r="BB123" s="461">
        <v>-3.81539779</v>
      </c>
      <c r="BC123" s="461">
        <v>3460.4914039499999</v>
      </c>
      <c r="BD123" s="461">
        <v>3597.76026989</v>
      </c>
      <c r="BE123" s="461">
        <v>10.08804282</v>
      </c>
      <c r="BF123" s="461">
        <v>10.294576859999999</v>
      </c>
      <c r="BG123" s="461">
        <v>-0.17467982000000001</v>
      </c>
      <c r="BH123" s="461">
        <v>7.9939627</v>
      </c>
      <c r="BI123" s="461">
        <v>8.0079509699999996</v>
      </c>
      <c r="BJ123" s="461">
        <v>-1.8690591999999999</v>
      </c>
      <c r="BK123" s="461">
        <v>-2.00624118</v>
      </c>
      <c r="BL123" s="461">
        <v>0.49405552000000003</v>
      </c>
    </row>
    <row r="124" spans="1:70" ht="15" customHeight="1" x14ac:dyDescent="0.2">
      <c r="A124" s="321">
        <v>62008014</v>
      </c>
      <c r="B124" s="321" t="s">
        <v>772</v>
      </c>
      <c r="C124" s="321" t="s">
        <v>781</v>
      </c>
      <c r="D124" s="352" t="s">
        <v>794</v>
      </c>
      <c r="E124" s="307" t="s">
        <v>795</v>
      </c>
      <c r="F124" s="307" t="str">
        <f t="shared" si="28"/>
        <v>08/05/20</v>
      </c>
      <c r="G124" s="322" t="s">
        <v>796</v>
      </c>
      <c r="H124" s="322" t="s">
        <v>685</v>
      </c>
      <c r="I124" s="330"/>
      <c r="J124" s="323">
        <v>24.361934000000002</v>
      </c>
      <c r="K124" s="323">
        <v>39.472312000000002</v>
      </c>
      <c r="L124" s="323">
        <v>29.442651000000001</v>
      </c>
      <c r="M124" s="323">
        <v>32.080908999999998</v>
      </c>
      <c r="N124" s="308">
        <v>4250</v>
      </c>
      <c r="O124" s="308">
        <v>30.36</v>
      </c>
      <c r="P124" s="308">
        <v>0.3201</v>
      </c>
      <c r="Q124" s="308">
        <v>1.9560000000000001E-2</v>
      </c>
      <c r="R124" s="309">
        <v>7.9943936999999998</v>
      </c>
      <c r="S124" s="309">
        <f t="shared" si="47"/>
        <v>15.98835233</v>
      </c>
      <c r="T124" s="338">
        <v>52.4</v>
      </c>
      <c r="U124" s="338">
        <v>48.4</v>
      </c>
      <c r="V124" s="313">
        <v>26842</v>
      </c>
      <c r="W124" s="313">
        <v>29209</v>
      </c>
      <c r="X124" s="313">
        <f t="shared" si="48"/>
        <v>2367</v>
      </c>
      <c r="Y124" s="313">
        <f t="shared" si="42"/>
        <v>296.08249090859761</v>
      </c>
      <c r="Z124" s="332">
        <v>1539.21</v>
      </c>
      <c r="AA124" s="313">
        <v>1564.02</v>
      </c>
      <c r="AB124" s="313">
        <f t="shared" si="49"/>
        <v>24.809999999999945</v>
      </c>
      <c r="AC124" s="331">
        <f t="shared" si="43"/>
        <v>3.1034248413359911</v>
      </c>
      <c r="AD124" s="332">
        <v>-10.83</v>
      </c>
      <c r="AE124" s="313">
        <v>-11.02</v>
      </c>
      <c r="AF124" s="313">
        <f t="shared" si="50"/>
        <v>-0.1899999999999995</v>
      </c>
      <c r="AG124" s="331">
        <f t="shared" si="44"/>
        <v>-2.376665537500355E-2</v>
      </c>
      <c r="AH124" s="332">
        <v>0</v>
      </c>
      <c r="AI124" s="313">
        <v>0</v>
      </c>
      <c r="AJ124" s="313">
        <f t="shared" si="51"/>
        <v>0</v>
      </c>
      <c r="AK124" s="331">
        <f t="shared" si="45"/>
        <v>0</v>
      </c>
      <c r="AL124" s="332">
        <v>-0.05</v>
      </c>
      <c r="AM124" s="313">
        <v>-0.05</v>
      </c>
      <c r="AN124" s="313">
        <f t="shared" si="52"/>
        <v>0</v>
      </c>
      <c r="AO124" s="331">
        <f t="shared" si="46"/>
        <v>0</v>
      </c>
      <c r="AP124" s="303">
        <v>52.4</v>
      </c>
      <c r="AQ124" s="303">
        <v>48.4</v>
      </c>
      <c r="AR124" s="303">
        <f t="shared" si="53"/>
        <v>-4</v>
      </c>
      <c r="AS124" s="447">
        <v>45813.8</v>
      </c>
      <c r="AT124" s="341">
        <v>45814.6</v>
      </c>
      <c r="AU124" s="341">
        <f t="shared" si="54"/>
        <v>0.79999999999563443</v>
      </c>
      <c r="AV124" s="303"/>
      <c r="AW124" s="303"/>
      <c r="AX124" s="303"/>
      <c r="AY124" s="303"/>
      <c r="AZ124" s="322" t="s">
        <v>686</v>
      </c>
      <c r="BA124" s="461">
        <v>9383.0996722399996</v>
      </c>
      <c r="BB124" s="461">
        <v>-3.82152037</v>
      </c>
      <c r="BC124" s="461">
        <v>3460.3545626999999</v>
      </c>
      <c r="BD124" s="461">
        <v>3597.84701928</v>
      </c>
      <c r="BE124" s="461">
        <v>10.08734276</v>
      </c>
      <c r="BF124" s="461">
        <v>10.294731880000001</v>
      </c>
      <c r="BG124" s="461">
        <v>-0.16925472</v>
      </c>
      <c r="BH124" s="461">
        <v>7.9943981400000004</v>
      </c>
      <c r="BI124" s="461">
        <v>8.0079519799999996</v>
      </c>
      <c r="BJ124" s="461">
        <v>-1.8831996499999999</v>
      </c>
      <c r="BK124" s="461">
        <v>-2.0145169799999998</v>
      </c>
      <c r="BL124" s="461">
        <v>0.49407472000000002</v>
      </c>
    </row>
    <row r="125" spans="1:70" ht="15" customHeight="1" x14ac:dyDescent="0.2">
      <c r="A125" s="321">
        <v>62008014</v>
      </c>
      <c r="B125" s="321" t="s">
        <v>772</v>
      </c>
      <c r="C125" s="321" t="s">
        <v>784</v>
      </c>
      <c r="D125" s="352" t="s">
        <v>794</v>
      </c>
      <c r="E125" s="307" t="s">
        <v>795</v>
      </c>
      <c r="F125" s="307" t="str">
        <f t="shared" si="28"/>
        <v>08/05/20</v>
      </c>
      <c r="G125" s="322" t="s">
        <v>796</v>
      </c>
      <c r="H125" s="322" t="s">
        <v>685</v>
      </c>
      <c r="I125" s="330"/>
      <c r="J125" s="323">
        <v>24.310848</v>
      </c>
      <c r="K125" s="323">
        <v>39.665965</v>
      </c>
      <c r="L125" s="323">
        <v>29.440935</v>
      </c>
      <c r="M125" s="323">
        <v>32.124938</v>
      </c>
      <c r="N125" s="308">
        <v>4250</v>
      </c>
      <c r="O125" s="308">
        <v>30.36</v>
      </c>
      <c r="P125" s="308">
        <v>0.3201</v>
      </c>
      <c r="Q125" s="308">
        <v>1.9560000000000001E-2</v>
      </c>
      <c r="R125" s="309">
        <v>7.9938473700000001</v>
      </c>
      <c r="S125" s="309">
        <f t="shared" si="47"/>
        <v>15.988241070000001</v>
      </c>
      <c r="T125" s="338">
        <v>48.4</v>
      </c>
      <c r="U125" s="338">
        <v>44.4</v>
      </c>
      <c r="V125" s="313">
        <v>29209</v>
      </c>
      <c r="W125" s="313">
        <v>31576</v>
      </c>
      <c r="X125" s="313">
        <f t="shared" si="48"/>
        <v>2367</v>
      </c>
      <c r="Y125" s="313">
        <f t="shared" si="42"/>
        <v>296.10272631462561</v>
      </c>
      <c r="Z125" s="332">
        <v>1564.0282569999999</v>
      </c>
      <c r="AA125" s="313">
        <v>1588.777826</v>
      </c>
      <c r="AB125" s="313">
        <f t="shared" si="49"/>
        <v>24.749569000000065</v>
      </c>
      <c r="AC125" s="331">
        <f t="shared" si="43"/>
        <v>3.0960772522230511</v>
      </c>
      <c r="AD125" s="332">
        <v>-11.02</v>
      </c>
      <c r="AE125" s="313">
        <v>-11.2</v>
      </c>
      <c r="AF125" s="313">
        <f t="shared" si="50"/>
        <v>-0.17999999999999972</v>
      </c>
      <c r="AG125" s="331">
        <f t="shared" si="44"/>
        <v>-2.2517317590465793E-2</v>
      </c>
      <c r="AH125" s="332">
        <v>0</v>
      </c>
      <c r="AI125" s="313">
        <v>0</v>
      </c>
      <c r="AJ125" s="313">
        <f t="shared" si="51"/>
        <v>0</v>
      </c>
      <c r="AK125" s="331">
        <f t="shared" si="45"/>
        <v>0</v>
      </c>
      <c r="AL125" s="332">
        <v>-0.05</v>
      </c>
      <c r="AM125" s="313">
        <v>-0.05</v>
      </c>
      <c r="AN125" s="313">
        <f t="shared" si="52"/>
        <v>0</v>
      </c>
      <c r="AO125" s="331">
        <f t="shared" si="46"/>
        <v>0</v>
      </c>
      <c r="AP125" s="303">
        <v>48.4</v>
      </c>
      <c r="AQ125" s="303">
        <v>44.4</v>
      </c>
      <c r="AR125" s="303">
        <f t="shared" si="53"/>
        <v>-4</v>
      </c>
      <c r="AS125" s="447">
        <v>45814.6</v>
      </c>
      <c r="AT125" s="341">
        <v>45815.4</v>
      </c>
      <c r="AU125" s="341">
        <f t="shared" si="54"/>
        <v>0.80000000000291038</v>
      </c>
      <c r="AV125" s="303"/>
      <c r="AW125" s="303"/>
      <c r="AX125" s="303"/>
      <c r="AY125" s="303"/>
      <c r="AZ125" s="322" t="s">
        <v>686</v>
      </c>
      <c r="BA125" s="461">
        <v>9390.0581055500006</v>
      </c>
      <c r="BB125" s="461">
        <v>-3.8282389100000001</v>
      </c>
      <c r="BC125" s="461">
        <v>3460.2779107199999</v>
      </c>
      <c r="BD125" s="461">
        <v>3598.0186610300002</v>
      </c>
      <c r="BE125" s="461">
        <v>10.0858939</v>
      </c>
      <c r="BF125" s="461">
        <v>10.294964119999999</v>
      </c>
      <c r="BG125" s="461">
        <v>-0.17573205</v>
      </c>
      <c r="BH125" s="461">
        <v>7.99387837</v>
      </c>
      <c r="BI125" s="461">
        <v>8.0079509000000009</v>
      </c>
      <c r="BJ125" s="461">
        <v>-1.8935225</v>
      </c>
      <c r="BK125" s="461">
        <v>-2.0308008800000001</v>
      </c>
      <c r="BL125" s="461">
        <v>0.49410598</v>
      </c>
    </row>
    <row r="126" spans="1:70" ht="15" customHeight="1" x14ac:dyDescent="0.2">
      <c r="A126" s="321">
        <v>62008014</v>
      </c>
      <c r="B126" s="321" t="s">
        <v>772</v>
      </c>
      <c r="C126" s="321" t="s">
        <v>785</v>
      </c>
      <c r="D126" s="352" t="s">
        <v>794</v>
      </c>
      <c r="E126" s="307" t="s">
        <v>795</v>
      </c>
      <c r="F126" s="307" t="str">
        <f t="shared" si="28"/>
        <v>08/05/20</v>
      </c>
      <c r="G126" s="322" t="s">
        <v>796</v>
      </c>
      <c r="H126" s="322" t="s">
        <v>685</v>
      </c>
      <c r="I126" s="330"/>
      <c r="J126" s="323">
        <v>24.331966999999999</v>
      </c>
      <c r="K126" s="323">
        <v>39.681832999999997</v>
      </c>
      <c r="L126" s="323">
        <v>29.439726</v>
      </c>
      <c r="M126" s="323">
        <v>32.154065000000003</v>
      </c>
      <c r="N126" s="308">
        <v>4250</v>
      </c>
      <c r="O126" s="308">
        <v>30.36</v>
      </c>
      <c r="P126" s="308">
        <v>0.3201</v>
      </c>
      <c r="Q126" s="308">
        <v>1.9560000000000001E-2</v>
      </c>
      <c r="R126" s="309">
        <v>7.99562945</v>
      </c>
      <c r="S126" s="309">
        <f t="shared" si="47"/>
        <v>15.98947682</v>
      </c>
      <c r="T126" s="338">
        <v>44.4</v>
      </c>
      <c r="U126" s="338">
        <v>40.299999999999997</v>
      </c>
      <c r="V126" s="313">
        <v>31576</v>
      </c>
      <c r="W126" s="313">
        <v>33941</v>
      </c>
      <c r="X126" s="313">
        <f t="shared" si="48"/>
        <v>2365</v>
      </c>
      <c r="Y126" s="313">
        <f t="shared" si="42"/>
        <v>295.78659376217092</v>
      </c>
      <c r="Z126" s="332">
        <v>1588.7879210000001</v>
      </c>
      <c r="AA126" s="313">
        <v>1613.52</v>
      </c>
      <c r="AB126" s="313">
        <f t="shared" si="49"/>
        <v>24.732078999999885</v>
      </c>
      <c r="AC126" s="331">
        <f t="shared" si="43"/>
        <v>3.0931997480198241</v>
      </c>
      <c r="AD126" s="332">
        <v>-11.2</v>
      </c>
      <c r="AE126" s="313">
        <v>-11.38</v>
      </c>
      <c r="AF126" s="313">
        <f t="shared" si="50"/>
        <v>-0.18000000000000149</v>
      </c>
      <c r="AG126" s="331">
        <f t="shared" si="44"/>
        <v>-2.2512298890989938E-2</v>
      </c>
      <c r="AH126" s="332">
        <v>0</v>
      </c>
      <c r="AI126" s="313">
        <v>0</v>
      </c>
      <c r="AJ126" s="313">
        <f t="shared" si="51"/>
        <v>0</v>
      </c>
      <c r="AK126" s="331">
        <f t="shared" si="45"/>
        <v>0</v>
      </c>
      <c r="AL126" s="332">
        <v>-0.05</v>
      </c>
      <c r="AM126" s="313">
        <v>-0.05</v>
      </c>
      <c r="AN126" s="313">
        <f t="shared" si="52"/>
        <v>0</v>
      </c>
      <c r="AO126" s="331">
        <f t="shared" si="46"/>
        <v>0</v>
      </c>
      <c r="AP126" s="303">
        <v>44.4</v>
      </c>
      <c r="AQ126" s="303">
        <v>40.299999999999997</v>
      </c>
      <c r="AR126" s="303">
        <f t="shared" si="53"/>
        <v>-4.1000000000000014</v>
      </c>
      <c r="AS126" s="447">
        <v>45815.4</v>
      </c>
      <c r="AT126" s="341">
        <v>45816.2</v>
      </c>
      <c r="AU126" s="341">
        <f t="shared" si="54"/>
        <v>0.79999999999563443</v>
      </c>
      <c r="AV126" s="303"/>
      <c r="AW126" s="303"/>
      <c r="AX126" s="303"/>
      <c r="AY126" s="303"/>
      <c r="AZ126" s="322" t="s">
        <v>686</v>
      </c>
      <c r="BA126" s="461">
        <v>9396.8805975600008</v>
      </c>
      <c r="BB126" s="461">
        <v>-3.8360726399999998</v>
      </c>
      <c r="BC126" s="461">
        <v>3460.2503751899999</v>
      </c>
      <c r="BD126" s="461">
        <v>3598.2831297299999</v>
      </c>
      <c r="BE126" s="461">
        <v>10.088094999999999</v>
      </c>
      <c r="BF126" s="461">
        <v>10.29530667</v>
      </c>
      <c r="BG126" s="461">
        <v>-0.15190881000000001</v>
      </c>
      <c r="BH126" s="461">
        <v>7.9957861399999999</v>
      </c>
      <c r="BI126" s="461">
        <v>8.0079509200000007</v>
      </c>
      <c r="BJ126" s="461">
        <v>-1.8989927499999999</v>
      </c>
      <c r="BK126" s="461">
        <v>-2.0126808999999999</v>
      </c>
      <c r="BL126" s="461">
        <v>0.49415466000000002</v>
      </c>
    </row>
    <row r="127" spans="1:70" ht="15" customHeight="1" x14ac:dyDescent="0.2">
      <c r="A127" s="321">
        <v>62008014</v>
      </c>
      <c r="B127" s="321" t="s">
        <v>772</v>
      </c>
      <c r="C127" s="321" t="s">
        <v>786</v>
      </c>
      <c r="D127" s="352" t="s">
        <v>794</v>
      </c>
      <c r="E127" s="307" t="s">
        <v>795</v>
      </c>
      <c r="F127" s="307" t="str">
        <f t="shared" si="28"/>
        <v>08/05/20</v>
      </c>
      <c r="G127" s="322" t="s">
        <v>796</v>
      </c>
      <c r="H127" s="322" t="s">
        <v>685</v>
      </c>
      <c r="I127" s="330"/>
      <c r="J127" s="323">
        <v>24.319973999999998</v>
      </c>
      <c r="K127" s="323">
        <v>40.375878999999998</v>
      </c>
      <c r="L127" s="323">
        <v>29.43721</v>
      </c>
      <c r="M127" s="323">
        <v>32.220188999999998</v>
      </c>
      <c r="N127" s="308">
        <v>4250</v>
      </c>
      <c r="O127" s="308">
        <v>30.36</v>
      </c>
      <c r="P127" s="308">
        <v>0.3201</v>
      </c>
      <c r="Q127" s="308">
        <v>1.9560000000000001E-2</v>
      </c>
      <c r="R127" s="309">
        <v>7.9938781199999998</v>
      </c>
      <c r="S127" s="309">
        <f t="shared" si="47"/>
        <v>15.989507570000001</v>
      </c>
      <c r="T127" s="338">
        <v>40.299999999999997</v>
      </c>
      <c r="U127" s="338">
        <v>36.299999999999997</v>
      </c>
      <c r="V127" s="313">
        <v>33941</v>
      </c>
      <c r="W127" s="313">
        <v>36305</v>
      </c>
      <c r="X127" s="313">
        <f t="shared" si="48"/>
        <v>2364</v>
      </c>
      <c r="Y127" s="313">
        <f t="shared" si="42"/>
        <v>295.72630011526871</v>
      </c>
      <c r="Z127" s="332">
        <v>1613.53</v>
      </c>
      <c r="AA127" s="313">
        <v>1638.310575</v>
      </c>
      <c r="AB127" s="313">
        <f t="shared" si="49"/>
        <v>24.780574999999999</v>
      </c>
      <c r="AC127" s="331">
        <f t="shared" si="43"/>
        <v>3.0999440606932844</v>
      </c>
      <c r="AD127" s="332">
        <v>-11.38</v>
      </c>
      <c r="AE127" s="313">
        <v>-11.55</v>
      </c>
      <c r="AF127" s="313">
        <f t="shared" si="50"/>
        <v>-0.16999999999999993</v>
      </c>
      <c r="AG127" s="331">
        <f t="shared" si="44"/>
        <v>-2.1266273696952481E-2</v>
      </c>
      <c r="AH127" s="332">
        <v>0</v>
      </c>
      <c r="AI127" s="313">
        <v>0</v>
      </c>
      <c r="AJ127" s="313">
        <f t="shared" si="51"/>
        <v>0</v>
      </c>
      <c r="AK127" s="331">
        <f t="shared" si="45"/>
        <v>0</v>
      </c>
      <c r="AL127" s="332">
        <v>-0.05</v>
      </c>
      <c r="AM127" s="313">
        <v>-0.05</v>
      </c>
      <c r="AN127" s="313">
        <f t="shared" si="52"/>
        <v>0</v>
      </c>
      <c r="AO127" s="331">
        <f t="shared" si="46"/>
        <v>0</v>
      </c>
      <c r="AP127" s="303">
        <v>40.299999999999997</v>
      </c>
      <c r="AQ127" s="303">
        <v>36.299999999999997</v>
      </c>
      <c r="AR127" s="303">
        <f t="shared" si="53"/>
        <v>-4</v>
      </c>
      <c r="AS127" s="447">
        <v>45816.2</v>
      </c>
      <c r="AT127" s="341">
        <v>45817</v>
      </c>
      <c r="AU127" s="341">
        <f t="shared" si="54"/>
        <v>0.80000000000291038</v>
      </c>
      <c r="AV127" s="303"/>
      <c r="AW127" s="303"/>
      <c r="AX127" s="303"/>
      <c r="AY127" s="303"/>
      <c r="AZ127" s="322" t="s">
        <v>686</v>
      </c>
      <c r="BA127" s="461">
        <v>9407.4985271999994</v>
      </c>
      <c r="BB127" s="461">
        <v>-3.8318213999999999</v>
      </c>
      <c r="BC127" s="461">
        <v>3460.7759678100001</v>
      </c>
      <c r="BD127" s="461">
        <v>3598.6705978499999</v>
      </c>
      <c r="BE127" s="461">
        <v>10.08665278</v>
      </c>
      <c r="BF127" s="461">
        <v>10.295818179999999</v>
      </c>
      <c r="BG127" s="461">
        <v>-0.17533375000000001</v>
      </c>
      <c r="BH127" s="461">
        <v>7.9939117199999998</v>
      </c>
      <c r="BI127" s="461">
        <v>8.0079523699999999</v>
      </c>
      <c r="BJ127" s="461">
        <v>-1.8947152700000001</v>
      </c>
      <c r="BK127" s="461">
        <v>-2.0315568000000002</v>
      </c>
      <c r="BL127" s="461">
        <v>0.49422681000000002</v>
      </c>
    </row>
    <row r="128" spans="1:70" ht="15" customHeight="1" x14ac:dyDescent="0.2">
      <c r="A128" s="485" t="s">
        <v>853</v>
      </c>
      <c r="B128" s="362"/>
      <c r="C128" s="363"/>
      <c r="D128" s="363"/>
      <c r="E128" s="363"/>
      <c r="F128" s="363"/>
      <c r="G128" s="363"/>
      <c r="H128" s="362"/>
      <c r="I128" s="362"/>
      <c r="J128" s="373"/>
      <c r="K128" s="374"/>
      <c r="L128" s="362"/>
      <c r="M128" s="362"/>
      <c r="N128" s="362"/>
      <c r="O128" s="362"/>
      <c r="P128" s="362"/>
      <c r="Q128" s="362"/>
      <c r="R128" s="362"/>
      <c r="S128" s="362"/>
      <c r="T128" s="362"/>
      <c r="U128" s="362"/>
      <c r="V128" s="362"/>
      <c r="W128" s="362"/>
      <c r="X128" s="362"/>
      <c r="Y128" s="362"/>
      <c r="Z128" s="362"/>
      <c r="AA128" s="362"/>
      <c r="AB128" s="362"/>
      <c r="AC128" s="362"/>
      <c r="AD128" s="362"/>
      <c r="AE128" s="362"/>
      <c r="AF128" s="362"/>
      <c r="AG128" s="362"/>
      <c r="AH128" s="362"/>
      <c r="AI128" s="362"/>
      <c r="AJ128" s="362"/>
      <c r="AK128" s="362"/>
      <c r="AL128" s="362"/>
      <c r="AM128" s="362"/>
      <c r="AN128" s="362"/>
      <c r="AO128" s="362"/>
      <c r="AP128" s="362"/>
      <c r="AQ128" s="362"/>
      <c r="AR128" s="362"/>
      <c r="AS128" s="362"/>
      <c r="AT128" s="362"/>
      <c r="AU128" s="362"/>
      <c r="AV128" s="362"/>
      <c r="AW128" s="362"/>
      <c r="AX128" s="362"/>
      <c r="AY128" s="362"/>
      <c r="AZ128" s="362"/>
      <c r="BA128" s="362"/>
      <c r="BB128" s="362"/>
      <c r="BC128" s="362"/>
      <c r="BD128" s="362"/>
      <c r="BE128" s="362"/>
      <c r="BF128" s="375"/>
      <c r="BG128" s="362"/>
      <c r="BH128" s="362"/>
      <c r="BI128" s="362"/>
      <c r="BJ128" s="362"/>
      <c r="BK128" s="362"/>
      <c r="BL128" s="362"/>
      <c r="BM128" s="362"/>
      <c r="BN128" s="362"/>
      <c r="BO128" s="362"/>
      <c r="BP128" s="362"/>
      <c r="BQ128" s="362"/>
      <c r="BR128" s="366"/>
    </row>
    <row r="129" spans="1:64" ht="15" customHeight="1" x14ac:dyDescent="0.2">
      <c r="A129" s="328">
        <v>62008015</v>
      </c>
      <c r="B129" s="321" t="s">
        <v>627</v>
      </c>
      <c r="C129" s="321" t="s">
        <v>773</v>
      </c>
      <c r="D129" s="352" t="s">
        <v>811</v>
      </c>
      <c r="E129" s="307" t="s">
        <v>812</v>
      </c>
      <c r="F129" s="307" t="str">
        <f t="shared" si="28"/>
        <v>08/06/20</v>
      </c>
      <c r="G129" s="322" t="s">
        <v>813</v>
      </c>
      <c r="H129" s="322" t="s">
        <v>685</v>
      </c>
      <c r="I129" s="330"/>
      <c r="J129" s="323">
        <v>23.912064000000001</v>
      </c>
      <c r="K129" s="323">
        <v>41.647345999999999</v>
      </c>
      <c r="L129" s="323">
        <v>29.430582000000001</v>
      </c>
      <c r="M129" s="323">
        <v>25.120977</v>
      </c>
      <c r="N129" s="308">
        <v>4250</v>
      </c>
      <c r="O129" s="308">
        <v>30.36</v>
      </c>
      <c r="P129" s="308">
        <v>0.3201</v>
      </c>
      <c r="Q129" s="308">
        <v>1.9560000000000001E-2</v>
      </c>
      <c r="R129" s="309">
        <v>3.5810125400000001</v>
      </c>
      <c r="S129" s="309">
        <f>R129+R128</f>
        <v>3.5810125400000001</v>
      </c>
      <c r="T129" s="338">
        <v>98.4</v>
      </c>
      <c r="U129" s="338">
        <v>96.9</v>
      </c>
      <c r="V129" s="313">
        <v>-3392</v>
      </c>
      <c r="W129" s="313">
        <v>-2533</v>
      </c>
      <c r="X129" s="313">
        <f>W129-V129</f>
        <v>859</v>
      </c>
      <c r="Y129" s="313">
        <f t="shared" ref="Y129:Y146" si="55">X129/$R129</f>
        <v>239.87628929107296</v>
      </c>
      <c r="Z129" s="332">
        <v>2250.65</v>
      </c>
      <c r="AA129" s="313">
        <v>2272.5469459999999</v>
      </c>
      <c r="AB129" s="313">
        <f>AA129-Z129</f>
        <v>21.896945999999843</v>
      </c>
      <c r="AC129" s="331">
        <f t="shared" ref="AC129:AC146" si="56">AB129/$R129</f>
        <v>6.1147359176798197</v>
      </c>
      <c r="AD129" s="332">
        <v>-15.82</v>
      </c>
      <c r="AE129" s="313">
        <v>-16.32</v>
      </c>
      <c r="AF129" s="313">
        <f>AE129-AD129</f>
        <v>-0.5</v>
      </c>
      <c r="AG129" s="331">
        <f t="shared" ref="AG129:AG146" si="57">AF129/$R129</f>
        <v>-0.13962531390632885</v>
      </c>
      <c r="AH129" s="332">
        <v>0</v>
      </c>
      <c r="AI129" s="313">
        <v>0</v>
      </c>
      <c r="AJ129" s="313">
        <f>AI129-AH129</f>
        <v>0</v>
      </c>
      <c r="AK129" s="331">
        <f t="shared" ref="AK129:AK146" si="58">AJ129/$R129</f>
        <v>0</v>
      </c>
      <c r="AL129" s="332">
        <v>-0.05</v>
      </c>
      <c r="AM129" s="313">
        <v>-0.05</v>
      </c>
      <c r="AN129" s="313">
        <f>AM129-AL129</f>
        <v>0</v>
      </c>
      <c r="AO129" s="331">
        <f t="shared" ref="AO129:AO146" si="59">AN129/$R129</f>
        <v>0</v>
      </c>
      <c r="AP129" s="303">
        <v>98.4</v>
      </c>
      <c r="AQ129" s="303">
        <v>96.9</v>
      </c>
      <c r="AR129" s="303">
        <f>AQ129-AP129</f>
        <v>-1.5</v>
      </c>
      <c r="AS129" s="447">
        <v>90174.2</v>
      </c>
      <c r="AT129" s="341">
        <v>90174.9</v>
      </c>
      <c r="AU129" s="341">
        <f>AT129-AS129</f>
        <v>0.69999999999708962</v>
      </c>
      <c r="AV129" s="303"/>
      <c r="AW129" s="303"/>
      <c r="AX129" s="303"/>
      <c r="AY129" s="303"/>
      <c r="AZ129" s="322" t="s">
        <v>686</v>
      </c>
      <c r="BA129" s="461">
        <v>2418.06151013</v>
      </c>
      <c r="BB129" s="461">
        <v>-1.9528261600000001</v>
      </c>
      <c r="BC129" s="461">
        <v>2008.7983310100001</v>
      </c>
      <c r="BD129" s="461">
        <v>2048.8079894900002</v>
      </c>
      <c r="BE129" s="461">
        <v>3.2131796499999998</v>
      </c>
      <c r="BF129" s="461">
        <v>3.2585073800000002</v>
      </c>
      <c r="BG129" s="461">
        <v>-0.27983201000000002</v>
      </c>
      <c r="BH129" s="461">
        <v>3.5809315399999999</v>
      </c>
      <c r="BI129" s="461">
        <v>3.5909802499999999</v>
      </c>
      <c r="BJ129" s="461">
        <v>-1.1269021100000001</v>
      </c>
      <c r="BK129" s="461">
        <v>-1.3910582600000001</v>
      </c>
      <c r="BL129" s="461">
        <v>0.59038723000000004</v>
      </c>
    </row>
    <row r="130" spans="1:64" ht="15" customHeight="1" x14ac:dyDescent="0.2">
      <c r="A130" s="328">
        <v>62008015</v>
      </c>
      <c r="B130" s="321" t="s">
        <v>628</v>
      </c>
      <c r="C130" s="321" t="s">
        <v>774</v>
      </c>
      <c r="D130" s="352" t="s">
        <v>811</v>
      </c>
      <c r="E130" s="307" t="s">
        <v>812</v>
      </c>
      <c r="F130" s="307" t="str">
        <f t="shared" si="28"/>
        <v>08/06/20</v>
      </c>
      <c r="G130" s="322" t="s">
        <v>813</v>
      </c>
      <c r="H130" s="322" t="s">
        <v>685</v>
      </c>
      <c r="I130" s="330"/>
      <c r="J130" s="323">
        <v>22.167736000000001</v>
      </c>
      <c r="K130" s="323">
        <v>45.904753999999997</v>
      </c>
      <c r="L130" s="323">
        <v>29.42492</v>
      </c>
      <c r="M130" s="323">
        <v>27.654129999999999</v>
      </c>
      <c r="N130" s="308">
        <v>4250</v>
      </c>
      <c r="O130" s="308">
        <v>30.36</v>
      </c>
      <c r="P130" s="308">
        <v>0.3201</v>
      </c>
      <c r="Q130" s="308">
        <v>1.9560000000000001E-2</v>
      </c>
      <c r="R130" s="309">
        <v>3.8436425600000002</v>
      </c>
      <c r="S130" s="309">
        <f>R130+R129</f>
        <v>7.4246551000000007</v>
      </c>
      <c r="T130" s="338">
        <v>96.9</v>
      </c>
      <c r="U130" s="338">
        <v>95.8</v>
      </c>
      <c r="V130" s="313">
        <v>-2533</v>
      </c>
      <c r="W130" s="313">
        <v>-1831</v>
      </c>
      <c r="X130" s="313">
        <f>W130-V130</f>
        <v>702</v>
      </c>
      <c r="Y130" s="313">
        <f t="shared" si="55"/>
        <v>182.63925145006198</v>
      </c>
      <c r="Z130" s="332">
        <v>2272.5570480000001</v>
      </c>
      <c r="AA130" s="313">
        <v>2309.29</v>
      </c>
      <c r="AB130" s="313">
        <f>AA130-Z130</f>
        <v>36.732951999999841</v>
      </c>
      <c r="AC130" s="331">
        <f t="shared" si="56"/>
        <v>9.5568074883632885</v>
      </c>
      <c r="AD130" s="332">
        <v>-16.32</v>
      </c>
      <c r="AE130" s="313">
        <v>-16.8</v>
      </c>
      <c r="AF130" s="313">
        <f>AE130-AD130</f>
        <v>-0.48000000000000043</v>
      </c>
      <c r="AG130" s="331">
        <f t="shared" si="57"/>
        <v>-0.12488153945303394</v>
      </c>
      <c r="AH130" s="332">
        <v>0</v>
      </c>
      <c r="AI130" s="313">
        <v>0</v>
      </c>
      <c r="AJ130" s="313">
        <f>AI130-AH130</f>
        <v>0</v>
      </c>
      <c r="AK130" s="331">
        <f t="shared" si="58"/>
        <v>0</v>
      </c>
      <c r="AL130" s="332">
        <v>-0.05</v>
      </c>
      <c r="AM130" s="313">
        <v>-0.05</v>
      </c>
      <c r="AN130" s="313">
        <f>AM130-AL130</f>
        <v>0</v>
      </c>
      <c r="AO130" s="331">
        <f t="shared" si="59"/>
        <v>0</v>
      </c>
      <c r="AP130" s="303">
        <v>96.9</v>
      </c>
      <c r="AQ130" s="303">
        <v>95.8</v>
      </c>
      <c r="AR130" s="303">
        <f>AQ130-AP130</f>
        <v>-1.1000000000000085</v>
      </c>
      <c r="AS130" s="447">
        <v>90174.9</v>
      </c>
      <c r="AT130" s="341">
        <v>90176.1</v>
      </c>
      <c r="AU130" s="341">
        <f>AT130-AS130</f>
        <v>1.2000000000116415</v>
      </c>
      <c r="AV130" s="303"/>
      <c r="AW130" s="303"/>
      <c r="AX130" s="303"/>
      <c r="AY130" s="303"/>
      <c r="AZ130" s="322" t="s">
        <v>686</v>
      </c>
      <c r="BA130" s="461">
        <v>1482.2570952799999</v>
      </c>
      <c r="BB130" s="461">
        <v>-2.1511406599999998</v>
      </c>
      <c r="BC130" s="461">
        <v>3342.6384913400002</v>
      </c>
      <c r="BD130" s="461">
        <v>3416.1241264199998</v>
      </c>
      <c r="BE130" s="461">
        <v>2.9553516100000001</v>
      </c>
      <c r="BF130" s="461">
        <v>3.0186154100000002</v>
      </c>
      <c r="BG130" s="461">
        <v>-0.42248751000000001</v>
      </c>
      <c r="BH130" s="461">
        <v>3.8435221500000001</v>
      </c>
      <c r="BI130" s="461">
        <v>3.8598294499999999</v>
      </c>
      <c r="BJ130" s="461">
        <v>-1.7091204900000001</v>
      </c>
      <c r="BK130" s="461">
        <v>-2.0957884500000001</v>
      </c>
      <c r="BL130" s="461">
        <v>0.71450796000000005</v>
      </c>
    </row>
    <row r="131" spans="1:64" ht="15" customHeight="1" x14ac:dyDescent="0.2">
      <c r="A131" s="328">
        <v>62008015</v>
      </c>
      <c r="B131" s="321" t="s">
        <v>629</v>
      </c>
      <c r="C131" s="321" t="s">
        <v>775</v>
      </c>
      <c r="D131" s="352" t="s">
        <v>811</v>
      </c>
      <c r="E131" s="307" t="s">
        <v>812</v>
      </c>
      <c r="F131" s="307" t="str">
        <f t="shared" si="28"/>
        <v>08/06/20</v>
      </c>
      <c r="G131" s="322" t="s">
        <v>813</v>
      </c>
      <c r="H131" s="322" t="s">
        <v>685</v>
      </c>
      <c r="I131" s="330"/>
      <c r="J131" s="324">
        <f>AVERAGE(J129:J130)</f>
        <v>23.039900000000003</v>
      </c>
      <c r="K131" s="324">
        <f>AVERAGE(K129:K130)</f>
        <v>43.776049999999998</v>
      </c>
      <c r="L131" s="324">
        <f>AVERAGE(L129:L130)</f>
        <v>29.427751000000001</v>
      </c>
      <c r="M131" s="324">
        <f>AVERAGE(M129:M130)</f>
        <v>26.387553499999999</v>
      </c>
      <c r="N131" s="310"/>
      <c r="O131" s="308"/>
      <c r="P131" s="326"/>
      <c r="Q131" s="325"/>
      <c r="R131" s="311">
        <f>R130+R129</f>
        <v>7.4246551000000007</v>
      </c>
      <c r="S131" s="311">
        <f>S130</f>
        <v>7.4246551000000007</v>
      </c>
      <c r="T131" s="339">
        <f>T129</f>
        <v>98.4</v>
      </c>
      <c r="U131" s="339">
        <f>U130</f>
        <v>95.8</v>
      </c>
      <c r="V131" s="314">
        <f>V129</f>
        <v>-3392</v>
      </c>
      <c r="W131" s="314">
        <f>W130</f>
        <v>-1831</v>
      </c>
      <c r="X131" s="314">
        <f>SUM(X129:X130)</f>
        <v>1561</v>
      </c>
      <c r="Y131" s="314">
        <f t="shared" si="55"/>
        <v>210.24545638490329</v>
      </c>
      <c r="Z131" s="314">
        <f>Z129</f>
        <v>2250.65</v>
      </c>
      <c r="AA131" s="314">
        <f>AA130</f>
        <v>2309.29</v>
      </c>
      <c r="AB131" s="314">
        <f>SUM(AB129:AB130)</f>
        <v>58.629897999999685</v>
      </c>
      <c r="AC131" s="312">
        <f t="shared" si="56"/>
        <v>7.896649367591456</v>
      </c>
      <c r="AD131" s="314">
        <f>AD129</f>
        <v>-15.82</v>
      </c>
      <c r="AE131" s="314">
        <f>AE130</f>
        <v>-16.8</v>
      </c>
      <c r="AF131" s="314">
        <f>SUM(AF129:AF130)</f>
        <v>-0.98000000000000043</v>
      </c>
      <c r="AG131" s="312">
        <f t="shared" si="57"/>
        <v>-0.13199266320128464</v>
      </c>
      <c r="AH131" s="314">
        <f>AH129</f>
        <v>0</v>
      </c>
      <c r="AI131" s="314">
        <f>AI130</f>
        <v>0</v>
      </c>
      <c r="AJ131" s="314">
        <f>SUM(AJ129:AJ130)</f>
        <v>0</v>
      </c>
      <c r="AK131" s="312">
        <f t="shared" si="58"/>
        <v>0</v>
      </c>
      <c r="AL131" s="314">
        <f>AL129</f>
        <v>-0.05</v>
      </c>
      <c r="AM131" s="314">
        <f>AM130</f>
        <v>-0.05</v>
      </c>
      <c r="AN131" s="314">
        <f>SUM(AN129:AN130)</f>
        <v>0</v>
      </c>
      <c r="AO131" s="312">
        <f t="shared" si="59"/>
        <v>0</v>
      </c>
      <c r="AP131" s="305"/>
      <c r="AQ131" s="305"/>
      <c r="AR131" s="305">
        <f>SUM(AR129:AR130)</f>
        <v>-2.6000000000000085</v>
      </c>
      <c r="AS131" s="342">
        <f>AS129</f>
        <v>90174.2</v>
      </c>
      <c r="AT131" s="342">
        <f>AT130</f>
        <v>90176.1</v>
      </c>
      <c r="AU131" s="342">
        <f>SUM(AU129:AU130)</f>
        <v>1.9000000000087311</v>
      </c>
      <c r="AV131" s="305"/>
      <c r="AW131" s="305"/>
      <c r="AX131" s="305"/>
      <c r="AY131" s="305"/>
      <c r="AZ131" s="322" t="s">
        <v>686</v>
      </c>
    </row>
    <row r="132" spans="1:64" ht="15" customHeight="1" x14ac:dyDescent="0.2">
      <c r="A132" s="328">
        <v>62008015</v>
      </c>
      <c r="B132" s="321" t="s">
        <v>631</v>
      </c>
      <c r="C132" s="321" t="s">
        <v>776</v>
      </c>
      <c r="D132" s="352" t="s">
        <v>811</v>
      </c>
      <c r="E132" s="307" t="s">
        <v>812</v>
      </c>
      <c r="F132" s="307" t="str">
        <f t="shared" si="28"/>
        <v>08/06/20</v>
      </c>
      <c r="G132" s="322" t="s">
        <v>813</v>
      </c>
      <c r="H132" s="322" t="s">
        <v>685</v>
      </c>
      <c r="I132" s="330"/>
      <c r="J132" s="323">
        <v>22.61713</v>
      </c>
      <c r="K132" s="323">
        <v>45.004458</v>
      </c>
      <c r="L132" s="323">
        <v>29.426152999999999</v>
      </c>
      <c r="M132" s="323">
        <v>28.247358999999999</v>
      </c>
      <c r="N132" s="308">
        <v>4250</v>
      </c>
      <c r="O132" s="308">
        <v>30.36</v>
      </c>
      <c r="P132" s="308">
        <v>0.3201</v>
      </c>
      <c r="Q132" s="308">
        <v>1.9560000000000001E-2</v>
      </c>
      <c r="R132" s="309">
        <v>3.58182007</v>
      </c>
      <c r="S132" s="309">
        <f>R132+R131</f>
        <v>11.006475170000002</v>
      </c>
      <c r="T132" s="338">
        <v>95.8</v>
      </c>
      <c r="U132" s="338">
        <v>94.7</v>
      </c>
      <c r="V132" s="313">
        <v>-1831</v>
      </c>
      <c r="W132" s="313">
        <v>-1077</v>
      </c>
      <c r="X132" s="313">
        <f>W132-V132</f>
        <v>754</v>
      </c>
      <c r="Y132" s="313">
        <f t="shared" si="55"/>
        <v>210.50750324261821</v>
      </c>
      <c r="Z132" s="332">
        <v>2309.3865839999999</v>
      </c>
      <c r="AA132" s="313">
        <v>2330.59</v>
      </c>
      <c r="AB132" s="313">
        <f>AA132-Z132</f>
        <v>21.203416000000288</v>
      </c>
      <c r="AC132" s="331">
        <f t="shared" si="56"/>
        <v>5.9197323108417024</v>
      </c>
      <c r="AD132" s="332">
        <v>-16.8</v>
      </c>
      <c r="AE132" s="313">
        <v>-17.010000000000002</v>
      </c>
      <c r="AF132" s="313">
        <f>AE132-AD132</f>
        <v>-0.21000000000000085</v>
      </c>
      <c r="AG132" s="331">
        <f t="shared" si="57"/>
        <v>-5.8629410717440322E-2</v>
      </c>
      <c r="AH132" s="332">
        <v>0</v>
      </c>
      <c r="AI132" s="313">
        <v>0</v>
      </c>
      <c r="AJ132" s="313">
        <f>AI132-AH132</f>
        <v>0</v>
      </c>
      <c r="AK132" s="331">
        <f t="shared" si="58"/>
        <v>0</v>
      </c>
      <c r="AL132" s="332">
        <v>-0.05</v>
      </c>
      <c r="AM132" s="313">
        <v>-0.05</v>
      </c>
      <c r="AN132" s="313">
        <f>AM132-AL132</f>
        <v>0</v>
      </c>
      <c r="AO132" s="331">
        <f t="shared" si="59"/>
        <v>0</v>
      </c>
      <c r="AP132" s="303">
        <v>95.8</v>
      </c>
      <c r="AQ132" s="303">
        <v>94.7</v>
      </c>
      <c r="AR132" s="303">
        <f>AQ132-AP132</f>
        <v>-1.0999999999999943</v>
      </c>
      <c r="AS132" s="447">
        <v>90176.1</v>
      </c>
      <c r="AT132" s="341">
        <v>90176.8</v>
      </c>
      <c r="AU132" s="341">
        <f>AT132-AS132</f>
        <v>0.69999999999708962</v>
      </c>
      <c r="AV132" s="303"/>
      <c r="AW132" s="303"/>
      <c r="AX132" s="303"/>
      <c r="AY132" s="303"/>
      <c r="AZ132" s="322" t="s">
        <v>686</v>
      </c>
      <c r="BA132" s="461">
        <v>2413.5953464499999</v>
      </c>
      <c r="BB132" s="461">
        <v>-2.2005661399999998</v>
      </c>
      <c r="BC132" s="461">
        <v>2003.6065165299999</v>
      </c>
      <c r="BD132" s="461">
        <v>2048.6892791300002</v>
      </c>
      <c r="BE132" s="461">
        <v>3.2097032599999999</v>
      </c>
      <c r="BF132" s="461">
        <v>3.2583352400000001</v>
      </c>
      <c r="BG132" s="461">
        <v>-0.25753921000000002</v>
      </c>
      <c r="BH132" s="461">
        <v>3.5817314800000002</v>
      </c>
      <c r="BI132" s="461">
        <v>3.5909796599999999</v>
      </c>
      <c r="BJ132" s="461">
        <v>-1.25371353</v>
      </c>
      <c r="BK132" s="461">
        <v>-1.4925405599999999</v>
      </c>
      <c r="BL132" s="461">
        <v>0.59036840000000002</v>
      </c>
    </row>
    <row r="133" spans="1:64" ht="15" customHeight="1" x14ac:dyDescent="0.2">
      <c r="A133" s="328">
        <v>62008015</v>
      </c>
      <c r="B133" s="321" t="s">
        <v>225</v>
      </c>
      <c r="C133" s="321" t="s">
        <v>777</v>
      </c>
      <c r="D133" s="352" t="s">
        <v>811</v>
      </c>
      <c r="E133" s="307" t="s">
        <v>812</v>
      </c>
      <c r="F133" s="307" t="str">
        <f t="shared" si="28"/>
        <v>08/06/20</v>
      </c>
      <c r="G133" s="322" t="s">
        <v>813</v>
      </c>
      <c r="H133" s="322" t="s">
        <v>685</v>
      </c>
      <c r="I133" s="330"/>
      <c r="J133" s="323">
        <v>20.637426000000001</v>
      </c>
      <c r="K133" s="323">
        <v>50.322595</v>
      </c>
      <c r="L133" s="323">
        <v>29.425405000000001</v>
      </c>
      <c r="M133" s="323">
        <v>28.314474000000001</v>
      </c>
      <c r="N133" s="308">
        <v>4250</v>
      </c>
      <c r="O133" s="308">
        <v>30.36</v>
      </c>
      <c r="P133" s="308">
        <v>0.3201</v>
      </c>
      <c r="Q133" s="308">
        <v>1.9560000000000001E-2</v>
      </c>
      <c r="R133" s="309">
        <v>3.8440394000000002</v>
      </c>
      <c r="S133" s="309">
        <f>R133+R132</f>
        <v>7.4258594700000007</v>
      </c>
      <c r="T133" s="338">
        <v>94.7</v>
      </c>
      <c r="U133" s="338">
        <v>93.7</v>
      </c>
      <c r="V133" s="313">
        <v>-1077</v>
      </c>
      <c r="W133" s="313">
        <v>-430</v>
      </c>
      <c r="X133" s="313">
        <f>W133-V133</f>
        <v>647</v>
      </c>
      <c r="Y133" s="313">
        <f t="shared" si="55"/>
        <v>168.31253082369551</v>
      </c>
      <c r="Z133" s="332">
        <v>2330.596235</v>
      </c>
      <c r="AA133" s="313">
        <v>2366.9757909999998</v>
      </c>
      <c r="AB133" s="313">
        <f>AA133-Z133</f>
        <v>36.379555999999866</v>
      </c>
      <c r="AC133" s="331">
        <f t="shared" si="56"/>
        <v>9.4638873888753228</v>
      </c>
      <c r="AD133" s="332">
        <v>-17.010000000000002</v>
      </c>
      <c r="AE133" s="313">
        <v>-17.34</v>
      </c>
      <c r="AF133" s="313">
        <f>AE133-AD133</f>
        <v>-0.32999999999999829</v>
      </c>
      <c r="AG133" s="331">
        <f t="shared" si="57"/>
        <v>-8.5847195010539765E-2</v>
      </c>
      <c r="AH133" s="332">
        <v>0</v>
      </c>
      <c r="AI133" s="313">
        <v>0</v>
      </c>
      <c r="AJ133" s="313">
        <f>AI133-AH133</f>
        <v>0</v>
      </c>
      <c r="AK133" s="331">
        <f t="shared" si="58"/>
        <v>0</v>
      </c>
      <c r="AL133" s="332">
        <v>-0.05</v>
      </c>
      <c r="AM133" s="313">
        <v>-0.05</v>
      </c>
      <c r="AN133" s="313">
        <f>AM133-AL133</f>
        <v>0</v>
      </c>
      <c r="AO133" s="331">
        <f t="shared" si="59"/>
        <v>0</v>
      </c>
      <c r="AP133" s="303">
        <v>94.7</v>
      </c>
      <c r="AQ133" s="303">
        <v>93.7</v>
      </c>
      <c r="AR133" s="303">
        <f>AQ133-AP133</f>
        <v>-1</v>
      </c>
      <c r="AS133" s="447">
        <v>90176.8</v>
      </c>
      <c r="AT133" s="341">
        <v>90178</v>
      </c>
      <c r="AU133" s="341">
        <f>AT133-AS133</f>
        <v>1.1999999999970896</v>
      </c>
      <c r="AV133" s="303"/>
      <c r="AW133" s="303"/>
      <c r="AX133" s="303"/>
      <c r="AY133" s="303"/>
      <c r="AZ133" s="322" t="s">
        <v>686</v>
      </c>
      <c r="BA133" s="461">
        <v>1481.9467391799999</v>
      </c>
      <c r="BB133" s="461">
        <v>-2.0997511499999999</v>
      </c>
      <c r="BC133" s="461">
        <v>3344.27848034</v>
      </c>
      <c r="BD133" s="461">
        <v>3416.00610796</v>
      </c>
      <c r="BE133" s="461">
        <v>2.9558971000000001</v>
      </c>
      <c r="BF133" s="461">
        <v>3.0184522500000002</v>
      </c>
      <c r="BG133" s="461">
        <v>-0.4127942</v>
      </c>
      <c r="BH133" s="461">
        <v>3.84389621</v>
      </c>
      <c r="BI133" s="461">
        <v>3.85982936</v>
      </c>
      <c r="BJ133" s="461">
        <v>-1.6947531899999999</v>
      </c>
      <c r="BK133" s="461">
        <v>-2.0724249000000001</v>
      </c>
      <c r="BL133" s="461">
        <v>0.71451352999999995</v>
      </c>
    </row>
    <row r="134" spans="1:64" ht="15" customHeight="1" x14ac:dyDescent="0.2">
      <c r="A134" s="328">
        <v>62008015</v>
      </c>
      <c r="B134" s="321" t="s">
        <v>632</v>
      </c>
      <c r="C134" s="321" t="s">
        <v>799</v>
      </c>
      <c r="D134" s="352" t="s">
        <v>811</v>
      </c>
      <c r="E134" s="307" t="s">
        <v>812</v>
      </c>
      <c r="F134" s="307" t="str">
        <f t="shared" si="28"/>
        <v>08/06/20</v>
      </c>
      <c r="G134" s="322" t="s">
        <v>813</v>
      </c>
      <c r="H134" s="322" t="s">
        <v>685</v>
      </c>
      <c r="I134" s="330"/>
      <c r="J134" s="324">
        <f>AVERAGE(J132:J133)</f>
        <v>21.627278</v>
      </c>
      <c r="K134" s="324">
        <f>AVERAGE(K132:K133)</f>
        <v>47.663526500000003</v>
      </c>
      <c r="L134" s="324">
        <f>AVERAGE(L132:L133)</f>
        <v>29.425778999999999</v>
      </c>
      <c r="M134" s="324">
        <f>AVERAGE(M132:M133)</f>
        <v>28.2809165</v>
      </c>
      <c r="N134" s="310"/>
      <c r="O134" s="308"/>
      <c r="P134" s="326"/>
      <c r="Q134" s="325"/>
      <c r="R134" s="311">
        <f>R133+R132</f>
        <v>7.4258594700000007</v>
      </c>
      <c r="S134" s="311">
        <f>S133</f>
        <v>7.4258594700000007</v>
      </c>
      <c r="T134" s="339">
        <f>T132</f>
        <v>95.8</v>
      </c>
      <c r="U134" s="339">
        <f>U133</f>
        <v>93.7</v>
      </c>
      <c r="V134" s="314">
        <f>V132</f>
        <v>-1831</v>
      </c>
      <c r="W134" s="314">
        <f>W133</f>
        <v>-430</v>
      </c>
      <c r="X134" s="314">
        <f>SUM(X132:X133)</f>
        <v>1401</v>
      </c>
      <c r="Y134" s="314">
        <f t="shared" si="55"/>
        <v>188.66503004264365</v>
      </c>
      <c r="Z134" s="314">
        <f>Z132</f>
        <v>2309.3865839999999</v>
      </c>
      <c r="AA134" s="314">
        <f>AA133</f>
        <v>2366.9757909999998</v>
      </c>
      <c r="AB134" s="314">
        <f>SUM(AB132:AB133)</f>
        <v>57.582972000000154</v>
      </c>
      <c r="AC134" s="312">
        <f t="shared" si="56"/>
        <v>7.7543848267842526</v>
      </c>
      <c r="AD134" s="314">
        <f>AD132</f>
        <v>-16.8</v>
      </c>
      <c r="AE134" s="314">
        <f>AE133</f>
        <v>-17.34</v>
      </c>
      <c r="AF134" s="314">
        <f>SUM(AF132:AF133)</f>
        <v>-0.53999999999999915</v>
      </c>
      <c r="AG134" s="312">
        <f t="shared" si="57"/>
        <v>-7.2718855262689092E-2</v>
      </c>
      <c r="AH134" s="314">
        <f>AH132</f>
        <v>0</v>
      </c>
      <c r="AI134" s="314">
        <f>AI133</f>
        <v>0</v>
      </c>
      <c r="AJ134" s="314">
        <f>SUM(AJ132:AJ133)</f>
        <v>0</v>
      </c>
      <c r="AK134" s="312">
        <f t="shared" si="58"/>
        <v>0</v>
      </c>
      <c r="AL134" s="314">
        <f>AL132</f>
        <v>-0.05</v>
      </c>
      <c r="AM134" s="314">
        <f>AM133</f>
        <v>-0.05</v>
      </c>
      <c r="AN134" s="314">
        <f>SUM(AN132:AN133)</f>
        <v>0</v>
      </c>
      <c r="AO134" s="312">
        <f t="shared" si="59"/>
        <v>0</v>
      </c>
      <c r="AP134" s="305"/>
      <c r="AQ134" s="305"/>
      <c r="AR134" s="305">
        <f>SUM(AR132:AR133)</f>
        <v>-2.0999999999999943</v>
      </c>
      <c r="AS134" s="342">
        <f>AS132</f>
        <v>90176.1</v>
      </c>
      <c r="AT134" s="342">
        <f>AT133</f>
        <v>90178</v>
      </c>
      <c r="AU134" s="342">
        <f>SUM(AU132:AU133)</f>
        <v>1.8999999999941792</v>
      </c>
      <c r="AV134" s="305"/>
      <c r="AW134" s="305"/>
      <c r="AX134" s="305"/>
      <c r="AY134" s="305"/>
      <c r="AZ134" s="322" t="s">
        <v>686</v>
      </c>
    </row>
    <row r="135" spans="1:64" ht="15" customHeight="1" x14ac:dyDescent="0.2">
      <c r="A135" s="328">
        <v>62008015</v>
      </c>
      <c r="B135" s="321" t="s">
        <v>630</v>
      </c>
      <c r="C135" s="321" t="s">
        <v>778</v>
      </c>
      <c r="D135" s="352" t="s">
        <v>811</v>
      </c>
      <c r="E135" s="307" t="s">
        <v>812</v>
      </c>
      <c r="F135" s="307" t="str">
        <f t="shared" si="28"/>
        <v>08/06/20</v>
      </c>
      <c r="G135" s="322" t="s">
        <v>813</v>
      </c>
      <c r="H135" s="322" t="s">
        <v>685</v>
      </c>
      <c r="I135" s="330"/>
      <c r="J135" s="323">
        <v>25.137250999999999</v>
      </c>
      <c r="K135" s="323">
        <v>38.815961999999999</v>
      </c>
      <c r="L135" s="323">
        <v>29.436143999999999</v>
      </c>
      <c r="M135" s="323">
        <v>29.310973000000001</v>
      </c>
      <c r="N135" s="308">
        <v>4250</v>
      </c>
      <c r="O135" s="308">
        <v>30.36</v>
      </c>
      <c r="P135" s="308">
        <v>0.3201</v>
      </c>
      <c r="Q135" s="308">
        <v>1.9560000000000001E-2</v>
      </c>
      <c r="R135" s="309">
        <v>10.24576444</v>
      </c>
      <c r="S135" s="309">
        <f>R135+R134</f>
        <v>17.671623910000001</v>
      </c>
      <c r="T135" s="338">
        <v>93.7</v>
      </c>
      <c r="U135" s="338">
        <v>90.3</v>
      </c>
      <c r="V135" s="313">
        <v>-430</v>
      </c>
      <c r="W135" s="313">
        <v>1821</v>
      </c>
      <c r="X135" s="313">
        <f>W135-V135</f>
        <v>2251</v>
      </c>
      <c r="Y135" s="313">
        <f t="shared" si="55"/>
        <v>219.70054193438006</v>
      </c>
      <c r="Z135" s="332">
        <v>2367.66</v>
      </c>
      <c r="AA135" s="313">
        <v>2399.335439</v>
      </c>
      <c r="AB135" s="313">
        <f>AA135-Z135</f>
        <v>31.675439000000097</v>
      </c>
      <c r="AC135" s="331">
        <f t="shared" si="56"/>
        <v>3.0915642444733091</v>
      </c>
      <c r="AD135" s="332">
        <v>-17.34</v>
      </c>
      <c r="AE135" s="313">
        <v>-17.59</v>
      </c>
      <c r="AF135" s="313">
        <f>AE135-AD135</f>
        <v>-0.25</v>
      </c>
      <c r="AG135" s="331">
        <f t="shared" si="57"/>
        <v>-2.4400326736381615E-2</v>
      </c>
      <c r="AH135" s="332">
        <v>0</v>
      </c>
      <c r="AI135" s="313">
        <v>0</v>
      </c>
      <c r="AJ135" s="313">
        <f>AI135-AH135</f>
        <v>0</v>
      </c>
      <c r="AK135" s="331">
        <f t="shared" si="58"/>
        <v>0</v>
      </c>
      <c r="AL135" s="332">
        <v>-0.05</v>
      </c>
      <c r="AM135" s="313">
        <v>-0.05</v>
      </c>
      <c r="AN135" s="313">
        <f>AM135-AL135</f>
        <v>0</v>
      </c>
      <c r="AO135" s="331">
        <f t="shared" si="59"/>
        <v>0</v>
      </c>
      <c r="AP135" s="303">
        <v>93.7</v>
      </c>
      <c r="AQ135" s="303">
        <v>90.3</v>
      </c>
      <c r="AR135" s="303">
        <f>AQ135-AP135</f>
        <v>-3.4000000000000057</v>
      </c>
      <c r="AS135" s="447">
        <v>90178</v>
      </c>
      <c r="AT135" s="341">
        <v>90179.1</v>
      </c>
      <c r="AU135" s="341">
        <f>AT135-AS135</f>
        <v>1.1000000000058208</v>
      </c>
      <c r="AV135" s="303"/>
      <c r="AW135" s="303"/>
      <c r="AX135" s="303"/>
      <c r="AY135" s="303"/>
      <c r="AZ135" s="322" t="s">
        <v>686</v>
      </c>
      <c r="BA135" s="461">
        <v>1944.4254418999999</v>
      </c>
      <c r="BB135" s="461">
        <v>-0.78799774</v>
      </c>
      <c r="BC135" s="461">
        <v>1296.4047681699999</v>
      </c>
      <c r="BD135" s="461">
        <v>1306.7015468500001</v>
      </c>
      <c r="BE135" s="461">
        <v>7.9728172900000001</v>
      </c>
      <c r="BF135" s="461">
        <v>8.0199994799999992</v>
      </c>
      <c r="BG135" s="461">
        <v>-0.10548705999999999</v>
      </c>
      <c r="BH135" s="461">
        <v>10.245860970000001</v>
      </c>
      <c r="BI135" s="461">
        <v>10.25668044</v>
      </c>
      <c r="BJ135" s="461">
        <v>-0.48567691000000002</v>
      </c>
      <c r="BK135" s="461">
        <v>-0.58830669999999996</v>
      </c>
      <c r="BL135" s="461">
        <v>0.28276336000000002</v>
      </c>
    </row>
    <row r="136" spans="1:64" ht="15" customHeight="1" x14ac:dyDescent="0.2">
      <c r="A136" s="328">
        <v>62008015</v>
      </c>
      <c r="B136" s="321" t="s">
        <v>633</v>
      </c>
      <c r="C136" s="321" t="s">
        <v>780</v>
      </c>
      <c r="D136" s="352" t="s">
        <v>811</v>
      </c>
      <c r="E136" s="307" t="s">
        <v>812</v>
      </c>
      <c r="F136" s="307" t="str">
        <f t="shared" si="28"/>
        <v>08/06/20</v>
      </c>
      <c r="G136" s="322" t="s">
        <v>813</v>
      </c>
      <c r="H136" s="322" t="s">
        <v>685</v>
      </c>
      <c r="I136" s="330"/>
      <c r="J136" s="323">
        <v>23.042808999999998</v>
      </c>
      <c r="K136" s="323">
        <v>42.109565000000003</v>
      </c>
      <c r="L136" s="323">
        <v>29.425501000000001</v>
      </c>
      <c r="M136" s="323">
        <v>32.356554000000003</v>
      </c>
      <c r="N136" s="308">
        <v>4250</v>
      </c>
      <c r="O136" s="308">
        <v>30.36</v>
      </c>
      <c r="P136" s="308">
        <v>0.3201</v>
      </c>
      <c r="Q136" s="308">
        <v>1.9560000000000001E-2</v>
      </c>
      <c r="R136" s="309">
        <v>1.7652757699999999</v>
      </c>
      <c r="S136" s="309">
        <f>R136+R135</f>
        <v>12.011040210000001</v>
      </c>
      <c r="T136" s="338">
        <v>90.3</v>
      </c>
      <c r="U136" s="338">
        <v>86.7</v>
      </c>
      <c r="V136" s="313">
        <v>1822</v>
      </c>
      <c r="W136" s="313">
        <v>4217</v>
      </c>
      <c r="X136" s="313">
        <f>W136-V136-X137</f>
        <v>544</v>
      </c>
      <c r="Y136" s="313">
        <f t="shared" si="55"/>
        <v>308.16714829774162</v>
      </c>
      <c r="Z136" s="332">
        <v>2400.08</v>
      </c>
      <c r="AA136" s="313">
        <v>2424.9499999999998</v>
      </c>
      <c r="AB136" s="313">
        <f>AA136-Z136-AB137</f>
        <v>9.8748679999998785</v>
      </c>
      <c r="AC136" s="331">
        <f t="shared" si="56"/>
        <v>5.5939520429716652</v>
      </c>
      <c r="AD136" s="332">
        <v>-17.600000000000001</v>
      </c>
      <c r="AE136" s="313">
        <v>-17.79</v>
      </c>
      <c r="AF136" s="313">
        <f>AE136-AD136-AF137</f>
        <v>-7.9999999999998295E-2</v>
      </c>
      <c r="AG136" s="331">
        <f t="shared" si="57"/>
        <v>-4.5318698279078681E-2</v>
      </c>
      <c r="AH136" s="332">
        <v>0</v>
      </c>
      <c r="AI136" s="313">
        <v>0</v>
      </c>
      <c r="AJ136" s="313">
        <f>AI136-AH136-AJ137</f>
        <v>0</v>
      </c>
      <c r="AK136" s="331">
        <f t="shared" si="58"/>
        <v>0</v>
      </c>
      <c r="AL136" s="332">
        <v>-0.05</v>
      </c>
      <c r="AM136" s="313">
        <v>-0.05</v>
      </c>
      <c r="AN136" s="313">
        <f>AM136-AL136-AN137</f>
        <v>0</v>
      </c>
      <c r="AO136" s="331">
        <f t="shared" si="59"/>
        <v>0</v>
      </c>
      <c r="AP136" s="303">
        <v>90.3</v>
      </c>
      <c r="AQ136" s="303">
        <v>86.7</v>
      </c>
      <c r="AR136" s="303">
        <f>AQ136-AP136-AR137</f>
        <v>-0.79999999999999716</v>
      </c>
      <c r="AS136" s="447">
        <v>90179.1</v>
      </c>
      <c r="AT136" s="341">
        <v>90179.9</v>
      </c>
      <c r="AU136" s="341">
        <f>AT136-AS136-AU137</f>
        <v>0.29999999998835847</v>
      </c>
      <c r="AV136" s="303"/>
      <c r="AW136" s="303"/>
      <c r="AX136" s="303"/>
      <c r="AY136" s="303"/>
      <c r="AZ136" s="322" t="s">
        <v>686</v>
      </c>
      <c r="BA136" s="461">
        <v>5559.4947697699999</v>
      </c>
      <c r="BB136" s="461">
        <v>-1.18675832</v>
      </c>
      <c r="BC136" s="461">
        <v>2430.0727234999999</v>
      </c>
      <c r="BD136" s="461">
        <v>2459.2581744300001</v>
      </c>
      <c r="BE136" s="461">
        <v>3.1639902599999998</v>
      </c>
      <c r="BF136" s="461">
        <v>3.2076882699999998</v>
      </c>
      <c r="BG136" s="461">
        <v>-0.38720732000000002</v>
      </c>
      <c r="BH136" s="461">
        <v>1.7652428099999999</v>
      </c>
      <c r="BI136" s="461">
        <v>1.77210453</v>
      </c>
      <c r="BJ136" s="461">
        <v>-0.98854940000000002</v>
      </c>
      <c r="BK136" s="461">
        <v>-1.3622898000000001</v>
      </c>
      <c r="BL136" s="461">
        <v>0.81478028000000002</v>
      </c>
    </row>
    <row r="137" spans="1:64" ht="15" customHeight="1" x14ac:dyDescent="0.2">
      <c r="A137" s="328">
        <v>62008015</v>
      </c>
      <c r="B137" s="321" t="s">
        <v>634</v>
      </c>
      <c r="C137" s="321" t="s">
        <v>781</v>
      </c>
      <c r="D137" s="352" t="s">
        <v>811</v>
      </c>
      <c r="E137" s="307" t="s">
        <v>812</v>
      </c>
      <c r="F137" s="307" t="str">
        <f t="shared" si="28"/>
        <v>08/06/20</v>
      </c>
      <c r="G137" s="322" t="s">
        <v>813</v>
      </c>
      <c r="H137" s="322" t="s">
        <v>685</v>
      </c>
      <c r="I137" s="330"/>
      <c r="J137" s="323">
        <v>26.003412000000001</v>
      </c>
      <c r="K137" s="323">
        <v>36.543632000000002</v>
      </c>
      <c r="L137" s="323">
        <v>29.446601999999999</v>
      </c>
      <c r="M137" s="323">
        <v>31.189943</v>
      </c>
      <c r="N137" s="308">
        <v>4250</v>
      </c>
      <c r="O137" s="308">
        <v>30.36</v>
      </c>
      <c r="P137" s="308">
        <v>0.3201</v>
      </c>
      <c r="Q137" s="308">
        <v>1.9560000000000001E-2</v>
      </c>
      <c r="R137" s="309">
        <v>6.2272878</v>
      </c>
      <c r="S137" s="309">
        <f>R137+R136</f>
        <v>7.9925635699999997</v>
      </c>
      <c r="T137" s="338">
        <v>89.8</v>
      </c>
      <c r="U137" s="338">
        <v>87</v>
      </c>
      <c r="V137" s="313">
        <v>2186</v>
      </c>
      <c r="W137" s="313">
        <v>4037</v>
      </c>
      <c r="X137" s="313">
        <f>W137-V137</f>
        <v>1851</v>
      </c>
      <c r="Y137" s="313">
        <f t="shared" si="55"/>
        <v>297.24015646105192</v>
      </c>
      <c r="Z137" s="332">
        <v>2405.56</v>
      </c>
      <c r="AA137" s="313">
        <v>2420.555132</v>
      </c>
      <c r="AB137" s="313">
        <f>AA137-Z137</f>
        <v>14.995132000000012</v>
      </c>
      <c r="AC137" s="331">
        <f t="shared" si="56"/>
        <v>2.4079715731140627</v>
      </c>
      <c r="AD137" s="332">
        <v>-17.64</v>
      </c>
      <c r="AE137" s="313">
        <v>-17.75</v>
      </c>
      <c r="AF137" s="313">
        <f>AE137-AD137</f>
        <v>-0.10999999999999943</v>
      </c>
      <c r="AG137" s="331">
        <f t="shared" si="57"/>
        <v>-1.7664190821564313E-2</v>
      </c>
      <c r="AH137" s="332">
        <v>0</v>
      </c>
      <c r="AI137" s="313">
        <v>0</v>
      </c>
      <c r="AJ137" s="313">
        <f>AI137-AH137</f>
        <v>0</v>
      </c>
      <c r="AK137" s="331">
        <f t="shared" si="58"/>
        <v>0</v>
      </c>
      <c r="AL137" s="332">
        <v>-0.05</v>
      </c>
      <c r="AM137" s="313">
        <v>-0.05</v>
      </c>
      <c r="AN137" s="313">
        <f>AM137-AL137</f>
        <v>0</v>
      </c>
      <c r="AO137" s="331">
        <f t="shared" si="59"/>
        <v>0</v>
      </c>
      <c r="AP137" s="303">
        <v>89.8</v>
      </c>
      <c r="AQ137" s="303">
        <v>87</v>
      </c>
      <c r="AR137" s="303">
        <f>AQ137-AP137</f>
        <v>-2.7999999999999972</v>
      </c>
      <c r="AS137" s="447">
        <v>90179.3</v>
      </c>
      <c r="AT137" s="341">
        <v>90179.8</v>
      </c>
      <c r="AU137" s="341">
        <f>AT137-AS137</f>
        <v>0.5</v>
      </c>
      <c r="AV137" s="303"/>
      <c r="AW137" s="303"/>
      <c r="AX137" s="303"/>
      <c r="AY137" s="303"/>
      <c r="AZ137" s="322" t="s">
        <v>686</v>
      </c>
      <c r="BA137" s="461">
        <v>11801.658646940001</v>
      </c>
      <c r="BB137" s="461">
        <v>-9.4270860600000006</v>
      </c>
      <c r="BC137" s="461">
        <v>1030.87696867</v>
      </c>
      <c r="BD137" s="461">
        <v>1138.17357064</v>
      </c>
      <c r="BE137" s="461">
        <v>6.9205901299999999</v>
      </c>
      <c r="BF137" s="461">
        <v>7.0839210599999998</v>
      </c>
      <c r="BG137" s="461">
        <v>-0.12017429</v>
      </c>
      <c r="BH137" s="461">
        <v>6.2273654000000001</v>
      </c>
      <c r="BI137" s="461">
        <v>6.2348580900000004</v>
      </c>
      <c r="BJ137" s="461">
        <v>-2.2370617899999998</v>
      </c>
      <c r="BK137" s="461">
        <v>-2.3056570999999999</v>
      </c>
      <c r="BL137" s="461">
        <v>0.34888174</v>
      </c>
    </row>
    <row r="138" spans="1:64" ht="15" customHeight="1" x14ac:dyDescent="0.2">
      <c r="A138" s="328">
        <v>62008015</v>
      </c>
      <c r="B138" s="321" t="s">
        <v>635</v>
      </c>
      <c r="C138" s="321" t="s">
        <v>782</v>
      </c>
      <c r="D138" s="352" t="s">
        <v>811</v>
      </c>
      <c r="E138" s="307" t="s">
        <v>812</v>
      </c>
      <c r="F138" s="307" t="str">
        <f t="shared" si="28"/>
        <v>08/06/20</v>
      </c>
      <c r="G138" s="322" t="s">
        <v>813</v>
      </c>
      <c r="H138" s="322" t="s">
        <v>685</v>
      </c>
      <c r="I138" s="330"/>
      <c r="J138" s="324">
        <f>AVERAGE(J136:J137)</f>
        <v>24.523110500000001</v>
      </c>
      <c r="K138" s="324">
        <f>AVERAGE(K136:K137)</f>
        <v>39.326598500000003</v>
      </c>
      <c r="L138" s="324">
        <f>AVERAGE(L136:L137)</f>
        <v>29.436051499999998</v>
      </c>
      <c r="M138" s="324">
        <f>AVERAGE(M136:M137)</f>
        <v>31.773248500000001</v>
      </c>
      <c r="N138" s="310"/>
      <c r="O138" s="308"/>
      <c r="P138" s="326"/>
      <c r="Q138" s="325"/>
      <c r="R138" s="311">
        <f>R137+R136</f>
        <v>7.9925635699999997</v>
      </c>
      <c r="S138" s="311">
        <f>S137</f>
        <v>7.9925635699999997</v>
      </c>
      <c r="T138" s="339">
        <f>T136</f>
        <v>90.3</v>
      </c>
      <c r="U138" s="339">
        <f>U137</f>
        <v>87</v>
      </c>
      <c r="V138" s="314">
        <f>V136</f>
        <v>1822</v>
      </c>
      <c r="W138" s="314">
        <f>W137</f>
        <v>4037</v>
      </c>
      <c r="X138" s="314">
        <f>SUM(X136:X137)</f>
        <v>2395</v>
      </c>
      <c r="Y138" s="314">
        <f t="shared" si="55"/>
        <v>299.65354407559624</v>
      </c>
      <c r="Z138" s="314">
        <f>Z136</f>
        <v>2400.08</v>
      </c>
      <c r="AA138" s="314">
        <f>AA137</f>
        <v>2420.555132</v>
      </c>
      <c r="AB138" s="314">
        <f>SUM(AB136:AB137)</f>
        <v>24.869999999999891</v>
      </c>
      <c r="AC138" s="312">
        <f t="shared" si="56"/>
        <v>3.1116424388977229</v>
      </c>
      <c r="AD138" s="314">
        <f>AD136</f>
        <v>-17.600000000000001</v>
      </c>
      <c r="AE138" s="314">
        <f>AE137</f>
        <v>-17.75</v>
      </c>
      <c r="AF138" s="314">
        <f>SUM(AF136:AF137)</f>
        <v>-0.18999999999999773</v>
      </c>
      <c r="AG138" s="312">
        <f t="shared" si="57"/>
        <v>-2.3772097442322594E-2</v>
      </c>
      <c r="AH138" s="314">
        <f>AH136</f>
        <v>0</v>
      </c>
      <c r="AI138" s="314">
        <f>AI137</f>
        <v>0</v>
      </c>
      <c r="AJ138" s="314">
        <f>SUM(AJ136:AJ137)</f>
        <v>0</v>
      </c>
      <c r="AK138" s="312">
        <f t="shared" si="58"/>
        <v>0</v>
      </c>
      <c r="AL138" s="314">
        <f>AL136</f>
        <v>-0.05</v>
      </c>
      <c r="AM138" s="314">
        <f>AM137</f>
        <v>-0.05</v>
      </c>
      <c r="AN138" s="314">
        <f>SUM(AN136:AN137)</f>
        <v>0</v>
      </c>
      <c r="AO138" s="312">
        <f t="shared" si="59"/>
        <v>0</v>
      </c>
      <c r="AP138" s="305"/>
      <c r="AQ138" s="305"/>
      <c r="AR138" s="305">
        <f>SUM(AR136:AR137)</f>
        <v>-3.5999999999999943</v>
      </c>
      <c r="AS138" s="342">
        <f>AS136</f>
        <v>90179.1</v>
      </c>
      <c r="AT138" s="342">
        <f>AT137</f>
        <v>90179.8</v>
      </c>
      <c r="AU138" s="342">
        <f>SUM(AU136:AU137)</f>
        <v>0.79999999998835847</v>
      </c>
      <c r="AV138" s="305"/>
      <c r="AW138" s="305"/>
      <c r="AX138" s="305"/>
      <c r="AY138" s="305"/>
      <c r="AZ138" s="322" t="s">
        <v>686</v>
      </c>
    </row>
    <row r="139" spans="1:64" ht="15" customHeight="1" x14ac:dyDescent="0.2">
      <c r="A139" s="328">
        <v>62008015</v>
      </c>
      <c r="B139" s="321" t="s">
        <v>797</v>
      </c>
      <c r="C139" s="321" t="s">
        <v>784</v>
      </c>
      <c r="D139" s="352" t="s">
        <v>811</v>
      </c>
      <c r="E139" s="307" t="s">
        <v>812</v>
      </c>
      <c r="F139" s="307" t="str">
        <f t="shared" si="28"/>
        <v>08/06/20</v>
      </c>
      <c r="G139" s="322" t="s">
        <v>813</v>
      </c>
      <c r="H139" s="322" t="s">
        <v>685</v>
      </c>
      <c r="I139" s="330"/>
      <c r="J139" s="323">
        <v>24.557058000000001</v>
      </c>
      <c r="K139" s="323">
        <v>39.909182999999999</v>
      </c>
      <c r="L139" s="323">
        <v>29.426874999999999</v>
      </c>
      <c r="M139" s="323">
        <v>30.494368999999999</v>
      </c>
      <c r="N139" s="308">
        <v>4250</v>
      </c>
      <c r="O139" s="308">
        <v>30.36</v>
      </c>
      <c r="P139" s="308">
        <v>0.3201</v>
      </c>
      <c r="Q139" s="308">
        <v>1.9560000000000001E-2</v>
      </c>
      <c r="R139" s="309">
        <v>10.245149270000001</v>
      </c>
      <c r="S139" s="309">
        <f>R139+R138</f>
        <v>18.23771284</v>
      </c>
      <c r="T139" s="338">
        <v>86.7</v>
      </c>
      <c r="U139" s="338">
        <v>83.3</v>
      </c>
      <c r="V139" s="313">
        <v>4218</v>
      </c>
      <c r="W139" s="313">
        <v>6432</v>
      </c>
      <c r="X139" s="313">
        <f>W139-V139</f>
        <v>2214</v>
      </c>
      <c r="Y139" s="313">
        <f t="shared" si="55"/>
        <v>216.10226865928328</v>
      </c>
      <c r="Z139" s="332">
        <v>2425.64</v>
      </c>
      <c r="AA139" s="313">
        <v>2457.21</v>
      </c>
      <c r="AB139" s="313">
        <f>AA139-Z139</f>
        <v>31.570000000000164</v>
      </c>
      <c r="AC139" s="331">
        <f t="shared" si="56"/>
        <v>3.0814582753268329</v>
      </c>
      <c r="AD139" s="332">
        <v>-17.79</v>
      </c>
      <c r="AE139" s="313">
        <v>-18.010000000000002</v>
      </c>
      <c r="AF139" s="313">
        <f>AE139-AD139</f>
        <v>-0.22000000000000242</v>
      </c>
      <c r="AG139" s="331">
        <f t="shared" si="57"/>
        <v>-2.1473576831546E-2</v>
      </c>
      <c r="AH139" s="332">
        <v>0</v>
      </c>
      <c r="AI139" s="313">
        <v>0</v>
      </c>
      <c r="AJ139" s="313">
        <f>AI139-AH139</f>
        <v>0</v>
      </c>
      <c r="AK139" s="331">
        <f t="shared" si="58"/>
        <v>0</v>
      </c>
      <c r="AL139" s="332">
        <v>-0.05</v>
      </c>
      <c r="AM139" s="313">
        <v>-0.05</v>
      </c>
      <c r="AN139" s="313">
        <f>AM139-AL139</f>
        <v>0</v>
      </c>
      <c r="AO139" s="331">
        <f t="shared" si="59"/>
        <v>0</v>
      </c>
      <c r="AP139" s="303">
        <v>86.7</v>
      </c>
      <c r="AQ139" s="303">
        <v>83.3</v>
      </c>
      <c r="AR139" s="303">
        <f>AQ139-AP139</f>
        <v>-3.4000000000000057</v>
      </c>
      <c r="AS139" s="447">
        <v>90180</v>
      </c>
      <c r="AT139" s="341">
        <v>90181</v>
      </c>
      <c r="AU139" s="341">
        <f>AT139-AS139</f>
        <v>1</v>
      </c>
      <c r="AV139" s="303"/>
      <c r="AW139" s="303"/>
      <c r="AX139" s="303"/>
      <c r="AY139" s="303"/>
      <c r="AZ139" s="322" t="s">
        <v>686</v>
      </c>
      <c r="BA139" s="461">
        <v>1945.53430172</v>
      </c>
      <c r="BB139" s="461">
        <v>-0.75573259999999998</v>
      </c>
      <c r="BC139" s="461">
        <v>1296.84276916</v>
      </c>
      <c r="BD139" s="461">
        <v>1306.7180635699999</v>
      </c>
      <c r="BE139" s="461">
        <v>7.9713715799999996</v>
      </c>
      <c r="BF139" s="461">
        <v>8.0200321799999994</v>
      </c>
      <c r="BG139" s="461">
        <v>-0.11158809</v>
      </c>
      <c r="BH139" s="461">
        <v>10.245235149999999</v>
      </c>
      <c r="BI139" s="461">
        <v>10.256680380000001</v>
      </c>
      <c r="BJ139" s="461">
        <v>-0.49817272000000001</v>
      </c>
      <c r="BK139" s="461">
        <v>-0.60673820000000001</v>
      </c>
      <c r="BL139" s="461">
        <v>0.28276653000000002</v>
      </c>
    </row>
    <row r="140" spans="1:64" ht="15" customHeight="1" x14ac:dyDescent="0.2">
      <c r="A140" s="328">
        <v>62008015</v>
      </c>
      <c r="B140" s="321" t="s">
        <v>640</v>
      </c>
      <c r="C140" s="321" t="s">
        <v>785</v>
      </c>
      <c r="D140" s="352" t="s">
        <v>811</v>
      </c>
      <c r="E140" s="307" t="s">
        <v>812</v>
      </c>
      <c r="F140" s="307" t="str">
        <f t="shared" si="28"/>
        <v>08/06/20</v>
      </c>
      <c r="G140" s="322" t="s">
        <v>813</v>
      </c>
      <c r="H140" s="322" t="s">
        <v>685</v>
      </c>
      <c r="I140" s="330"/>
      <c r="J140" s="323">
        <v>21.684912000000001</v>
      </c>
      <c r="K140" s="323">
        <v>46.510927000000002</v>
      </c>
      <c r="L140" s="323">
        <v>29.420587999999999</v>
      </c>
      <c r="M140" s="323">
        <v>30.539313</v>
      </c>
      <c r="N140" s="308">
        <v>4250</v>
      </c>
      <c r="O140" s="308">
        <v>30.36</v>
      </c>
      <c r="P140" s="308">
        <v>0.3201</v>
      </c>
      <c r="Q140" s="308">
        <v>1.9560000000000001E-2</v>
      </c>
      <c r="R140" s="309">
        <v>3.5821171199999999</v>
      </c>
      <c r="S140" s="309">
        <f>R140+R139</f>
        <v>13.82726639</v>
      </c>
      <c r="T140" s="338">
        <v>83.3</v>
      </c>
      <c r="U140" s="338">
        <v>82.2</v>
      </c>
      <c r="V140" s="313">
        <v>6432</v>
      </c>
      <c r="W140" s="313">
        <v>7152</v>
      </c>
      <c r="X140" s="313">
        <f>W140-V140</f>
        <v>720</v>
      </c>
      <c r="Y140" s="313">
        <f t="shared" si="55"/>
        <v>200.99845311590482</v>
      </c>
      <c r="Z140" s="332">
        <v>2457.2600000000002</v>
      </c>
      <c r="AA140" s="313">
        <v>2478.33</v>
      </c>
      <c r="AB140" s="313">
        <f>AA140-Z140</f>
        <v>21.069999999999709</v>
      </c>
      <c r="AC140" s="331">
        <f t="shared" si="56"/>
        <v>5.8819963988223005</v>
      </c>
      <c r="AD140" s="332">
        <v>-18.010000000000002</v>
      </c>
      <c r="AE140" s="313">
        <v>-18.149999999999999</v>
      </c>
      <c r="AF140" s="313">
        <f>AE140-AD140</f>
        <v>-0.13999999999999702</v>
      </c>
      <c r="AG140" s="331">
        <f t="shared" si="57"/>
        <v>-3.9083032550313992E-2</v>
      </c>
      <c r="AH140" s="332">
        <v>0</v>
      </c>
      <c r="AI140" s="313">
        <v>0</v>
      </c>
      <c r="AJ140" s="313">
        <f>AI140-AH140</f>
        <v>0</v>
      </c>
      <c r="AK140" s="331">
        <f t="shared" si="58"/>
        <v>0</v>
      </c>
      <c r="AL140" s="332">
        <v>-0.05</v>
      </c>
      <c r="AM140" s="313">
        <v>-0.05</v>
      </c>
      <c r="AN140" s="313">
        <f>AM140-AL140</f>
        <v>0</v>
      </c>
      <c r="AO140" s="331">
        <f t="shared" si="59"/>
        <v>0</v>
      </c>
      <c r="AP140" s="303">
        <v>83.3</v>
      </c>
      <c r="AQ140" s="303">
        <v>82.2</v>
      </c>
      <c r="AR140" s="303">
        <f>AQ140-AP140</f>
        <v>-1.0999999999999943</v>
      </c>
      <c r="AS140" s="447">
        <v>90181</v>
      </c>
      <c r="AT140" s="341">
        <v>90181.7</v>
      </c>
      <c r="AU140" s="341">
        <f>AT140-AS140</f>
        <v>0.69999999999708962</v>
      </c>
      <c r="AV140" s="303"/>
      <c r="AW140" s="303"/>
      <c r="AX140" s="303"/>
      <c r="AY140" s="303"/>
      <c r="AZ140" s="322" t="s">
        <v>686</v>
      </c>
      <c r="BA140" s="461">
        <v>2417.5184851099998</v>
      </c>
      <c r="BB140" s="461">
        <v>-2.1587341200000001</v>
      </c>
      <c r="BC140" s="461">
        <v>2004.4969259</v>
      </c>
      <c r="BD140" s="461">
        <v>2048.7234174300002</v>
      </c>
      <c r="BE140" s="461">
        <v>3.2107871000000001</v>
      </c>
      <c r="BF140" s="461">
        <v>3.2583675699999999</v>
      </c>
      <c r="BG140" s="461">
        <v>-0.25127981999999999</v>
      </c>
      <c r="BH140" s="461">
        <v>3.58195679</v>
      </c>
      <c r="BI140" s="461">
        <v>3.5909802000000002</v>
      </c>
      <c r="BJ140" s="461">
        <v>-1.2268908999999999</v>
      </c>
      <c r="BK140" s="461">
        <v>-1.46025498</v>
      </c>
      <c r="BL140" s="461">
        <v>0.59037771000000006</v>
      </c>
    </row>
    <row r="141" spans="1:64" ht="15" customHeight="1" x14ac:dyDescent="0.2">
      <c r="A141" s="328">
        <v>62008015</v>
      </c>
      <c r="B141" s="321" t="s">
        <v>220</v>
      </c>
      <c r="C141" s="321" t="s">
        <v>786</v>
      </c>
      <c r="D141" s="352" t="s">
        <v>811</v>
      </c>
      <c r="E141" s="307" t="s">
        <v>812</v>
      </c>
      <c r="F141" s="307" t="str">
        <f t="shared" si="28"/>
        <v>08/06/20</v>
      </c>
      <c r="G141" s="322" t="s">
        <v>813</v>
      </c>
      <c r="H141" s="322" t="s">
        <v>685</v>
      </c>
      <c r="I141" s="330"/>
      <c r="J141" s="323">
        <v>18.382204999999999</v>
      </c>
      <c r="K141" s="323">
        <v>57.670278000000003</v>
      </c>
      <c r="L141" s="323">
        <v>29.418952000000001</v>
      </c>
      <c r="M141" s="323">
        <v>28.480672999999999</v>
      </c>
      <c r="N141" s="308">
        <v>4250</v>
      </c>
      <c r="O141" s="308">
        <v>30.36</v>
      </c>
      <c r="P141" s="308">
        <v>0.3201</v>
      </c>
      <c r="Q141" s="308">
        <v>1.9560000000000001E-2</v>
      </c>
      <c r="R141" s="309">
        <v>3.8436736900000001</v>
      </c>
      <c r="S141" s="309">
        <f>R141+R140</f>
        <v>7.4257908100000005</v>
      </c>
      <c r="T141" s="338">
        <v>82.2</v>
      </c>
      <c r="U141" s="338">
        <v>81.2</v>
      </c>
      <c r="V141" s="313">
        <v>7152</v>
      </c>
      <c r="W141" s="313">
        <v>7788</v>
      </c>
      <c r="X141" s="313">
        <f>W141-V141</f>
        <v>636</v>
      </c>
      <c r="Y141" s="313">
        <f t="shared" si="55"/>
        <v>165.46669964587966</v>
      </c>
      <c r="Z141" s="332">
        <v>2478.34</v>
      </c>
      <c r="AA141" s="313">
        <v>2514.52</v>
      </c>
      <c r="AB141" s="313">
        <f>AA141-Z141</f>
        <v>36.179999999999836</v>
      </c>
      <c r="AC141" s="331">
        <f t="shared" si="56"/>
        <v>9.4128698006099043</v>
      </c>
      <c r="AD141" s="332">
        <v>-18.149999999999999</v>
      </c>
      <c r="AE141" s="313">
        <v>-18.39</v>
      </c>
      <c r="AF141" s="313">
        <f>AE141-AD141</f>
        <v>-0.24000000000000199</v>
      </c>
      <c r="AG141" s="331">
        <f t="shared" si="57"/>
        <v>-6.2440264017313597E-2</v>
      </c>
      <c r="AH141" s="332">
        <v>0</v>
      </c>
      <c r="AI141" s="313">
        <v>0</v>
      </c>
      <c r="AJ141" s="313">
        <f>AI141-AH141</f>
        <v>0</v>
      </c>
      <c r="AK141" s="331">
        <f t="shared" si="58"/>
        <v>0</v>
      </c>
      <c r="AL141" s="332">
        <v>-0.05</v>
      </c>
      <c r="AM141" s="313">
        <v>-0.05</v>
      </c>
      <c r="AN141" s="313">
        <f>AM141-AL141</f>
        <v>0</v>
      </c>
      <c r="AO141" s="331">
        <f t="shared" si="59"/>
        <v>0</v>
      </c>
      <c r="AP141" s="303">
        <v>82.2</v>
      </c>
      <c r="AQ141" s="303">
        <v>81.2</v>
      </c>
      <c r="AR141" s="303">
        <f>AQ141-AP141</f>
        <v>-1</v>
      </c>
      <c r="AS141" s="447">
        <v>90181.7</v>
      </c>
      <c r="AT141" s="341">
        <v>90182.9</v>
      </c>
      <c r="AU141" s="341">
        <f>AT141-AS141</f>
        <v>1.1999999999970896</v>
      </c>
      <c r="AV141" s="303"/>
      <c r="AW141" s="303"/>
      <c r="AX141" s="303"/>
      <c r="AY141" s="303"/>
      <c r="AZ141" s="322" t="s">
        <v>686</v>
      </c>
      <c r="BA141" s="461">
        <v>1483.93242358</v>
      </c>
      <c r="BB141" s="461">
        <v>-2.0703527199999998</v>
      </c>
      <c r="BC141" s="461">
        <v>3345.48725268</v>
      </c>
      <c r="BD141" s="461">
        <v>3416.2149518800002</v>
      </c>
      <c r="BE141" s="461">
        <v>2.95616791</v>
      </c>
      <c r="BF141" s="461">
        <v>3.0187012900000001</v>
      </c>
      <c r="BG141" s="461">
        <v>-0.42231808999999998</v>
      </c>
      <c r="BH141" s="461">
        <v>3.8435302299999998</v>
      </c>
      <c r="BI141" s="461">
        <v>3.8598309899999999</v>
      </c>
      <c r="BJ141" s="461">
        <v>-1.68410137</v>
      </c>
      <c r="BK141" s="461">
        <v>-2.0715327499999998</v>
      </c>
      <c r="BL141" s="461">
        <v>0.71451399999999998</v>
      </c>
    </row>
    <row r="142" spans="1:64" ht="15" customHeight="1" x14ac:dyDescent="0.2">
      <c r="A142" s="328">
        <v>62008015</v>
      </c>
      <c r="B142" s="321" t="s">
        <v>641</v>
      </c>
      <c r="C142" s="321" t="s">
        <v>800</v>
      </c>
      <c r="D142" s="352" t="s">
        <v>811</v>
      </c>
      <c r="E142" s="307" t="s">
        <v>812</v>
      </c>
      <c r="F142" s="307" t="str">
        <f t="shared" si="28"/>
        <v>08/06/20</v>
      </c>
      <c r="G142" s="322" t="s">
        <v>813</v>
      </c>
      <c r="H142" s="322" t="s">
        <v>685</v>
      </c>
      <c r="I142" s="330"/>
      <c r="J142" s="324">
        <f>AVERAGE(J140:J141)</f>
        <v>20.033558499999998</v>
      </c>
      <c r="K142" s="324">
        <f>AVERAGE(K140:K141)</f>
        <v>52.090602500000003</v>
      </c>
      <c r="L142" s="324">
        <f>AVERAGE(L140:L141)</f>
        <v>29.41977</v>
      </c>
      <c r="M142" s="324">
        <f>AVERAGE(M140:M141)</f>
        <v>29.509993000000001</v>
      </c>
      <c r="N142" s="310"/>
      <c r="O142" s="308"/>
      <c r="P142" s="326"/>
      <c r="Q142" s="325"/>
      <c r="R142" s="311">
        <f>R141+R140</f>
        <v>7.4257908100000005</v>
      </c>
      <c r="S142" s="311">
        <f>S141</f>
        <v>7.4257908100000005</v>
      </c>
      <c r="T142" s="339">
        <f>T140</f>
        <v>83.3</v>
      </c>
      <c r="U142" s="339">
        <f>U141</f>
        <v>81.2</v>
      </c>
      <c r="V142" s="314">
        <f>V140</f>
        <v>6432</v>
      </c>
      <c r="W142" s="314">
        <f>W141</f>
        <v>7788</v>
      </c>
      <c r="X142" s="314">
        <f>SUM(X140:X141)</f>
        <v>1356</v>
      </c>
      <c r="Y142" s="314">
        <f t="shared" si="55"/>
        <v>182.60681383239773</v>
      </c>
      <c r="Z142" s="314">
        <f>Z140</f>
        <v>2457.2600000000002</v>
      </c>
      <c r="AA142" s="314">
        <f>AA141</f>
        <v>2514.52</v>
      </c>
      <c r="AB142" s="314">
        <f>SUM(AB140:AB141)</f>
        <v>57.249999999999545</v>
      </c>
      <c r="AC142" s="312">
        <f t="shared" si="56"/>
        <v>7.709616586950359</v>
      </c>
      <c r="AD142" s="314">
        <f>AD140</f>
        <v>-18.010000000000002</v>
      </c>
      <c r="AE142" s="314">
        <f>AE141</f>
        <v>-18.39</v>
      </c>
      <c r="AF142" s="314">
        <f>SUM(AF140:AF141)</f>
        <v>-0.37999999999999901</v>
      </c>
      <c r="AG142" s="312">
        <f t="shared" si="57"/>
        <v>-5.1173000926483005E-2</v>
      </c>
      <c r="AH142" s="314">
        <f>AH140</f>
        <v>0</v>
      </c>
      <c r="AI142" s="314">
        <v>0</v>
      </c>
      <c r="AJ142" s="314">
        <f>SUM(AJ140:AJ141)</f>
        <v>0</v>
      </c>
      <c r="AK142" s="312">
        <f t="shared" si="58"/>
        <v>0</v>
      </c>
      <c r="AL142" s="314">
        <f>AL140</f>
        <v>-0.05</v>
      </c>
      <c r="AM142" s="314">
        <f>AM141</f>
        <v>-0.05</v>
      </c>
      <c r="AN142" s="314">
        <f>SUM(AN140:AN141)</f>
        <v>0</v>
      </c>
      <c r="AO142" s="312">
        <f t="shared" si="59"/>
        <v>0</v>
      </c>
      <c r="AP142" s="305"/>
      <c r="AQ142" s="305"/>
      <c r="AR142" s="305">
        <f>SUM(AR140:AR141)</f>
        <v>-2.0999999999999943</v>
      </c>
      <c r="AS142" s="342">
        <f>AS140</f>
        <v>90181</v>
      </c>
      <c r="AT142" s="342">
        <f>AT141</f>
        <v>90182.9</v>
      </c>
      <c r="AU142" s="342">
        <f>SUM(AU140:AU141)</f>
        <v>1.8999999999941792</v>
      </c>
      <c r="AV142" s="305"/>
      <c r="AW142" s="305"/>
      <c r="AX142" s="305"/>
      <c r="AY142" s="305"/>
      <c r="AZ142" s="322" t="s">
        <v>686</v>
      </c>
    </row>
    <row r="143" spans="1:64" ht="15" customHeight="1" x14ac:dyDescent="0.2">
      <c r="A143" s="328">
        <v>62008015</v>
      </c>
      <c r="B143" s="321" t="s">
        <v>642</v>
      </c>
      <c r="C143" s="321" t="s">
        <v>801</v>
      </c>
      <c r="D143" s="352" t="s">
        <v>811</v>
      </c>
      <c r="E143" s="307" t="s">
        <v>812</v>
      </c>
      <c r="F143" s="307" t="str">
        <f t="shared" ref="F143:F205" si="60">LEFT(E143,8)</f>
        <v>08/06/20</v>
      </c>
      <c r="G143" s="322" t="s">
        <v>813</v>
      </c>
      <c r="H143" s="322" t="s">
        <v>685</v>
      </c>
      <c r="I143" s="330"/>
      <c r="J143" s="323">
        <v>21.816890000000001</v>
      </c>
      <c r="K143" s="323">
        <v>48.552112000000001</v>
      </c>
      <c r="L143" s="323">
        <v>29.420121000000002</v>
      </c>
      <c r="M143" s="323">
        <v>27.951353999999998</v>
      </c>
      <c r="N143" s="308">
        <v>4250</v>
      </c>
      <c r="O143" s="308">
        <v>30.36</v>
      </c>
      <c r="P143" s="308">
        <v>0.3201</v>
      </c>
      <c r="Q143" s="308">
        <v>1.9560000000000001E-2</v>
      </c>
      <c r="R143" s="309">
        <v>3.5817816900000001</v>
      </c>
      <c r="S143" s="309">
        <f>R143+R142</f>
        <v>11.0075725</v>
      </c>
      <c r="T143" s="338">
        <v>81.2</v>
      </c>
      <c r="U143" s="338">
        <v>80</v>
      </c>
      <c r="V143" s="313">
        <v>7789</v>
      </c>
      <c r="W143" s="313">
        <v>8518</v>
      </c>
      <c r="X143" s="313">
        <f>W143-V143</f>
        <v>729</v>
      </c>
      <c r="Y143" s="313">
        <f t="shared" si="55"/>
        <v>203.5299923597521</v>
      </c>
      <c r="Z143" s="332">
        <v>2514.61</v>
      </c>
      <c r="AA143" s="313">
        <v>2535.6735840000001</v>
      </c>
      <c r="AB143" s="313">
        <f>AA143-Z143</f>
        <v>21.063583999999992</v>
      </c>
      <c r="AC143" s="331">
        <f t="shared" si="56"/>
        <v>5.8807559541687171</v>
      </c>
      <c r="AD143" s="332">
        <v>-18.39</v>
      </c>
      <c r="AE143" s="313">
        <v>-18.52</v>
      </c>
      <c r="AF143" s="313">
        <f>AE143-AD143</f>
        <v>-0.12999999999999901</v>
      </c>
      <c r="AG143" s="331">
        <f t="shared" si="57"/>
        <v>-3.6294786017513812E-2</v>
      </c>
      <c r="AH143" s="332">
        <v>0</v>
      </c>
      <c r="AI143" s="313">
        <v>0</v>
      </c>
      <c r="AJ143" s="313">
        <f>AI143-AH143</f>
        <v>0</v>
      </c>
      <c r="AK143" s="331">
        <f t="shared" si="58"/>
        <v>0</v>
      </c>
      <c r="AL143" s="332">
        <v>-0.05</v>
      </c>
      <c r="AM143" s="313">
        <v>-0.05</v>
      </c>
      <c r="AN143" s="313">
        <f>AM143-AL143</f>
        <v>0</v>
      </c>
      <c r="AO143" s="331">
        <f t="shared" si="59"/>
        <v>0</v>
      </c>
      <c r="AP143" s="303">
        <v>81.2</v>
      </c>
      <c r="AQ143" s="303">
        <v>80</v>
      </c>
      <c r="AR143" s="303">
        <f>AQ143-AP143</f>
        <v>-1.2000000000000028</v>
      </c>
      <c r="AS143" s="447">
        <v>90182.9</v>
      </c>
      <c r="AT143" s="341">
        <v>90183.6</v>
      </c>
      <c r="AU143" s="341">
        <f>AT143-AS143</f>
        <v>0.70000000001164153</v>
      </c>
      <c r="AV143" s="303"/>
      <c r="AW143" s="303"/>
      <c r="AX143" s="303"/>
      <c r="AY143" s="303"/>
      <c r="AZ143" s="322" t="s">
        <v>686</v>
      </c>
      <c r="BA143" s="461">
        <v>2417.1397983699999</v>
      </c>
      <c r="BB143" s="461">
        <v>-2.1637136799999999</v>
      </c>
      <c r="BC143" s="461">
        <v>2004.5543473</v>
      </c>
      <c r="BD143" s="461">
        <v>2048.8863821700002</v>
      </c>
      <c r="BE143" s="461">
        <v>3.21001666</v>
      </c>
      <c r="BF143" s="461">
        <v>3.2585761</v>
      </c>
      <c r="BG143" s="461">
        <v>-0.25769029999999998</v>
      </c>
      <c r="BH143" s="461">
        <v>3.5817271100000001</v>
      </c>
      <c r="BI143" s="461">
        <v>3.5909807200000001</v>
      </c>
      <c r="BJ143" s="461">
        <v>-1.2511587200000001</v>
      </c>
      <c r="BK143" s="461">
        <v>-1.4902042</v>
      </c>
      <c r="BL143" s="461">
        <v>0.59040901999999995</v>
      </c>
    </row>
    <row r="144" spans="1:64" ht="15" customHeight="1" x14ac:dyDescent="0.2">
      <c r="A144" s="328">
        <v>62008015</v>
      </c>
      <c r="B144" s="321" t="s">
        <v>643</v>
      </c>
      <c r="C144" s="321" t="s">
        <v>802</v>
      </c>
      <c r="D144" s="352" t="s">
        <v>811</v>
      </c>
      <c r="E144" s="307" t="s">
        <v>812</v>
      </c>
      <c r="F144" s="307" t="str">
        <f t="shared" si="60"/>
        <v>08/06/20</v>
      </c>
      <c r="G144" s="322" t="s">
        <v>813</v>
      </c>
      <c r="H144" s="322" t="s">
        <v>685</v>
      </c>
      <c r="I144" s="330"/>
      <c r="J144" s="323">
        <v>21.456793999999999</v>
      </c>
      <c r="K144" s="323">
        <v>49.001741000000003</v>
      </c>
      <c r="L144" s="323">
        <v>29.418944</v>
      </c>
      <c r="M144" s="323">
        <v>28.501902999999999</v>
      </c>
      <c r="N144" s="308">
        <v>4250</v>
      </c>
      <c r="O144" s="308">
        <v>30.36</v>
      </c>
      <c r="P144" s="308">
        <v>0.3201</v>
      </c>
      <c r="Q144" s="308">
        <v>1.9560000000000001E-2</v>
      </c>
      <c r="R144" s="309">
        <v>3.8438287500000001</v>
      </c>
      <c r="S144" s="309">
        <f>R144+R143</f>
        <v>7.4256104399999998</v>
      </c>
      <c r="T144" s="338">
        <v>80</v>
      </c>
      <c r="U144" s="338">
        <v>79</v>
      </c>
      <c r="V144" s="313">
        <v>8518</v>
      </c>
      <c r="W144" s="313">
        <v>9155</v>
      </c>
      <c r="X144" s="313">
        <f>W144-V144</f>
        <v>637</v>
      </c>
      <c r="Y144" s="313">
        <f t="shared" si="55"/>
        <v>165.72018199301934</v>
      </c>
      <c r="Z144" s="332">
        <v>2535.6799999999998</v>
      </c>
      <c r="AA144" s="313">
        <v>2571.84</v>
      </c>
      <c r="AB144" s="313">
        <f>AA144-Z144</f>
        <v>36.160000000000309</v>
      </c>
      <c r="AC144" s="331">
        <f t="shared" si="56"/>
        <v>9.4072869401375669</v>
      </c>
      <c r="AD144" s="332">
        <v>-18.52</v>
      </c>
      <c r="AE144" s="313">
        <v>-18.73</v>
      </c>
      <c r="AF144" s="313">
        <f>AE144-AD144</f>
        <v>-0.21000000000000085</v>
      </c>
      <c r="AG144" s="331">
        <f t="shared" si="57"/>
        <v>-5.4633027030665936E-2</v>
      </c>
      <c r="AH144" s="332">
        <v>0</v>
      </c>
      <c r="AI144" s="313">
        <v>0</v>
      </c>
      <c r="AJ144" s="313">
        <f>AI144-AH144</f>
        <v>0</v>
      </c>
      <c r="AK144" s="331">
        <f t="shared" si="58"/>
        <v>0</v>
      </c>
      <c r="AL144" s="332">
        <v>-0.05</v>
      </c>
      <c r="AM144" s="313">
        <v>-0.05</v>
      </c>
      <c r="AN144" s="313">
        <f>AM144-AL144</f>
        <v>0</v>
      </c>
      <c r="AO144" s="331">
        <f t="shared" si="59"/>
        <v>0</v>
      </c>
      <c r="AP144" s="303">
        <v>80</v>
      </c>
      <c r="AQ144" s="303">
        <v>79</v>
      </c>
      <c r="AR144" s="303">
        <f>AQ144-AP144</f>
        <v>-1</v>
      </c>
      <c r="AS144" s="447">
        <v>90183.6</v>
      </c>
      <c r="AT144" s="341">
        <v>90184.8</v>
      </c>
      <c r="AU144" s="341">
        <f>AT144-AS144</f>
        <v>1.1999999999970896</v>
      </c>
      <c r="AV144" s="303"/>
      <c r="AW144" s="303"/>
      <c r="AX144" s="303"/>
      <c r="AY144" s="303"/>
      <c r="AZ144" s="322" t="s">
        <v>686</v>
      </c>
      <c r="BA144" s="461">
        <v>1487.65304384</v>
      </c>
      <c r="BB144" s="461">
        <v>-2.0581876100000001</v>
      </c>
      <c r="BC144" s="461">
        <v>3346.1546903899998</v>
      </c>
      <c r="BD144" s="461">
        <v>3416.4720957700001</v>
      </c>
      <c r="BE144" s="461">
        <v>2.9558446599999999</v>
      </c>
      <c r="BF144" s="461">
        <v>3.0190567399999999</v>
      </c>
      <c r="BG144" s="461">
        <v>-0.41831625</v>
      </c>
      <c r="BH144" s="461">
        <v>3.8436856000000001</v>
      </c>
      <c r="BI144" s="461">
        <v>3.8598319000000001</v>
      </c>
      <c r="BJ144" s="461">
        <v>-1.71128316</v>
      </c>
      <c r="BK144" s="461">
        <v>-2.0937690899999999</v>
      </c>
      <c r="BL144" s="461">
        <v>0.71450438000000005</v>
      </c>
    </row>
    <row r="145" spans="1:70" ht="15" customHeight="1" x14ac:dyDescent="0.2">
      <c r="A145" s="328">
        <v>62008015</v>
      </c>
      <c r="B145" s="321" t="s">
        <v>644</v>
      </c>
      <c r="C145" s="321" t="s">
        <v>803</v>
      </c>
      <c r="D145" s="352" t="s">
        <v>811</v>
      </c>
      <c r="E145" s="307" t="s">
        <v>812</v>
      </c>
      <c r="F145" s="307" t="str">
        <f t="shared" si="60"/>
        <v>08/06/20</v>
      </c>
      <c r="G145" s="322" t="s">
        <v>813</v>
      </c>
      <c r="H145" s="322" t="s">
        <v>685</v>
      </c>
      <c r="I145" s="330"/>
      <c r="J145" s="324">
        <f>AVERAGE(J143:J144)</f>
        <v>21.636842000000001</v>
      </c>
      <c r="K145" s="324">
        <f>AVERAGE(K143:K144)</f>
        <v>48.776926500000002</v>
      </c>
      <c r="L145" s="324">
        <f>AVERAGE(L143:L144)</f>
        <v>29.419532500000003</v>
      </c>
      <c r="M145" s="324">
        <f>AVERAGE(M143:M144)</f>
        <v>28.226628499999997</v>
      </c>
      <c r="N145" s="310"/>
      <c r="O145" s="308"/>
      <c r="P145" s="326"/>
      <c r="Q145" s="325"/>
      <c r="R145" s="311">
        <f>R144+R143</f>
        <v>7.4256104399999998</v>
      </c>
      <c r="S145" s="311">
        <f>S144</f>
        <v>7.4256104399999998</v>
      </c>
      <c r="T145" s="339">
        <f>T143</f>
        <v>81.2</v>
      </c>
      <c r="U145" s="339">
        <f>U144</f>
        <v>79</v>
      </c>
      <c r="V145" s="314">
        <f>V143</f>
        <v>7789</v>
      </c>
      <c r="W145" s="314">
        <f>W144</f>
        <v>9155</v>
      </c>
      <c r="X145" s="314">
        <f>SUM(X143:X144)</f>
        <v>1366</v>
      </c>
      <c r="Y145" s="314">
        <f t="shared" si="55"/>
        <v>183.95794002896818</v>
      </c>
      <c r="Z145" s="314">
        <f>Z143</f>
        <v>2514.61</v>
      </c>
      <c r="AA145" s="314">
        <f>AA144</f>
        <v>2571.84</v>
      </c>
      <c r="AB145" s="314">
        <f>SUM(AB143:AB144)</f>
        <v>57.223584000000301</v>
      </c>
      <c r="AC145" s="312">
        <f t="shared" si="56"/>
        <v>7.7062464375656505</v>
      </c>
      <c r="AD145" s="314">
        <f>AD143</f>
        <v>-18.39</v>
      </c>
      <c r="AE145" s="314">
        <f>AE144</f>
        <v>-18.73</v>
      </c>
      <c r="AF145" s="314">
        <f>SUM(AF143:AF144)</f>
        <v>-0.33999999999999986</v>
      </c>
      <c r="AG145" s="312">
        <f t="shared" si="57"/>
        <v>-4.5787481412773903E-2</v>
      </c>
      <c r="AH145" s="314">
        <f>AH143</f>
        <v>0</v>
      </c>
      <c r="AI145" s="314">
        <f>AI144</f>
        <v>0</v>
      </c>
      <c r="AJ145" s="314">
        <f>SUM(AJ143:AJ144)</f>
        <v>0</v>
      </c>
      <c r="AK145" s="312">
        <f t="shared" si="58"/>
        <v>0</v>
      </c>
      <c r="AL145" s="314">
        <f>AL143</f>
        <v>-0.05</v>
      </c>
      <c r="AM145" s="314">
        <f>AM144</f>
        <v>-0.05</v>
      </c>
      <c r="AN145" s="314">
        <f>SUM(AN143:AN144)</f>
        <v>0</v>
      </c>
      <c r="AO145" s="312">
        <f t="shared" si="59"/>
        <v>0</v>
      </c>
      <c r="AP145" s="305"/>
      <c r="AQ145" s="305"/>
      <c r="AR145" s="305">
        <f>SUM(AR143:AR144)</f>
        <v>-2.2000000000000028</v>
      </c>
      <c r="AS145" s="342">
        <f>AS143</f>
        <v>90182.9</v>
      </c>
      <c r="AT145" s="342">
        <f>AT144</f>
        <v>90184.8</v>
      </c>
      <c r="AU145" s="342">
        <f>SUM(AU143:AU144)</f>
        <v>1.9000000000087311</v>
      </c>
      <c r="AV145" s="305"/>
      <c r="AW145" s="305"/>
      <c r="AX145" s="305"/>
      <c r="AY145" s="305"/>
      <c r="AZ145" s="322" t="s">
        <v>686</v>
      </c>
    </row>
    <row r="146" spans="1:70" ht="15" customHeight="1" x14ac:dyDescent="0.2">
      <c r="A146" s="328">
        <v>62008016</v>
      </c>
      <c r="B146" s="321" t="s">
        <v>798</v>
      </c>
      <c r="C146" s="321" t="s">
        <v>773</v>
      </c>
      <c r="D146" s="352" t="s">
        <v>814</v>
      </c>
      <c r="E146" s="307" t="s">
        <v>815</v>
      </c>
      <c r="F146" s="307" t="str">
        <f t="shared" si="60"/>
        <v>08/06/20</v>
      </c>
      <c r="G146" s="322" t="s">
        <v>816</v>
      </c>
      <c r="H146" s="322" t="s">
        <v>685</v>
      </c>
      <c r="I146" s="330"/>
      <c r="J146" s="323">
        <v>90.583926000000005</v>
      </c>
      <c r="K146" s="323">
        <v>115.79433</v>
      </c>
      <c r="L146" s="323">
        <v>99.775718999999995</v>
      </c>
      <c r="M146" s="323">
        <v>108.567784</v>
      </c>
      <c r="N146" s="308">
        <v>4250</v>
      </c>
      <c r="O146" s="308">
        <v>30.36</v>
      </c>
      <c r="P146" s="308">
        <v>0.3201</v>
      </c>
      <c r="Q146" s="308">
        <v>1.9560000000000001E-2</v>
      </c>
      <c r="R146" s="309">
        <v>166.46545370999999</v>
      </c>
      <c r="S146" s="309">
        <f>R146+R145</f>
        <v>173.89106414999998</v>
      </c>
      <c r="T146" s="338">
        <v>79</v>
      </c>
      <c r="U146" s="338">
        <v>0.2</v>
      </c>
      <c r="V146" s="313">
        <v>9160</v>
      </c>
      <c r="W146" s="313">
        <v>55700</v>
      </c>
      <c r="X146" s="313">
        <f>W146-V146</f>
        <v>46540</v>
      </c>
      <c r="Y146" s="313">
        <f t="shared" si="55"/>
        <v>279.57752772582762</v>
      </c>
      <c r="Z146" s="332">
        <v>2576.083545</v>
      </c>
      <c r="AA146" s="313">
        <v>2950.16</v>
      </c>
      <c r="AB146" s="313">
        <f>AA146-Z146</f>
        <v>374.0764549999999</v>
      </c>
      <c r="AC146" s="331">
        <f t="shared" si="56"/>
        <v>2.2471716903597287</v>
      </c>
      <c r="AD146" s="332">
        <v>-17.78</v>
      </c>
      <c r="AE146" s="313">
        <v>-19.52</v>
      </c>
      <c r="AF146" s="313">
        <f>AE146-AD146</f>
        <v>-1.7399999999999984</v>
      </c>
      <c r="AG146" s="331">
        <f t="shared" si="57"/>
        <v>-1.0452619214502357E-2</v>
      </c>
      <c r="AH146" s="332">
        <v>0</v>
      </c>
      <c r="AI146" s="313">
        <v>0</v>
      </c>
      <c r="AJ146" s="313">
        <f>AI146-AH146</f>
        <v>0</v>
      </c>
      <c r="AK146" s="331">
        <f t="shared" si="58"/>
        <v>0</v>
      </c>
      <c r="AL146" s="332">
        <v>-0.05</v>
      </c>
      <c r="AM146" s="313">
        <v>-0.05</v>
      </c>
      <c r="AN146" s="313">
        <f>AM146-AL146</f>
        <v>0</v>
      </c>
      <c r="AO146" s="331">
        <f t="shared" si="59"/>
        <v>0</v>
      </c>
      <c r="AP146" s="303">
        <v>79</v>
      </c>
      <c r="AQ146" s="303">
        <v>0.2</v>
      </c>
      <c r="AR146" s="303">
        <f>AQ146-AP146</f>
        <v>-78.8</v>
      </c>
      <c r="AS146" s="447">
        <v>90185.600000000006</v>
      </c>
      <c r="AT146" s="341">
        <v>90198.399999999994</v>
      </c>
      <c r="AU146" s="341">
        <f>AT146-AS146</f>
        <v>12.799999999988358</v>
      </c>
      <c r="AV146" s="303"/>
      <c r="AW146" s="303"/>
      <c r="AX146" s="303"/>
      <c r="AY146" s="303"/>
      <c r="AZ146" s="322" t="s">
        <v>686</v>
      </c>
      <c r="BA146" s="461">
        <v>14.46331863</v>
      </c>
      <c r="BB146" s="461">
        <v>73.861540719999994</v>
      </c>
      <c r="BC146" s="461">
        <v>1010.3998211000001</v>
      </c>
      <c r="BD146" s="461">
        <v>581.15200000000004</v>
      </c>
      <c r="BE146" s="461">
        <v>159.26335682000001</v>
      </c>
      <c r="BF146" s="461">
        <v>161.19135435000001</v>
      </c>
      <c r="BG146" s="461">
        <v>-0.62456964999999998</v>
      </c>
      <c r="BH146" s="461">
        <v>166.46688674000001</v>
      </c>
      <c r="BI146" s="461">
        <v>167.51312286999999</v>
      </c>
      <c r="BJ146" s="461">
        <v>-0.57844143999999997</v>
      </c>
      <c r="BK146" s="461">
        <v>-1.19609239</v>
      </c>
      <c r="BL146" s="461">
        <v>5.1247899999999997E-3</v>
      </c>
    </row>
    <row r="147" spans="1:70" ht="15" customHeight="1" x14ac:dyDescent="0.2">
      <c r="A147" s="321">
        <f>A146+1</f>
        <v>62008017</v>
      </c>
      <c r="B147" s="367" t="s">
        <v>645</v>
      </c>
      <c r="C147" s="321" t="s">
        <v>773</v>
      </c>
      <c r="D147" s="352" t="s">
        <v>731</v>
      </c>
      <c r="E147" s="307" t="s">
        <v>855</v>
      </c>
      <c r="F147" s="307" t="str">
        <f t="shared" si="60"/>
        <v>08/06/20</v>
      </c>
      <c r="G147" s="322" t="s">
        <v>856</v>
      </c>
      <c r="H147" s="322" t="s">
        <v>685</v>
      </c>
      <c r="I147" s="330"/>
      <c r="J147" s="323">
        <v>1112.191372</v>
      </c>
      <c r="K147" s="323">
        <v>2369.8880810000001</v>
      </c>
      <c r="L147" s="323">
        <v>1488.882854</v>
      </c>
      <c r="M147" s="323">
        <v>1125.2001540000001</v>
      </c>
      <c r="N147" s="308">
        <v>4250</v>
      </c>
      <c r="O147" s="308">
        <v>30.36</v>
      </c>
      <c r="P147" s="308">
        <v>0.3201</v>
      </c>
      <c r="Q147" s="308">
        <v>1.9560000000000001E-2</v>
      </c>
      <c r="R147" s="309">
        <v>2.557804E-2</v>
      </c>
      <c r="S147" s="309">
        <f>R147+R146</f>
        <v>166.49103174999999</v>
      </c>
      <c r="T147" s="338">
        <v>0</v>
      </c>
      <c r="U147" s="338">
        <v>0</v>
      </c>
      <c r="V147" s="313">
        <v>0</v>
      </c>
      <c r="W147" s="313">
        <v>-60685</v>
      </c>
      <c r="X147" s="313">
        <f>W147-V147</f>
        <v>-60685</v>
      </c>
      <c r="Y147" s="313">
        <f>X147/$R147</f>
        <v>-2372543.0095503801</v>
      </c>
      <c r="Z147" s="332">
        <v>0</v>
      </c>
      <c r="AA147" s="313">
        <v>929.95</v>
      </c>
      <c r="AB147" s="313">
        <f>AA147-Z147</f>
        <v>929.95</v>
      </c>
      <c r="AC147" s="331">
        <f>AB147/$R147</f>
        <v>36357.359672594146</v>
      </c>
      <c r="AD147" s="332">
        <v>0.02</v>
      </c>
      <c r="AE147" s="313">
        <v>-10.220000000000001</v>
      </c>
      <c r="AF147" s="313">
        <f>AE147-AD147</f>
        <v>-10.24</v>
      </c>
      <c r="AG147" s="331">
        <f>AF147/$R147</f>
        <v>-400.3434195896167</v>
      </c>
      <c r="AH147" s="332">
        <v>0</v>
      </c>
      <c r="AI147" s="313">
        <v>0</v>
      </c>
      <c r="AJ147" s="313">
        <f>AI147-AH147</f>
        <v>0</v>
      </c>
      <c r="AK147" s="331">
        <f>AJ147/$R147</f>
        <v>0</v>
      </c>
      <c r="AL147" s="332">
        <v>0</v>
      </c>
      <c r="AM147" s="313">
        <v>0</v>
      </c>
      <c r="AN147" s="313">
        <f>AM147-AL147</f>
        <v>0</v>
      </c>
      <c r="AO147" s="331">
        <f>AN147/$R147</f>
        <v>0</v>
      </c>
      <c r="AP147" s="303">
        <v>0</v>
      </c>
      <c r="AQ147" s="303">
        <v>0</v>
      </c>
      <c r="AR147" s="303">
        <f>AQ147-AP147</f>
        <v>0</v>
      </c>
      <c r="AS147" s="447">
        <v>0.2</v>
      </c>
      <c r="AT147" s="341">
        <v>67847.899999999994</v>
      </c>
      <c r="AU147" s="341">
        <f>AT147-AS147</f>
        <v>67847.7</v>
      </c>
      <c r="AV147" s="303"/>
      <c r="AW147" s="303"/>
      <c r="AX147" s="303"/>
      <c r="AY147" s="303"/>
      <c r="AZ147" s="322" t="s">
        <v>714</v>
      </c>
      <c r="BA147" s="461">
        <v>0</v>
      </c>
      <c r="BB147" s="461" t="s">
        <v>691</v>
      </c>
      <c r="BC147" s="461">
        <v>0</v>
      </c>
      <c r="BD147" s="461">
        <v>0</v>
      </c>
      <c r="BE147" s="461">
        <v>0</v>
      </c>
      <c r="BF147" s="461">
        <v>0</v>
      </c>
      <c r="BG147" s="461" t="s">
        <v>691</v>
      </c>
      <c r="BH147" s="461">
        <v>0</v>
      </c>
      <c r="BI147" s="461">
        <v>0</v>
      </c>
      <c r="BJ147" s="461" t="s">
        <v>691</v>
      </c>
      <c r="BK147" s="461" t="s">
        <v>691</v>
      </c>
      <c r="BL147" s="461" t="s">
        <v>691</v>
      </c>
    </row>
    <row r="148" spans="1:70" ht="15" customHeight="1" x14ac:dyDescent="0.2">
      <c r="A148" s="485" t="s">
        <v>854</v>
      </c>
      <c r="B148" s="362"/>
      <c r="C148" s="363"/>
      <c r="D148" s="363"/>
      <c r="E148" s="363"/>
      <c r="F148" s="363"/>
      <c r="G148" s="363"/>
      <c r="H148" s="362"/>
      <c r="I148" s="362"/>
      <c r="J148" s="373"/>
      <c r="K148" s="374"/>
      <c r="L148" s="362"/>
      <c r="M148" s="362"/>
      <c r="N148" s="362"/>
      <c r="O148" s="362"/>
      <c r="P148" s="362"/>
      <c r="Q148" s="362"/>
      <c r="R148" s="362"/>
      <c r="S148" s="362"/>
      <c r="T148" s="362"/>
      <c r="U148" s="362"/>
      <c r="V148" s="362"/>
      <c r="W148" s="362"/>
      <c r="X148" s="362"/>
      <c r="Y148" s="362"/>
      <c r="Z148" s="362"/>
      <c r="AA148" s="362"/>
      <c r="AB148" s="362"/>
      <c r="AC148" s="362"/>
      <c r="AD148" s="362"/>
      <c r="AE148" s="362"/>
      <c r="AF148" s="362"/>
      <c r="AG148" s="362"/>
      <c r="AH148" s="362"/>
      <c r="AI148" s="362"/>
      <c r="AJ148" s="362"/>
      <c r="AK148" s="362"/>
      <c r="AL148" s="362"/>
      <c r="AM148" s="362"/>
      <c r="AN148" s="362"/>
      <c r="AO148" s="362"/>
      <c r="AP148" s="362"/>
      <c r="AQ148" s="362"/>
      <c r="AR148" s="362"/>
      <c r="AS148" s="362"/>
      <c r="AT148" s="362"/>
      <c r="AU148" s="362"/>
      <c r="AV148" s="362"/>
      <c r="AW148" s="362"/>
      <c r="AX148" s="362"/>
      <c r="AY148" s="362"/>
      <c r="AZ148" s="362"/>
      <c r="BA148" s="362"/>
      <c r="BB148" s="362"/>
      <c r="BC148" s="362"/>
      <c r="BD148" s="362"/>
      <c r="BE148" s="362"/>
      <c r="BF148" s="375"/>
      <c r="BG148" s="362"/>
      <c r="BH148" s="362"/>
      <c r="BI148" s="362"/>
      <c r="BJ148" s="362"/>
      <c r="BK148" s="362"/>
      <c r="BL148" s="362"/>
      <c r="BM148" s="362"/>
      <c r="BN148" s="362"/>
      <c r="BO148" s="362"/>
      <c r="BP148" s="362"/>
      <c r="BQ148" s="362"/>
      <c r="BR148" s="366"/>
    </row>
    <row r="149" spans="1:70" ht="15" customHeight="1" x14ac:dyDescent="0.2">
      <c r="A149" s="321">
        <v>62008018</v>
      </c>
      <c r="B149" s="321" t="s">
        <v>627</v>
      </c>
      <c r="C149" s="321" t="s">
        <v>773</v>
      </c>
      <c r="D149" s="352" t="s">
        <v>718</v>
      </c>
      <c r="E149" s="307" t="s">
        <v>857</v>
      </c>
      <c r="F149" s="307" t="str">
        <f t="shared" si="60"/>
        <v>08/07/20</v>
      </c>
      <c r="G149" s="322" t="s">
        <v>858</v>
      </c>
      <c r="H149" s="322" t="s">
        <v>685</v>
      </c>
      <c r="I149" s="330"/>
      <c r="J149" s="323">
        <v>22.676825000000001</v>
      </c>
      <c r="K149" s="323">
        <v>45.539492000000003</v>
      </c>
      <c r="L149" s="323">
        <v>29.456961</v>
      </c>
      <c r="M149" s="323">
        <v>24.969728</v>
      </c>
      <c r="N149" s="308">
        <v>4250</v>
      </c>
      <c r="O149" s="308">
        <v>30.36</v>
      </c>
      <c r="P149" s="308">
        <v>0.3201</v>
      </c>
      <c r="Q149" s="308">
        <v>1.9560000000000001E-2</v>
      </c>
      <c r="R149" s="309">
        <v>3.5807287900000002</v>
      </c>
      <c r="S149" s="309">
        <f>R149+R148</f>
        <v>3.5807287900000002</v>
      </c>
      <c r="T149" s="338">
        <v>98</v>
      </c>
      <c r="U149" s="338">
        <v>96.5</v>
      </c>
      <c r="V149" s="313">
        <v>8</v>
      </c>
      <c r="W149" s="313">
        <v>865</v>
      </c>
      <c r="X149" s="313">
        <f>W149-V149</f>
        <v>857</v>
      </c>
      <c r="Y149" s="313">
        <f t="shared" ref="Y149:Y160" si="61">X149/$R149</f>
        <v>239.33675244921298</v>
      </c>
      <c r="Z149" s="332">
        <v>7.1</v>
      </c>
      <c r="AA149" s="313">
        <v>28.669644999999999</v>
      </c>
      <c r="AB149" s="313">
        <f>AA149-Z149</f>
        <v>21.569645000000001</v>
      </c>
      <c r="AC149" s="331">
        <f t="shared" ref="AC149:AC160" si="62">AB149/$R149</f>
        <v>6.0238142191159918</v>
      </c>
      <c r="AD149" s="332">
        <v>-0.19</v>
      </c>
      <c r="AE149" s="313">
        <v>-0.59</v>
      </c>
      <c r="AF149" s="313">
        <f>AE149-AD149</f>
        <v>-0.39999999999999997</v>
      </c>
      <c r="AG149" s="331">
        <f t="shared" ref="AG149:AG160" si="63">AF149/$R149</f>
        <v>-0.11170910266007607</v>
      </c>
      <c r="AH149" s="332">
        <v>0</v>
      </c>
      <c r="AI149" s="313">
        <v>0</v>
      </c>
      <c r="AJ149" s="313">
        <f>AI149-AH149</f>
        <v>0</v>
      </c>
      <c r="AK149" s="331">
        <f t="shared" ref="AK149:AK160" si="64">AJ149/$R149</f>
        <v>0</v>
      </c>
      <c r="AL149" s="332">
        <v>0</v>
      </c>
      <c r="AM149" s="313">
        <v>0</v>
      </c>
      <c r="AN149" s="313">
        <f>AM149-AL149</f>
        <v>0</v>
      </c>
      <c r="AO149" s="331">
        <f t="shared" ref="AO149:AO160" si="65">AN149/$R149</f>
        <v>0</v>
      </c>
      <c r="AP149" s="303">
        <v>98</v>
      </c>
      <c r="AQ149" s="303">
        <v>96.5</v>
      </c>
      <c r="AR149" s="303">
        <f>AQ149-AP149</f>
        <v>-1.5</v>
      </c>
      <c r="AS149" s="447">
        <v>1.6</v>
      </c>
      <c r="AT149" s="341">
        <v>2.2999999999999998</v>
      </c>
      <c r="AU149" s="341">
        <f>AT149-AS149</f>
        <v>0.69999999999999973</v>
      </c>
      <c r="AV149" s="303"/>
      <c r="AW149" s="303"/>
      <c r="AX149" s="303"/>
      <c r="AY149" s="303"/>
      <c r="AZ149" s="322" t="s">
        <v>686</v>
      </c>
      <c r="BA149" s="461">
        <v>2415.54345556</v>
      </c>
      <c r="BB149" s="461">
        <v>-0.94127203000000004</v>
      </c>
      <c r="BC149" s="461">
        <v>2029.47517118</v>
      </c>
      <c r="BD149" s="461">
        <v>2048.7595719300002</v>
      </c>
      <c r="BE149" s="461">
        <v>3.2275755199999998</v>
      </c>
      <c r="BF149" s="461">
        <v>3.2584349000000001</v>
      </c>
      <c r="BG149" s="461">
        <v>-0.28712301000000001</v>
      </c>
      <c r="BH149" s="461">
        <v>3.5806693100000002</v>
      </c>
      <c r="BI149" s="461">
        <v>3.5909798400000001</v>
      </c>
      <c r="BJ149" s="461">
        <v>-0.66624826000000004</v>
      </c>
      <c r="BK149" s="461">
        <v>-0.94706148999999995</v>
      </c>
      <c r="BL149" s="461">
        <v>0.59037921999999998</v>
      </c>
    </row>
    <row r="150" spans="1:70" ht="15" customHeight="1" x14ac:dyDescent="0.2">
      <c r="A150" s="321">
        <f>A149</f>
        <v>62008018</v>
      </c>
      <c r="B150" s="321" t="s">
        <v>628</v>
      </c>
      <c r="C150" s="321" t="s">
        <v>774</v>
      </c>
      <c r="D150" s="352" t="s">
        <v>718</v>
      </c>
      <c r="E150" s="307" t="s">
        <v>857</v>
      </c>
      <c r="F150" s="307" t="str">
        <f t="shared" si="60"/>
        <v>08/07/20</v>
      </c>
      <c r="G150" s="322" t="s">
        <v>858</v>
      </c>
      <c r="H150" s="322" t="s">
        <v>685</v>
      </c>
      <c r="I150" s="330"/>
      <c r="J150" s="323">
        <v>21.288512999999998</v>
      </c>
      <c r="K150" s="323">
        <v>49.211328999999999</v>
      </c>
      <c r="L150" s="323">
        <v>29.453959999999999</v>
      </c>
      <c r="M150" s="323">
        <v>27.227323999999999</v>
      </c>
      <c r="N150" s="308">
        <v>4250</v>
      </c>
      <c r="O150" s="308">
        <v>30.36</v>
      </c>
      <c r="P150" s="308">
        <v>0.3201</v>
      </c>
      <c r="Q150" s="308">
        <v>1.9560000000000001E-2</v>
      </c>
      <c r="R150" s="309">
        <v>3.8432488199999999</v>
      </c>
      <c r="S150" s="309">
        <f>R150+R149</f>
        <v>7.4239776099999997</v>
      </c>
      <c r="T150" s="338">
        <v>96.5</v>
      </c>
      <c r="U150" s="338">
        <v>95.5</v>
      </c>
      <c r="V150" s="313">
        <v>865</v>
      </c>
      <c r="W150" s="313">
        <v>1539</v>
      </c>
      <c r="X150" s="313">
        <f>W150-V150</f>
        <v>674</v>
      </c>
      <c r="Y150" s="313">
        <f t="shared" si="61"/>
        <v>175.37246001157948</v>
      </c>
      <c r="Z150" s="332">
        <v>28.679739999999999</v>
      </c>
      <c r="AA150" s="313">
        <v>65.219171000000003</v>
      </c>
      <c r="AB150" s="313">
        <f>AA150-Z150</f>
        <v>36.539431000000008</v>
      </c>
      <c r="AC150" s="331">
        <f t="shared" si="62"/>
        <v>9.507433088862566</v>
      </c>
      <c r="AD150" s="332">
        <v>-0.59</v>
      </c>
      <c r="AE150" s="313">
        <v>-0.99</v>
      </c>
      <c r="AF150" s="313">
        <f>AE150-AD150</f>
        <v>-0.4</v>
      </c>
      <c r="AG150" s="331">
        <f t="shared" si="63"/>
        <v>-0.10407861128283649</v>
      </c>
      <c r="AH150" s="332">
        <v>0</v>
      </c>
      <c r="AI150" s="313">
        <v>0</v>
      </c>
      <c r="AJ150" s="313">
        <f>AI150-AH150</f>
        <v>0</v>
      </c>
      <c r="AK150" s="331">
        <f t="shared" si="64"/>
        <v>0</v>
      </c>
      <c r="AL150" s="332">
        <v>0</v>
      </c>
      <c r="AM150" s="313">
        <v>0</v>
      </c>
      <c r="AN150" s="313">
        <f>AM150-AL150</f>
        <v>0</v>
      </c>
      <c r="AO150" s="331">
        <f t="shared" si="65"/>
        <v>0</v>
      </c>
      <c r="AP150" s="303">
        <v>96.5</v>
      </c>
      <c r="AQ150" s="303">
        <v>95.5</v>
      </c>
      <c r="AR150" s="303">
        <f>AQ150-AP150</f>
        <v>-1</v>
      </c>
      <c r="AS150" s="447">
        <v>2.2999999999999998</v>
      </c>
      <c r="AT150" s="341">
        <v>3.5</v>
      </c>
      <c r="AU150" s="341">
        <f>AT150-AS150</f>
        <v>1.2000000000000002</v>
      </c>
      <c r="AV150" s="303"/>
      <c r="AW150" s="303"/>
      <c r="AX150" s="303"/>
      <c r="AY150" s="303"/>
      <c r="AZ150" s="322" t="s">
        <v>686</v>
      </c>
      <c r="BA150" s="461">
        <v>1482.56080232</v>
      </c>
      <c r="BB150" s="461">
        <v>-1.4450162600000001</v>
      </c>
      <c r="BC150" s="461">
        <v>3366.7042143200001</v>
      </c>
      <c r="BD150" s="461">
        <v>3416.0669370000001</v>
      </c>
      <c r="BE150" s="461">
        <v>2.9567436699999998</v>
      </c>
      <c r="BF150" s="461">
        <v>3.0185382199999999</v>
      </c>
      <c r="BG150" s="461">
        <v>-0.43448467000000002</v>
      </c>
      <c r="BH150" s="461">
        <v>3.84305962</v>
      </c>
      <c r="BI150" s="461">
        <v>3.8598299900000002</v>
      </c>
      <c r="BJ150" s="461">
        <v>-1.6463876500000001</v>
      </c>
      <c r="BK150" s="461">
        <v>-2.0471680000000001</v>
      </c>
      <c r="BL150" s="461">
        <v>0.71450961000000002</v>
      </c>
    </row>
    <row r="151" spans="1:70" ht="15" customHeight="1" x14ac:dyDescent="0.2">
      <c r="A151" s="321">
        <f>A150</f>
        <v>62008018</v>
      </c>
      <c r="B151" s="321" t="s">
        <v>629</v>
      </c>
      <c r="C151" s="321" t="s">
        <v>775</v>
      </c>
      <c r="D151" s="352" t="s">
        <v>718</v>
      </c>
      <c r="E151" s="307" t="s">
        <v>857</v>
      </c>
      <c r="F151" s="307" t="str">
        <f t="shared" si="60"/>
        <v>08/07/20</v>
      </c>
      <c r="G151" s="322" t="s">
        <v>858</v>
      </c>
      <c r="H151" s="322" t="s">
        <v>685</v>
      </c>
      <c r="I151" s="330"/>
      <c r="J151" s="324">
        <f>AVERAGE(J149:J150)</f>
        <v>21.982669000000001</v>
      </c>
      <c r="K151" s="324">
        <f>AVERAGE(K149:K150)</f>
        <v>47.375410500000001</v>
      </c>
      <c r="L151" s="324">
        <f>AVERAGE(L149:L150)</f>
        <v>29.455460500000001</v>
      </c>
      <c r="M151" s="324">
        <f>AVERAGE(M149:M150)</f>
        <v>26.098526</v>
      </c>
      <c r="N151" s="310"/>
      <c r="O151" s="308"/>
      <c r="P151" s="326"/>
      <c r="Q151" s="325"/>
      <c r="R151" s="311">
        <f>R150+R149</f>
        <v>7.4239776099999997</v>
      </c>
      <c r="S151" s="311">
        <f>S150</f>
        <v>7.4239776099999997</v>
      </c>
      <c r="T151" s="339">
        <f>T149</f>
        <v>98</v>
      </c>
      <c r="U151" s="339">
        <f>U150</f>
        <v>95.5</v>
      </c>
      <c r="V151" s="314">
        <f>V149</f>
        <v>8</v>
      </c>
      <c r="W151" s="314">
        <f>W150</f>
        <v>1539</v>
      </c>
      <c r="X151" s="314">
        <f>SUM(X149:X150)</f>
        <v>1531</v>
      </c>
      <c r="Y151" s="314">
        <f t="shared" si="61"/>
        <v>206.22368229367547</v>
      </c>
      <c r="Z151" s="314">
        <f>Z149</f>
        <v>7.1</v>
      </c>
      <c r="AA151" s="314">
        <f>AA150</f>
        <v>65.219171000000003</v>
      </c>
      <c r="AB151" s="314">
        <f>SUM(AB149:AB150)</f>
        <v>58.109076000000009</v>
      </c>
      <c r="AC151" s="312">
        <f t="shared" si="62"/>
        <v>7.8272159551946725</v>
      </c>
      <c r="AD151" s="314">
        <f>AD149</f>
        <v>-0.19</v>
      </c>
      <c r="AE151" s="314">
        <f>AE150</f>
        <v>-0.99</v>
      </c>
      <c r="AF151" s="314">
        <f>SUM(AF149:AF150)</f>
        <v>-0.8</v>
      </c>
      <c r="AG151" s="312">
        <f t="shared" si="63"/>
        <v>-0.10775894567925563</v>
      </c>
      <c r="AH151" s="314">
        <f>AH149</f>
        <v>0</v>
      </c>
      <c r="AI151" s="314">
        <f>AI150</f>
        <v>0</v>
      </c>
      <c r="AJ151" s="314">
        <f>SUM(AJ149:AJ150)</f>
        <v>0</v>
      </c>
      <c r="AK151" s="312">
        <f t="shared" si="64"/>
        <v>0</v>
      </c>
      <c r="AL151" s="314">
        <f>AL149</f>
        <v>0</v>
      </c>
      <c r="AM151" s="314">
        <f>AM150</f>
        <v>0</v>
      </c>
      <c r="AN151" s="314">
        <f>SUM(AN149:AN150)</f>
        <v>0</v>
      </c>
      <c r="AO151" s="312">
        <f t="shared" si="65"/>
        <v>0</v>
      </c>
      <c r="AP151" s="305"/>
      <c r="AQ151" s="305"/>
      <c r="AR151" s="305">
        <f>SUM(AR149:AR150)</f>
        <v>-2.5</v>
      </c>
      <c r="AS151" s="342">
        <f>AS149</f>
        <v>1.6</v>
      </c>
      <c r="AT151" s="342">
        <f>AT150</f>
        <v>3.5</v>
      </c>
      <c r="AU151" s="342">
        <f>SUM(AU149:AU150)</f>
        <v>1.9</v>
      </c>
      <c r="AV151" s="305"/>
      <c r="AW151" s="305"/>
      <c r="AX151" s="305"/>
      <c r="AY151" s="305"/>
      <c r="AZ151" s="322" t="s">
        <v>686</v>
      </c>
    </row>
    <row r="152" spans="1:70" ht="15" customHeight="1" x14ac:dyDescent="0.2">
      <c r="A152" s="321">
        <f t="shared" ref="A152:A158" si="66">A151</f>
        <v>62008018</v>
      </c>
      <c r="B152" s="321" t="s">
        <v>630</v>
      </c>
      <c r="C152" s="321" t="s">
        <v>776</v>
      </c>
      <c r="D152" s="352" t="s">
        <v>718</v>
      </c>
      <c r="E152" s="307" t="s">
        <v>857</v>
      </c>
      <c r="F152" s="307" t="str">
        <f t="shared" si="60"/>
        <v>08/07/20</v>
      </c>
      <c r="G152" s="322" t="s">
        <v>858</v>
      </c>
      <c r="H152" s="322" t="s">
        <v>685</v>
      </c>
      <c r="I152" s="330"/>
      <c r="J152" s="323">
        <v>25.224278999999999</v>
      </c>
      <c r="K152" s="323">
        <v>39.105037000000003</v>
      </c>
      <c r="L152" s="323">
        <v>29.466294999999999</v>
      </c>
      <c r="M152" s="323">
        <v>29.114184000000002</v>
      </c>
      <c r="N152" s="308">
        <v>4250</v>
      </c>
      <c r="O152" s="308">
        <v>30.36</v>
      </c>
      <c r="P152" s="308">
        <v>0.3201</v>
      </c>
      <c r="Q152" s="308">
        <v>1.9560000000000001E-2</v>
      </c>
      <c r="R152" s="309">
        <v>10.245705129999999</v>
      </c>
      <c r="S152" s="309">
        <f>R152+R151</f>
        <v>17.669682739999999</v>
      </c>
      <c r="T152" s="338">
        <v>95.5</v>
      </c>
      <c r="U152" s="338">
        <v>92.2</v>
      </c>
      <c r="V152" s="313">
        <v>1540</v>
      </c>
      <c r="W152" s="313">
        <v>3780</v>
      </c>
      <c r="X152" s="313">
        <f>W152-V152</f>
        <v>2240</v>
      </c>
      <c r="Y152" s="313">
        <f t="shared" si="61"/>
        <v>218.62819313832821</v>
      </c>
      <c r="Z152" s="332">
        <v>65.92</v>
      </c>
      <c r="AA152" s="313">
        <v>97.56</v>
      </c>
      <c r="AB152" s="313">
        <f>AA152-Z152</f>
        <v>31.64</v>
      </c>
      <c r="AC152" s="331">
        <f t="shared" si="62"/>
        <v>3.088123228078886</v>
      </c>
      <c r="AD152" s="332">
        <v>-1</v>
      </c>
      <c r="AE152" s="313">
        <v>-1.26</v>
      </c>
      <c r="AF152" s="313">
        <f>AE152-AD152</f>
        <v>-0.26</v>
      </c>
      <c r="AG152" s="331">
        <f t="shared" si="63"/>
        <v>-2.5376486703555953E-2</v>
      </c>
      <c r="AH152" s="332">
        <v>0</v>
      </c>
      <c r="AI152" s="313">
        <v>0</v>
      </c>
      <c r="AJ152" s="313">
        <f>AI152-AH152</f>
        <v>0</v>
      </c>
      <c r="AK152" s="331">
        <f t="shared" si="64"/>
        <v>0</v>
      </c>
      <c r="AL152" s="332">
        <v>0</v>
      </c>
      <c r="AM152" s="313">
        <v>0</v>
      </c>
      <c r="AN152" s="313">
        <f>AM152-AL152</f>
        <v>0</v>
      </c>
      <c r="AO152" s="331">
        <f t="shared" si="65"/>
        <v>0</v>
      </c>
      <c r="AP152" s="303">
        <v>95.5</v>
      </c>
      <c r="AQ152" s="303">
        <v>92.2</v>
      </c>
      <c r="AR152" s="303">
        <f>AQ152-AP152</f>
        <v>-3.2999999999999972</v>
      </c>
      <c r="AS152" s="447">
        <v>3.5</v>
      </c>
      <c r="AT152" s="341">
        <v>4.5999999999999996</v>
      </c>
      <c r="AU152" s="341">
        <f>AT152-AS152</f>
        <v>1.0999999999999996</v>
      </c>
      <c r="AV152" s="303"/>
      <c r="AW152" s="303"/>
      <c r="AX152" s="303"/>
      <c r="AY152" s="303"/>
      <c r="AZ152" s="322" t="s">
        <v>686</v>
      </c>
      <c r="BA152" s="461">
        <v>1944.7392953200001</v>
      </c>
      <c r="BB152" s="461">
        <v>1.74501215</v>
      </c>
      <c r="BC152" s="461">
        <v>1329.5131878</v>
      </c>
      <c r="BD152" s="461">
        <v>1306.7109233799999</v>
      </c>
      <c r="BE152" s="461">
        <v>7.9727013500000004</v>
      </c>
      <c r="BF152" s="461">
        <v>8.0200274300000007</v>
      </c>
      <c r="BG152" s="461">
        <v>-0.10629058</v>
      </c>
      <c r="BH152" s="461">
        <v>10.24577831</v>
      </c>
      <c r="BI152" s="461">
        <v>10.2566802</v>
      </c>
      <c r="BJ152" s="461">
        <v>-0.48668008000000001</v>
      </c>
      <c r="BK152" s="461">
        <v>-0.59009876000000006</v>
      </c>
      <c r="BL152" s="461">
        <v>0.28276456999999999</v>
      </c>
    </row>
    <row r="153" spans="1:70" ht="15" customHeight="1" x14ac:dyDescent="0.2">
      <c r="A153" s="321">
        <f t="shared" si="66"/>
        <v>62008018</v>
      </c>
      <c r="B153" s="321" t="s">
        <v>631</v>
      </c>
      <c r="C153" s="321" t="s">
        <v>777</v>
      </c>
      <c r="D153" s="352" t="s">
        <v>718</v>
      </c>
      <c r="E153" s="307" t="s">
        <v>857</v>
      </c>
      <c r="F153" s="307" t="str">
        <f t="shared" si="60"/>
        <v>08/07/20</v>
      </c>
      <c r="G153" s="322" t="s">
        <v>858</v>
      </c>
      <c r="H153" s="322" t="s">
        <v>685</v>
      </c>
      <c r="I153" s="330"/>
      <c r="J153" s="323">
        <v>20.680295000000001</v>
      </c>
      <c r="K153" s="323">
        <v>50.833815000000001</v>
      </c>
      <c r="L153" s="323">
        <v>29.452991999999998</v>
      </c>
      <c r="M153" s="323">
        <v>28.741350000000001</v>
      </c>
      <c r="N153" s="308">
        <v>4250</v>
      </c>
      <c r="O153" s="308">
        <v>30.36</v>
      </c>
      <c r="P153" s="308">
        <v>0.3201</v>
      </c>
      <c r="Q153" s="308">
        <v>1.9560000000000001E-2</v>
      </c>
      <c r="R153" s="309">
        <v>3.5816648</v>
      </c>
      <c r="S153" s="309">
        <f>R153+R152</f>
        <v>13.82736993</v>
      </c>
      <c r="T153" s="338">
        <v>92.2</v>
      </c>
      <c r="U153" s="338">
        <v>91.1</v>
      </c>
      <c r="V153" s="313">
        <v>3787</v>
      </c>
      <c r="W153" s="313">
        <v>4514</v>
      </c>
      <c r="X153" s="313">
        <f>W153-V153</f>
        <v>727</v>
      </c>
      <c r="Y153" s="313">
        <f t="shared" si="61"/>
        <v>202.97823514919654</v>
      </c>
      <c r="Z153" s="332">
        <v>103.02</v>
      </c>
      <c r="AA153" s="313">
        <v>124.438164</v>
      </c>
      <c r="AB153" s="313">
        <f>AA153-Z153</f>
        <v>21.418164000000004</v>
      </c>
      <c r="AC153" s="331">
        <f t="shared" si="62"/>
        <v>5.9799465321266254</v>
      </c>
      <c r="AD153" s="332">
        <v>-0.38</v>
      </c>
      <c r="AE153" s="313">
        <v>-0.81</v>
      </c>
      <c r="AF153" s="313">
        <f>AE153-AD153</f>
        <v>-0.43000000000000005</v>
      </c>
      <c r="AG153" s="331">
        <f t="shared" si="63"/>
        <v>-0.12005590249539824</v>
      </c>
      <c r="AH153" s="332">
        <v>0</v>
      </c>
      <c r="AI153" s="313">
        <v>0</v>
      </c>
      <c r="AJ153" s="313">
        <f>AI153-AH153</f>
        <v>0</v>
      </c>
      <c r="AK153" s="331">
        <f t="shared" si="64"/>
        <v>0</v>
      </c>
      <c r="AL153" s="332">
        <v>0</v>
      </c>
      <c r="AM153" s="313">
        <v>0</v>
      </c>
      <c r="AN153" s="313">
        <f>AM153-AL153</f>
        <v>0</v>
      </c>
      <c r="AO153" s="331">
        <f t="shared" si="65"/>
        <v>0</v>
      </c>
      <c r="AP153" s="303">
        <v>92.2</v>
      </c>
      <c r="AQ153" s="303">
        <v>91.1</v>
      </c>
      <c r="AR153" s="303">
        <f>AQ153-AP153</f>
        <v>-1.1000000000000085</v>
      </c>
      <c r="AS153" s="447">
        <v>5.4</v>
      </c>
      <c r="AT153" s="341">
        <v>6.1</v>
      </c>
      <c r="AU153" s="341">
        <f>AT153-AS153</f>
        <v>0.69999999999999929</v>
      </c>
      <c r="AV153" s="303"/>
      <c r="AW153" s="303"/>
      <c r="AX153" s="303"/>
      <c r="AY153" s="303"/>
      <c r="AZ153" s="322" t="s">
        <v>686</v>
      </c>
      <c r="BA153" s="461">
        <v>2409.5563112099999</v>
      </c>
      <c r="BB153" s="461">
        <v>-1.2151751</v>
      </c>
      <c r="BC153" s="461">
        <v>2023.74848161</v>
      </c>
      <c r="BD153" s="461">
        <v>2048.64308222</v>
      </c>
      <c r="BE153" s="461">
        <v>3.2239539599999998</v>
      </c>
      <c r="BF153" s="461">
        <v>3.2582704699999998</v>
      </c>
      <c r="BG153" s="461">
        <v>-0.26172394999999998</v>
      </c>
      <c r="BH153" s="461">
        <v>3.58158077</v>
      </c>
      <c r="BI153" s="461">
        <v>3.5909792199999999</v>
      </c>
      <c r="BJ153" s="461">
        <v>-0.79991327000000001</v>
      </c>
      <c r="BK153" s="461">
        <v>-1.0532124300000001</v>
      </c>
      <c r="BL153" s="461">
        <v>0.59036113999999995</v>
      </c>
    </row>
    <row r="154" spans="1:70" ht="15" customHeight="1" x14ac:dyDescent="0.2">
      <c r="A154" s="321">
        <f t="shared" si="66"/>
        <v>62008018</v>
      </c>
      <c r="B154" s="321" t="s">
        <v>225</v>
      </c>
      <c r="C154" s="321" t="s">
        <v>778</v>
      </c>
      <c r="D154" s="352" t="s">
        <v>718</v>
      </c>
      <c r="E154" s="307" t="s">
        <v>857</v>
      </c>
      <c r="F154" s="307" t="str">
        <f t="shared" si="60"/>
        <v>08/07/20</v>
      </c>
      <c r="G154" s="322" t="s">
        <v>858</v>
      </c>
      <c r="H154" s="322" t="s">
        <v>685</v>
      </c>
      <c r="I154" s="330"/>
      <c r="J154" s="323">
        <v>19.826882000000001</v>
      </c>
      <c r="K154" s="323">
        <v>53.537292999999998</v>
      </c>
      <c r="L154" s="323">
        <v>29.448903000000001</v>
      </c>
      <c r="M154" s="323">
        <v>27.847709999999999</v>
      </c>
      <c r="N154" s="308">
        <v>4250</v>
      </c>
      <c r="O154" s="308">
        <v>30.36</v>
      </c>
      <c r="P154" s="308">
        <v>0.3201</v>
      </c>
      <c r="Q154" s="308">
        <v>1.9560000000000001E-2</v>
      </c>
      <c r="R154" s="309">
        <v>3.8437929300000002</v>
      </c>
      <c r="S154" s="309">
        <f>R154+R153</f>
        <v>7.4254577299999998</v>
      </c>
      <c r="T154" s="338">
        <v>91.1</v>
      </c>
      <c r="U154" s="338">
        <v>90.1</v>
      </c>
      <c r="V154" s="313">
        <v>4514</v>
      </c>
      <c r="W154" s="313">
        <v>5147</v>
      </c>
      <c r="X154" s="313">
        <f>W154-V154</f>
        <v>633</v>
      </c>
      <c r="Y154" s="313">
        <f t="shared" si="61"/>
        <v>164.68108754235104</v>
      </c>
      <c r="Z154" s="332">
        <v>124.44</v>
      </c>
      <c r="AA154" s="313">
        <v>160.79756599999999</v>
      </c>
      <c r="AB154" s="313">
        <f>AA154-Z154</f>
        <v>36.357565999999991</v>
      </c>
      <c r="AC154" s="331">
        <f t="shared" si="62"/>
        <v>9.4587733163867362</v>
      </c>
      <c r="AD154" s="332">
        <v>-0.81</v>
      </c>
      <c r="AE154" s="313">
        <v>-1.21</v>
      </c>
      <c r="AF154" s="313">
        <f>AE154-AD154</f>
        <v>-0.39999999999999991</v>
      </c>
      <c r="AG154" s="331">
        <f t="shared" si="63"/>
        <v>-0.10406387838379209</v>
      </c>
      <c r="AH154" s="332">
        <v>0</v>
      </c>
      <c r="AI154" s="313">
        <v>0</v>
      </c>
      <c r="AJ154" s="313">
        <f>AI154-AH154</f>
        <v>0</v>
      </c>
      <c r="AK154" s="331">
        <f t="shared" si="64"/>
        <v>0</v>
      </c>
      <c r="AL154" s="332">
        <v>0</v>
      </c>
      <c r="AM154" s="313">
        <v>0</v>
      </c>
      <c r="AN154" s="313">
        <f>AM154-AL154</f>
        <v>0</v>
      </c>
      <c r="AO154" s="331">
        <f t="shared" si="65"/>
        <v>0</v>
      </c>
      <c r="AP154" s="303">
        <v>91.1</v>
      </c>
      <c r="AQ154" s="303">
        <v>90.1</v>
      </c>
      <c r="AR154" s="303">
        <f>AQ154-AP154</f>
        <v>-1</v>
      </c>
      <c r="AS154" s="447">
        <v>6.1</v>
      </c>
      <c r="AT154" s="341">
        <v>7.3</v>
      </c>
      <c r="AU154" s="341">
        <f>AT154-AS154</f>
        <v>1.2000000000000002</v>
      </c>
      <c r="AV154" s="303"/>
      <c r="AW154" s="303"/>
      <c r="AX154" s="303"/>
      <c r="AY154" s="303"/>
      <c r="AZ154" s="322" t="s">
        <v>686</v>
      </c>
      <c r="BA154" s="461">
        <v>1481.98891678</v>
      </c>
      <c r="BB154" s="461">
        <v>-1.3971895400000001</v>
      </c>
      <c r="BC154" s="461">
        <v>3368.3026844800002</v>
      </c>
      <c r="BD154" s="461">
        <v>3416.0311140200001</v>
      </c>
      <c r="BE154" s="461">
        <v>2.9596383099999999</v>
      </c>
      <c r="BF154" s="461">
        <v>3.0184618599999999</v>
      </c>
      <c r="BG154" s="461">
        <v>-0.42005452999999998</v>
      </c>
      <c r="BH154" s="461">
        <v>3.8436163400000001</v>
      </c>
      <c r="BI154" s="461">
        <v>3.85982973</v>
      </c>
      <c r="BJ154" s="461">
        <v>-1.55912183</v>
      </c>
      <c r="BK154" s="461">
        <v>-1.9487923199999999</v>
      </c>
      <c r="BL154" s="461">
        <v>0.71451874000000004</v>
      </c>
    </row>
    <row r="155" spans="1:70" ht="15" customHeight="1" x14ac:dyDescent="0.2">
      <c r="A155" s="321">
        <f t="shared" si="66"/>
        <v>62008018</v>
      </c>
      <c r="B155" s="321" t="s">
        <v>632</v>
      </c>
      <c r="C155" s="321" t="s">
        <v>779</v>
      </c>
      <c r="D155" s="352" t="s">
        <v>718</v>
      </c>
      <c r="E155" s="307" t="s">
        <v>857</v>
      </c>
      <c r="F155" s="307" t="str">
        <f t="shared" si="60"/>
        <v>08/07/20</v>
      </c>
      <c r="G155" s="322" t="s">
        <v>858</v>
      </c>
      <c r="H155" s="322" t="s">
        <v>685</v>
      </c>
      <c r="I155" s="330"/>
      <c r="J155" s="324">
        <f>AVERAGE(J153:J154)</f>
        <v>20.253588499999999</v>
      </c>
      <c r="K155" s="324">
        <f>AVERAGE(K153:K154)</f>
        <v>52.185553999999996</v>
      </c>
      <c r="L155" s="324">
        <f>AVERAGE(L153:L154)</f>
        <v>29.450947499999998</v>
      </c>
      <c r="M155" s="324">
        <f>AVERAGE(M153:M154)</f>
        <v>28.294530000000002</v>
      </c>
      <c r="N155" s="310"/>
      <c r="O155" s="308"/>
      <c r="P155" s="326"/>
      <c r="Q155" s="325"/>
      <c r="R155" s="311">
        <f>R154+R153</f>
        <v>7.4254577299999998</v>
      </c>
      <c r="S155" s="311">
        <f>S154</f>
        <v>7.4254577299999998</v>
      </c>
      <c r="T155" s="339">
        <f>T153</f>
        <v>92.2</v>
      </c>
      <c r="U155" s="339">
        <f>U154</f>
        <v>90.1</v>
      </c>
      <c r="V155" s="314">
        <f>V153</f>
        <v>3787</v>
      </c>
      <c r="W155" s="314">
        <f>W154</f>
        <v>5147</v>
      </c>
      <c r="X155" s="314">
        <f>SUM(X153:X154)</f>
        <v>1360</v>
      </c>
      <c r="Y155" s="314">
        <f t="shared" si="61"/>
        <v>183.15369226403232</v>
      </c>
      <c r="Z155" s="314">
        <f>Z153</f>
        <v>103.02</v>
      </c>
      <c r="AA155" s="314">
        <f>AA154</f>
        <v>160.79756599999999</v>
      </c>
      <c r="AB155" s="314">
        <f>SUM(AB153:AB154)</f>
        <v>57.775729999999996</v>
      </c>
      <c r="AC155" s="312">
        <f t="shared" si="62"/>
        <v>7.780763435845456</v>
      </c>
      <c r="AD155" s="314">
        <f>AD153</f>
        <v>-0.38</v>
      </c>
      <c r="AE155" s="314">
        <f>AE154</f>
        <v>-1.21</v>
      </c>
      <c r="AF155" s="314">
        <f>SUM(AF153:AF154)</f>
        <v>-0.83</v>
      </c>
      <c r="AG155" s="312">
        <f t="shared" si="63"/>
        <v>-0.11177762101407855</v>
      </c>
      <c r="AH155" s="314">
        <f>AH153</f>
        <v>0</v>
      </c>
      <c r="AI155" s="314">
        <f>AI154</f>
        <v>0</v>
      </c>
      <c r="AJ155" s="314">
        <f>SUM(AJ153:AJ154)</f>
        <v>0</v>
      </c>
      <c r="AK155" s="312">
        <f t="shared" si="64"/>
        <v>0</v>
      </c>
      <c r="AL155" s="314">
        <f>AL153</f>
        <v>0</v>
      </c>
      <c r="AM155" s="314">
        <f>AM154</f>
        <v>0</v>
      </c>
      <c r="AN155" s="314">
        <f>SUM(AN153:AN154)</f>
        <v>0</v>
      </c>
      <c r="AO155" s="312">
        <f t="shared" si="65"/>
        <v>0</v>
      </c>
      <c r="AP155" s="305"/>
      <c r="AQ155" s="305"/>
      <c r="AR155" s="305">
        <f>SUM(AR153:AR154)</f>
        <v>-2.1000000000000085</v>
      </c>
      <c r="AS155" s="342">
        <f>AS153</f>
        <v>5.4</v>
      </c>
      <c r="AT155" s="342">
        <f>AT154</f>
        <v>7.3</v>
      </c>
      <c r="AU155" s="342">
        <f>SUM(AU153:AU154)</f>
        <v>1.8999999999999995</v>
      </c>
      <c r="AV155" s="305"/>
      <c r="AW155" s="305"/>
      <c r="AX155" s="305"/>
      <c r="AY155" s="305"/>
      <c r="AZ155" s="322" t="s">
        <v>686</v>
      </c>
    </row>
    <row r="156" spans="1:70" ht="15" customHeight="1" x14ac:dyDescent="0.2">
      <c r="A156" s="321">
        <f t="shared" si="66"/>
        <v>62008018</v>
      </c>
      <c r="B156" s="321" t="s">
        <v>633</v>
      </c>
      <c r="C156" s="321" t="s">
        <v>780</v>
      </c>
      <c r="D156" s="352" t="s">
        <v>718</v>
      </c>
      <c r="E156" s="307" t="s">
        <v>857</v>
      </c>
      <c r="F156" s="307" t="str">
        <f t="shared" si="60"/>
        <v>08/07/20</v>
      </c>
      <c r="G156" s="322" t="s">
        <v>858</v>
      </c>
      <c r="H156" s="322" t="s">
        <v>685</v>
      </c>
      <c r="I156" s="330"/>
      <c r="J156" s="323">
        <v>23.088695000000001</v>
      </c>
      <c r="K156" s="323">
        <v>43.231591000000002</v>
      </c>
      <c r="L156" s="323">
        <v>29.447966999999998</v>
      </c>
      <c r="M156" s="323">
        <v>30.190773</v>
      </c>
      <c r="N156" s="308">
        <v>4250</v>
      </c>
      <c r="O156" s="308">
        <v>30.36</v>
      </c>
      <c r="P156" s="308">
        <v>0.3201</v>
      </c>
      <c r="Q156" s="308">
        <v>1.9560000000000001E-2</v>
      </c>
      <c r="R156" s="309">
        <v>1.76524529</v>
      </c>
      <c r="S156" s="309">
        <f>R156+R155</f>
        <v>9.1907030199999991</v>
      </c>
      <c r="T156" s="338">
        <v>90.1</v>
      </c>
      <c r="U156" s="338">
        <v>86.5</v>
      </c>
      <c r="V156" s="313">
        <v>5152</v>
      </c>
      <c r="W156" s="313">
        <v>7554</v>
      </c>
      <c r="X156" s="313">
        <f>W156-V156-X157</f>
        <v>553</v>
      </c>
      <c r="Y156" s="313">
        <f t="shared" si="61"/>
        <v>313.27091092252681</v>
      </c>
      <c r="Z156" s="332">
        <v>164.657568</v>
      </c>
      <c r="AA156" s="313">
        <v>189.54741999999999</v>
      </c>
      <c r="AB156" s="313">
        <f>AA156-Z156-AB157</f>
        <v>9.890026999999975</v>
      </c>
      <c r="AC156" s="331">
        <f t="shared" si="62"/>
        <v>5.6026361073026711</v>
      </c>
      <c r="AD156" s="332">
        <v>-1.25</v>
      </c>
      <c r="AE156" s="313">
        <v>-1.45</v>
      </c>
      <c r="AF156" s="313">
        <f>AE156-AD156-AF157</f>
        <v>-8.0000000000000071E-2</v>
      </c>
      <c r="AG156" s="331">
        <f t="shared" si="63"/>
        <v>-4.531948078445238E-2</v>
      </c>
      <c r="AH156" s="332">
        <v>0</v>
      </c>
      <c r="AI156" s="313">
        <v>0</v>
      </c>
      <c r="AJ156" s="313">
        <f>AI156-AH156-AJ157</f>
        <v>0</v>
      </c>
      <c r="AK156" s="331">
        <f t="shared" si="64"/>
        <v>0</v>
      </c>
      <c r="AL156" s="332">
        <v>0</v>
      </c>
      <c r="AM156" s="313">
        <v>0</v>
      </c>
      <c r="AN156" s="313">
        <f>AM156-AL156-AN157</f>
        <v>0</v>
      </c>
      <c r="AO156" s="331">
        <f t="shared" si="65"/>
        <v>0</v>
      </c>
      <c r="AP156" s="303">
        <v>90.1</v>
      </c>
      <c r="AQ156" s="303">
        <v>86.5</v>
      </c>
      <c r="AR156" s="303">
        <f>AQ156-AP156-AR157</f>
        <v>-0.79999999999999716</v>
      </c>
      <c r="AS156" s="447">
        <v>7.4</v>
      </c>
      <c r="AT156" s="341">
        <v>8.3000000000000007</v>
      </c>
      <c r="AU156" s="341">
        <f>AT156-AS156-AU157</f>
        <v>0.40000000000000036</v>
      </c>
      <c r="AV156" s="303"/>
      <c r="AW156" s="303"/>
      <c r="AX156" s="303"/>
      <c r="AY156" s="303"/>
      <c r="AZ156" s="322" t="s">
        <v>686</v>
      </c>
      <c r="BA156" s="461">
        <v>5562.9056877000003</v>
      </c>
      <c r="BB156" s="461">
        <v>0.10450508999999999</v>
      </c>
      <c r="BC156" s="461">
        <v>2461.9000841699999</v>
      </c>
      <c r="BD156" s="461">
        <v>2459.32995906</v>
      </c>
      <c r="BE156" s="461">
        <v>3.2213115600000002</v>
      </c>
      <c r="BF156" s="461">
        <v>3.2077611099999999</v>
      </c>
      <c r="BG156" s="461">
        <v>-0.38991192000000002</v>
      </c>
      <c r="BH156" s="461">
        <v>1.76519515</v>
      </c>
      <c r="BI156" s="461">
        <v>1.7721047999999999</v>
      </c>
      <c r="BJ156" s="461">
        <v>0.80892184</v>
      </c>
      <c r="BK156" s="461">
        <v>0.42242702999999998</v>
      </c>
      <c r="BL156" s="461">
        <v>0.81478879999999998</v>
      </c>
    </row>
    <row r="157" spans="1:70" ht="15" customHeight="1" x14ac:dyDescent="0.2">
      <c r="A157" s="321">
        <f t="shared" si="66"/>
        <v>62008018</v>
      </c>
      <c r="B157" s="321" t="s">
        <v>634</v>
      </c>
      <c r="C157" s="321" t="s">
        <v>781</v>
      </c>
      <c r="D157" s="352" t="s">
        <v>718</v>
      </c>
      <c r="E157" s="307" t="s">
        <v>857</v>
      </c>
      <c r="F157" s="307" t="str">
        <f t="shared" si="60"/>
        <v>08/07/20</v>
      </c>
      <c r="G157" s="322" t="s">
        <v>858</v>
      </c>
      <c r="H157" s="322" t="s">
        <v>685</v>
      </c>
      <c r="I157" s="330"/>
      <c r="J157" s="323">
        <v>26.977059000000001</v>
      </c>
      <c r="K157" s="323">
        <v>35.143551000000002</v>
      </c>
      <c r="L157" s="323">
        <v>29.481157</v>
      </c>
      <c r="M157" s="323">
        <v>30.32075</v>
      </c>
      <c r="N157" s="308">
        <v>4250</v>
      </c>
      <c r="O157" s="308">
        <v>30.36</v>
      </c>
      <c r="P157" s="308">
        <v>0.3201</v>
      </c>
      <c r="Q157" s="308">
        <v>1.9560000000000001E-2</v>
      </c>
      <c r="R157" s="309">
        <v>6.2271882700000001</v>
      </c>
      <c r="S157" s="309">
        <f>R157+R156</f>
        <v>7.9924335600000003</v>
      </c>
      <c r="T157" s="338">
        <v>89.6</v>
      </c>
      <c r="U157" s="338">
        <v>86.8</v>
      </c>
      <c r="V157" s="313">
        <v>5520</v>
      </c>
      <c r="W157" s="313">
        <v>7369</v>
      </c>
      <c r="X157" s="313">
        <f>W157-V157</f>
        <v>1849</v>
      </c>
      <c r="Y157" s="313">
        <f t="shared" si="61"/>
        <v>296.92373505193541</v>
      </c>
      <c r="Z157" s="332">
        <v>170.157659</v>
      </c>
      <c r="AA157" s="313">
        <v>185.15748400000001</v>
      </c>
      <c r="AB157" s="313">
        <f>AA157-Z157</f>
        <v>14.999825000000016</v>
      </c>
      <c r="AC157" s="331">
        <f t="shared" si="62"/>
        <v>2.4087636907114125</v>
      </c>
      <c r="AD157" s="332">
        <v>-1.3</v>
      </c>
      <c r="AE157" s="313">
        <v>-1.42</v>
      </c>
      <c r="AF157" s="313">
        <f>AE157-AD157</f>
        <v>-0.11999999999999988</v>
      </c>
      <c r="AG157" s="331">
        <f t="shared" si="63"/>
        <v>-1.9270334346258633E-2</v>
      </c>
      <c r="AH157" s="332">
        <v>0</v>
      </c>
      <c r="AI157" s="313">
        <v>0</v>
      </c>
      <c r="AJ157" s="313">
        <f>AI157-AH157</f>
        <v>0</v>
      </c>
      <c r="AK157" s="331">
        <f t="shared" si="64"/>
        <v>0</v>
      </c>
      <c r="AL157" s="332">
        <v>0</v>
      </c>
      <c r="AM157" s="313">
        <v>0</v>
      </c>
      <c r="AN157" s="313">
        <f>AM157-AL157</f>
        <v>0</v>
      </c>
      <c r="AO157" s="331">
        <f t="shared" si="65"/>
        <v>0</v>
      </c>
      <c r="AP157" s="303">
        <v>89.6</v>
      </c>
      <c r="AQ157" s="303">
        <v>86.8</v>
      </c>
      <c r="AR157" s="303">
        <f>AQ157-AP157</f>
        <v>-2.7999999999999972</v>
      </c>
      <c r="AS157" s="447">
        <v>7.6</v>
      </c>
      <c r="AT157" s="341">
        <v>8.1</v>
      </c>
      <c r="AU157" s="341">
        <f>AT157-AS157</f>
        <v>0.5</v>
      </c>
      <c r="AV157" s="303"/>
      <c r="AW157" s="303"/>
      <c r="AX157" s="303"/>
      <c r="AY157" s="303"/>
      <c r="AZ157" s="322" t="s">
        <v>686</v>
      </c>
      <c r="BA157" s="461">
        <v>11819.33362345</v>
      </c>
      <c r="BB157" s="461">
        <v>-10.50620981</v>
      </c>
      <c r="BC157" s="461">
        <v>1018.84227972</v>
      </c>
      <c r="BD157" s="461">
        <v>1138.4502518100001</v>
      </c>
      <c r="BE157" s="461">
        <v>6.9106872600000004</v>
      </c>
      <c r="BF157" s="461">
        <v>7.0843097500000001</v>
      </c>
      <c r="BG157" s="461">
        <v>-0.12243403</v>
      </c>
      <c r="BH157" s="461">
        <v>6.2272243899999999</v>
      </c>
      <c r="BI157" s="461">
        <v>6.2348579700000002</v>
      </c>
      <c r="BJ157" s="461">
        <v>-2.38686658</v>
      </c>
      <c r="BK157" s="461">
        <v>-2.4508032000000002</v>
      </c>
      <c r="BL157" s="461">
        <v>0.34897518</v>
      </c>
    </row>
    <row r="158" spans="1:70" ht="15" customHeight="1" x14ac:dyDescent="0.2">
      <c r="A158" s="321">
        <f t="shared" si="66"/>
        <v>62008018</v>
      </c>
      <c r="B158" s="321" t="s">
        <v>635</v>
      </c>
      <c r="C158" s="321" t="s">
        <v>782</v>
      </c>
      <c r="D158" s="352" t="s">
        <v>718</v>
      </c>
      <c r="E158" s="307" t="s">
        <v>857</v>
      </c>
      <c r="F158" s="307" t="str">
        <f t="shared" si="60"/>
        <v>08/07/20</v>
      </c>
      <c r="G158" s="322" t="s">
        <v>858</v>
      </c>
      <c r="H158" s="322" t="s">
        <v>685</v>
      </c>
      <c r="I158" s="330"/>
      <c r="J158" s="324">
        <f>AVERAGE(J156:J157)</f>
        <v>25.032876999999999</v>
      </c>
      <c r="K158" s="324">
        <f>AVERAGE(K156:K157)</f>
        <v>39.187571000000005</v>
      </c>
      <c r="L158" s="324">
        <f>AVERAGE(L156:L157)</f>
        <v>29.464562000000001</v>
      </c>
      <c r="M158" s="324">
        <f>AVERAGE(M156:M157)</f>
        <v>30.255761499999998</v>
      </c>
      <c r="N158" s="310"/>
      <c r="O158" s="308"/>
      <c r="P158" s="326"/>
      <c r="Q158" s="325"/>
      <c r="R158" s="311">
        <f>R157+R156</f>
        <v>7.9924335600000003</v>
      </c>
      <c r="S158" s="311">
        <f>S157</f>
        <v>7.9924335600000003</v>
      </c>
      <c r="T158" s="339">
        <f>T156</f>
        <v>90.1</v>
      </c>
      <c r="U158" s="339">
        <f>U157</f>
        <v>86.8</v>
      </c>
      <c r="V158" s="314">
        <f>V156</f>
        <v>5152</v>
      </c>
      <c r="W158" s="314">
        <f>W157</f>
        <v>7369</v>
      </c>
      <c r="X158" s="314">
        <f>SUM(X156:X157)</f>
        <v>2402</v>
      </c>
      <c r="Y158" s="314">
        <f t="shared" si="61"/>
        <v>300.53424679328833</v>
      </c>
      <c r="Z158" s="314">
        <f>Z156</f>
        <v>164.657568</v>
      </c>
      <c r="AA158" s="314">
        <f>AA157</f>
        <v>185.15748400000001</v>
      </c>
      <c r="AB158" s="314">
        <f>SUM(AB156:AB157)</f>
        <v>24.889851999999991</v>
      </c>
      <c r="AC158" s="312">
        <f t="shared" si="62"/>
        <v>3.1141769040867686</v>
      </c>
      <c r="AD158" s="314">
        <f>AD156</f>
        <v>-1.25</v>
      </c>
      <c r="AE158" s="314">
        <f>AE157</f>
        <v>-1.42</v>
      </c>
      <c r="AF158" s="314">
        <f>SUM(AF156:AF157)</f>
        <v>-0.19999999999999996</v>
      </c>
      <c r="AG158" s="312">
        <f t="shared" si="63"/>
        <v>-2.5023667509849145E-2</v>
      </c>
      <c r="AH158" s="314">
        <f>AH156</f>
        <v>0</v>
      </c>
      <c r="AI158" s="314">
        <f>AI157</f>
        <v>0</v>
      </c>
      <c r="AJ158" s="314">
        <f>SUM(AJ156:AJ157)</f>
        <v>0</v>
      </c>
      <c r="AK158" s="312">
        <f t="shared" si="64"/>
        <v>0</v>
      </c>
      <c r="AL158" s="314">
        <f>AL156</f>
        <v>0</v>
      </c>
      <c r="AM158" s="314">
        <f>AM157</f>
        <v>0</v>
      </c>
      <c r="AN158" s="314">
        <f>SUM(AN156:AN157)</f>
        <v>0</v>
      </c>
      <c r="AO158" s="312">
        <f t="shared" si="65"/>
        <v>0</v>
      </c>
      <c r="AP158" s="305"/>
      <c r="AQ158" s="305"/>
      <c r="AR158" s="305">
        <f>SUM(AR156:AR157)</f>
        <v>-3.5999999999999943</v>
      </c>
      <c r="AS158" s="342">
        <f>AS156</f>
        <v>7.4</v>
      </c>
      <c r="AT158" s="342">
        <f>AT157</f>
        <v>8.1</v>
      </c>
      <c r="AU158" s="342">
        <f>SUM(AU156:AU157)</f>
        <v>0.90000000000000036</v>
      </c>
      <c r="AV158" s="305"/>
      <c r="AW158" s="305"/>
      <c r="AX158" s="305"/>
      <c r="AY158" s="305"/>
      <c r="AZ158" s="322" t="s">
        <v>686</v>
      </c>
    </row>
    <row r="159" spans="1:70" ht="15" customHeight="1" x14ac:dyDescent="0.2">
      <c r="A159" s="321">
        <v>62008019</v>
      </c>
      <c r="B159" s="321" t="s">
        <v>674</v>
      </c>
      <c r="C159" s="321" t="s">
        <v>773</v>
      </c>
      <c r="D159" s="352" t="s">
        <v>682</v>
      </c>
      <c r="E159" s="307" t="s">
        <v>859</v>
      </c>
      <c r="F159" s="307" t="str">
        <f t="shared" si="60"/>
        <v>08/07/20</v>
      </c>
      <c r="G159" s="322" t="s">
        <v>860</v>
      </c>
      <c r="H159" s="322" t="s">
        <v>861</v>
      </c>
      <c r="I159" s="330"/>
      <c r="J159" s="323">
        <v>24.713861000000001</v>
      </c>
      <c r="K159" s="323">
        <v>40.886190999999997</v>
      </c>
      <c r="L159" s="323">
        <v>29.457125999999999</v>
      </c>
      <c r="M159" s="323">
        <v>29.319324000000002</v>
      </c>
      <c r="N159" s="308">
        <v>4250</v>
      </c>
      <c r="O159" s="308">
        <v>30.36</v>
      </c>
      <c r="P159" s="308">
        <v>0.3201</v>
      </c>
      <c r="Q159" s="308">
        <v>1.9560000000000001E-2</v>
      </c>
      <c r="R159" s="309">
        <v>10.24532035</v>
      </c>
      <c r="S159" s="309">
        <f>R159+R158</f>
        <v>18.237753910000002</v>
      </c>
      <c r="T159" s="338">
        <v>86.5</v>
      </c>
      <c r="U159" s="338">
        <v>83.1</v>
      </c>
      <c r="V159" s="313">
        <v>7557</v>
      </c>
      <c r="W159" s="313">
        <v>9781</v>
      </c>
      <c r="X159" s="313">
        <f>W159-V159</f>
        <v>2224</v>
      </c>
      <c r="Y159" s="313">
        <f t="shared" si="61"/>
        <v>217.0747154821762</v>
      </c>
      <c r="Z159" s="332">
        <v>192.02732800000001</v>
      </c>
      <c r="AA159" s="313">
        <v>224.58686700000001</v>
      </c>
      <c r="AB159" s="313">
        <f>AA159-Z159</f>
        <v>32.559539000000001</v>
      </c>
      <c r="AC159" s="331">
        <f t="shared" si="62"/>
        <v>3.1779913060502789</v>
      </c>
      <c r="AD159" s="332">
        <v>-0.03</v>
      </c>
      <c r="AE159" s="313">
        <v>-0.96</v>
      </c>
      <c r="AF159" s="313">
        <f>AE159-AD159</f>
        <v>-0.92999999999999994</v>
      </c>
      <c r="AG159" s="331">
        <f t="shared" si="63"/>
        <v>-9.0773149909363249E-2</v>
      </c>
      <c r="AH159" s="332">
        <v>0</v>
      </c>
      <c r="AI159" s="313">
        <v>0</v>
      </c>
      <c r="AJ159" s="313">
        <f>AI159-AH159</f>
        <v>0</v>
      </c>
      <c r="AK159" s="331">
        <f t="shared" si="64"/>
        <v>0</v>
      </c>
      <c r="AL159" s="332">
        <v>0</v>
      </c>
      <c r="AM159" s="313">
        <v>0</v>
      </c>
      <c r="AN159" s="313">
        <f>AM159-AL159</f>
        <v>0</v>
      </c>
      <c r="AO159" s="331">
        <f t="shared" si="65"/>
        <v>0</v>
      </c>
      <c r="AP159" s="303">
        <v>86.5</v>
      </c>
      <c r="AQ159" s="303">
        <v>83.1</v>
      </c>
      <c r="AR159" s="303">
        <f>AQ159-AP159</f>
        <v>-3.4000000000000057</v>
      </c>
      <c r="AS159" s="447">
        <v>9.6999999999999993</v>
      </c>
      <c r="AT159" s="341">
        <v>10.8</v>
      </c>
      <c r="AU159" s="341">
        <f>AT159-AS159</f>
        <v>1.1000000000000014</v>
      </c>
      <c r="AV159" s="303"/>
      <c r="AW159" s="303"/>
      <c r="AX159" s="303"/>
      <c r="AY159" s="303"/>
      <c r="AZ159" s="322" t="s">
        <v>686</v>
      </c>
      <c r="BA159" s="461">
        <v>1943.34344775</v>
      </c>
      <c r="BB159" s="461">
        <v>-0.74304683999999999</v>
      </c>
      <c r="BC159" s="461">
        <v>1297.02273311</v>
      </c>
      <c r="BD159" s="461">
        <v>1306.73236662</v>
      </c>
      <c r="BE159" s="461">
        <v>7.9700058599999997</v>
      </c>
      <c r="BF159" s="461">
        <v>8.0200887699999992</v>
      </c>
      <c r="BG159" s="461">
        <v>-0.11014094000000001</v>
      </c>
      <c r="BH159" s="461">
        <v>10.24538372</v>
      </c>
      <c r="BI159" s="461">
        <v>10.25668052</v>
      </c>
      <c r="BJ159" s="461">
        <v>-0.51755943999999998</v>
      </c>
      <c r="BK159" s="461">
        <v>-0.62446838000000005</v>
      </c>
      <c r="BL159" s="461">
        <v>0.28276751999999999</v>
      </c>
    </row>
    <row r="160" spans="1:70" ht="15" customHeight="1" x14ac:dyDescent="0.2">
      <c r="A160" s="321">
        <v>62008019</v>
      </c>
      <c r="B160" s="321" t="s">
        <v>674</v>
      </c>
      <c r="C160" s="321" t="s">
        <v>774</v>
      </c>
      <c r="D160" s="352" t="s">
        <v>682</v>
      </c>
      <c r="E160" s="307" t="s">
        <v>859</v>
      </c>
      <c r="F160" s="307" t="str">
        <f t="shared" si="60"/>
        <v>08/07/20</v>
      </c>
      <c r="G160" s="322" t="s">
        <v>860</v>
      </c>
      <c r="H160" s="322" t="s">
        <v>861</v>
      </c>
      <c r="I160" s="330"/>
      <c r="J160" s="323">
        <v>24.853404000000001</v>
      </c>
      <c r="K160" s="323">
        <v>39.231538999999998</v>
      </c>
      <c r="L160" s="323">
        <v>29.449683</v>
      </c>
      <c r="M160" s="323">
        <v>30.374859000000001</v>
      </c>
      <c r="N160" s="308">
        <v>4250</v>
      </c>
      <c r="O160" s="308">
        <v>30.36</v>
      </c>
      <c r="P160" s="308">
        <v>0.3201</v>
      </c>
      <c r="Q160" s="308">
        <v>1.9560000000000001E-2</v>
      </c>
      <c r="R160" s="309">
        <v>10.245304730000001</v>
      </c>
      <c r="S160" s="309">
        <f>R160+R159</f>
        <v>20.490625080000001</v>
      </c>
      <c r="T160" s="338">
        <v>83.1</v>
      </c>
      <c r="U160" s="338">
        <v>79.7</v>
      </c>
      <c r="V160" s="313">
        <v>9782</v>
      </c>
      <c r="W160" s="313">
        <v>11977</v>
      </c>
      <c r="X160" s="313">
        <f>W160-V160</f>
        <v>2195</v>
      </c>
      <c r="Y160" s="313">
        <f t="shared" si="61"/>
        <v>214.24448153041905</v>
      </c>
      <c r="Z160" s="332">
        <v>225.19</v>
      </c>
      <c r="AA160" s="313">
        <v>256.94652100000002</v>
      </c>
      <c r="AB160" s="313">
        <f>AA160-Z160</f>
        <v>31.756521000000021</v>
      </c>
      <c r="AC160" s="331">
        <f t="shared" si="62"/>
        <v>3.0996170281798947</v>
      </c>
      <c r="AD160" s="332">
        <v>-0.97</v>
      </c>
      <c r="AE160" s="313">
        <v>-1.33</v>
      </c>
      <c r="AF160" s="313">
        <f>AE160-AD160</f>
        <v>-0.3600000000000001</v>
      </c>
      <c r="AG160" s="331">
        <f t="shared" si="63"/>
        <v>-3.5138047084715664E-2</v>
      </c>
      <c r="AH160" s="332">
        <v>0</v>
      </c>
      <c r="AI160" s="313">
        <v>0</v>
      </c>
      <c r="AJ160" s="313">
        <f>AI160-AH160</f>
        <v>0</v>
      </c>
      <c r="AK160" s="331">
        <f t="shared" si="64"/>
        <v>0</v>
      </c>
      <c r="AL160" s="332">
        <v>0</v>
      </c>
      <c r="AM160" s="313">
        <v>0</v>
      </c>
      <c r="AN160" s="313">
        <f>AM160-AL160</f>
        <v>0</v>
      </c>
      <c r="AO160" s="331">
        <f t="shared" si="65"/>
        <v>0</v>
      </c>
      <c r="AP160" s="303">
        <v>83.1</v>
      </c>
      <c r="AQ160" s="303">
        <v>79.7</v>
      </c>
      <c r="AR160" s="303">
        <f>AQ160-AP160</f>
        <v>-3.3999999999999915</v>
      </c>
      <c r="AS160" s="447">
        <v>10.8</v>
      </c>
      <c r="AT160" s="341">
        <v>11.8</v>
      </c>
      <c r="AU160" s="341">
        <f>AT160-AS160</f>
        <v>1</v>
      </c>
      <c r="AV160" s="303"/>
      <c r="AW160" s="303"/>
      <c r="AX160" s="303"/>
      <c r="AY160" s="303"/>
      <c r="AZ160" s="322" t="s">
        <v>686</v>
      </c>
      <c r="BA160" s="461">
        <v>1940.26098815</v>
      </c>
      <c r="BB160" s="461">
        <v>-0.80239185999999996</v>
      </c>
      <c r="BC160" s="461">
        <v>1296.2254238800001</v>
      </c>
      <c r="BD160" s="461">
        <v>1306.7103614</v>
      </c>
      <c r="BE160" s="461">
        <v>7.9707609699999997</v>
      </c>
      <c r="BF160" s="461">
        <v>8.0200398199999992</v>
      </c>
      <c r="BG160" s="461">
        <v>-0.11021156999999999</v>
      </c>
      <c r="BH160" s="461">
        <v>10.24537634</v>
      </c>
      <c r="BI160" s="461">
        <v>10.25668039</v>
      </c>
      <c r="BJ160" s="461">
        <v>-0.50735222999999996</v>
      </c>
      <c r="BK160" s="461">
        <v>-0.61444639000000001</v>
      </c>
      <c r="BL160" s="461">
        <v>0.28276394999999999</v>
      </c>
    </row>
    <row r="161" spans="1:70" ht="15" customHeight="1" x14ac:dyDescent="0.2">
      <c r="A161" s="485" t="s">
        <v>889</v>
      </c>
      <c r="B161" s="362"/>
      <c r="C161" s="363"/>
      <c r="D161" s="363"/>
      <c r="E161" s="363"/>
      <c r="F161" s="363"/>
      <c r="G161" s="363"/>
      <c r="H161" s="362"/>
      <c r="I161" s="362"/>
      <c r="J161" s="373"/>
      <c r="K161" s="374"/>
      <c r="L161" s="362"/>
      <c r="M161" s="362"/>
      <c r="N161" s="362"/>
      <c r="O161" s="362"/>
      <c r="P161" s="362"/>
      <c r="Q161" s="362"/>
      <c r="R161" s="362"/>
      <c r="S161" s="362"/>
      <c r="T161" s="362"/>
      <c r="U161" s="362"/>
      <c r="V161" s="362"/>
      <c r="W161" s="362"/>
      <c r="X161" s="362"/>
      <c r="Y161" s="362"/>
      <c r="Z161" s="362"/>
      <c r="AA161" s="362"/>
      <c r="AB161" s="362"/>
      <c r="AC161" s="362"/>
      <c r="AD161" s="362"/>
      <c r="AE161" s="362"/>
      <c r="AF161" s="362"/>
      <c r="AG161" s="362"/>
      <c r="AH161" s="362"/>
      <c r="AI161" s="362"/>
      <c r="AJ161" s="362"/>
      <c r="AK161" s="362"/>
      <c r="AL161" s="362"/>
      <c r="AM161" s="362"/>
      <c r="AN161" s="362"/>
      <c r="AO161" s="362"/>
      <c r="AP161" s="362"/>
      <c r="AQ161" s="362"/>
      <c r="AR161" s="362"/>
      <c r="AS161" s="362"/>
      <c r="AT161" s="362"/>
      <c r="AU161" s="362"/>
      <c r="AV161" s="362"/>
      <c r="AW161" s="362"/>
      <c r="AX161" s="362"/>
      <c r="AY161" s="362"/>
      <c r="AZ161" s="362"/>
      <c r="BA161" s="362"/>
      <c r="BB161" s="362"/>
      <c r="BC161" s="362"/>
      <c r="BD161" s="362"/>
      <c r="BE161" s="362"/>
      <c r="BF161" s="375"/>
      <c r="BG161" s="362"/>
      <c r="BH161" s="362"/>
      <c r="BI161" s="362"/>
      <c r="BJ161" s="362"/>
      <c r="BK161" s="362"/>
      <c r="BL161" s="362"/>
      <c r="BM161" s="362"/>
      <c r="BN161" s="362"/>
      <c r="BO161" s="362"/>
      <c r="BP161" s="362"/>
      <c r="BQ161" s="362"/>
      <c r="BR161" s="366"/>
    </row>
    <row r="162" spans="1:70" ht="15" customHeight="1" x14ac:dyDescent="0.2">
      <c r="A162" s="328">
        <v>62008020</v>
      </c>
      <c r="B162" s="321" t="s">
        <v>627</v>
      </c>
      <c r="C162" s="321" t="s">
        <v>773</v>
      </c>
      <c r="D162" s="352" t="s">
        <v>718</v>
      </c>
      <c r="E162" s="307" t="s">
        <v>866</v>
      </c>
      <c r="F162" s="307" t="str">
        <f t="shared" si="60"/>
        <v>08/10/20</v>
      </c>
      <c r="G162" s="322" t="s">
        <v>867</v>
      </c>
      <c r="H162" s="322" t="s">
        <v>685</v>
      </c>
      <c r="I162" s="330"/>
      <c r="J162" s="323">
        <v>36.643287999999998</v>
      </c>
      <c r="K162" s="323">
        <v>36.044581000000001</v>
      </c>
      <c r="L162" s="323">
        <v>29.247785</v>
      </c>
      <c r="M162" s="323">
        <v>38.400030999999998</v>
      </c>
      <c r="N162" s="308">
        <v>4250</v>
      </c>
      <c r="O162" s="308">
        <v>30.36</v>
      </c>
      <c r="P162" s="308">
        <v>0.3201</v>
      </c>
      <c r="Q162" s="308">
        <v>1.9560000000000001E-2</v>
      </c>
      <c r="R162" s="309">
        <v>3.5792038900000001</v>
      </c>
      <c r="S162" s="309">
        <f>R162+R161</f>
        <v>3.5792038900000001</v>
      </c>
      <c r="T162" s="338">
        <v>98.5</v>
      </c>
      <c r="U162" s="338">
        <v>96.2</v>
      </c>
      <c r="V162" s="313">
        <v>9</v>
      </c>
      <c r="W162" s="313">
        <v>1260</v>
      </c>
      <c r="X162" s="313">
        <f>W162-V162</f>
        <v>1251</v>
      </c>
      <c r="Y162" s="313">
        <f t="shared" ref="Y162:Y184" si="67">X162/$R162</f>
        <v>349.51906581661655</v>
      </c>
      <c r="Z162" s="332">
        <v>7.48</v>
      </c>
      <c r="AA162" s="313">
        <v>95.946144000000004</v>
      </c>
      <c r="AB162" s="313">
        <f>AA162-Z162</f>
        <v>88.466144</v>
      </c>
      <c r="AC162" s="331">
        <f t="shared" ref="AC162:AC184" si="68">AB162/$R162</f>
        <v>24.716709837952259</v>
      </c>
      <c r="AD162" s="332">
        <v>-1.34</v>
      </c>
      <c r="AE162" s="313">
        <v>-3.2</v>
      </c>
      <c r="AF162" s="313">
        <f>AE162-AD162</f>
        <v>-1.86</v>
      </c>
      <c r="AG162" s="331">
        <f t="shared" ref="AG162:AG184" si="69">AF162/$R162</f>
        <v>-0.51966863502710381</v>
      </c>
      <c r="AH162" s="332">
        <v>0</v>
      </c>
      <c r="AI162" s="313">
        <v>369.15</v>
      </c>
      <c r="AJ162" s="313">
        <f>AI162-AH162</f>
        <v>369.15</v>
      </c>
      <c r="AK162" s="331">
        <f t="shared" ref="AK162:AK184" si="70">AJ162/$R162</f>
        <v>103.13746054852437</v>
      </c>
      <c r="AL162" s="332">
        <v>0</v>
      </c>
      <c r="AM162" s="313">
        <v>-0.2</v>
      </c>
      <c r="AN162" s="313">
        <f>AM162-AL162</f>
        <v>-0.2</v>
      </c>
      <c r="AO162" s="331">
        <f t="shared" ref="AO162:AO184" si="71">AN162/$R162</f>
        <v>-5.5878347852376747E-2</v>
      </c>
      <c r="AP162" s="303">
        <v>98.5</v>
      </c>
      <c r="AQ162" s="303">
        <v>96.2</v>
      </c>
      <c r="AR162" s="303">
        <f>AQ162-AP162</f>
        <v>-2.2999999999999972</v>
      </c>
      <c r="AS162" s="332">
        <v>1.1000000000000001</v>
      </c>
      <c r="AT162" s="313">
        <v>1.8</v>
      </c>
      <c r="AU162" s="341">
        <f>AT162-AS162</f>
        <v>0.7</v>
      </c>
      <c r="AV162" s="303"/>
      <c r="AW162" s="303"/>
      <c r="AX162" s="303"/>
      <c r="AY162" s="303"/>
      <c r="AZ162" s="322" t="s">
        <v>686</v>
      </c>
      <c r="BA162" s="461">
        <v>2420.2129478299998</v>
      </c>
      <c r="BB162" s="461">
        <v>-0.74541621000000002</v>
      </c>
      <c r="BC162" s="461">
        <v>2033.5880130999999</v>
      </c>
      <c r="BD162" s="461">
        <v>2048.86055171</v>
      </c>
      <c r="BE162" s="461">
        <v>3.22530166</v>
      </c>
      <c r="BF162" s="461">
        <v>3.2585617</v>
      </c>
      <c r="BG162" s="461">
        <v>-0.32878394999999999</v>
      </c>
      <c r="BH162" s="461">
        <v>3.5791737800000001</v>
      </c>
      <c r="BI162" s="461">
        <v>3.5909803400000002</v>
      </c>
      <c r="BJ162" s="461">
        <v>-0.69904809000000001</v>
      </c>
      <c r="BK162" s="461">
        <v>-1.02069688</v>
      </c>
      <c r="BL162" s="461">
        <v>0.59040013000000002</v>
      </c>
    </row>
    <row r="163" spans="1:70" ht="15" customHeight="1" x14ac:dyDescent="0.2">
      <c r="A163" s="328">
        <v>62008020</v>
      </c>
      <c r="B163" s="321" t="s">
        <v>628</v>
      </c>
      <c r="C163" s="321" t="s">
        <v>774</v>
      </c>
      <c r="D163" s="352" t="s">
        <v>718</v>
      </c>
      <c r="E163" s="307" t="s">
        <v>866</v>
      </c>
      <c r="F163" s="307" t="str">
        <f t="shared" si="60"/>
        <v>08/10/20</v>
      </c>
      <c r="G163" s="322" t="s">
        <v>867</v>
      </c>
      <c r="H163" s="322" t="s">
        <v>685</v>
      </c>
      <c r="I163" s="330"/>
      <c r="J163" s="323">
        <v>33.699801999999998</v>
      </c>
      <c r="K163" s="323">
        <v>49.097344999999997</v>
      </c>
      <c r="L163" s="323">
        <v>29.240974999999999</v>
      </c>
      <c r="M163" s="323">
        <v>40.861373</v>
      </c>
      <c r="N163" s="308">
        <v>4250</v>
      </c>
      <c r="O163" s="308">
        <v>30.36</v>
      </c>
      <c r="P163" s="308">
        <v>0.3201</v>
      </c>
      <c r="Q163" s="308">
        <v>1.9560000000000001E-2</v>
      </c>
      <c r="R163" s="309">
        <v>3.8441201899999999</v>
      </c>
      <c r="S163" s="309">
        <f>R163+R162</f>
        <v>7.4233240800000004</v>
      </c>
      <c r="T163" s="338">
        <v>96.2</v>
      </c>
      <c r="U163" s="338">
        <v>94.7</v>
      </c>
      <c r="V163" s="313">
        <v>1260</v>
      </c>
      <c r="W163" s="313">
        <v>2313</v>
      </c>
      <c r="X163" s="313">
        <f>W163-V163</f>
        <v>1053</v>
      </c>
      <c r="Y163" s="313">
        <f t="shared" si="67"/>
        <v>273.92483792240637</v>
      </c>
      <c r="Z163" s="332">
        <v>95.980511000000007</v>
      </c>
      <c r="AA163" s="313">
        <v>197.4</v>
      </c>
      <c r="AB163" s="313">
        <f>AA163-Z163</f>
        <v>101.419489</v>
      </c>
      <c r="AC163" s="331">
        <f t="shared" si="68"/>
        <v>26.383017176161704</v>
      </c>
      <c r="AD163" s="332">
        <v>-3.2</v>
      </c>
      <c r="AE163" s="313">
        <v>-5.43</v>
      </c>
      <c r="AF163" s="313">
        <f>AE163-AD163</f>
        <v>-2.2299999999999995</v>
      </c>
      <c r="AG163" s="331">
        <f t="shared" si="69"/>
        <v>-0.58010673178249395</v>
      </c>
      <c r="AH163" s="332">
        <v>369.155148</v>
      </c>
      <c r="AI163" s="313">
        <v>737.44982600000003</v>
      </c>
      <c r="AJ163" s="313">
        <f>AI163-AH163</f>
        <v>368.29467800000003</v>
      </c>
      <c r="AK163" s="331">
        <f t="shared" si="70"/>
        <v>95.807274433841272</v>
      </c>
      <c r="AL163" s="332">
        <v>-0.2</v>
      </c>
      <c r="AM163" s="313">
        <v>-0.55000000000000004</v>
      </c>
      <c r="AN163" s="313">
        <f>AM163-AL163</f>
        <v>-0.35000000000000003</v>
      </c>
      <c r="AO163" s="331">
        <f t="shared" si="71"/>
        <v>-9.104814175958427E-2</v>
      </c>
      <c r="AP163" s="303">
        <v>96.2</v>
      </c>
      <c r="AQ163" s="303">
        <v>94.7</v>
      </c>
      <c r="AR163" s="303">
        <f>AQ163-AP163</f>
        <v>-1.5</v>
      </c>
      <c r="AS163" s="332">
        <v>1.8</v>
      </c>
      <c r="AT163" s="313">
        <v>2.9</v>
      </c>
      <c r="AU163" s="341">
        <f>AT163-AS163</f>
        <v>1.0999999999999999</v>
      </c>
      <c r="AV163" s="303"/>
      <c r="AW163" s="303"/>
      <c r="AX163" s="303"/>
      <c r="AY163" s="303"/>
      <c r="AZ163" s="322" t="s">
        <v>686</v>
      </c>
      <c r="BA163" s="461">
        <v>1482.81530873</v>
      </c>
      <c r="BB163" s="461">
        <v>-2.09492484</v>
      </c>
      <c r="BC163" s="461">
        <v>3344.6072343800001</v>
      </c>
      <c r="BD163" s="461">
        <v>3416.1735015999998</v>
      </c>
      <c r="BE163" s="461">
        <v>2.9571350399999998</v>
      </c>
      <c r="BF163" s="461">
        <v>3.0186883199999999</v>
      </c>
      <c r="BG163" s="461">
        <v>-0.40959449999999997</v>
      </c>
      <c r="BH163" s="461">
        <v>3.8440211</v>
      </c>
      <c r="BI163" s="461">
        <v>3.8598307599999999</v>
      </c>
      <c r="BJ163" s="461">
        <v>-1.6633973399999999</v>
      </c>
      <c r="BK163" s="461">
        <v>-2.0390739500000001</v>
      </c>
      <c r="BL163" s="461">
        <v>0.71450559000000002</v>
      </c>
    </row>
    <row r="164" spans="1:70" ht="15" customHeight="1" x14ac:dyDescent="0.2">
      <c r="A164" s="328">
        <v>62008020</v>
      </c>
      <c r="B164" s="321" t="s">
        <v>629</v>
      </c>
      <c r="C164" s="321" t="s">
        <v>775</v>
      </c>
      <c r="D164" s="352" t="s">
        <v>718</v>
      </c>
      <c r="E164" s="307" t="s">
        <v>866</v>
      </c>
      <c r="F164" s="307" t="str">
        <f t="shared" si="60"/>
        <v>08/10/20</v>
      </c>
      <c r="G164" s="322" t="s">
        <v>867</v>
      </c>
      <c r="H164" s="322" t="s">
        <v>685</v>
      </c>
      <c r="I164" s="330"/>
      <c r="J164" s="324">
        <f>AVERAGE(J162:J163)</f>
        <v>35.171544999999995</v>
      </c>
      <c r="K164" s="324">
        <f>AVERAGE(K162:K163)</f>
        <v>42.570962999999999</v>
      </c>
      <c r="L164" s="324">
        <f>AVERAGE(L162:L163)</f>
        <v>29.24438</v>
      </c>
      <c r="M164" s="324">
        <f>AVERAGE(M162:M163)</f>
        <v>39.630701999999999</v>
      </c>
      <c r="N164" s="310"/>
      <c r="O164" s="308"/>
      <c r="P164" s="326"/>
      <c r="Q164" s="325"/>
      <c r="R164" s="311">
        <f>R163+R162</f>
        <v>7.4233240800000004</v>
      </c>
      <c r="S164" s="311">
        <f>S163</f>
        <v>7.4233240800000004</v>
      </c>
      <c r="T164" s="339">
        <f>T162</f>
        <v>98.5</v>
      </c>
      <c r="U164" s="339">
        <f>U163</f>
        <v>94.7</v>
      </c>
      <c r="V164" s="314">
        <f>V162</f>
        <v>9</v>
      </c>
      <c r="W164" s="314">
        <f>W163</f>
        <v>2313</v>
      </c>
      <c r="X164" s="314">
        <f>SUM(X162:X163)</f>
        <v>2304</v>
      </c>
      <c r="Y164" s="314">
        <f t="shared" si="67"/>
        <v>310.37308558405277</v>
      </c>
      <c r="Z164" s="314">
        <f>Z162</f>
        <v>7.48</v>
      </c>
      <c r="AA164" s="314">
        <f>AA163</f>
        <v>197.4</v>
      </c>
      <c r="AB164" s="314">
        <f>SUM(AB162:AB163)</f>
        <v>189.88563299999998</v>
      </c>
      <c r="AC164" s="312">
        <f t="shared" si="68"/>
        <v>25.579596277036039</v>
      </c>
      <c r="AD164" s="314">
        <f>AD162</f>
        <v>-1.34</v>
      </c>
      <c r="AE164" s="314">
        <f>AE163</f>
        <v>-5.43</v>
      </c>
      <c r="AF164" s="314">
        <f>SUM(AF162:AF163)</f>
        <v>-4.09</v>
      </c>
      <c r="AG164" s="312">
        <f t="shared" si="69"/>
        <v>-0.55096611112794092</v>
      </c>
      <c r="AH164" s="314">
        <f>AH162</f>
        <v>0</v>
      </c>
      <c r="AI164" s="314">
        <f>AI163</f>
        <v>737.44982600000003</v>
      </c>
      <c r="AJ164" s="314">
        <f>SUM(AJ162:AJ163)</f>
        <v>737.44467800000007</v>
      </c>
      <c r="AK164" s="312">
        <f t="shared" si="70"/>
        <v>99.341571249304806</v>
      </c>
      <c r="AL164" s="314">
        <f>AL162</f>
        <v>0</v>
      </c>
      <c r="AM164" s="314">
        <f>AM163</f>
        <v>-0.55000000000000004</v>
      </c>
      <c r="AN164" s="314">
        <f>SUM(AN162:AN163)</f>
        <v>-0.55000000000000004</v>
      </c>
      <c r="AO164" s="312">
        <f t="shared" si="71"/>
        <v>-7.4090797339943157E-2</v>
      </c>
      <c r="AP164" s="305"/>
      <c r="AQ164" s="305"/>
      <c r="AR164" s="305">
        <f>SUM(AR162:AR163)</f>
        <v>-3.7999999999999972</v>
      </c>
      <c r="AS164" s="314">
        <f>AS162</f>
        <v>1.1000000000000001</v>
      </c>
      <c r="AT164" s="314">
        <f>AT163</f>
        <v>2.9</v>
      </c>
      <c r="AU164" s="342">
        <f>SUM(AU162:AU163)</f>
        <v>1.7999999999999998</v>
      </c>
      <c r="AV164" s="305"/>
      <c r="AW164" s="305"/>
      <c r="AX164" s="305"/>
      <c r="AY164" s="305"/>
      <c r="AZ164" s="322" t="s">
        <v>686</v>
      </c>
    </row>
    <row r="165" spans="1:70" ht="15" customHeight="1" x14ac:dyDescent="0.2">
      <c r="A165" s="328">
        <v>62008020</v>
      </c>
      <c r="B165" s="321" t="s">
        <v>630</v>
      </c>
      <c r="C165" s="321" t="s">
        <v>776</v>
      </c>
      <c r="D165" s="352" t="s">
        <v>718</v>
      </c>
      <c r="E165" s="307" t="s">
        <v>866</v>
      </c>
      <c r="F165" s="307" t="str">
        <f t="shared" si="60"/>
        <v>08/10/20</v>
      </c>
      <c r="G165" s="322" t="s">
        <v>867</v>
      </c>
      <c r="H165" s="322" t="s">
        <v>685</v>
      </c>
      <c r="I165" s="330"/>
      <c r="J165" s="323">
        <v>37.879582999999997</v>
      </c>
      <c r="K165" s="323">
        <v>31.592390999999999</v>
      </c>
      <c r="L165" s="323">
        <v>29.250308</v>
      </c>
      <c r="M165" s="323">
        <v>41.882632999999998</v>
      </c>
      <c r="N165" s="308">
        <v>4250</v>
      </c>
      <c r="O165" s="308">
        <v>30.36</v>
      </c>
      <c r="P165" s="308">
        <v>0.3201</v>
      </c>
      <c r="Q165" s="308">
        <v>1.9560000000000001E-2</v>
      </c>
      <c r="R165" s="309">
        <v>10.24543811</v>
      </c>
      <c r="S165" s="309">
        <f>R165+R164</f>
        <v>17.668762190000002</v>
      </c>
      <c r="T165" s="338">
        <v>94.7</v>
      </c>
      <c r="U165" s="338">
        <v>91.2</v>
      </c>
      <c r="V165" s="313">
        <v>2321</v>
      </c>
      <c r="W165" s="313">
        <v>4706</v>
      </c>
      <c r="X165" s="313">
        <f>W165-V165</f>
        <v>2385</v>
      </c>
      <c r="Y165" s="313">
        <f t="shared" si="67"/>
        <v>232.78653137069216</v>
      </c>
      <c r="Z165" s="332">
        <v>199.38994600000001</v>
      </c>
      <c r="AA165" s="313">
        <v>270.75955699999997</v>
      </c>
      <c r="AB165" s="313">
        <f>AA165-Z165</f>
        <v>71.369610999999963</v>
      </c>
      <c r="AC165" s="331">
        <f t="shared" si="68"/>
        <v>6.9659891781826362</v>
      </c>
      <c r="AD165" s="332">
        <v>-5.47</v>
      </c>
      <c r="AE165" s="313">
        <v>-6.95</v>
      </c>
      <c r="AF165" s="313">
        <f>AE165-AD165</f>
        <v>-1.4800000000000004</v>
      </c>
      <c r="AG165" s="331">
        <f t="shared" si="69"/>
        <v>-0.14445453519019893</v>
      </c>
      <c r="AH165" s="332">
        <v>742.89971500000001</v>
      </c>
      <c r="AI165" s="313">
        <v>968.4</v>
      </c>
      <c r="AJ165" s="313">
        <f>AI165-AH165</f>
        <v>225.50028499999996</v>
      </c>
      <c r="AK165" s="331">
        <f t="shared" si="70"/>
        <v>22.009823550629985</v>
      </c>
      <c r="AL165" s="332">
        <v>-0.55000000000000004</v>
      </c>
      <c r="AM165" s="313">
        <v>-0.8</v>
      </c>
      <c r="AN165" s="313">
        <f>AM165-AL165</f>
        <v>-0.25</v>
      </c>
      <c r="AO165" s="331">
        <f t="shared" si="71"/>
        <v>-2.4401103917263328E-2</v>
      </c>
      <c r="AP165" s="303">
        <v>94.7</v>
      </c>
      <c r="AQ165" s="303">
        <v>91.2</v>
      </c>
      <c r="AR165" s="303">
        <f>AQ165-AP165</f>
        <v>-3.5</v>
      </c>
      <c r="AS165" s="332">
        <v>2.9</v>
      </c>
      <c r="AT165" s="313">
        <v>3.9</v>
      </c>
      <c r="AU165" s="341">
        <f>AT165-AS165</f>
        <v>1</v>
      </c>
      <c r="AV165" s="303"/>
      <c r="AW165" s="303"/>
      <c r="AX165" s="303"/>
      <c r="AY165" s="303"/>
      <c r="AZ165" s="322" t="s">
        <v>686</v>
      </c>
      <c r="BA165" s="461">
        <v>1945.5048773399999</v>
      </c>
      <c r="BB165" s="461">
        <v>-0.76642776000000001</v>
      </c>
      <c r="BC165" s="461">
        <v>1296.71059556</v>
      </c>
      <c r="BD165" s="461">
        <v>1306.7257040699999</v>
      </c>
      <c r="BE165" s="461">
        <v>7.9716967099999998</v>
      </c>
      <c r="BF165" s="461">
        <v>8.0200728800000007</v>
      </c>
      <c r="BG165" s="461">
        <v>-0.1087957</v>
      </c>
      <c r="BH165" s="461">
        <v>10.2455216</v>
      </c>
      <c r="BI165" s="461">
        <v>10.256680429999999</v>
      </c>
      <c r="BJ165" s="461">
        <v>-0.49739317999999999</v>
      </c>
      <c r="BK165" s="461">
        <v>-0.60318866000000004</v>
      </c>
      <c r="BL165" s="461">
        <v>0.28276666</v>
      </c>
    </row>
    <row r="166" spans="1:70" ht="15" customHeight="1" x14ac:dyDescent="0.2">
      <c r="A166" s="328">
        <v>62008020</v>
      </c>
      <c r="B166" s="321" t="s">
        <v>631</v>
      </c>
      <c r="C166" s="321" t="s">
        <v>777</v>
      </c>
      <c r="D166" s="352" t="s">
        <v>718</v>
      </c>
      <c r="E166" s="307" t="s">
        <v>866</v>
      </c>
      <c r="F166" s="307" t="str">
        <f t="shared" si="60"/>
        <v>08/10/20</v>
      </c>
      <c r="G166" s="322" t="s">
        <v>867</v>
      </c>
      <c r="H166" s="322" t="s">
        <v>685</v>
      </c>
      <c r="I166" s="330"/>
      <c r="J166" s="323">
        <v>35.154490000000003</v>
      </c>
      <c r="K166" s="323">
        <v>46.854266000000003</v>
      </c>
      <c r="L166" s="323">
        <v>29.240314000000001</v>
      </c>
      <c r="M166" s="323">
        <v>41.957473</v>
      </c>
      <c r="N166" s="308">
        <v>4250</v>
      </c>
      <c r="O166" s="308">
        <v>30.36</v>
      </c>
      <c r="P166" s="308">
        <v>0.3201</v>
      </c>
      <c r="Q166" s="308">
        <v>1.9560000000000001E-2</v>
      </c>
      <c r="R166" s="309">
        <v>3.5819234400000002</v>
      </c>
      <c r="S166" s="309">
        <f>R166+R165</f>
        <v>13.827361550000001</v>
      </c>
      <c r="T166" s="338">
        <v>91.2</v>
      </c>
      <c r="U166" s="338">
        <v>89.8</v>
      </c>
      <c r="V166" s="313">
        <v>4713</v>
      </c>
      <c r="W166" s="313">
        <v>5632</v>
      </c>
      <c r="X166" s="313">
        <f>W166-V166</f>
        <v>919</v>
      </c>
      <c r="Y166" s="313">
        <f t="shared" si="67"/>
        <v>256.56606440477128</v>
      </c>
      <c r="Z166" s="332">
        <v>275.17937000000001</v>
      </c>
      <c r="AA166" s="313">
        <v>330.33912900000001</v>
      </c>
      <c r="AB166" s="313">
        <f>AA166-Z166</f>
        <v>55.159759000000008</v>
      </c>
      <c r="AC166" s="331">
        <f t="shared" si="68"/>
        <v>15.399480174260789</v>
      </c>
      <c r="AD166" s="332">
        <v>-5.07</v>
      </c>
      <c r="AE166" s="313">
        <v>-7.1791289999999996</v>
      </c>
      <c r="AF166" s="313">
        <f>AE166-AD166</f>
        <v>-2.1091289999999994</v>
      </c>
      <c r="AG166" s="331">
        <f t="shared" si="69"/>
        <v>-0.5888258181196635</v>
      </c>
      <c r="AH166" s="332">
        <v>970.49683600000003</v>
      </c>
      <c r="AI166" s="313">
        <v>1165.5</v>
      </c>
      <c r="AJ166" s="313">
        <f>AI166-AH166</f>
        <v>195.00316399999997</v>
      </c>
      <c r="AK166" s="331">
        <f t="shared" si="70"/>
        <v>54.440907871554053</v>
      </c>
      <c r="AL166" s="332">
        <v>-0.8</v>
      </c>
      <c r="AM166" s="313">
        <v>-0.85</v>
      </c>
      <c r="AN166" s="313">
        <f>AM166-AL166</f>
        <v>-4.9999999999999933E-2</v>
      </c>
      <c r="AO166" s="331">
        <f t="shared" si="71"/>
        <v>-1.3958980653143143E-2</v>
      </c>
      <c r="AP166" s="303">
        <v>91.2</v>
      </c>
      <c r="AQ166" s="303">
        <v>89.8</v>
      </c>
      <c r="AR166" s="303">
        <f>AQ166-AP166</f>
        <v>-1.4000000000000057</v>
      </c>
      <c r="AS166" s="332">
        <v>4.7</v>
      </c>
      <c r="AT166" s="313">
        <v>5.4</v>
      </c>
      <c r="AU166" s="341">
        <f>AT166-AS166</f>
        <v>0.70000000000000018</v>
      </c>
      <c r="AV166" s="303"/>
      <c r="AW166" s="303"/>
      <c r="AX166" s="303"/>
      <c r="AY166" s="303"/>
      <c r="AZ166" s="322" t="s">
        <v>686</v>
      </c>
      <c r="BA166" s="461">
        <v>2410.6562618900002</v>
      </c>
      <c r="BB166" s="461">
        <v>-2.1284079400000002</v>
      </c>
      <c r="BC166" s="461">
        <v>2005.0541122699999</v>
      </c>
      <c r="BD166" s="461">
        <v>2048.6579099099999</v>
      </c>
      <c r="BE166" s="461">
        <v>3.2111623900000001</v>
      </c>
      <c r="BF166" s="461">
        <v>3.2582892399999999</v>
      </c>
      <c r="BG166" s="461">
        <v>-0.25280712999999999</v>
      </c>
      <c r="BH166" s="461">
        <v>3.5819012200000002</v>
      </c>
      <c r="BI166" s="461">
        <v>3.5909794700000002</v>
      </c>
      <c r="BJ166" s="461">
        <v>-1.2110774799999999</v>
      </c>
      <c r="BK166" s="461">
        <v>-1.44636798</v>
      </c>
      <c r="BL166" s="461">
        <v>0.59036295999999999</v>
      </c>
    </row>
    <row r="167" spans="1:70" ht="15" customHeight="1" x14ac:dyDescent="0.2">
      <c r="A167" s="328">
        <v>62008020</v>
      </c>
      <c r="B167" s="321" t="s">
        <v>225</v>
      </c>
      <c r="C167" s="321" t="s">
        <v>778</v>
      </c>
      <c r="D167" s="352" t="s">
        <v>718</v>
      </c>
      <c r="E167" s="307" t="s">
        <v>866</v>
      </c>
      <c r="F167" s="307" t="str">
        <f t="shared" si="60"/>
        <v>08/10/20</v>
      </c>
      <c r="G167" s="322" t="s">
        <v>867</v>
      </c>
      <c r="H167" s="322" t="s">
        <v>685</v>
      </c>
      <c r="I167" s="330"/>
      <c r="J167" s="323">
        <v>32.751497999999998</v>
      </c>
      <c r="K167" s="323">
        <v>50.649898999999998</v>
      </c>
      <c r="L167" s="323">
        <v>29.227526000000001</v>
      </c>
      <c r="M167" s="323">
        <v>41.705143</v>
      </c>
      <c r="N167" s="308">
        <v>4250</v>
      </c>
      <c r="O167" s="308">
        <v>30.36</v>
      </c>
      <c r="P167" s="308">
        <v>0.3201</v>
      </c>
      <c r="Q167" s="308">
        <v>1.9560000000000001E-2</v>
      </c>
      <c r="R167" s="309">
        <v>3.8436460000000001</v>
      </c>
      <c r="S167" s="309">
        <f>R167+R166</f>
        <v>7.4255694400000003</v>
      </c>
      <c r="T167" s="338">
        <v>89.8</v>
      </c>
      <c r="U167" s="338">
        <v>88.4</v>
      </c>
      <c r="V167" s="313">
        <v>5632</v>
      </c>
      <c r="W167" s="313">
        <v>6548</v>
      </c>
      <c r="X167" s="313">
        <f>W167-V167</f>
        <v>916</v>
      </c>
      <c r="Y167" s="313">
        <f t="shared" si="67"/>
        <v>238.31539116765694</v>
      </c>
      <c r="Z167" s="332">
        <v>330.36914200000001</v>
      </c>
      <c r="AA167" s="313">
        <v>418.09865200000002</v>
      </c>
      <c r="AB167" s="313">
        <f>AA167-Z167</f>
        <v>87.729510000000005</v>
      </c>
      <c r="AC167" s="331">
        <f t="shared" si="68"/>
        <v>22.824555122922352</v>
      </c>
      <c r="AD167" s="332">
        <v>-7.18</v>
      </c>
      <c r="AE167" s="313">
        <v>-8.82</v>
      </c>
      <c r="AF167" s="313">
        <f>AE167-AD167</f>
        <v>-1.6400000000000006</v>
      </c>
      <c r="AG167" s="331">
        <f t="shared" si="69"/>
        <v>-0.42667821126087069</v>
      </c>
      <c r="AH167" s="332">
        <v>1165.5913760000001</v>
      </c>
      <c r="AI167" s="313">
        <v>1423.75</v>
      </c>
      <c r="AJ167" s="313">
        <f>AI167-AH167</f>
        <v>258.15862399999992</v>
      </c>
      <c r="AK167" s="331">
        <f t="shared" si="70"/>
        <v>67.165036530419272</v>
      </c>
      <c r="AL167" s="332">
        <v>-0.85</v>
      </c>
      <c r="AM167" s="313">
        <v>-1.1499999999999999</v>
      </c>
      <c r="AN167" s="313">
        <f>AM167-AL167</f>
        <v>-0.29999999999999993</v>
      </c>
      <c r="AO167" s="331">
        <f t="shared" si="71"/>
        <v>-7.8050892303817759E-2</v>
      </c>
      <c r="AP167" s="303">
        <v>89.8</v>
      </c>
      <c r="AQ167" s="303">
        <v>88.4</v>
      </c>
      <c r="AR167" s="303">
        <f>AQ167-AP167</f>
        <v>-1.3999999999999915</v>
      </c>
      <c r="AS167" s="332">
        <v>5.4</v>
      </c>
      <c r="AT167" s="313">
        <v>6.5</v>
      </c>
      <c r="AU167" s="341">
        <f>AT167-AS167</f>
        <v>1.0999999999999996</v>
      </c>
      <c r="AV167" s="303"/>
      <c r="AW167" s="303"/>
      <c r="AX167" s="303"/>
      <c r="AY167" s="303"/>
      <c r="AZ167" s="322" t="s">
        <v>686</v>
      </c>
      <c r="BA167" s="461">
        <v>1481.6279987200001</v>
      </c>
      <c r="BB167" s="461">
        <v>-2.0483209800000002</v>
      </c>
      <c r="BC167" s="461">
        <v>3346.0166867299999</v>
      </c>
      <c r="BD167" s="461">
        <v>3415.98706649</v>
      </c>
      <c r="BE167" s="461">
        <v>2.95610237</v>
      </c>
      <c r="BF167" s="461">
        <v>3.01842034</v>
      </c>
      <c r="BG167" s="461">
        <v>-0.41977681</v>
      </c>
      <c r="BH167" s="461">
        <v>3.8436273500000002</v>
      </c>
      <c r="BI167" s="461">
        <v>3.8598300299999999</v>
      </c>
      <c r="BJ167" s="461">
        <v>-1.6794863499999999</v>
      </c>
      <c r="BK167" s="461">
        <v>-2.06458868</v>
      </c>
      <c r="BL167" s="461">
        <v>0.71451584000000001</v>
      </c>
    </row>
    <row r="168" spans="1:70" ht="15" customHeight="1" x14ac:dyDescent="0.2">
      <c r="A168" s="328">
        <v>62008020</v>
      </c>
      <c r="B168" s="321" t="s">
        <v>632</v>
      </c>
      <c r="C168" s="321" t="s">
        <v>779</v>
      </c>
      <c r="D168" s="352" t="s">
        <v>718</v>
      </c>
      <c r="E168" s="307" t="s">
        <v>866</v>
      </c>
      <c r="F168" s="307" t="str">
        <f t="shared" si="60"/>
        <v>08/10/20</v>
      </c>
      <c r="G168" s="322" t="s">
        <v>867</v>
      </c>
      <c r="H168" s="322" t="s">
        <v>685</v>
      </c>
      <c r="I168" s="330"/>
      <c r="J168" s="324">
        <f>AVERAGE(J166:J167)</f>
        <v>33.952994000000004</v>
      </c>
      <c r="K168" s="324">
        <f>AVERAGE(K166:K167)</f>
        <v>48.7520825</v>
      </c>
      <c r="L168" s="324">
        <f>AVERAGE(L166:L167)</f>
        <v>29.233920000000001</v>
      </c>
      <c r="M168" s="324">
        <f>AVERAGE(M166:M167)</f>
        <v>41.831308</v>
      </c>
      <c r="N168" s="310"/>
      <c r="O168" s="308"/>
      <c r="P168" s="326"/>
      <c r="Q168" s="325"/>
      <c r="R168" s="311">
        <f>R167+R166</f>
        <v>7.4255694400000003</v>
      </c>
      <c r="S168" s="311">
        <f>S167</f>
        <v>7.4255694400000003</v>
      </c>
      <c r="T168" s="339">
        <f>T166</f>
        <v>91.2</v>
      </c>
      <c r="U168" s="339">
        <f>U167</f>
        <v>88.4</v>
      </c>
      <c r="V168" s="314">
        <f>V166</f>
        <v>4713</v>
      </c>
      <c r="W168" s="314">
        <f>W167</f>
        <v>6548</v>
      </c>
      <c r="X168" s="314">
        <f>SUM(X166:X167)</f>
        <v>1835</v>
      </c>
      <c r="Y168" s="314">
        <f t="shared" si="67"/>
        <v>247.11909501717622</v>
      </c>
      <c r="Z168" s="314">
        <f>Z166</f>
        <v>275.17937000000001</v>
      </c>
      <c r="AA168" s="314">
        <f>AA167</f>
        <v>418.09865200000002</v>
      </c>
      <c r="AB168" s="314">
        <f>SUM(AB166:AB167)</f>
        <v>142.88926900000001</v>
      </c>
      <c r="AC168" s="312">
        <f t="shared" si="68"/>
        <v>19.24287021413943</v>
      </c>
      <c r="AD168" s="314">
        <f>AD166</f>
        <v>-5.07</v>
      </c>
      <c r="AE168" s="314">
        <f>AE167</f>
        <v>-8.82</v>
      </c>
      <c r="AF168" s="314">
        <f>SUM(AF166:AF167)</f>
        <v>-3.7491289999999999</v>
      </c>
      <c r="AG168" s="312">
        <f t="shared" si="69"/>
        <v>-0.50489447715675795</v>
      </c>
      <c r="AH168" s="314">
        <f>AH166</f>
        <v>970.49683600000003</v>
      </c>
      <c r="AI168" s="314">
        <f>AI167</f>
        <v>1423.75</v>
      </c>
      <c r="AJ168" s="314">
        <f>SUM(AJ166:AJ167)</f>
        <v>453.16178799999989</v>
      </c>
      <c r="AK168" s="312">
        <f t="shared" si="70"/>
        <v>61.027210325299961</v>
      </c>
      <c r="AL168" s="314">
        <f>AL166</f>
        <v>-0.8</v>
      </c>
      <c r="AM168" s="314">
        <f>AM167</f>
        <v>-1.1499999999999999</v>
      </c>
      <c r="AN168" s="314">
        <f>SUM(AN166:AN167)</f>
        <v>-0.34999999999999987</v>
      </c>
      <c r="AO168" s="312">
        <f t="shared" si="71"/>
        <v>-4.7134432292104435E-2</v>
      </c>
      <c r="AP168" s="305"/>
      <c r="AQ168" s="305"/>
      <c r="AR168" s="305">
        <f>SUM(AR166:AR167)</f>
        <v>-2.7999999999999972</v>
      </c>
      <c r="AS168" s="314">
        <f>AS166</f>
        <v>4.7</v>
      </c>
      <c r="AT168" s="314">
        <f>AT167</f>
        <v>6.5</v>
      </c>
      <c r="AU168" s="342">
        <f>SUM(AU166:AU167)</f>
        <v>1.7999999999999998</v>
      </c>
      <c r="AV168" s="305"/>
      <c r="AW168" s="305"/>
      <c r="AX168" s="305"/>
      <c r="AY168" s="305"/>
      <c r="AZ168" s="322" t="s">
        <v>686</v>
      </c>
    </row>
    <row r="169" spans="1:70" ht="15" customHeight="1" x14ac:dyDescent="0.2">
      <c r="A169" s="328">
        <v>62008020</v>
      </c>
      <c r="B169" s="321" t="s">
        <v>633</v>
      </c>
      <c r="C169" s="321" t="s">
        <v>780</v>
      </c>
      <c r="D169" s="352" t="s">
        <v>718</v>
      </c>
      <c r="E169" s="307" t="s">
        <v>866</v>
      </c>
      <c r="F169" s="307" t="str">
        <f t="shared" si="60"/>
        <v>08/10/20</v>
      </c>
      <c r="G169" s="322" t="s">
        <v>867</v>
      </c>
      <c r="H169" s="322" t="s">
        <v>685</v>
      </c>
      <c r="I169" s="330"/>
      <c r="J169" s="323">
        <v>35.605693000000002</v>
      </c>
      <c r="K169" s="323">
        <v>38.621796000000003</v>
      </c>
      <c r="L169" s="323">
        <v>29.239626000000001</v>
      </c>
      <c r="M169" s="323">
        <v>43.546565999999999</v>
      </c>
      <c r="N169" s="308">
        <v>4250</v>
      </c>
      <c r="O169" s="308">
        <v>30.36</v>
      </c>
      <c r="P169" s="308">
        <v>0.3201</v>
      </c>
      <c r="Q169" s="308">
        <v>1.9560000000000001E-2</v>
      </c>
      <c r="R169" s="309">
        <v>1.7673749999999999</v>
      </c>
      <c r="S169" s="309">
        <f>R169+R168</f>
        <v>9.1929444399999998</v>
      </c>
      <c r="T169" s="338">
        <v>88.4</v>
      </c>
      <c r="U169" s="338">
        <v>84.6</v>
      </c>
      <c r="V169" s="313">
        <v>6588</v>
      </c>
      <c r="W169" s="313">
        <v>9081</v>
      </c>
      <c r="X169" s="313">
        <f>W169-V169-X170</f>
        <v>606</v>
      </c>
      <c r="Y169" s="313">
        <f t="shared" si="67"/>
        <v>342.88139189475919</v>
      </c>
      <c r="Z169" s="332">
        <v>428.618516</v>
      </c>
      <c r="AA169" s="313">
        <v>482.24659700000001</v>
      </c>
      <c r="AB169" s="313">
        <f>AA169-Z169-AB170</f>
        <v>22.608337000000006</v>
      </c>
      <c r="AC169" s="331">
        <f t="shared" si="68"/>
        <v>12.792043001626711</v>
      </c>
      <c r="AD169" s="332">
        <v>-9.07</v>
      </c>
      <c r="AE169" s="313">
        <v>-10.06</v>
      </c>
      <c r="AF169" s="313">
        <f>AE169-AD169-AF170</f>
        <v>-0.44999999999999929</v>
      </c>
      <c r="AG169" s="331">
        <f t="shared" si="69"/>
        <v>-0.25461489497135542</v>
      </c>
      <c r="AH169" s="332">
        <v>1451.1925900000001</v>
      </c>
      <c r="AI169" s="313">
        <v>1617.5</v>
      </c>
      <c r="AJ169" s="313">
        <f>AI169-AH169-AJ170</f>
        <v>67.966118999999708</v>
      </c>
      <c r="AK169" s="331">
        <f t="shared" si="70"/>
        <v>38.455969446212443</v>
      </c>
      <c r="AL169" s="332">
        <v>-1.2</v>
      </c>
      <c r="AM169" s="313">
        <v>-1.35</v>
      </c>
      <c r="AN169" s="313">
        <f>AM169-AL169-AN170</f>
        <v>-5.8709000000000122E-2</v>
      </c>
      <c r="AO169" s="331">
        <f t="shared" si="71"/>
        <v>-3.3218190819718579E-2</v>
      </c>
      <c r="AP169" s="303">
        <v>88.4</v>
      </c>
      <c r="AQ169" s="303">
        <v>84.6</v>
      </c>
      <c r="AR169" s="303">
        <f>AQ169-AP169-AR170</f>
        <v>-0.9000000000000199</v>
      </c>
      <c r="AS169" s="332">
        <v>6.6</v>
      </c>
      <c r="AT169" s="313">
        <v>7.4</v>
      </c>
      <c r="AU169" s="341">
        <f>AT169-AS169-AU170</f>
        <v>0.30000000000000071</v>
      </c>
      <c r="AV169" s="303"/>
      <c r="AW169" s="303"/>
      <c r="AX169" s="303"/>
      <c r="AY169" s="303"/>
      <c r="AZ169" s="322" t="s">
        <v>686</v>
      </c>
      <c r="BA169" s="461">
        <v>5559.8525222300004</v>
      </c>
      <c r="BB169" s="461">
        <v>-1.3287301600000001</v>
      </c>
      <c r="BC169" s="461">
        <v>2426.5945077800002</v>
      </c>
      <c r="BD169" s="461">
        <v>2459.2715912100002</v>
      </c>
      <c r="BE169" s="461">
        <v>3.1644797900000001</v>
      </c>
      <c r="BF169" s="461">
        <v>3.2077103</v>
      </c>
      <c r="BG169" s="461">
        <v>-0.26506777999999998</v>
      </c>
      <c r="BH169" s="461">
        <v>1.7674071</v>
      </c>
      <c r="BI169" s="461">
        <v>1.77210438</v>
      </c>
      <c r="BJ169" s="461">
        <v>-1.0974285100000001</v>
      </c>
      <c r="BK169" s="461">
        <v>-1.3477061800000001</v>
      </c>
      <c r="BL169" s="461">
        <v>0.81478070999999996</v>
      </c>
    </row>
    <row r="170" spans="1:70" ht="15" customHeight="1" x14ac:dyDescent="0.2">
      <c r="A170" s="328">
        <v>62008020</v>
      </c>
      <c r="B170" s="321" t="s">
        <v>634</v>
      </c>
      <c r="C170" s="321" t="s">
        <v>781</v>
      </c>
      <c r="D170" s="352" t="s">
        <v>718</v>
      </c>
      <c r="E170" s="307" t="s">
        <v>866</v>
      </c>
      <c r="F170" s="307" t="str">
        <f t="shared" si="60"/>
        <v>08/10/20</v>
      </c>
      <c r="G170" s="322" t="s">
        <v>867</v>
      </c>
      <c r="H170" s="322" t="s">
        <v>685</v>
      </c>
      <c r="I170" s="330"/>
      <c r="J170" s="323">
        <v>39.720751</v>
      </c>
      <c r="K170" s="323">
        <v>25.811167999999999</v>
      </c>
      <c r="L170" s="323">
        <v>29.271684</v>
      </c>
      <c r="M170" s="323">
        <v>43.366281000000001</v>
      </c>
      <c r="N170" s="308">
        <v>4250</v>
      </c>
      <c r="O170" s="308">
        <v>30.36</v>
      </c>
      <c r="P170" s="308">
        <v>0.3201</v>
      </c>
      <c r="Q170" s="308">
        <v>1.9560000000000001E-2</v>
      </c>
      <c r="R170" s="309">
        <v>6.2272970900000004</v>
      </c>
      <c r="S170" s="309">
        <f>R170+R169</f>
        <v>7.9946720899999999</v>
      </c>
      <c r="T170" s="338">
        <v>87.8</v>
      </c>
      <c r="U170" s="338">
        <v>84.9</v>
      </c>
      <c r="V170" s="313">
        <v>6980</v>
      </c>
      <c r="W170" s="313">
        <v>8867</v>
      </c>
      <c r="X170" s="313">
        <f>W170-V170</f>
        <v>1887</v>
      </c>
      <c r="Y170" s="313">
        <f t="shared" si="67"/>
        <v>303.02071231356649</v>
      </c>
      <c r="Z170" s="332">
        <v>440.65851900000001</v>
      </c>
      <c r="AA170" s="313">
        <v>471.67826300000002</v>
      </c>
      <c r="AB170" s="313">
        <f>AA170-Z170</f>
        <v>31.019744000000003</v>
      </c>
      <c r="AC170" s="331">
        <f t="shared" si="68"/>
        <v>4.9812532711523483</v>
      </c>
      <c r="AD170" s="332">
        <v>-9.26</v>
      </c>
      <c r="AE170" s="313">
        <v>-9.8000000000000007</v>
      </c>
      <c r="AF170" s="313">
        <f>AE170-AD170</f>
        <v>-0.54000000000000092</v>
      </c>
      <c r="AG170" s="331">
        <f t="shared" si="69"/>
        <v>-8.6714989215329191E-2</v>
      </c>
      <c r="AH170" s="332">
        <v>1488.85</v>
      </c>
      <c r="AI170" s="313">
        <v>1587.1912910000001</v>
      </c>
      <c r="AJ170" s="313">
        <f>AI170-AH170</f>
        <v>98.341291000000183</v>
      </c>
      <c r="AK170" s="331">
        <f t="shared" si="70"/>
        <v>15.791970349049169</v>
      </c>
      <c r="AL170" s="332">
        <v>-1.25</v>
      </c>
      <c r="AM170" s="313">
        <v>-1.341291</v>
      </c>
      <c r="AN170" s="313">
        <f>AM170-AL170</f>
        <v>-9.1291000000000011E-2</v>
      </c>
      <c r="AO170" s="331">
        <f t="shared" si="71"/>
        <v>-1.4659811260104825E-2</v>
      </c>
      <c r="AP170" s="303">
        <v>87.8</v>
      </c>
      <c r="AQ170" s="303">
        <v>84.9</v>
      </c>
      <c r="AR170" s="303">
        <f>AQ170-AP170</f>
        <v>-2.8999999999999915</v>
      </c>
      <c r="AS170" s="332">
        <v>6.8</v>
      </c>
      <c r="AT170" s="313">
        <v>7.3</v>
      </c>
      <c r="AU170" s="341">
        <f>AT170-AS170</f>
        <v>0.5</v>
      </c>
      <c r="AV170" s="303"/>
      <c r="AW170" s="303"/>
      <c r="AX170" s="303"/>
      <c r="AY170" s="303"/>
      <c r="AZ170" s="322" t="s">
        <v>686</v>
      </c>
      <c r="BA170" s="461">
        <v>11810.668369610001</v>
      </c>
      <c r="BB170" s="461">
        <v>-9.5136085000000001</v>
      </c>
      <c r="BC170" s="461">
        <v>1029.9651834599999</v>
      </c>
      <c r="BD170" s="461">
        <v>1138.25423516</v>
      </c>
      <c r="BE170" s="461">
        <v>6.9218917900000001</v>
      </c>
      <c r="BF170" s="461">
        <v>7.0840457800000003</v>
      </c>
      <c r="BG170" s="461">
        <v>-0.12051369000000001</v>
      </c>
      <c r="BH170" s="461">
        <v>6.2273440600000001</v>
      </c>
      <c r="BI170" s="461">
        <v>6.2348579199999996</v>
      </c>
      <c r="BJ170" s="461">
        <v>-2.2192884400000001</v>
      </c>
      <c r="BK170" s="461">
        <v>-2.2890025600000001</v>
      </c>
      <c r="BL170" s="461">
        <v>0.34890854999999998</v>
      </c>
    </row>
    <row r="171" spans="1:70" ht="15" customHeight="1" x14ac:dyDescent="0.2">
      <c r="A171" s="328">
        <v>62008020</v>
      </c>
      <c r="B171" s="321" t="s">
        <v>635</v>
      </c>
      <c r="C171" s="321" t="s">
        <v>782</v>
      </c>
      <c r="D171" s="352" t="s">
        <v>718</v>
      </c>
      <c r="E171" s="307" t="s">
        <v>866</v>
      </c>
      <c r="F171" s="307" t="str">
        <f t="shared" si="60"/>
        <v>08/10/20</v>
      </c>
      <c r="G171" s="322" t="s">
        <v>867</v>
      </c>
      <c r="H171" s="322" t="s">
        <v>685</v>
      </c>
      <c r="I171" s="330"/>
      <c r="J171" s="324">
        <f>AVERAGE(J169:J170)</f>
        <v>37.663222000000005</v>
      </c>
      <c r="K171" s="324">
        <f>AVERAGE(K169:K170)</f>
        <v>32.216481999999999</v>
      </c>
      <c r="L171" s="324">
        <f>AVERAGE(L169:L170)</f>
        <v>29.255655000000001</v>
      </c>
      <c r="M171" s="324">
        <f>AVERAGE(M169:M170)</f>
        <v>43.4564235</v>
      </c>
      <c r="N171" s="310"/>
      <c r="O171" s="308"/>
      <c r="P171" s="326"/>
      <c r="Q171" s="325"/>
      <c r="R171" s="311">
        <f>R170+R169</f>
        <v>7.9946720899999999</v>
      </c>
      <c r="S171" s="311">
        <f>S170</f>
        <v>7.9946720899999999</v>
      </c>
      <c r="T171" s="339">
        <f>T169</f>
        <v>88.4</v>
      </c>
      <c r="U171" s="339">
        <f>U170</f>
        <v>84.9</v>
      </c>
      <c r="V171" s="314">
        <f>V169</f>
        <v>6588</v>
      </c>
      <c r="W171" s="314">
        <f>W170</f>
        <v>8867</v>
      </c>
      <c r="X171" s="314">
        <f>SUM(X169:X170)</f>
        <v>2493</v>
      </c>
      <c r="Y171" s="314">
        <f t="shared" si="67"/>
        <v>311.83267705480091</v>
      </c>
      <c r="Z171" s="314">
        <f>Z169</f>
        <v>428.618516</v>
      </c>
      <c r="AA171" s="314">
        <f>AA170</f>
        <v>471.67826300000002</v>
      </c>
      <c r="AB171" s="314">
        <f>SUM(AB169:AB170)</f>
        <v>53.628081000000009</v>
      </c>
      <c r="AC171" s="312">
        <f t="shared" si="68"/>
        <v>6.7079775625919398</v>
      </c>
      <c r="AD171" s="314">
        <f>AD169</f>
        <v>-9.07</v>
      </c>
      <c r="AE171" s="314">
        <f>AE170</f>
        <v>-9.8000000000000007</v>
      </c>
      <c r="AF171" s="314">
        <f>SUM(AF169:AF170)</f>
        <v>-0.99000000000000021</v>
      </c>
      <c r="AG171" s="312">
        <f t="shared" si="69"/>
        <v>-0.12383247103259244</v>
      </c>
      <c r="AH171" s="314">
        <f>AH169</f>
        <v>1451.1925900000001</v>
      </c>
      <c r="AI171" s="314">
        <f>AI170</f>
        <v>1587.1912910000001</v>
      </c>
      <c r="AJ171" s="314">
        <f>SUM(AJ169:AJ170)</f>
        <v>166.30740999999989</v>
      </c>
      <c r="AK171" s="312">
        <f t="shared" si="70"/>
        <v>20.802280334677228</v>
      </c>
      <c r="AL171" s="314">
        <f>AL169</f>
        <v>-1.2</v>
      </c>
      <c r="AM171" s="314">
        <f>AM170</f>
        <v>-1.341291</v>
      </c>
      <c r="AN171" s="314">
        <f>SUM(AN169:AN170)</f>
        <v>-0.15000000000000013</v>
      </c>
      <c r="AO171" s="312">
        <f t="shared" si="71"/>
        <v>-1.8762495610998867E-2</v>
      </c>
      <c r="AP171" s="305"/>
      <c r="AQ171" s="305"/>
      <c r="AR171" s="305">
        <f>SUM(AR169:AR170)</f>
        <v>-3.8000000000000114</v>
      </c>
      <c r="AS171" s="314">
        <f>AS169</f>
        <v>6.6</v>
      </c>
      <c r="AT171" s="314">
        <f>AT170</f>
        <v>7.3</v>
      </c>
      <c r="AU171" s="342">
        <f>SUM(AU169:AU170)</f>
        <v>0.80000000000000071</v>
      </c>
      <c r="AV171" s="305"/>
      <c r="AW171" s="305"/>
      <c r="AX171" s="305"/>
      <c r="AY171" s="305"/>
      <c r="AZ171" s="322" t="s">
        <v>686</v>
      </c>
    </row>
    <row r="172" spans="1:70" ht="15" customHeight="1" x14ac:dyDescent="0.2">
      <c r="A172" s="328">
        <v>62008021</v>
      </c>
      <c r="B172" s="321" t="s">
        <v>636</v>
      </c>
      <c r="C172" s="321" t="s">
        <v>773</v>
      </c>
      <c r="D172" s="352" t="s">
        <v>868</v>
      </c>
      <c r="E172" s="307" t="s">
        <v>869</v>
      </c>
      <c r="F172" s="307" t="str">
        <f t="shared" si="60"/>
        <v>08/10/20</v>
      </c>
      <c r="G172" s="322" t="s">
        <v>870</v>
      </c>
      <c r="H172" s="322" t="s">
        <v>685</v>
      </c>
      <c r="I172" s="330"/>
      <c r="J172" s="323">
        <v>724.37390100000005</v>
      </c>
      <c r="K172" s="323">
        <v>576.22311000000002</v>
      </c>
      <c r="L172" s="323">
        <v>541.56331899999998</v>
      </c>
      <c r="M172" s="323">
        <v>802.06554000000006</v>
      </c>
      <c r="N172" s="308">
        <v>4250</v>
      </c>
      <c r="O172" s="308">
        <v>30.36</v>
      </c>
      <c r="P172" s="308">
        <v>0.3201</v>
      </c>
      <c r="Q172" s="308">
        <v>1.9560000000000001E-2</v>
      </c>
      <c r="R172" s="309">
        <v>124.28686399999999</v>
      </c>
      <c r="S172" s="309">
        <f>R172+R171</f>
        <v>132.28153609</v>
      </c>
      <c r="T172" s="338">
        <v>84.5</v>
      </c>
      <c r="U172" s="338">
        <v>27.7</v>
      </c>
      <c r="V172" s="313">
        <v>9097</v>
      </c>
      <c r="W172" s="313">
        <v>43910</v>
      </c>
      <c r="X172" s="313">
        <f>W172-V172</f>
        <v>34813</v>
      </c>
      <c r="Y172" s="313">
        <f t="shared" si="67"/>
        <v>280.10200659661024</v>
      </c>
      <c r="Z172" s="332">
        <v>487.63663500000001</v>
      </c>
      <c r="AA172" s="313">
        <v>1033.424941</v>
      </c>
      <c r="AB172" s="313">
        <f>AA172-Z172</f>
        <v>545.78830599999992</v>
      </c>
      <c r="AC172" s="331">
        <f t="shared" si="68"/>
        <v>4.3913595406188701</v>
      </c>
      <c r="AD172" s="332">
        <v>-9.2799999999999994</v>
      </c>
      <c r="AE172" s="313">
        <v>-17.48</v>
      </c>
      <c r="AF172" s="313">
        <f>AE172-AD172</f>
        <v>-8.2000000000000011</v>
      </c>
      <c r="AG172" s="331">
        <f t="shared" si="69"/>
        <v>-6.5976401174624555E-2</v>
      </c>
      <c r="AH172" s="332">
        <v>1627.3346839999999</v>
      </c>
      <c r="AI172" s="313">
        <v>3120.1</v>
      </c>
      <c r="AJ172" s="313">
        <f>AI172-AH172</f>
        <v>1492.765316</v>
      </c>
      <c r="AK172" s="331">
        <f t="shared" si="70"/>
        <v>12.010644310729411</v>
      </c>
      <c r="AL172" s="332">
        <v>-1.35</v>
      </c>
      <c r="AM172" s="313">
        <v>-3.75</v>
      </c>
      <c r="AN172" s="313">
        <f>AM172-AL172</f>
        <v>-2.4</v>
      </c>
      <c r="AO172" s="331">
        <f t="shared" si="71"/>
        <v>-1.9310166197451083E-2</v>
      </c>
      <c r="AP172" s="303">
        <v>84.5</v>
      </c>
      <c r="AQ172" s="303">
        <v>27.7</v>
      </c>
      <c r="AR172" s="303">
        <f>AQ172-AP172</f>
        <v>-56.8</v>
      </c>
      <c r="AS172" s="332">
        <v>8.1</v>
      </c>
      <c r="AT172" s="313">
        <v>17.2</v>
      </c>
      <c r="AU172" s="341">
        <f>AT172-AS172</f>
        <v>9.1</v>
      </c>
      <c r="AV172" s="303"/>
      <c r="AW172" s="303"/>
      <c r="AX172" s="303"/>
      <c r="AY172" s="303"/>
      <c r="AZ172" s="322" t="s">
        <v>686</v>
      </c>
      <c r="BA172" s="461">
        <v>19.415543190000001</v>
      </c>
      <c r="BB172" s="461">
        <v>53.212234289999998</v>
      </c>
      <c r="BC172" s="461">
        <v>890.39596381000001</v>
      </c>
      <c r="BD172" s="461">
        <v>581.15200000000004</v>
      </c>
      <c r="BE172" s="461">
        <v>119.39812725</v>
      </c>
      <c r="BF172" s="461">
        <v>119.70642785</v>
      </c>
      <c r="BG172" s="461">
        <v>-0.10690106000000001</v>
      </c>
      <c r="BH172" s="461">
        <v>124.28794151</v>
      </c>
      <c r="BI172" s="461">
        <v>124.42094882000001</v>
      </c>
      <c r="BJ172" s="461">
        <v>-0.15103517</v>
      </c>
      <c r="BK172" s="461">
        <v>-0.25754724000000001</v>
      </c>
      <c r="BL172" s="461">
        <v>6.9008100000000003E-3</v>
      </c>
    </row>
    <row r="173" spans="1:70" ht="15" customHeight="1" x14ac:dyDescent="0.2">
      <c r="A173" s="328">
        <v>62008022</v>
      </c>
      <c r="B173" s="321" t="s">
        <v>637</v>
      </c>
      <c r="C173" s="321" t="s">
        <v>810</v>
      </c>
      <c r="D173" s="352" t="s">
        <v>871</v>
      </c>
      <c r="E173" s="307" t="s">
        <v>872</v>
      </c>
      <c r="F173" s="307" t="str">
        <f t="shared" si="60"/>
        <v>08/10/20</v>
      </c>
      <c r="G173" s="322" t="s">
        <v>873</v>
      </c>
      <c r="H173" s="322" t="s">
        <v>685</v>
      </c>
      <c r="I173" s="330"/>
      <c r="J173" s="323">
        <v>35.515028000000001</v>
      </c>
      <c r="K173" s="323">
        <v>45.477559999999997</v>
      </c>
      <c r="L173" s="323">
        <v>29.202058999999998</v>
      </c>
      <c r="M173" s="323">
        <v>44.827137999999998</v>
      </c>
      <c r="N173" s="308">
        <v>4250</v>
      </c>
      <c r="O173" s="308">
        <v>30.36</v>
      </c>
      <c r="P173" s="308">
        <v>0.3201</v>
      </c>
      <c r="Q173" s="308">
        <v>1.9560000000000001E-2</v>
      </c>
      <c r="R173" s="309">
        <v>1.7668619699999999</v>
      </c>
      <c r="S173" s="309">
        <f>R173+R172</f>
        <v>126.05372596999999</v>
      </c>
      <c r="T173" s="338">
        <v>27.7</v>
      </c>
      <c r="U173" s="338">
        <v>23.4</v>
      </c>
      <c r="V173" s="313">
        <v>43914</v>
      </c>
      <c r="W173" s="313">
        <v>46390.503548000001</v>
      </c>
      <c r="X173" s="313">
        <f>W173-V173-X174</f>
        <v>600.23217499999737</v>
      </c>
      <c r="Y173" s="313">
        <f t="shared" si="67"/>
        <v>339.71650598150427</v>
      </c>
      <c r="Z173" s="332">
        <v>1036.3254059999999</v>
      </c>
      <c r="AA173" s="313">
        <v>1090.0550350000001</v>
      </c>
      <c r="AB173" s="313">
        <f>AA173-Z173-AB174</f>
        <v>23.100819000000229</v>
      </c>
      <c r="AC173" s="331">
        <f t="shared" si="68"/>
        <v>13.074489910493817</v>
      </c>
      <c r="AD173" s="332">
        <v>-16.52</v>
      </c>
      <c r="AE173" s="313">
        <v>-17.489999999999998</v>
      </c>
      <c r="AF173" s="313">
        <f>AE173-AD173-AF174</f>
        <v>-0.53000000000000114</v>
      </c>
      <c r="AG173" s="331">
        <f t="shared" si="69"/>
        <v>-0.29996683894894244</v>
      </c>
      <c r="AH173" s="332">
        <v>3120.55</v>
      </c>
      <c r="AI173" s="313">
        <v>3290.5751890000001</v>
      </c>
      <c r="AJ173" s="313">
        <f>AI173-AH173-AJ174</f>
        <v>70.228738000000249</v>
      </c>
      <c r="AK173" s="331">
        <f t="shared" si="70"/>
        <v>39.747721775912268</v>
      </c>
      <c r="AL173" s="332">
        <v>-3.75</v>
      </c>
      <c r="AM173" s="313">
        <v>-3.9</v>
      </c>
      <c r="AN173" s="313">
        <f>AM173-AL173-AN174</f>
        <v>-4.9999999999999822E-2</v>
      </c>
      <c r="AO173" s="331">
        <f t="shared" si="71"/>
        <v>-2.8298758391409502E-2</v>
      </c>
      <c r="AP173" s="303">
        <v>27.7</v>
      </c>
      <c r="AQ173" s="303">
        <v>23.4</v>
      </c>
      <c r="AR173" s="303">
        <f>AQ173-AP173-AR174</f>
        <v>-1.1000000000000014</v>
      </c>
      <c r="AS173" s="332">
        <v>17.8</v>
      </c>
      <c r="AT173" s="313">
        <v>18.5</v>
      </c>
      <c r="AU173" s="341">
        <f>AT173-AS173-AU174</f>
        <v>0.19999999999999929</v>
      </c>
      <c r="AV173" s="303"/>
      <c r="AW173" s="303"/>
      <c r="AX173" s="303"/>
      <c r="AY173" s="303"/>
      <c r="AZ173" s="322" t="s">
        <v>686</v>
      </c>
      <c r="BA173" s="461">
        <v>5575.3745422000002</v>
      </c>
      <c r="BB173" s="461">
        <v>-1.30646855</v>
      </c>
      <c r="BC173" s="461">
        <v>2427.4308469900002</v>
      </c>
      <c r="BD173" s="461">
        <v>2459.5642806800001</v>
      </c>
      <c r="BE173" s="461">
        <v>3.1657814499999999</v>
      </c>
      <c r="BF173" s="461">
        <v>3.2080286899999999</v>
      </c>
      <c r="BG173" s="461">
        <v>-0.29484456999999997</v>
      </c>
      <c r="BH173" s="461">
        <v>1.7668807799999999</v>
      </c>
      <c r="BI173" s="461">
        <v>1.77210574</v>
      </c>
      <c r="BJ173" s="461">
        <v>-1.03571722</v>
      </c>
      <c r="BK173" s="461">
        <v>-1.3169222</v>
      </c>
      <c r="BL173" s="461">
        <v>0.81480841999999998</v>
      </c>
    </row>
    <row r="174" spans="1:70" ht="15" customHeight="1" x14ac:dyDescent="0.2">
      <c r="A174" s="328">
        <v>62008022</v>
      </c>
      <c r="B174" s="321" t="s">
        <v>638</v>
      </c>
      <c r="C174" s="321" t="s">
        <v>774</v>
      </c>
      <c r="D174" s="352" t="s">
        <v>871</v>
      </c>
      <c r="E174" s="307" t="s">
        <v>872</v>
      </c>
      <c r="F174" s="307" t="str">
        <f t="shared" si="60"/>
        <v>08/10/20</v>
      </c>
      <c r="G174" s="322" t="s">
        <v>873</v>
      </c>
      <c r="H174" s="322" t="s">
        <v>685</v>
      </c>
      <c r="I174" s="330"/>
      <c r="J174" s="323">
        <v>39.118006999999999</v>
      </c>
      <c r="K174" s="323">
        <v>35.273229000000001</v>
      </c>
      <c r="L174" s="323">
        <v>29.223278000000001</v>
      </c>
      <c r="M174" s="323">
        <v>43.883842000000001</v>
      </c>
      <c r="N174" s="308">
        <v>4250</v>
      </c>
      <c r="O174" s="308">
        <v>30.36</v>
      </c>
      <c r="P174" s="308">
        <v>0.3201</v>
      </c>
      <c r="Q174" s="308">
        <v>1.9560000000000001E-2</v>
      </c>
      <c r="R174" s="309">
        <v>6.2273321499999996</v>
      </c>
      <c r="S174" s="309">
        <f>R174+R173</f>
        <v>7.9941941199999995</v>
      </c>
      <c r="T174" s="338">
        <v>27</v>
      </c>
      <c r="U174" s="338">
        <v>23.8</v>
      </c>
      <c r="V174" s="313">
        <v>44309.533456999998</v>
      </c>
      <c r="W174" s="313">
        <v>46185.804830000001</v>
      </c>
      <c r="X174" s="313">
        <f>W174-V174</f>
        <v>1876.2713730000032</v>
      </c>
      <c r="Y174" s="313">
        <f t="shared" si="67"/>
        <v>301.29617752924958</v>
      </c>
      <c r="Z174" s="332">
        <v>1049.2153350000001</v>
      </c>
      <c r="AA174" s="313">
        <v>1079.844145</v>
      </c>
      <c r="AB174" s="313">
        <f>AA174-Z174</f>
        <v>30.62880999999993</v>
      </c>
      <c r="AC174" s="331">
        <f t="shared" si="68"/>
        <v>4.9184481030130911</v>
      </c>
      <c r="AD174" s="332">
        <v>-16.920000000000002</v>
      </c>
      <c r="AE174" s="313">
        <v>-17.36</v>
      </c>
      <c r="AF174" s="313">
        <f>AE174-AD174</f>
        <v>-0.43999999999999773</v>
      </c>
      <c r="AG174" s="331">
        <f t="shared" si="69"/>
        <v>-7.0656260080811287E-2</v>
      </c>
      <c r="AH174" s="332">
        <v>3162.3766620000001</v>
      </c>
      <c r="AI174" s="313">
        <v>3262.1731129999998</v>
      </c>
      <c r="AJ174" s="313">
        <f>AI174-AH174</f>
        <v>99.796450999999706</v>
      </c>
      <c r="AK174" s="331">
        <f t="shared" si="70"/>
        <v>16.025554538631717</v>
      </c>
      <c r="AL174" s="332">
        <v>-3.75</v>
      </c>
      <c r="AM174" s="313">
        <v>-3.85</v>
      </c>
      <c r="AN174" s="313">
        <f>AM174-AL174</f>
        <v>-0.10000000000000009</v>
      </c>
      <c r="AO174" s="331">
        <f t="shared" si="71"/>
        <v>-1.605824092745721E-2</v>
      </c>
      <c r="AP174" s="303">
        <v>27</v>
      </c>
      <c r="AQ174" s="303">
        <v>23.8</v>
      </c>
      <c r="AR174" s="303">
        <f>AQ174-AP174</f>
        <v>-3.1999999999999993</v>
      </c>
      <c r="AS174" s="332">
        <v>17.899999999999999</v>
      </c>
      <c r="AT174" s="313">
        <v>18.399999999999999</v>
      </c>
      <c r="AU174" s="341">
        <f>AT174-AS174</f>
        <v>0.5</v>
      </c>
      <c r="AV174" s="303"/>
      <c r="AW174" s="303"/>
      <c r="AX174" s="303"/>
      <c r="AY174" s="303"/>
      <c r="AZ174" s="322" t="s">
        <v>686</v>
      </c>
      <c r="BA174" s="461">
        <v>11853.36646066</v>
      </c>
      <c r="BB174" s="461">
        <v>-9.6369526499999996</v>
      </c>
      <c r="BC174" s="461">
        <v>1029.4629846800001</v>
      </c>
      <c r="BD174" s="461">
        <v>1139.25217757</v>
      </c>
      <c r="BE174" s="461">
        <v>6.9196572300000003</v>
      </c>
      <c r="BF174" s="461">
        <v>7.0855643800000001</v>
      </c>
      <c r="BG174" s="461">
        <v>-0.11979242</v>
      </c>
      <c r="BH174" s="461">
        <v>6.22739026</v>
      </c>
      <c r="BI174" s="461">
        <v>6.2348591500000001</v>
      </c>
      <c r="BJ174" s="461">
        <v>-2.27495644</v>
      </c>
      <c r="BK174" s="461">
        <v>-2.3414811800000002</v>
      </c>
      <c r="BL174" s="461">
        <v>0.34923504999999999</v>
      </c>
    </row>
    <row r="175" spans="1:70" ht="15" customHeight="1" x14ac:dyDescent="0.2">
      <c r="A175" s="328">
        <v>62008022</v>
      </c>
      <c r="B175" s="321" t="s">
        <v>639</v>
      </c>
      <c r="C175" s="321" t="s">
        <v>775</v>
      </c>
      <c r="D175" s="352" t="s">
        <v>871</v>
      </c>
      <c r="E175" s="307" t="s">
        <v>872</v>
      </c>
      <c r="F175" s="307" t="str">
        <f t="shared" si="60"/>
        <v>08/10/20</v>
      </c>
      <c r="G175" s="322" t="s">
        <v>873</v>
      </c>
      <c r="H175" s="322" t="s">
        <v>685</v>
      </c>
      <c r="I175" s="330"/>
      <c r="J175" s="324">
        <f>AVERAGE(J173:J174)</f>
        <v>37.316517500000003</v>
      </c>
      <c r="K175" s="324">
        <f>AVERAGE(K173:K174)</f>
        <v>40.375394499999999</v>
      </c>
      <c r="L175" s="324">
        <f>AVERAGE(L173:L174)</f>
        <v>29.212668499999999</v>
      </c>
      <c r="M175" s="324">
        <f>AVERAGE(M173:M174)</f>
        <v>44.355490000000003</v>
      </c>
      <c r="N175" s="310"/>
      <c r="O175" s="308"/>
      <c r="P175" s="326"/>
      <c r="Q175" s="325"/>
      <c r="R175" s="311">
        <f>R174+R173</f>
        <v>7.9941941199999995</v>
      </c>
      <c r="S175" s="311">
        <f>S174</f>
        <v>7.9941941199999995</v>
      </c>
      <c r="T175" s="339">
        <f>T173</f>
        <v>27.7</v>
      </c>
      <c r="U175" s="339">
        <f>U174</f>
        <v>23.8</v>
      </c>
      <c r="V175" s="314">
        <f>V173</f>
        <v>43914</v>
      </c>
      <c r="W175" s="314">
        <f>W174</f>
        <v>46185.804830000001</v>
      </c>
      <c r="X175" s="314">
        <f>SUM(X173:X174)</f>
        <v>2476.5035480000006</v>
      </c>
      <c r="Y175" s="314">
        <f t="shared" si="67"/>
        <v>309.78776732531992</v>
      </c>
      <c r="Z175" s="314">
        <f>Z173</f>
        <v>1036.3254059999999</v>
      </c>
      <c r="AA175" s="314">
        <f>AA174</f>
        <v>1079.844145</v>
      </c>
      <c r="AB175" s="314">
        <f>SUM(AB173:AB174)</f>
        <v>53.729629000000159</v>
      </c>
      <c r="AC175" s="312">
        <f t="shared" si="68"/>
        <v>6.7210813489728167</v>
      </c>
      <c r="AD175" s="314">
        <f>AD173</f>
        <v>-16.52</v>
      </c>
      <c r="AE175" s="314">
        <f>AE174</f>
        <v>-17.36</v>
      </c>
      <c r="AF175" s="314">
        <f>SUM(AF173:AF174)</f>
        <v>-0.96999999999999886</v>
      </c>
      <c r="AG175" s="312">
        <f t="shared" si="69"/>
        <v>-0.12133805927644886</v>
      </c>
      <c r="AH175" s="314">
        <f>AH173</f>
        <v>3120.55</v>
      </c>
      <c r="AI175" s="314">
        <f>AI174</f>
        <v>3262.1731129999998</v>
      </c>
      <c r="AJ175" s="314">
        <f>SUM(AJ173:AJ174)</f>
        <v>170.02518899999995</v>
      </c>
      <c r="AK175" s="312">
        <f t="shared" si="70"/>
        <v>21.268583980795299</v>
      </c>
      <c r="AL175" s="314">
        <f>AL173</f>
        <v>-3.75</v>
      </c>
      <c r="AM175" s="314">
        <f>AM174</f>
        <v>-3.85</v>
      </c>
      <c r="AN175" s="314">
        <f>SUM(AN173:AN174)</f>
        <v>-0.14999999999999991</v>
      </c>
      <c r="AO175" s="312">
        <f t="shared" si="71"/>
        <v>-1.8763617413883854E-2</v>
      </c>
      <c r="AP175" s="305"/>
      <c r="AQ175" s="305"/>
      <c r="AR175" s="305">
        <f>SUM(AR173:AR174)</f>
        <v>-4.3000000000000007</v>
      </c>
      <c r="AS175" s="314">
        <f>AS173</f>
        <v>17.8</v>
      </c>
      <c r="AT175" s="314">
        <f>AT174</f>
        <v>18.399999999999999</v>
      </c>
      <c r="AU175" s="342">
        <f>SUM(AU173:AU174)</f>
        <v>0.69999999999999929</v>
      </c>
      <c r="AV175" s="305"/>
      <c r="AW175" s="305"/>
      <c r="AX175" s="305"/>
      <c r="AY175" s="305"/>
      <c r="AZ175" s="322" t="s">
        <v>686</v>
      </c>
    </row>
    <row r="176" spans="1:70" ht="15" customHeight="1" x14ac:dyDescent="0.2">
      <c r="A176" s="328">
        <v>62008023</v>
      </c>
      <c r="B176" s="321" t="s">
        <v>863</v>
      </c>
      <c r="C176" s="321" t="s">
        <v>773</v>
      </c>
      <c r="D176" s="352" t="s">
        <v>874</v>
      </c>
      <c r="E176" s="307" t="s">
        <v>875</v>
      </c>
      <c r="F176" s="307" t="str">
        <f t="shared" si="60"/>
        <v>08/10/20</v>
      </c>
      <c r="G176" s="322" t="s">
        <v>876</v>
      </c>
      <c r="H176" s="322" t="s">
        <v>685</v>
      </c>
      <c r="I176" s="330"/>
      <c r="J176" s="323">
        <v>35.961100999999999</v>
      </c>
      <c r="K176" s="323">
        <v>48.618516999999997</v>
      </c>
      <c r="L176" s="323">
        <v>29.197489000000001</v>
      </c>
      <c r="M176" s="323">
        <v>43.662820000000004</v>
      </c>
      <c r="N176" s="308">
        <v>4250</v>
      </c>
      <c r="O176" s="308">
        <v>30.36</v>
      </c>
      <c r="P176" s="308">
        <v>0.3201</v>
      </c>
      <c r="Q176" s="308">
        <v>1.9560000000000001E-2</v>
      </c>
      <c r="R176" s="309">
        <v>3.5701240300000001</v>
      </c>
      <c r="S176" s="309">
        <f t="shared" ref="S176:S181" si="72">R176+R175</f>
        <v>11.56431815</v>
      </c>
      <c r="T176" s="338">
        <v>23.4</v>
      </c>
      <c r="U176" s="338">
        <v>21.9</v>
      </c>
      <c r="V176" s="313">
        <v>46394</v>
      </c>
      <c r="W176" s="313">
        <v>47268</v>
      </c>
      <c r="X176" s="313">
        <f t="shared" ref="X176:X181" si="73">W176-V176</f>
        <v>874</v>
      </c>
      <c r="Y176" s="313">
        <f t="shared" si="67"/>
        <v>244.80942192924317</v>
      </c>
      <c r="Z176" s="332">
        <v>1091.8549619999999</v>
      </c>
      <c r="AA176" s="313">
        <v>1154.1946700000001</v>
      </c>
      <c r="AB176" s="313">
        <f t="shared" ref="AB176:AB181" si="74">AA176-Z176</f>
        <v>62.339708000000201</v>
      </c>
      <c r="AC176" s="331">
        <f t="shared" si="68"/>
        <v>17.461496428738975</v>
      </c>
      <c r="AD176" s="332">
        <v>-15.91</v>
      </c>
      <c r="AE176" s="313">
        <v>-17.55</v>
      </c>
      <c r="AF176" s="313">
        <f t="shared" ref="AF176:AF181" si="75">AE176-AD176</f>
        <v>-1.6400000000000006</v>
      </c>
      <c r="AG176" s="331">
        <f t="shared" si="69"/>
        <v>-0.45936779400910632</v>
      </c>
      <c r="AH176" s="332">
        <v>3291.8</v>
      </c>
      <c r="AI176" s="313">
        <v>3496.3233599999999</v>
      </c>
      <c r="AJ176" s="313">
        <f t="shared" ref="AJ176:AJ181" si="76">AI176-AH176</f>
        <v>204.52335999999968</v>
      </c>
      <c r="AK176" s="331">
        <f t="shared" si="70"/>
        <v>57.287466284469581</v>
      </c>
      <c r="AL176" s="332">
        <v>-3.9</v>
      </c>
      <c r="AM176" s="313">
        <v>-3.9</v>
      </c>
      <c r="AN176" s="313">
        <f t="shared" ref="AN176:AN181" si="77">AM176-AL176</f>
        <v>0</v>
      </c>
      <c r="AO176" s="331">
        <f t="shared" si="71"/>
        <v>0</v>
      </c>
      <c r="AP176" s="303">
        <v>23.4</v>
      </c>
      <c r="AQ176" s="303">
        <v>21.9</v>
      </c>
      <c r="AR176" s="303">
        <f t="shared" ref="AR176:AR181" si="78">AQ176-AP176</f>
        <v>-1.5</v>
      </c>
      <c r="AS176" s="332">
        <v>19.100000000000001</v>
      </c>
      <c r="AT176" s="313">
        <v>19.899999999999999</v>
      </c>
      <c r="AU176" s="341">
        <f t="shared" ref="AU176:AU181" si="79">AT176-AS176</f>
        <v>0.79999999999999716</v>
      </c>
      <c r="AV176" s="303"/>
      <c r="AW176" s="303"/>
      <c r="AX176" s="303"/>
      <c r="AY176" s="303"/>
      <c r="AZ176" s="322" t="s">
        <v>686</v>
      </c>
      <c r="BA176" s="461">
        <v>2358.0738936299999</v>
      </c>
      <c r="BB176" s="461">
        <v>-2.8737458500000002</v>
      </c>
      <c r="BC176" s="461">
        <v>2458.74412003</v>
      </c>
      <c r="BD176" s="461">
        <v>2531.4927889700002</v>
      </c>
      <c r="BE176" s="461">
        <v>3.2624209999999998</v>
      </c>
      <c r="BF176" s="461">
        <v>3.32167418</v>
      </c>
      <c r="BG176" s="461">
        <v>-0.2621964</v>
      </c>
      <c r="BH176" s="461">
        <v>3.5700891499999998</v>
      </c>
      <c r="BI176" s="461">
        <v>3.5794744000000001</v>
      </c>
      <c r="BJ176" s="461">
        <v>-1.54927474</v>
      </c>
      <c r="BK176" s="461">
        <v>-1.78383464</v>
      </c>
      <c r="BL176" s="461">
        <v>0.69053083000000004</v>
      </c>
    </row>
    <row r="177" spans="1:70" ht="15" customHeight="1" x14ac:dyDescent="0.2">
      <c r="A177" s="328">
        <v>62008023</v>
      </c>
      <c r="B177" s="321" t="s">
        <v>864</v>
      </c>
      <c r="C177" s="321" t="s">
        <v>774</v>
      </c>
      <c r="D177" s="352" t="s">
        <v>874</v>
      </c>
      <c r="E177" s="307" t="s">
        <v>875</v>
      </c>
      <c r="F177" s="307" t="str">
        <f t="shared" si="60"/>
        <v>08/10/20</v>
      </c>
      <c r="G177" s="322" t="s">
        <v>876</v>
      </c>
      <c r="H177" s="322" t="s">
        <v>685</v>
      </c>
      <c r="I177" s="330"/>
      <c r="J177" s="323">
        <v>35.517724999999999</v>
      </c>
      <c r="K177" s="323">
        <v>44.469681000000001</v>
      </c>
      <c r="L177" s="323">
        <v>29.175501000000001</v>
      </c>
      <c r="M177" s="323">
        <v>42.758522999999997</v>
      </c>
      <c r="N177" s="308">
        <v>4250</v>
      </c>
      <c r="O177" s="308">
        <v>30.36</v>
      </c>
      <c r="P177" s="308">
        <v>0.3201</v>
      </c>
      <c r="Q177" s="308">
        <v>1.9560000000000001E-2</v>
      </c>
      <c r="R177" s="309">
        <v>3.5701392300000001</v>
      </c>
      <c r="S177" s="309">
        <f t="shared" si="72"/>
        <v>7.1402632600000002</v>
      </c>
      <c r="T177" s="338">
        <v>21.8</v>
      </c>
      <c r="U177" s="338">
        <v>20.3</v>
      </c>
      <c r="V177" s="313">
        <v>47271</v>
      </c>
      <c r="W177" s="313">
        <v>48172</v>
      </c>
      <c r="X177" s="313">
        <f t="shared" si="73"/>
        <v>901</v>
      </c>
      <c r="Y177" s="313">
        <f t="shared" si="67"/>
        <v>252.37110990766598</v>
      </c>
      <c r="Z177" s="332">
        <v>1156.44427</v>
      </c>
      <c r="AA177" s="313">
        <v>1222.977834</v>
      </c>
      <c r="AB177" s="313">
        <f t="shared" si="74"/>
        <v>66.533564000000069</v>
      </c>
      <c r="AC177" s="331">
        <f t="shared" si="68"/>
        <v>18.636125852156212</v>
      </c>
      <c r="AD177" s="332">
        <v>-15.08</v>
      </c>
      <c r="AE177" s="313">
        <v>-17.649999999999999</v>
      </c>
      <c r="AF177" s="313">
        <f t="shared" si="75"/>
        <v>-2.5699999999999985</v>
      </c>
      <c r="AG177" s="331">
        <f t="shared" si="69"/>
        <v>-0.71985988064672712</v>
      </c>
      <c r="AH177" s="332">
        <v>3496.65</v>
      </c>
      <c r="AI177" s="313">
        <v>3723.6</v>
      </c>
      <c r="AJ177" s="313">
        <f t="shared" si="76"/>
        <v>226.94999999999982</v>
      </c>
      <c r="AK177" s="331">
        <f t="shared" si="70"/>
        <v>63.568949382402607</v>
      </c>
      <c r="AL177" s="332">
        <v>-3.9</v>
      </c>
      <c r="AM177" s="313">
        <v>-3.85</v>
      </c>
      <c r="AN177" s="313">
        <f t="shared" si="77"/>
        <v>4.9999999999999822E-2</v>
      </c>
      <c r="AO177" s="331">
        <f t="shared" si="71"/>
        <v>1.4005056043710603E-2</v>
      </c>
      <c r="AP177" s="303">
        <v>21.8</v>
      </c>
      <c r="AQ177" s="303">
        <v>20.3</v>
      </c>
      <c r="AR177" s="303">
        <f t="shared" si="78"/>
        <v>-1.5</v>
      </c>
      <c r="AS177" s="332">
        <v>20.7</v>
      </c>
      <c r="AT177" s="313">
        <v>21.5</v>
      </c>
      <c r="AU177" s="341">
        <f t="shared" si="79"/>
        <v>0.80000000000000071</v>
      </c>
      <c r="AV177" s="303"/>
      <c r="AW177" s="303"/>
      <c r="AX177" s="303"/>
      <c r="AY177" s="303"/>
      <c r="AZ177" s="322" t="s">
        <v>686</v>
      </c>
      <c r="BA177" s="461">
        <v>2348.74047195</v>
      </c>
      <c r="BB177" s="461">
        <v>-2.8668818300000001</v>
      </c>
      <c r="BC177" s="461">
        <v>2458.6747405599999</v>
      </c>
      <c r="BD177" s="461">
        <v>2531.2424710099999</v>
      </c>
      <c r="BE177" s="461">
        <v>3.2617297999999999</v>
      </c>
      <c r="BF177" s="461">
        <v>3.32144796</v>
      </c>
      <c r="BG177" s="461">
        <v>-0.26244099999999998</v>
      </c>
      <c r="BH177" s="461">
        <v>3.5700796399999999</v>
      </c>
      <c r="BI177" s="461">
        <v>3.5794736500000002</v>
      </c>
      <c r="BJ177" s="461">
        <v>-1.56362768</v>
      </c>
      <c r="BK177" s="461">
        <v>-1.79795536</v>
      </c>
      <c r="BL177" s="461">
        <v>0.69050579000000001</v>
      </c>
    </row>
    <row r="178" spans="1:70" ht="15" customHeight="1" x14ac:dyDescent="0.2">
      <c r="A178" s="328">
        <v>62008023</v>
      </c>
      <c r="B178" s="321" t="s">
        <v>865</v>
      </c>
      <c r="C178" s="321" t="s">
        <v>776</v>
      </c>
      <c r="D178" s="352" t="s">
        <v>874</v>
      </c>
      <c r="E178" s="307" t="s">
        <v>875</v>
      </c>
      <c r="F178" s="307" t="str">
        <f t="shared" si="60"/>
        <v>08/10/20</v>
      </c>
      <c r="G178" s="322" t="s">
        <v>876</v>
      </c>
      <c r="H178" s="322" t="s">
        <v>685</v>
      </c>
      <c r="I178" s="330"/>
      <c r="J178" s="323">
        <v>35.455804000000001</v>
      </c>
      <c r="K178" s="323">
        <v>42.729123999999999</v>
      </c>
      <c r="L178" s="323">
        <v>29.18056</v>
      </c>
      <c r="M178" s="323">
        <v>42.484675000000003</v>
      </c>
      <c r="N178" s="308">
        <v>4250</v>
      </c>
      <c r="O178" s="308">
        <v>30.36</v>
      </c>
      <c r="P178" s="308">
        <v>0.3201</v>
      </c>
      <c r="Q178" s="308">
        <v>1.9560000000000001E-2</v>
      </c>
      <c r="R178" s="309">
        <v>3.5698455199999999</v>
      </c>
      <c r="S178" s="309">
        <f t="shared" si="72"/>
        <v>7.13998475</v>
      </c>
      <c r="T178" s="338">
        <v>20.3</v>
      </c>
      <c r="U178" s="338">
        <v>18.7</v>
      </c>
      <c r="V178" s="313">
        <v>48175</v>
      </c>
      <c r="W178" s="313">
        <v>49076</v>
      </c>
      <c r="X178" s="313">
        <f t="shared" si="73"/>
        <v>901</v>
      </c>
      <c r="Y178" s="313">
        <f t="shared" si="67"/>
        <v>252.39187380858991</v>
      </c>
      <c r="Z178" s="332">
        <v>1225.082936</v>
      </c>
      <c r="AA178" s="313">
        <v>1291.416696</v>
      </c>
      <c r="AB178" s="313">
        <f t="shared" si="74"/>
        <v>66.333759999999984</v>
      </c>
      <c r="AC178" s="331">
        <f t="shared" si="68"/>
        <v>18.581689215504202</v>
      </c>
      <c r="AD178" s="332">
        <v>-15.502936</v>
      </c>
      <c r="AE178" s="313">
        <v>-17.670000000000002</v>
      </c>
      <c r="AF178" s="313">
        <f t="shared" si="75"/>
        <v>-2.1670640000000017</v>
      </c>
      <c r="AG178" s="331">
        <f t="shared" si="69"/>
        <v>-0.60704699625209602</v>
      </c>
      <c r="AH178" s="332">
        <v>3723.9</v>
      </c>
      <c r="AI178" s="313">
        <v>3954.1835080000001</v>
      </c>
      <c r="AJ178" s="313">
        <f t="shared" si="76"/>
        <v>230.28350799999998</v>
      </c>
      <c r="AK178" s="331">
        <f t="shared" si="70"/>
        <v>64.507975684057044</v>
      </c>
      <c r="AL178" s="332">
        <v>-3.85</v>
      </c>
      <c r="AM178" s="313">
        <v>-3.75</v>
      </c>
      <c r="AN178" s="313">
        <f t="shared" si="77"/>
        <v>0.10000000000000009</v>
      </c>
      <c r="AO178" s="331">
        <f t="shared" si="71"/>
        <v>2.8012416626924542E-2</v>
      </c>
      <c r="AP178" s="303">
        <v>20.3</v>
      </c>
      <c r="AQ178" s="303">
        <v>18.7</v>
      </c>
      <c r="AR178" s="303">
        <f t="shared" si="78"/>
        <v>-1.6000000000000014</v>
      </c>
      <c r="AS178" s="332">
        <v>22.3</v>
      </c>
      <c r="AT178" s="313">
        <v>23.1</v>
      </c>
      <c r="AU178" s="341">
        <f t="shared" si="79"/>
        <v>0.80000000000000071</v>
      </c>
      <c r="AV178" s="303"/>
      <c r="AW178" s="303"/>
      <c r="AX178" s="303"/>
      <c r="AY178" s="303"/>
      <c r="AZ178" s="322" t="s">
        <v>686</v>
      </c>
      <c r="BA178" s="461">
        <v>2350.7042676699998</v>
      </c>
      <c r="BB178" s="461">
        <v>-2.2983353100000001</v>
      </c>
      <c r="BC178" s="461">
        <v>2472.9247042299999</v>
      </c>
      <c r="BD178" s="461">
        <v>2531.0978190599999</v>
      </c>
      <c r="BE178" s="461">
        <v>3.27570469</v>
      </c>
      <c r="BF178" s="461">
        <v>3.3213156700000002</v>
      </c>
      <c r="BG178" s="461">
        <v>-0.27133652000000003</v>
      </c>
      <c r="BH178" s="461">
        <v>3.5697614500000001</v>
      </c>
      <c r="BI178" s="461">
        <v>3.5794738700000002</v>
      </c>
      <c r="BJ178" s="461">
        <v>-1.1172875799999999</v>
      </c>
      <c r="BK178" s="461">
        <v>-1.3732806</v>
      </c>
      <c r="BL178" s="461">
        <v>0.69049444999999998</v>
      </c>
    </row>
    <row r="179" spans="1:70" ht="15" customHeight="1" x14ac:dyDescent="0.2">
      <c r="A179" s="328">
        <v>62008024</v>
      </c>
      <c r="B179" s="321" t="s">
        <v>55</v>
      </c>
      <c r="C179" s="321" t="s">
        <v>773</v>
      </c>
      <c r="D179" s="352" t="s">
        <v>877</v>
      </c>
      <c r="E179" s="307" t="s">
        <v>878</v>
      </c>
      <c r="F179" s="307" t="str">
        <f t="shared" si="60"/>
        <v>08/10/20</v>
      </c>
      <c r="G179" s="322" t="s">
        <v>879</v>
      </c>
      <c r="H179" s="322" t="s">
        <v>685</v>
      </c>
      <c r="I179" s="330"/>
      <c r="J179" s="323">
        <v>38.145882</v>
      </c>
      <c r="K179" s="323">
        <v>31.211193999999999</v>
      </c>
      <c r="L179" s="323">
        <v>29.17858</v>
      </c>
      <c r="M179" s="323">
        <v>42.987696999999997</v>
      </c>
      <c r="N179" s="308">
        <v>4250</v>
      </c>
      <c r="O179" s="308">
        <v>30.36</v>
      </c>
      <c r="P179" s="308">
        <v>0.3201</v>
      </c>
      <c r="Q179" s="308">
        <v>1.9560000000000001E-2</v>
      </c>
      <c r="R179" s="309">
        <v>10.245892700000001</v>
      </c>
      <c r="S179" s="309">
        <f t="shared" si="72"/>
        <v>13.81573822</v>
      </c>
      <c r="T179" s="338">
        <v>18.7</v>
      </c>
      <c r="U179" s="338">
        <v>14.6</v>
      </c>
      <c r="V179" s="313">
        <v>49080</v>
      </c>
      <c r="W179" s="313">
        <v>51452</v>
      </c>
      <c r="X179" s="313">
        <f t="shared" si="73"/>
        <v>2372</v>
      </c>
      <c r="Y179" s="313">
        <f t="shared" si="67"/>
        <v>231.50740198557807</v>
      </c>
      <c r="Z179" s="332">
        <v>1293.3732580000001</v>
      </c>
      <c r="AA179" s="313">
        <v>1368.443008</v>
      </c>
      <c r="AB179" s="313">
        <f t="shared" si="74"/>
        <v>75.069749999999885</v>
      </c>
      <c r="AC179" s="331">
        <f t="shared" si="68"/>
        <v>7.3268139924986606</v>
      </c>
      <c r="AD179" s="332">
        <v>-16.133258000000001</v>
      </c>
      <c r="AE179" s="313">
        <v>-18.149999999999999</v>
      </c>
      <c r="AF179" s="313">
        <f t="shared" si="75"/>
        <v>-2.0167419999999971</v>
      </c>
      <c r="AG179" s="331">
        <f t="shared" si="69"/>
        <v>-0.19683419093389462</v>
      </c>
      <c r="AH179" s="332">
        <v>3955.7</v>
      </c>
      <c r="AI179" s="313">
        <v>4202.7</v>
      </c>
      <c r="AJ179" s="313">
        <f t="shared" si="76"/>
        <v>247</v>
      </c>
      <c r="AK179" s="331">
        <f t="shared" si="70"/>
        <v>24.107221033068207</v>
      </c>
      <c r="AL179" s="332">
        <v>-3.8</v>
      </c>
      <c r="AM179" s="313">
        <v>-3.75</v>
      </c>
      <c r="AN179" s="313">
        <f t="shared" si="77"/>
        <v>4.9999999999999822E-2</v>
      </c>
      <c r="AO179" s="331">
        <f t="shared" si="71"/>
        <v>4.8800042577060972E-3</v>
      </c>
      <c r="AP179" s="303">
        <v>18.7</v>
      </c>
      <c r="AQ179" s="303">
        <v>14.6</v>
      </c>
      <c r="AR179" s="303">
        <f t="shared" si="78"/>
        <v>-4.0999999999999996</v>
      </c>
      <c r="AS179" s="332">
        <v>23.8</v>
      </c>
      <c r="AT179" s="313">
        <v>24.8</v>
      </c>
      <c r="AU179" s="341">
        <f t="shared" si="79"/>
        <v>1</v>
      </c>
      <c r="AV179" s="303"/>
      <c r="AW179" s="303"/>
      <c r="AX179" s="303"/>
      <c r="AY179" s="303"/>
      <c r="AZ179" s="322" t="s">
        <v>686</v>
      </c>
      <c r="BA179" s="461">
        <v>1946.1516252700001</v>
      </c>
      <c r="BB179" s="461">
        <v>-0.72424184000000003</v>
      </c>
      <c r="BC179" s="461">
        <v>1297.3277968800001</v>
      </c>
      <c r="BD179" s="461">
        <v>1306.7921322899999</v>
      </c>
      <c r="BE179" s="461">
        <v>7.9727887300000004</v>
      </c>
      <c r="BF179" s="461">
        <v>8.0202322899999992</v>
      </c>
      <c r="BG179" s="461">
        <v>-0.10434982</v>
      </c>
      <c r="BH179" s="461">
        <v>10.24597752</v>
      </c>
      <c r="BI179" s="461">
        <v>10.25668035</v>
      </c>
      <c r="BJ179" s="461">
        <v>-0.49009781000000002</v>
      </c>
      <c r="BK179" s="461">
        <v>-0.59154846000000005</v>
      </c>
      <c r="BL179" s="461">
        <v>0.28277734999999998</v>
      </c>
    </row>
    <row r="180" spans="1:70" ht="15" customHeight="1" x14ac:dyDescent="0.2">
      <c r="A180" s="328">
        <v>62008025</v>
      </c>
      <c r="B180" s="321" t="s">
        <v>627</v>
      </c>
      <c r="C180" s="321" t="s">
        <v>773</v>
      </c>
      <c r="D180" s="352" t="s">
        <v>880</v>
      </c>
      <c r="E180" s="307" t="s">
        <v>881</v>
      </c>
      <c r="F180" s="307" t="str">
        <f t="shared" si="60"/>
        <v>08/10/20</v>
      </c>
      <c r="G180" s="322" t="s">
        <v>882</v>
      </c>
      <c r="H180" s="322" t="s">
        <v>685</v>
      </c>
      <c r="I180" s="330"/>
      <c r="J180" s="323">
        <v>35.501114000000001</v>
      </c>
      <c r="K180" s="323">
        <v>43.503473999999997</v>
      </c>
      <c r="L180" s="323">
        <v>29.152939</v>
      </c>
      <c r="M180" s="323">
        <v>43.189236000000001</v>
      </c>
      <c r="N180" s="308">
        <v>4250</v>
      </c>
      <c r="O180" s="308">
        <v>30.36</v>
      </c>
      <c r="P180" s="308">
        <v>0.3201</v>
      </c>
      <c r="Q180" s="308">
        <v>1.9560000000000001E-2</v>
      </c>
      <c r="R180" s="309">
        <v>3.5818028200000001</v>
      </c>
      <c r="S180" s="309">
        <f t="shared" si="72"/>
        <v>13.827695520000001</v>
      </c>
      <c r="T180" s="338">
        <v>14.5</v>
      </c>
      <c r="U180" s="338">
        <v>13</v>
      </c>
      <c r="V180" s="313">
        <v>51455</v>
      </c>
      <c r="W180" s="313">
        <v>52345</v>
      </c>
      <c r="X180" s="313">
        <f t="shared" si="73"/>
        <v>890</v>
      </c>
      <c r="Y180" s="313">
        <f t="shared" si="67"/>
        <v>248.47822304188145</v>
      </c>
      <c r="Z180" s="332">
        <v>1369.895475</v>
      </c>
      <c r="AA180" s="313">
        <v>1424.842572</v>
      </c>
      <c r="AB180" s="313">
        <f t="shared" si="74"/>
        <v>54.947096999999985</v>
      </c>
      <c r="AC180" s="331">
        <f t="shared" si="68"/>
        <v>15.340625869516732</v>
      </c>
      <c r="AD180" s="332">
        <v>-16.472738</v>
      </c>
      <c r="AE180" s="313">
        <v>-18.53</v>
      </c>
      <c r="AF180" s="313">
        <f t="shared" si="75"/>
        <v>-2.0572620000000015</v>
      </c>
      <c r="AG180" s="331">
        <f t="shared" si="69"/>
        <v>-0.57436495066470505</v>
      </c>
      <c r="AH180" s="332">
        <v>4204.3500000000004</v>
      </c>
      <c r="AI180" s="313">
        <v>4387.7</v>
      </c>
      <c r="AJ180" s="313">
        <f t="shared" si="76"/>
        <v>183.34999999999945</v>
      </c>
      <c r="AK180" s="331">
        <f t="shared" si="70"/>
        <v>51.189305836773968</v>
      </c>
      <c r="AL180" s="332">
        <v>-3.75</v>
      </c>
      <c r="AM180" s="313">
        <v>-3.7</v>
      </c>
      <c r="AN180" s="313">
        <f t="shared" si="77"/>
        <v>4.9999999999999822E-2</v>
      </c>
      <c r="AO180" s="331">
        <f t="shared" si="71"/>
        <v>1.3959450732689919E-2</v>
      </c>
      <c r="AP180" s="303">
        <v>14.5</v>
      </c>
      <c r="AQ180" s="303">
        <v>13</v>
      </c>
      <c r="AR180" s="303">
        <f t="shared" si="78"/>
        <v>-1.5</v>
      </c>
      <c r="AS180" s="332">
        <v>25.5</v>
      </c>
      <c r="AT180" s="313">
        <v>26.2</v>
      </c>
      <c r="AU180" s="341">
        <f t="shared" si="79"/>
        <v>0.69999999999999929</v>
      </c>
      <c r="AV180" s="303"/>
      <c r="AW180" s="303"/>
      <c r="AX180" s="303"/>
      <c r="AY180" s="303"/>
      <c r="AZ180" s="322" t="s">
        <v>686</v>
      </c>
      <c r="BA180" s="461">
        <v>2425.94952767</v>
      </c>
      <c r="BB180" s="461">
        <v>-2.1519949700000001</v>
      </c>
      <c r="BC180" s="461">
        <v>2004.7755195300001</v>
      </c>
      <c r="BD180" s="461">
        <v>2048.8670350299999</v>
      </c>
      <c r="BE180" s="461">
        <v>3.21046838</v>
      </c>
      <c r="BF180" s="461">
        <v>3.25857427</v>
      </c>
      <c r="BG180" s="461">
        <v>-0.25738298999999998</v>
      </c>
      <c r="BH180" s="461">
        <v>3.58173787</v>
      </c>
      <c r="BI180" s="461">
        <v>3.5909804400000001</v>
      </c>
      <c r="BJ180" s="461">
        <v>-1.23716771</v>
      </c>
      <c r="BK180" s="461">
        <v>-1.4762865599999999</v>
      </c>
      <c r="BL180" s="461">
        <v>0.59039997</v>
      </c>
    </row>
    <row r="181" spans="1:70" ht="15" customHeight="1" x14ac:dyDescent="0.2">
      <c r="A181" s="328">
        <v>62008025</v>
      </c>
      <c r="B181" s="321" t="s">
        <v>628</v>
      </c>
      <c r="C181" s="321" t="s">
        <v>774</v>
      </c>
      <c r="D181" s="352" t="s">
        <v>880</v>
      </c>
      <c r="E181" s="307" t="s">
        <v>881</v>
      </c>
      <c r="F181" s="307" t="str">
        <f t="shared" si="60"/>
        <v>08/10/20</v>
      </c>
      <c r="G181" s="322" t="s">
        <v>882</v>
      </c>
      <c r="H181" s="322" t="s">
        <v>685</v>
      </c>
      <c r="I181" s="330"/>
      <c r="J181" s="323">
        <v>33.380617999999998</v>
      </c>
      <c r="K181" s="323">
        <v>47.214433999999997</v>
      </c>
      <c r="L181" s="323">
        <v>29.138323</v>
      </c>
      <c r="M181" s="323">
        <v>43.102502000000001</v>
      </c>
      <c r="N181" s="308">
        <v>4250</v>
      </c>
      <c r="O181" s="308">
        <v>30.36</v>
      </c>
      <c r="P181" s="308">
        <v>0.3201</v>
      </c>
      <c r="Q181" s="308">
        <v>1.9560000000000001E-2</v>
      </c>
      <c r="R181" s="309">
        <v>3.8445692400000002</v>
      </c>
      <c r="S181" s="309">
        <f t="shared" si="72"/>
        <v>7.4263720600000003</v>
      </c>
      <c r="T181" s="338">
        <v>13</v>
      </c>
      <c r="U181" s="338">
        <v>11.4</v>
      </c>
      <c r="V181" s="313">
        <v>52345.249539999997</v>
      </c>
      <c r="W181" s="313">
        <v>53242</v>
      </c>
      <c r="X181" s="313">
        <f t="shared" si="73"/>
        <v>896.75046000000293</v>
      </c>
      <c r="Y181" s="313">
        <f t="shared" si="67"/>
        <v>233.25121854223724</v>
      </c>
      <c r="Z181" s="332">
        <v>1424.8724950000001</v>
      </c>
      <c r="AA181" s="313">
        <v>1513.04195</v>
      </c>
      <c r="AB181" s="313">
        <f t="shared" si="74"/>
        <v>88.169454999999971</v>
      </c>
      <c r="AC181" s="331">
        <f t="shared" si="68"/>
        <v>22.933506849781686</v>
      </c>
      <c r="AD181" s="332">
        <v>-18.53</v>
      </c>
      <c r="AE181" s="313">
        <v>-19.79</v>
      </c>
      <c r="AF181" s="313">
        <f t="shared" si="75"/>
        <v>-1.259999999999998</v>
      </c>
      <c r="AG181" s="331">
        <f t="shared" si="69"/>
        <v>-0.3277350260441656</v>
      </c>
      <c r="AH181" s="332">
        <v>4387.8</v>
      </c>
      <c r="AI181" s="313">
        <v>4644.1499999999996</v>
      </c>
      <c r="AJ181" s="313">
        <f t="shared" si="76"/>
        <v>256.34999999999945</v>
      </c>
      <c r="AK181" s="331">
        <f t="shared" si="70"/>
        <v>66.678471370176041</v>
      </c>
      <c r="AL181" s="332">
        <v>-3.7</v>
      </c>
      <c r="AM181" s="313">
        <v>-3.75</v>
      </c>
      <c r="AN181" s="313">
        <f t="shared" si="77"/>
        <v>-4.9999999999999822E-2</v>
      </c>
      <c r="AO181" s="331">
        <f t="shared" si="71"/>
        <v>-1.3005358176355753E-2</v>
      </c>
      <c r="AP181" s="303">
        <v>13</v>
      </c>
      <c r="AQ181" s="303">
        <v>11.4</v>
      </c>
      <c r="AR181" s="303">
        <f t="shared" si="78"/>
        <v>-1.5999999999999996</v>
      </c>
      <c r="AS181" s="332">
        <v>26.2</v>
      </c>
      <c r="AT181" s="313">
        <v>27.4</v>
      </c>
      <c r="AU181" s="341">
        <f t="shared" si="79"/>
        <v>1.1999999999999993</v>
      </c>
      <c r="AV181" s="303"/>
      <c r="AW181" s="303"/>
      <c r="AX181" s="303"/>
      <c r="AY181" s="303"/>
      <c r="AZ181" s="322" t="s">
        <v>686</v>
      </c>
      <c r="BA181" s="461">
        <v>1482.6684947700001</v>
      </c>
      <c r="BB181" s="461">
        <v>-1.87159476</v>
      </c>
      <c r="BC181" s="461">
        <v>3352.2443830699999</v>
      </c>
      <c r="BD181" s="461">
        <v>3416.18145624</v>
      </c>
      <c r="BE181" s="461">
        <v>2.9563379699999999</v>
      </c>
      <c r="BF181" s="461">
        <v>3.01870167</v>
      </c>
      <c r="BG181" s="461">
        <v>-0.39950027999999999</v>
      </c>
      <c r="BH181" s="461">
        <v>3.8444109599999998</v>
      </c>
      <c r="BI181" s="461">
        <v>3.8598309999999998</v>
      </c>
      <c r="BJ181" s="461">
        <v>-1.7015639199999999</v>
      </c>
      <c r="BK181" s="461">
        <v>-2.0659114000000001</v>
      </c>
      <c r="BL181" s="461">
        <v>0.71450482999999998</v>
      </c>
    </row>
    <row r="182" spans="1:70" ht="15" customHeight="1" x14ac:dyDescent="0.2">
      <c r="A182" s="328">
        <v>62008025</v>
      </c>
      <c r="B182" s="321" t="s">
        <v>629</v>
      </c>
      <c r="C182" s="321" t="s">
        <v>775</v>
      </c>
      <c r="D182" s="352" t="s">
        <v>880</v>
      </c>
      <c r="E182" s="307" t="s">
        <v>881</v>
      </c>
      <c r="F182" s="307" t="str">
        <f t="shared" si="60"/>
        <v>08/10/20</v>
      </c>
      <c r="G182" s="322" t="s">
        <v>882</v>
      </c>
      <c r="H182" s="322" t="s">
        <v>685</v>
      </c>
      <c r="I182" s="330"/>
      <c r="J182" s="324">
        <f>AVERAGE(J180:J181)</f>
        <v>34.440866</v>
      </c>
      <c r="K182" s="324">
        <f>AVERAGE(K180:K181)</f>
        <v>45.358953999999997</v>
      </c>
      <c r="L182" s="324">
        <f>AVERAGE(L180:L181)</f>
        <v>29.145631000000002</v>
      </c>
      <c r="M182" s="324">
        <f>AVERAGE(M180:M181)</f>
        <v>43.145869000000005</v>
      </c>
      <c r="N182" s="310"/>
      <c r="O182" s="308"/>
      <c r="P182" s="326"/>
      <c r="Q182" s="325"/>
      <c r="R182" s="311">
        <f>R181+R180</f>
        <v>7.4263720600000003</v>
      </c>
      <c r="S182" s="311">
        <f>S181</f>
        <v>7.4263720600000003</v>
      </c>
      <c r="T182" s="339">
        <f>T180</f>
        <v>14.5</v>
      </c>
      <c r="U182" s="339">
        <f>U181</f>
        <v>11.4</v>
      </c>
      <c r="V182" s="314">
        <f>V180</f>
        <v>51455</v>
      </c>
      <c r="W182" s="314">
        <f>W181</f>
        <v>53242</v>
      </c>
      <c r="X182" s="314">
        <f>SUM(X180:X181)</f>
        <v>1786.7504600000029</v>
      </c>
      <c r="Y182" s="314">
        <f t="shared" si="67"/>
        <v>240.59533316729662</v>
      </c>
      <c r="Z182" s="314">
        <f>Z180</f>
        <v>1369.895475</v>
      </c>
      <c r="AA182" s="314">
        <f>AA181</f>
        <v>1513.04195</v>
      </c>
      <c r="AB182" s="314">
        <f>SUM(AB180:AB181)</f>
        <v>143.11655199999996</v>
      </c>
      <c r="AC182" s="312">
        <f t="shared" si="68"/>
        <v>19.271395352093354</v>
      </c>
      <c r="AD182" s="314">
        <f>AD180</f>
        <v>-16.472738</v>
      </c>
      <c r="AE182" s="314">
        <f>AE181</f>
        <v>-19.79</v>
      </c>
      <c r="AF182" s="314">
        <f>SUM(AF180:AF181)</f>
        <v>-3.3172619999999995</v>
      </c>
      <c r="AG182" s="312">
        <f t="shared" si="69"/>
        <v>-0.44668675003067371</v>
      </c>
      <c r="AH182" s="314">
        <f>AH180</f>
        <v>4204.3500000000004</v>
      </c>
      <c r="AI182" s="314">
        <f>AI181</f>
        <v>4644.1499999999996</v>
      </c>
      <c r="AJ182" s="314">
        <f>SUM(AJ180:AJ181)</f>
        <v>439.69999999999891</v>
      </c>
      <c r="AK182" s="312">
        <f t="shared" si="70"/>
        <v>59.20791423423497</v>
      </c>
      <c r="AL182" s="314">
        <f>AL180</f>
        <v>-3.75</v>
      </c>
      <c r="AM182" s="314">
        <f>AM181</f>
        <v>-3.75</v>
      </c>
      <c r="AN182" s="314">
        <f>SUM(AN180:AN181)</f>
        <v>0</v>
      </c>
      <c r="AO182" s="312">
        <f t="shared" si="71"/>
        <v>0</v>
      </c>
      <c r="AP182" s="305"/>
      <c r="AQ182" s="305"/>
      <c r="AR182" s="305">
        <f>SUM(AR180:AR181)</f>
        <v>-3.0999999999999996</v>
      </c>
      <c r="AS182" s="314">
        <f>AS180</f>
        <v>25.5</v>
      </c>
      <c r="AT182" s="314">
        <f>AT181</f>
        <v>27.4</v>
      </c>
      <c r="AU182" s="342">
        <f>SUM(AU180:AU181)</f>
        <v>1.8999999999999986</v>
      </c>
      <c r="AV182" s="305"/>
      <c r="AW182" s="305"/>
      <c r="AX182" s="305"/>
      <c r="AY182" s="305"/>
      <c r="AZ182" s="322" t="s">
        <v>686</v>
      </c>
    </row>
    <row r="183" spans="1:70" ht="15" customHeight="1" x14ac:dyDescent="0.2">
      <c r="A183" s="328">
        <v>62008026</v>
      </c>
      <c r="B183" s="321" t="s">
        <v>798</v>
      </c>
      <c r="C183" s="321" t="s">
        <v>773</v>
      </c>
      <c r="D183" s="352" t="s">
        <v>727</v>
      </c>
      <c r="E183" s="307" t="s">
        <v>883</v>
      </c>
      <c r="F183" s="307" t="str">
        <f t="shared" si="60"/>
        <v>08/10/20</v>
      </c>
      <c r="G183" s="322" t="s">
        <v>884</v>
      </c>
      <c r="H183" s="322" t="s">
        <v>685</v>
      </c>
      <c r="I183" s="330"/>
      <c r="J183" s="323">
        <v>43.955485000000003</v>
      </c>
      <c r="K183" s="323">
        <v>22.370168</v>
      </c>
      <c r="L183" s="323">
        <v>29.147134999999999</v>
      </c>
      <c r="M183" s="323">
        <v>47.027121999999999</v>
      </c>
      <c r="N183" s="308">
        <v>4250</v>
      </c>
      <c r="O183" s="308">
        <v>30.36</v>
      </c>
      <c r="P183" s="308">
        <v>0.3201</v>
      </c>
      <c r="Q183" s="308">
        <v>1.9560000000000001E-2</v>
      </c>
      <c r="R183" s="309">
        <v>20.967601120000001</v>
      </c>
      <c r="S183" s="309">
        <f>R183+R182</f>
        <v>28.393973180000003</v>
      </c>
      <c r="T183" s="338">
        <v>11.4</v>
      </c>
      <c r="U183" s="338">
        <v>0.1</v>
      </c>
      <c r="V183" s="313">
        <v>53246</v>
      </c>
      <c r="W183" s="313">
        <v>59309</v>
      </c>
      <c r="X183" s="313">
        <f>W183-V183</f>
        <v>6063</v>
      </c>
      <c r="Y183" s="313">
        <f t="shared" si="67"/>
        <v>289.16040348634789</v>
      </c>
      <c r="Z183" s="332">
        <v>1514.9784749999999</v>
      </c>
      <c r="AA183" s="313">
        <v>1623.46</v>
      </c>
      <c r="AB183" s="313">
        <f>AA183-Z183</f>
        <v>108.48152500000015</v>
      </c>
      <c r="AC183" s="331">
        <f t="shared" si="68"/>
        <v>5.1737690153083253</v>
      </c>
      <c r="AD183" s="332">
        <v>-18.557119</v>
      </c>
      <c r="AE183" s="313">
        <v>-19.170000000000002</v>
      </c>
      <c r="AF183" s="313">
        <f>AE183-AD183</f>
        <v>-0.61288100000000156</v>
      </c>
      <c r="AG183" s="331">
        <f t="shared" si="69"/>
        <v>-2.9229905533418577E-2</v>
      </c>
      <c r="AH183" s="332">
        <v>4646.25</v>
      </c>
      <c r="AI183" s="313">
        <v>5006.2</v>
      </c>
      <c r="AJ183" s="313">
        <f>AI183-AH183</f>
        <v>359.94999999999982</v>
      </c>
      <c r="AK183" s="331">
        <f t="shared" si="70"/>
        <v>17.166961443989916</v>
      </c>
      <c r="AL183" s="332">
        <v>-3.75</v>
      </c>
      <c r="AM183" s="313">
        <v>-4.3499999999999996</v>
      </c>
      <c r="AN183" s="313">
        <f>AM183-AL183</f>
        <v>-0.59999999999999964</v>
      </c>
      <c r="AO183" s="331">
        <f t="shared" si="71"/>
        <v>-2.861557679231546E-2</v>
      </c>
      <c r="AP183" s="303">
        <v>11.4</v>
      </c>
      <c r="AQ183" s="303">
        <v>0.1</v>
      </c>
      <c r="AR183" s="303">
        <f>AQ183-AP183</f>
        <v>-11.3</v>
      </c>
      <c r="AS183" s="332">
        <v>27.7</v>
      </c>
      <c r="AT183" s="313">
        <v>29.3</v>
      </c>
      <c r="AU183" s="341">
        <f>AT183-AS183</f>
        <v>1.6000000000000014</v>
      </c>
      <c r="AV183" s="303"/>
      <c r="AW183" s="303"/>
      <c r="AX183" s="303"/>
      <c r="AY183" s="303"/>
      <c r="AZ183" s="322" t="s">
        <v>686</v>
      </c>
      <c r="BA183" s="461">
        <v>109.1521604</v>
      </c>
      <c r="BB183" s="461">
        <v>7.1158338199999998</v>
      </c>
      <c r="BC183" s="461">
        <v>622.50581058</v>
      </c>
      <c r="BD183" s="461">
        <v>581.15200000000004</v>
      </c>
      <c r="BE183" s="461">
        <v>20.107966820000001</v>
      </c>
      <c r="BF183" s="461">
        <v>21.6718215</v>
      </c>
      <c r="BG183" s="461">
        <v>-4.1402110299999997</v>
      </c>
      <c r="BH183" s="461">
        <v>20.967795710000001</v>
      </c>
      <c r="BI183" s="461">
        <v>21.873400650000001</v>
      </c>
      <c r="BJ183" s="461">
        <v>-3.3150817300000002</v>
      </c>
      <c r="BK183" s="461">
        <v>-7.2160740099999998</v>
      </c>
      <c r="BL183" s="461">
        <v>3.81173E-2</v>
      </c>
    </row>
    <row r="184" spans="1:70" ht="15" customHeight="1" x14ac:dyDescent="0.2">
      <c r="A184" s="321">
        <f>A183+1</f>
        <v>62008027</v>
      </c>
      <c r="B184" s="367" t="s">
        <v>645</v>
      </c>
      <c r="C184" s="321" t="s">
        <v>773</v>
      </c>
      <c r="D184" s="352" t="s">
        <v>731</v>
      </c>
      <c r="E184" s="307" t="s">
        <v>885</v>
      </c>
      <c r="F184" s="307" t="str">
        <f t="shared" si="60"/>
        <v>08/10/20</v>
      </c>
      <c r="G184" s="322" t="s">
        <v>886</v>
      </c>
      <c r="H184" s="322" t="s">
        <v>887</v>
      </c>
      <c r="I184" s="330"/>
      <c r="J184" s="323">
        <v>1699.8987930000001</v>
      </c>
      <c r="K184" s="323">
        <v>2348.4715719999999</v>
      </c>
      <c r="L184" s="323">
        <v>1478.1907040000001</v>
      </c>
      <c r="M184" s="323">
        <v>1764.8913700000001</v>
      </c>
      <c r="N184" s="308">
        <v>4250</v>
      </c>
      <c r="O184" s="308">
        <v>30.36</v>
      </c>
      <c r="P184" s="308">
        <v>0.3201</v>
      </c>
      <c r="Q184" s="308">
        <v>1.9560000000000001E-2</v>
      </c>
      <c r="R184" s="309">
        <v>2.1525570000000001E-2</v>
      </c>
      <c r="S184" s="309">
        <f>R184+R183</f>
        <v>20.989126690000003</v>
      </c>
      <c r="T184" s="338" t="s">
        <v>1004</v>
      </c>
      <c r="U184" s="338" t="s">
        <v>1005</v>
      </c>
      <c r="V184" s="313">
        <v>59309</v>
      </c>
      <c r="W184" s="313">
        <v>-371</v>
      </c>
      <c r="X184" s="313">
        <f>W184-V184</f>
        <v>-59680</v>
      </c>
      <c r="Y184" s="313">
        <f t="shared" si="67"/>
        <v>-2772516.5930565367</v>
      </c>
      <c r="Z184" s="332">
        <v>1623.41</v>
      </c>
      <c r="AA184" s="313">
        <v>2584.12</v>
      </c>
      <c r="AB184" s="313">
        <f>AA184-Z184</f>
        <v>960.70999999999981</v>
      </c>
      <c r="AC184" s="331">
        <f t="shared" si="68"/>
        <v>44631.106168152561</v>
      </c>
      <c r="AD184" s="332">
        <v>-17.18</v>
      </c>
      <c r="AE184" s="313">
        <v>-42.02</v>
      </c>
      <c r="AF184" s="313">
        <f>AE184-AD184</f>
        <v>-24.840000000000003</v>
      </c>
      <c r="AG184" s="331">
        <f t="shared" si="69"/>
        <v>-1153.9764103807706</v>
      </c>
      <c r="AH184" s="332" t="s">
        <v>1006</v>
      </c>
      <c r="AI184" s="313" t="s">
        <v>1007</v>
      </c>
      <c r="AJ184" s="313" t="e">
        <f>AI184-AH184</f>
        <v>#VALUE!</v>
      </c>
      <c r="AK184" s="331" t="e">
        <f t="shared" si="70"/>
        <v>#VALUE!</v>
      </c>
      <c r="AL184" s="332" t="s">
        <v>1008</v>
      </c>
      <c r="AM184" s="313" t="s">
        <v>1009</v>
      </c>
      <c r="AN184" s="313" t="e">
        <f>AM184-AL184</f>
        <v>#VALUE!</v>
      </c>
      <c r="AO184" s="331" t="e">
        <f t="shared" si="71"/>
        <v>#VALUE!</v>
      </c>
      <c r="AP184" s="303" t="s">
        <v>982</v>
      </c>
      <c r="AQ184" s="303" t="s">
        <v>1010</v>
      </c>
      <c r="AR184" s="303" t="e">
        <f>AQ184-AP184</f>
        <v>#VALUE!</v>
      </c>
      <c r="AS184" s="332">
        <v>30.1</v>
      </c>
      <c r="AT184" s="313">
        <v>67050.3</v>
      </c>
      <c r="AU184" s="341">
        <f>AT184-AS184</f>
        <v>67020.2</v>
      </c>
      <c r="AV184" s="303"/>
      <c r="AW184" s="303"/>
      <c r="AX184" s="303"/>
      <c r="AY184" s="303"/>
      <c r="AZ184" s="322" t="s">
        <v>888</v>
      </c>
      <c r="BA184" s="461">
        <v>0</v>
      </c>
      <c r="BB184" s="461" t="s">
        <v>691</v>
      </c>
      <c r="BC184" s="461">
        <v>0</v>
      </c>
      <c r="BD184" s="461">
        <v>0</v>
      </c>
      <c r="BE184" s="461">
        <v>0</v>
      </c>
      <c r="BF184" s="461">
        <v>0</v>
      </c>
      <c r="BG184" s="461" t="s">
        <v>691</v>
      </c>
      <c r="BH184" s="461">
        <v>0</v>
      </c>
      <c r="BI184" s="461">
        <v>0</v>
      </c>
      <c r="BJ184" s="461" t="s">
        <v>691</v>
      </c>
      <c r="BK184" s="461" t="s">
        <v>691</v>
      </c>
      <c r="BL184" s="461" t="s">
        <v>691</v>
      </c>
    </row>
    <row r="185" spans="1:70" ht="15" customHeight="1" x14ac:dyDescent="0.2">
      <c r="A185" s="485" t="s">
        <v>890</v>
      </c>
      <c r="B185" s="362"/>
      <c r="C185" s="363"/>
      <c r="D185" s="363"/>
      <c r="E185" s="363"/>
      <c r="F185" s="363"/>
      <c r="G185" s="363"/>
      <c r="H185" s="362"/>
      <c r="I185" s="362"/>
      <c r="J185" s="373"/>
      <c r="K185" s="374"/>
      <c r="L185" s="362"/>
      <c r="M185" s="362"/>
      <c r="N185" s="362"/>
      <c r="O185" s="362"/>
      <c r="P185" s="362"/>
      <c r="Q185" s="362"/>
      <c r="R185" s="362"/>
      <c r="S185" s="362"/>
      <c r="T185" s="362"/>
      <c r="U185" s="362"/>
      <c r="V185" s="362"/>
      <c r="W185" s="362"/>
      <c r="X185" s="362"/>
      <c r="Y185" s="362"/>
      <c r="Z185" s="362"/>
      <c r="AA185" s="362"/>
      <c r="AB185" s="362"/>
      <c r="AC185" s="362"/>
      <c r="AD185" s="362"/>
      <c r="AE185" s="362"/>
      <c r="AF185" s="362"/>
      <c r="AG185" s="362"/>
      <c r="AH185" s="362"/>
      <c r="AI185" s="362"/>
      <c r="AJ185" s="362"/>
      <c r="AK185" s="362"/>
      <c r="AL185" s="362"/>
      <c r="AM185" s="362"/>
      <c r="AN185" s="362"/>
      <c r="AO185" s="362"/>
      <c r="AP185" s="362"/>
      <c r="AQ185" s="362"/>
      <c r="AR185" s="362"/>
      <c r="AS185" s="362"/>
      <c r="AT185" s="362"/>
      <c r="AU185" s="362"/>
      <c r="AV185" s="362"/>
      <c r="AW185" s="362"/>
      <c r="AX185" s="362"/>
      <c r="AY185" s="362"/>
      <c r="AZ185" s="362"/>
      <c r="BA185" s="362"/>
      <c r="BB185" s="362"/>
      <c r="BC185" s="362"/>
      <c r="BD185" s="362"/>
      <c r="BE185" s="362"/>
      <c r="BF185" s="375"/>
      <c r="BG185" s="362"/>
      <c r="BH185" s="362"/>
      <c r="BI185" s="362"/>
      <c r="BJ185" s="362"/>
      <c r="BK185" s="362"/>
      <c r="BL185" s="362"/>
      <c r="BM185" s="362"/>
      <c r="BN185" s="362"/>
      <c r="BO185" s="362"/>
      <c r="BP185" s="362"/>
      <c r="BQ185" s="362"/>
      <c r="BR185" s="366"/>
    </row>
    <row r="186" spans="1:70" ht="15" customHeight="1" x14ac:dyDescent="0.2">
      <c r="A186" s="328">
        <v>62008028</v>
      </c>
      <c r="B186" s="321" t="s">
        <v>627</v>
      </c>
      <c r="C186" s="321" t="s">
        <v>773</v>
      </c>
      <c r="D186" s="352" t="s">
        <v>718</v>
      </c>
      <c r="E186" s="307" t="s">
        <v>891</v>
      </c>
      <c r="F186" s="307" t="str">
        <f t="shared" si="60"/>
        <v>08/11/20</v>
      </c>
      <c r="G186" s="322" t="s">
        <v>892</v>
      </c>
      <c r="H186" s="322" t="s">
        <v>685</v>
      </c>
      <c r="I186" s="330"/>
      <c r="J186" s="323">
        <v>35.103223999999997</v>
      </c>
      <c r="K186" s="323">
        <v>39.308501999999997</v>
      </c>
      <c r="L186" s="323">
        <v>29.275617</v>
      </c>
      <c r="M186" s="323">
        <v>37.146693999999997</v>
      </c>
      <c r="N186" s="308">
        <v>4250</v>
      </c>
      <c r="O186" s="308">
        <v>30.36</v>
      </c>
      <c r="P186" s="308">
        <v>0.3201</v>
      </c>
      <c r="Q186" s="308">
        <v>1.9560000000000001E-2</v>
      </c>
      <c r="R186" s="309">
        <v>3.5822141699999999</v>
      </c>
      <c r="S186" s="309">
        <f>R186+R185</f>
        <v>3.5822141699999999</v>
      </c>
      <c r="T186" s="338">
        <v>96.2</v>
      </c>
      <c r="U186" s="338">
        <v>94.9</v>
      </c>
      <c r="V186" s="313">
        <v>-370</v>
      </c>
      <c r="W186" s="313">
        <v>631</v>
      </c>
      <c r="X186" s="313">
        <f>W186-V186</f>
        <v>1001</v>
      </c>
      <c r="Y186" s="313">
        <f t="shared" ref="Y186:Y195" si="80">X186/$R186</f>
        <v>279.43611199550361</v>
      </c>
      <c r="Z186" s="332">
        <v>2584.4243670000001</v>
      </c>
      <c r="AA186" s="313">
        <v>2643.6342</v>
      </c>
      <c r="AB186" s="313">
        <f>AA186-Z186</f>
        <v>59.20983299999989</v>
      </c>
      <c r="AC186" s="331">
        <f t="shared" ref="AC186:AC195" si="81">AB186/$R186</f>
        <v>16.528836688734302</v>
      </c>
      <c r="AD186" s="332">
        <v>-39.154367000000001</v>
      </c>
      <c r="AE186" s="313">
        <v>-40.700000000000003</v>
      </c>
      <c r="AF186" s="313">
        <f>AE186-AD186</f>
        <v>-1.5456330000000023</v>
      </c>
      <c r="AG186" s="331">
        <f t="shared" ref="AG186:AG195" si="82">AF186/$R186</f>
        <v>-0.43147420189005681</v>
      </c>
      <c r="AH186" s="332">
        <v>5006.2</v>
      </c>
      <c r="AI186" s="313">
        <v>5226.25</v>
      </c>
      <c r="AJ186" s="313">
        <f>AI186-AH186</f>
        <v>220.05000000000018</v>
      </c>
      <c r="AK186" s="331">
        <f t="shared" ref="AK186:AK195" si="83">AJ186/$R186</f>
        <v>61.428487956653967</v>
      </c>
      <c r="AL186" s="332">
        <v>-4.3499999999999996</v>
      </c>
      <c r="AM186" s="313">
        <v>-4.721025</v>
      </c>
      <c r="AN186" s="313">
        <f>AM186-AL186</f>
        <v>-0.37102500000000038</v>
      </c>
      <c r="AO186" s="331">
        <f t="shared" ref="AO186:AO195" si="84">AN186/$R186</f>
        <v>-0.10357420924388795</v>
      </c>
      <c r="AP186" s="303">
        <v>96.2</v>
      </c>
      <c r="AQ186" s="303">
        <v>94.9</v>
      </c>
      <c r="AR186" s="303">
        <f>AQ186-AP186</f>
        <v>-1.2999999999999972</v>
      </c>
      <c r="AS186" s="332">
        <v>67073.7</v>
      </c>
      <c r="AT186" s="313">
        <v>67074.3</v>
      </c>
      <c r="AU186" s="341">
        <f>AT186-AS186</f>
        <v>0.60000000000582077</v>
      </c>
      <c r="AV186" s="303"/>
      <c r="AW186" s="303"/>
      <c r="AX186" s="303"/>
      <c r="AY186" s="303"/>
      <c r="AZ186" s="322" t="s">
        <v>686</v>
      </c>
      <c r="BA186" s="461">
        <v>2419.2673322400001</v>
      </c>
      <c r="BB186" s="461">
        <v>-1.8808897499999999</v>
      </c>
      <c r="BC186" s="461">
        <v>2010.3202849700001</v>
      </c>
      <c r="BD186" s="461">
        <v>2048.8570268399999</v>
      </c>
      <c r="BE186" s="461">
        <v>3.2142906500000001</v>
      </c>
      <c r="BF186" s="461">
        <v>3.2585694699999999</v>
      </c>
      <c r="BG186" s="461">
        <v>-0.24556596</v>
      </c>
      <c r="BH186" s="461">
        <v>3.5821625899999998</v>
      </c>
      <c r="BI186" s="461">
        <v>3.59098082</v>
      </c>
      <c r="BJ186" s="461">
        <v>-1.1286122000000001</v>
      </c>
      <c r="BK186" s="461">
        <v>-1.3588420999999999</v>
      </c>
      <c r="BL186" s="461">
        <v>0.59039659</v>
      </c>
    </row>
    <row r="187" spans="1:70" ht="15" customHeight="1" x14ac:dyDescent="0.2">
      <c r="A187" s="328">
        <f>A186</f>
        <v>62008028</v>
      </c>
      <c r="B187" s="321" t="s">
        <v>628</v>
      </c>
      <c r="C187" s="321" t="s">
        <v>774</v>
      </c>
      <c r="D187" s="352" t="s">
        <v>718</v>
      </c>
      <c r="E187" s="307" t="s">
        <v>891</v>
      </c>
      <c r="F187" s="307" t="str">
        <f t="shared" si="60"/>
        <v>08/11/20</v>
      </c>
      <c r="G187" s="322" t="s">
        <v>892</v>
      </c>
      <c r="H187" s="322" t="s">
        <v>685</v>
      </c>
      <c r="I187" s="330"/>
      <c r="J187" s="323">
        <v>33.443356000000001</v>
      </c>
      <c r="K187" s="323">
        <v>49.741942999999999</v>
      </c>
      <c r="L187" s="323">
        <v>29.276702</v>
      </c>
      <c r="M187" s="323">
        <v>39.527479999999997</v>
      </c>
      <c r="N187" s="308">
        <v>4250</v>
      </c>
      <c r="O187" s="308">
        <v>30.36</v>
      </c>
      <c r="P187" s="308">
        <v>0.3201</v>
      </c>
      <c r="Q187" s="308">
        <v>1.9560000000000001E-2</v>
      </c>
      <c r="R187" s="309">
        <v>3.8445096699999999</v>
      </c>
      <c r="S187" s="309">
        <f>R187+R186</f>
        <v>7.4267238399999993</v>
      </c>
      <c r="T187" s="338">
        <v>94.9</v>
      </c>
      <c r="U187" s="338">
        <v>93.6</v>
      </c>
      <c r="V187" s="313">
        <v>631.46192799999994</v>
      </c>
      <c r="W187" s="313">
        <v>1527</v>
      </c>
      <c r="X187" s="313">
        <f>W187-V187</f>
        <v>895.53807200000006</v>
      </c>
      <c r="Y187" s="313">
        <f t="shared" si="80"/>
        <v>232.9394770386935</v>
      </c>
      <c r="Z187" s="332">
        <v>2643.6538580000001</v>
      </c>
      <c r="AA187" s="313">
        <v>2726.1337159999998</v>
      </c>
      <c r="AB187" s="313">
        <f>AA187-Z187</f>
        <v>82.479857999999695</v>
      </c>
      <c r="AC187" s="331">
        <f t="shared" si="81"/>
        <v>21.453934332281104</v>
      </c>
      <c r="AD187" s="332">
        <v>-40.700000000000003</v>
      </c>
      <c r="AE187" s="313">
        <v>-41.43</v>
      </c>
      <c r="AF187" s="313">
        <f>AE187-AD187</f>
        <v>-0.72999999999999687</v>
      </c>
      <c r="AG187" s="331">
        <f t="shared" si="82"/>
        <v>-0.18988117150450473</v>
      </c>
      <c r="AH187" s="332">
        <v>5226.3203519999997</v>
      </c>
      <c r="AI187" s="313">
        <v>5461.5685569999996</v>
      </c>
      <c r="AJ187" s="313">
        <f>AI187-AH187</f>
        <v>235.24820499999987</v>
      </c>
      <c r="AK187" s="331">
        <f t="shared" si="83"/>
        <v>61.190691451687748</v>
      </c>
      <c r="AL187" s="332">
        <v>-4.75</v>
      </c>
      <c r="AM187" s="313">
        <v>-5.65</v>
      </c>
      <c r="AN187" s="313">
        <f>AM187-AL187</f>
        <v>-0.90000000000000036</v>
      </c>
      <c r="AO187" s="331">
        <f t="shared" si="84"/>
        <v>-0.23410007445760966</v>
      </c>
      <c r="AP187" s="303">
        <v>94.9</v>
      </c>
      <c r="AQ187" s="303">
        <v>93.6</v>
      </c>
      <c r="AR187" s="303">
        <f>AQ187-AP187</f>
        <v>-1.3000000000000114</v>
      </c>
      <c r="AS187" s="332">
        <v>67074.3</v>
      </c>
      <c r="AT187" s="313">
        <v>67075.5</v>
      </c>
      <c r="AU187" s="341">
        <f>AT187-AS187</f>
        <v>1.1999999999970896</v>
      </c>
      <c r="AV187" s="303"/>
      <c r="AW187" s="303"/>
      <c r="AX187" s="303"/>
      <c r="AY187" s="303"/>
      <c r="AZ187" s="322" t="s">
        <v>686</v>
      </c>
      <c r="BA187" s="461">
        <v>1483.2735807700001</v>
      </c>
      <c r="BB187" s="461">
        <v>-2.0723929700000001</v>
      </c>
      <c r="BC187" s="461">
        <v>3345.3718033800001</v>
      </c>
      <c r="BD187" s="461">
        <v>3416.1682337900002</v>
      </c>
      <c r="BE187" s="461">
        <v>2.9551577500000001</v>
      </c>
      <c r="BF187" s="461">
        <v>3.0186969000000001</v>
      </c>
      <c r="BG187" s="461">
        <v>-0.40045963000000001</v>
      </c>
      <c r="BH187" s="461">
        <v>3.8443734200000002</v>
      </c>
      <c r="BI187" s="461">
        <v>3.8598304799999998</v>
      </c>
      <c r="BJ187" s="461">
        <v>-1.74104028</v>
      </c>
      <c r="BK187" s="461">
        <v>-2.10485356</v>
      </c>
      <c r="BL187" s="461">
        <v>0.71450228999999998</v>
      </c>
    </row>
    <row r="188" spans="1:70" ht="15" customHeight="1" x14ac:dyDescent="0.2">
      <c r="A188" s="328">
        <f t="shared" ref="A188:A195" si="85">A187</f>
        <v>62008028</v>
      </c>
      <c r="B188" s="321" t="s">
        <v>629</v>
      </c>
      <c r="C188" s="321" t="s">
        <v>775</v>
      </c>
      <c r="D188" s="352" t="s">
        <v>718</v>
      </c>
      <c r="E188" s="307" t="s">
        <v>891</v>
      </c>
      <c r="F188" s="307" t="str">
        <f t="shared" si="60"/>
        <v>08/11/20</v>
      </c>
      <c r="G188" s="322" t="s">
        <v>892</v>
      </c>
      <c r="H188" s="322" t="s">
        <v>685</v>
      </c>
      <c r="I188" s="330"/>
      <c r="J188" s="324">
        <f>AVERAGE(J186:J187)</f>
        <v>34.273290000000003</v>
      </c>
      <c r="K188" s="324">
        <f>AVERAGE(K186:K187)</f>
        <v>44.525222499999998</v>
      </c>
      <c r="L188" s="324">
        <f>AVERAGE(L186:L187)</f>
        <v>29.276159499999999</v>
      </c>
      <c r="M188" s="324">
        <f>AVERAGE(M186:M187)</f>
        <v>38.337086999999997</v>
      </c>
      <c r="N188" s="310"/>
      <c r="O188" s="308"/>
      <c r="P188" s="326"/>
      <c r="Q188" s="325"/>
      <c r="R188" s="311">
        <f>R187+R186</f>
        <v>7.4267238399999993</v>
      </c>
      <c r="S188" s="311">
        <f>S187</f>
        <v>7.4267238399999993</v>
      </c>
      <c r="T188" s="339">
        <f>T186</f>
        <v>96.2</v>
      </c>
      <c r="U188" s="339">
        <f>U187</f>
        <v>93.6</v>
      </c>
      <c r="V188" s="314">
        <f>V186</f>
        <v>-370</v>
      </c>
      <c r="W188" s="314">
        <f>W187</f>
        <v>1527</v>
      </c>
      <c r="X188" s="314">
        <f>SUM(X186:X187)</f>
        <v>1896.5380720000001</v>
      </c>
      <c r="Y188" s="314">
        <f t="shared" si="80"/>
        <v>255.36671523792654</v>
      </c>
      <c r="Z188" s="314">
        <f>Z186</f>
        <v>2584.4243670000001</v>
      </c>
      <c r="AA188" s="314">
        <f>AA187</f>
        <v>2726.1337159999998</v>
      </c>
      <c r="AB188" s="314">
        <f>SUM(AB186:AB187)</f>
        <v>141.68969099999958</v>
      </c>
      <c r="AC188" s="312">
        <f t="shared" si="81"/>
        <v>19.078357301622731</v>
      </c>
      <c r="AD188" s="314">
        <f>AD186</f>
        <v>-39.154367000000001</v>
      </c>
      <c r="AE188" s="314">
        <f>AE187</f>
        <v>-41.43</v>
      </c>
      <c r="AF188" s="314">
        <f>SUM(AF186:AF187)</f>
        <v>-2.2756329999999991</v>
      </c>
      <c r="AG188" s="312">
        <f t="shared" si="82"/>
        <v>-0.30641142030131008</v>
      </c>
      <c r="AH188" s="314">
        <f>AH186</f>
        <v>5006.2</v>
      </c>
      <c r="AI188" s="314">
        <f>AI187</f>
        <v>5461.5685569999996</v>
      </c>
      <c r="AJ188" s="314">
        <f>SUM(AJ186:AJ187)</f>
        <v>455.29820500000005</v>
      </c>
      <c r="AK188" s="312">
        <f t="shared" si="83"/>
        <v>61.305390480225547</v>
      </c>
      <c r="AL188" s="314">
        <f>AL186</f>
        <v>-4.3499999999999996</v>
      </c>
      <c r="AM188" s="314">
        <f>AM187</f>
        <v>-5.65</v>
      </c>
      <c r="AN188" s="314">
        <f>SUM(AN186:AN187)</f>
        <v>-1.2710250000000007</v>
      </c>
      <c r="AO188" s="312">
        <f t="shared" si="84"/>
        <v>-0.17114208463687816</v>
      </c>
      <c r="AP188" s="305"/>
      <c r="AQ188" s="305"/>
      <c r="AR188" s="305">
        <f>SUM(AR186:AR187)</f>
        <v>-2.6000000000000085</v>
      </c>
      <c r="AS188" s="314">
        <f>AS186</f>
        <v>67073.7</v>
      </c>
      <c r="AT188" s="314">
        <f>AT187</f>
        <v>67075.5</v>
      </c>
      <c r="AU188" s="342">
        <f>SUM(AU186:AU187)</f>
        <v>1.8000000000029104</v>
      </c>
      <c r="AV188" s="305"/>
      <c r="AW188" s="305"/>
      <c r="AX188" s="305"/>
      <c r="AY188" s="305"/>
      <c r="AZ188" s="322" t="s">
        <v>686</v>
      </c>
    </row>
    <row r="189" spans="1:70" ht="15" customHeight="1" x14ac:dyDescent="0.2">
      <c r="A189" s="328">
        <f t="shared" si="85"/>
        <v>62008028</v>
      </c>
      <c r="B189" s="321" t="s">
        <v>630</v>
      </c>
      <c r="C189" s="321" t="s">
        <v>776</v>
      </c>
      <c r="D189" s="352" t="s">
        <v>718</v>
      </c>
      <c r="E189" s="307" t="s">
        <v>891</v>
      </c>
      <c r="F189" s="307" t="str">
        <f t="shared" si="60"/>
        <v>08/11/20</v>
      </c>
      <c r="G189" s="322" t="s">
        <v>892</v>
      </c>
      <c r="H189" s="322" t="s">
        <v>685</v>
      </c>
      <c r="I189" s="330"/>
      <c r="J189" s="323">
        <v>37.256883999999999</v>
      </c>
      <c r="K189" s="323">
        <v>32.366238000000003</v>
      </c>
      <c r="L189" s="323">
        <v>29.281739999999999</v>
      </c>
      <c r="M189" s="323">
        <v>40.891415000000002</v>
      </c>
      <c r="N189" s="308">
        <v>4250</v>
      </c>
      <c r="O189" s="308">
        <v>30.36</v>
      </c>
      <c r="P189" s="308">
        <v>0.3201</v>
      </c>
      <c r="Q189" s="308">
        <v>1.9560000000000001E-2</v>
      </c>
      <c r="R189" s="309">
        <v>10.245792460000001</v>
      </c>
      <c r="S189" s="309">
        <f>R189+R188</f>
        <v>17.672516299999998</v>
      </c>
      <c r="T189" s="338">
        <v>93.6</v>
      </c>
      <c r="U189" s="338">
        <v>90.2</v>
      </c>
      <c r="V189" s="313">
        <v>1533</v>
      </c>
      <c r="W189" s="313">
        <v>3823</v>
      </c>
      <c r="X189" s="313">
        <f>W189-V189</f>
        <v>2290</v>
      </c>
      <c r="Y189" s="313">
        <f t="shared" si="80"/>
        <v>223.50638166254637</v>
      </c>
      <c r="Z189" s="332">
        <v>2727.8737510000001</v>
      </c>
      <c r="AA189" s="313">
        <v>2788.3632910000001</v>
      </c>
      <c r="AB189" s="313">
        <f>AA189-Z189</f>
        <v>60.489540000000034</v>
      </c>
      <c r="AC189" s="331">
        <f t="shared" si="81"/>
        <v>5.9038420147737432</v>
      </c>
      <c r="AD189" s="332">
        <v>-41.46</v>
      </c>
      <c r="AE189" s="313">
        <v>-41.86</v>
      </c>
      <c r="AF189" s="313">
        <f>AE189-AD189</f>
        <v>-0.39999999999999858</v>
      </c>
      <c r="AG189" s="331">
        <f t="shared" si="82"/>
        <v>-3.9040416010924991E-2</v>
      </c>
      <c r="AH189" s="332">
        <v>5465.1187440000003</v>
      </c>
      <c r="AI189" s="313">
        <v>5601.15</v>
      </c>
      <c r="AJ189" s="313">
        <f>AI189-AH189</f>
        <v>136.0312559999993</v>
      </c>
      <c r="AK189" s="331">
        <f t="shared" si="83"/>
        <v>13.27679206182157</v>
      </c>
      <c r="AL189" s="332">
        <v>-5.7</v>
      </c>
      <c r="AM189" s="313">
        <v>-7.5</v>
      </c>
      <c r="AN189" s="313">
        <f>AM189-AL189</f>
        <v>-1.7999999999999998</v>
      </c>
      <c r="AO189" s="331">
        <f t="shared" si="84"/>
        <v>-0.17568187204916308</v>
      </c>
      <c r="AP189" s="303">
        <v>93.6</v>
      </c>
      <c r="AQ189" s="303">
        <v>90.2</v>
      </c>
      <c r="AR189" s="303">
        <f>AQ189-AP189</f>
        <v>-3.3999999999999915</v>
      </c>
      <c r="AS189" s="332">
        <v>67075.5</v>
      </c>
      <c r="AT189" s="313">
        <v>67076.5</v>
      </c>
      <c r="AU189" s="341">
        <f>AT189-AS189</f>
        <v>1</v>
      </c>
      <c r="AV189" s="303"/>
      <c r="AW189" s="303"/>
      <c r="AX189" s="303"/>
      <c r="AY189" s="303"/>
      <c r="AZ189" s="322" t="s">
        <v>686</v>
      </c>
      <c r="BA189" s="461">
        <v>1945.4917455499999</v>
      </c>
      <c r="BB189" s="461">
        <v>-0.76978612999999996</v>
      </c>
      <c r="BC189" s="461">
        <v>1296.66951784</v>
      </c>
      <c r="BD189" s="461">
        <v>1306.72853285</v>
      </c>
      <c r="BE189" s="461">
        <v>7.9695137899999997</v>
      </c>
      <c r="BF189" s="461">
        <v>8.0200784699999996</v>
      </c>
      <c r="BG189" s="461">
        <v>-0.10533539</v>
      </c>
      <c r="BH189" s="461">
        <v>10.24587644</v>
      </c>
      <c r="BI189" s="461">
        <v>10.25668035</v>
      </c>
      <c r="BJ189" s="461">
        <v>-0.52847266000000004</v>
      </c>
      <c r="BK189" s="461">
        <v>-0.63047615000000001</v>
      </c>
      <c r="BL189" s="461">
        <v>0.28276711999999998</v>
      </c>
    </row>
    <row r="190" spans="1:70" ht="15" customHeight="1" x14ac:dyDescent="0.2">
      <c r="A190" s="328">
        <f t="shared" si="85"/>
        <v>62008028</v>
      </c>
      <c r="B190" s="321" t="s">
        <v>631</v>
      </c>
      <c r="C190" s="321" t="s">
        <v>777</v>
      </c>
      <c r="D190" s="352" t="s">
        <v>718</v>
      </c>
      <c r="E190" s="307" t="s">
        <v>891</v>
      </c>
      <c r="F190" s="307" t="str">
        <f t="shared" si="60"/>
        <v>08/11/20</v>
      </c>
      <c r="G190" s="322" t="s">
        <v>892</v>
      </c>
      <c r="H190" s="322" t="s">
        <v>685</v>
      </c>
      <c r="I190" s="330"/>
      <c r="J190" s="323">
        <v>32.721080000000001</v>
      </c>
      <c r="K190" s="323">
        <v>60.029060999999999</v>
      </c>
      <c r="L190" s="323">
        <v>29.281462999999999</v>
      </c>
      <c r="M190" s="323">
        <v>40.176879999999997</v>
      </c>
      <c r="N190" s="308">
        <v>4250</v>
      </c>
      <c r="O190" s="308">
        <v>30.36</v>
      </c>
      <c r="P190" s="308">
        <v>0.3201</v>
      </c>
      <c r="Q190" s="308">
        <v>1.9560000000000001E-2</v>
      </c>
      <c r="R190" s="309">
        <v>3.5824557800000001</v>
      </c>
      <c r="S190" s="309">
        <f>R190+R189</f>
        <v>13.828248240000001</v>
      </c>
      <c r="T190" s="338">
        <v>90.2</v>
      </c>
      <c r="U190" s="338">
        <v>89</v>
      </c>
      <c r="V190" s="313">
        <v>3829</v>
      </c>
      <c r="W190" s="313">
        <v>4629</v>
      </c>
      <c r="X190" s="313">
        <f>W190-V190</f>
        <v>800</v>
      </c>
      <c r="Y190" s="313">
        <f t="shared" si="80"/>
        <v>223.31050238392615</v>
      </c>
      <c r="Z190" s="332">
        <v>2792.1728549999998</v>
      </c>
      <c r="AA190" s="313">
        <v>2835.2726929999999</v>
      </c>
      <c r="AB190" s="313">
        <f>AA190-Z190</f>
        <v>43.099838000000091</v>
      </c>
      <c r="AC190" s="331">
        <f t="shared" si="81"/>
        <v>12.030808095557314</v>
      </c>
      <c r="AD190" s="332">
        <v>-40.049999999999997</v>
      </c>
      <c r="AE190" s="313">
        <v>-40.909999999999997</v>
      </c>
      <c r="AF190" s="313">
        <f>AE190-AD190</f>
        <v>-0.85999999999999943</v>
      </c>
      <c r="AG190" s="331">
        <f t="shared" si="82"/>
        <v>-0.24005879006272043</v>
      </c>
      <c r="AH190" s="332">
        <v>5601.75</v>
      </c>
      <c r="AI190" s="313">
        <v>5688.9</v>
      </c>
      <c r="AJ190" s="313">
        <f>AI190-AH190</f>
        <v>87.149999999999636</v>
      </c>
      <c r="AK190" s="331">
        <f t="shared" si="83"/>
        <v>24.326887853448852</v>
      </c>
      <c r="AL190" s="332">
        <v>-7.5</v>
      </c>
      <c r="AM190" s="313">
        <v>-10.95</v>
      </c>
      <c r="AN190" s="313">
        <f>AM190-AL190</f>
        <v>-3.4499999999999993</v>
      </c>
      <c r="AO190" s="331">
        <f t="shared" si="84"/>
        <v>-0.96302654153068123</v>
      </c>
      <c r="AP190" s="303">
        <v>90.2</v>
      </c>
      <c r="AQ190" s="303">
        <v>89</v>
      </c>
      <c r="AR190" s="303">
        <f>AQ190-AP190</f>
        <v>-1.2000000000000028</v>
      </c>
      <c r="AS190" s="332">
        <v>67077.3</v>
      </c>
      <c r="AT190" s="313">
        <v>67077.899999999994</v>
      </c>
      <c r="AU190" s="341">
        <f>AT190-AS190</f>
        <v>0.59999999999126885</v>
      </c>
      <c r="AV190" s="303"/>
      <c r="AW190" s="303"/>
      <c r="AX190" s="303"/>
      <c r="AY190" s="303"/>
      <c r="AZ190" s="322" t="s">
        <v>686</v>
      </c>
      <c r="BA190" s="461">
        <v>2410.78615562</v>
      </c>
      <c r="BB190" s="461">
        <v>-2.15656691</v>
      </c>
      <c r="BC190" s="461">
        <v>2004.4748774899999</v>
      </c>
      <c r="BD190" s="461">
        <v>2048.6555042099999</v>
      </c>
      <c r="BE190" s="461">
        <v>3.2103204600000002</v>
      </c>
      <c r="BF190" s="461">
        <v>3.25828841</v>
      </c>
      <c r="BG190" s="461">
        <v>-0.23833260000000001</v>
      </c>
      <c r="BH190" s="461">
        <v>3.5824210999999999</v>
      </c>
      <c r="BI190" s="461">
        <v>3.5909795799999999</v>
      </c>
      <c r="BJ190" s="461">
        <v>-1.2522857000000001</v>
      </c>
      <c r="BK190" s="461">
        <v>-1.4721823700000001</v>
      </c>
      <c r="BL190" s="461">
        <v>0.59036215000000003</v>
      </c>
    </row>
    <row r="191" spans="1:70" ht="15" customHeight="1" x14ac:dyDescent="0.2">
      <c r="A191" s="328">
        <f t="shared" si="85"/>
        <v>62008028</v>
      </c>
      <c r="B191" s="321" t="s">
        <v>225</v>
      </c>
      <c r="C191" s="321" t="s">
        <v>778</v>
      </c>
      <c r="D191" s="352" t="s">
        <v>718</v>
      </c>
      <c r="E191" s="307" t="s">
        <v>891</v>
      </c>
      <c r="F191" s="307" t="str">
        <f t="shared" si="60"/>
        <v>08/11/20</v>
      </c>
      <c r="G191" s="322" t="s">
        <v>892</v>
      </c>
      <c r="H191" s="322" t="s">
        <v>685</v>
      </c>
      <c r="I191" s="330"/>
      <c r="J191" s="323">
        <v>32.289558999999997</v>
      </c>
      <c r="K191" s="323">
        <v>49.485818999999999</v>
      </c>
      <c r="L191" s="323">
        <v>29.285350000000001</v>
      </c>
      <c r="M191" s="323">
        <v>39.781322000000003</v>
      </c>
      <c r="N191" s="308">
        <v>4250</v>
      </c>
      <c r="O191" s="308">
        <v>30.36</v>
      </c>
      <c r="P191" s="308">
        <v>0.3201</v>
      </c>
      <c r="Q191" s="308">
        <v>1.9560000000000001E-2</v>
      </c>
      <c r="R191" s="309">
        <v>3.8443687299999998</v>
      </c>
      <c r="S191" s="309">
        <f>R191+R190</f>
        <v>7.4268245099999994</v>
      </c>
      <c r="T191" s="338">
        <v>89</v>
      </c>
      <c r="U191" s="338">
        <v>87.8</v>
      </c>
      <c r="V191" s="313">
        <v>4629</v>
      </c>
      <c r="W191" s="313">
        <v>5388</v>
      </c>
      <c r="X191" s="313">
        <f>W191-V191</f>
        <v>759</v>
      </c>
      <c r="Y191" s="313">
        <f t="shared" si="80"/>
        <v>197.43163398376723</v>
      </c>
      <c r="Z191" s="332">
        <v>2835.2927599999998</v>
      </c>
      <c r="AA191" s="313">
        <v>2911.2022609999999</v>
      </c>
      <c r="AB191" s="313">
        <f>AA191-Z191</f>
        <v>75.909501000000091</v>
      </c>
      <c r="AC191" s="331">
        <f t="shared" si="81"/>
        <v>19.745634805431397</v>
      </c>
      <c r="AD191" s="332">
        <v>-40.909999999999997</v>
      </c>
      <c r="AE191" s="313">
        <v>-41.74</v>
      </c>
      <c r="AF191" s="313">
        <f>AE191-AD191</f>
        <v>-0.8300000000000054</v>
      </c>
      <c r="AG191" s="331">
        <f t="shared" si="82"/>
        <v>-0.21590020580570204</v>
      </c>
      <c r="AH191" s="332">
        <v>5688.95</v>
      </c>
      <c r="AI191" s="313">
        <v>5800.2</v>
      </c>
      <c r="AJ191" s="313">
        <f>AI191-AH191</f>
        <v>111.25</v>
      </c>
      <c r="AK191" s="331">
        <f t="shared" si="83"/>
        <v>28.938431199860478</v>
      </c>
      <c r="AL191" s="332">
        <v>-10.95</v>
      </c>
      <c r="AM191" s="313">
        <v>-16.45</v>
      </c>
      <c r="AN191" s="313">
        <f>AM191-AL191</f>
        <v>-5.5</v>
      </c>
      <c r="AO191" s="331">
        <f t="shared" si="84"/>
        <v>-1.4306640143751248</v>
      </c>
      <c r="AP191" s="303">
        <v>89</v>
      </c>
      <c r="AQ191" s="303">
        <v>87.8</v>
      </c>
      <c r="AR191" s="303">
        <f>AQ191-AP191</f>
        <v>-1.2000000000000028</v>
      </c>
      <c r="AS191" s="332">
        <v>67077.899999999994</v>
      </c>
      <c r="AT191" s="313">
        <v>67079.100000000006</v>
      </c>
      <c r="AU191" s="341">
        <f>AT191-AS191</f>
        <v>1.2000000000116415</v>
      </c>
      <c r="AV191" s="303"/>
      <c r="AW191" s="303"/>
      <c r="AX191" s="303"/>
      <c r="AY191" s="303"/>
      <c r="AZ191" s="322" t="s">
        <v>686</v>
      </c>
      <c r="BA191" s="461">
        <v>1481.7189403100001</v>
      </c>
      <c r="BB191" s="461">
        <v>-2.0619456399999998</v>
      </c>
      <c r="BC191" s="461">
        <v>3345.55083208</v>
      </c>
      <c r="BD191" s="461">
        <v>3415.9866193500002</v>
      </c>
      <c r="BE191" s="461">
        <v>2.9549714200000001</v>
      </c>
      <c r="BF191" s="461">
        <v>3.018418</v>
      </c>
      <c r="BG191" s="461">
        <v>-0.40458703000000001</v>
      </c>
      <c r="BH191" s="461">
        <v>3.8442131900000001</v>
      </c>
      <c r="BI191" s="461">
        <v>3.8598295600000001</v>
      </c>
      <c r="BJ191" s="461">
        <v>-1.7338389999999999</v>
      </c>
      <c r="BK191" s="461">
        <v>-2.10198106</v>
      </c>
      <c r="BL191" s="461">
        <v>0.71451556999999999</v>
      </c>
    </row>
    <row r="192" spans="1:70" ht="15" customHeight="1" x14ac:dyDescent="0.2">
      <c r="A192" s="328">
        <f t="shared" si="85"/>
        <v>62008028</v>
      </c>
      <c r="B192" s="321" t="s">
        <v>632</v>
      </c>
      <c r="C192" s="321" t="s">
        <v>779</v>
      </c>
      <c r="D192" s="352" t="s">
        <v>718</v>
      </c>
      <c r="E192" s="307" t="s">
        <v>891</v>
      </c>
      <c r="F192" s="307" t="str">
        <f t="shared" si="60"/>
        <v>08/11/20</v>
      </c>
      <c r="G192" s="322" t="s">
        <v>892</v>
      </c>
      <c r="H192" s="322" t="s">
        <v>685</v>
      </c>
      <c r="I192" s="330"/>
      <c r="J192" s="324">
        <f>AVERAGE(J190:J191)</f>
        <v>32.505319499999999</v>
      </c>
      <c r="K192" s="324">
        <f>AVERAGE(K190:K191)</f>
        <v>54.757440000000003</v>
      </c>
      <c r="L192" s="324">
        <f>AVERAGE(L190:L191)</f>
        <v>29.283406499999998</v>
      </c>
      <c r="M192" s="324">
        <f>AVERAGE(M190:M191)</f>
        <v>39.979101</v>
      </c>
      <c r="N192" s="310"/>
      <c r="O192" s="308"/>
      <c r="P192" s="326"/>
      <c r="Q192" s="325"/>
      <c r="R192" s="311">
        <f>R191+R190</f>
        <v>7.4268245099999994</v>
      </c>
      <c r="S192" s="311">
        <f>S191</f>
        <v>7.4268245099999994</v>
      </c>
      <c r="T192" s="339">
        <f>T190</f>
        <v>90.2</v>
      </c>
      <c r="U192" s="339">
        <f>U191</f>
        <v>87.8</v>
      </c>
      <c r="V192" s="314">
        <f>V190</f>
        <v>3829</v>
      </c>
      <c r="W192" s="314">
        <f>W191</f>
        <v>5388</v>
      </c>
      <c r="X192" s="314">
        <f>SUM(X190:X191)</f>
        <v>1559</v>
      </c>
      <c r="Y192" s="314">
        <f t="shared" si="80"/>
        <v>209.91474861171858</v>
      </c>
      <c r="Z192" s="314">
        <f>Z190</f>
        <v>2792.1728549999998</v>
      </c>
      <c r="AA192" s="314">
        <f>AA191</f>
        <v>2911.2022609999999</v>
      </c>
      <c r="AB192" s="314">
        <f>SUM(AB190:AB191)</f>
        <v>119.00933900000018</v>
      </c>
      <c r="AC192" s="312">
        <f t="shared" si="81"/>
        <v>16.024256240302652</v>
      </c>
      <c r="AD192" s="314">
        <f>AD190</f>
        <v>-40.049999999999997</v>
      </c>
      <c r="AE192" s="314">
        <f>AE191</f>
        <v>-41.74</v>
      </c>
      <c r="AF192" s="314">
        <f>SUM(AF190:AF191)</f>
        <v>-1.6900000000000048</v>
      </c>
      <c r="AG192" s="312">
        <f t="shared" si="82"/>
        <v>-0.2275535119652376</v>
      </c>
      <c r="AH192" s="314">
        <f>AH190</f>
        <v>5601.75</v>
      </c>
      <c r="AI192" s="314">
        <f>AI191</f>
        <v>5800.2</v>
      </c>
      <c r="AJ192" s="314">
        <f>SUM(AJ190:AJ191)</f>
        <v>198.39999999999964</v>
      </c>
      <c r="AK192" s="312">
        <f t="shared" si="83"/>
        <v>26.713974422427768</v>
      </c>
      <c r="AL192" s="314">
        <f>AL190</f>
        <v>-7.5</v>
      </c>
      <c r="AM192" s="314">
        <f>AM191</f>
        <v>-16.45</v>
      </c>
      <c r="AN192" s="314">
        <f>SUM(AN190:AN191)</f>
        <v>-8.9499999999999993</v>
      </c>
      <c r="AO192" s="312">
        <f t="shared" si="84"/>
        <v>-1.2050910840762548</v>
      </c>
      <c r="AP192" s="305"/>
      <c r="AQ192" s="305"/>
      <c r="AR192" s="305">
        <f>SUM(AR190:AR191)</f>
        <v>-2.4000000000000057</v>
      </c>
      <c r="AS192" s="314">
        <f>AS190</f>
        <v>67077.3</v>
      </c>
      <c r="AT192" s="314">
        <f>AT191</f>
        <v>67079.100000000006</v>
      </c>
      <c r="AU192" s="342">
        <f>SUM(AU190:AU191)</f>
        <v>1.8000000000029104</v>
      </c>
      <c r="AV192" s="305"/>
      <c r="AW192" s="305"/>
      <c r="AX192" s="305"/>
      <c r="AY192" s="305"/>
      <c r="AZ192" s="322" t="s">
        <v>686</v>
      </c>
    </row>
    <row r="193" spans="1:70" ht="15" customHeight="1" x14ac:dyDescent="0.2">
      <c r="A193" s="328">
        <f t="shared" si="85"/>
        <v>62008028</v>
      </c>
      <c r="B193" s="321" t="s">
        <v>633</v>
      </c>
      <c r="C193" s="321" t="s">
        <v>780</v>
      </c>
      <c r="D193" s="352" t="s">
        <v>718</v>
      </c>
      <c r="E193" s="307" t="s">
        <v>891</v>
      </c>
      <c r="F193" s="307" t="str">
        <f t="shared" si="60"/>
        <v>08/11/20</v>
      </c>
      <c r="G193" s="322" t="s">
        <v>892</v>
      </c>
      <c r="H193" s="322" t="s">
        <v>685</v>
      </c>
      <c r="I193" s="330"/>
      <c r="J193" s="323">
        <v>34.306015000000002</v>
      </c>
      <c r="K193" s="323">
        <v>37.574052000000002</v>
      </c>
      <c r="L193" s="323">
        <v>29.289152999999999</v>
      </c>
      <c r="M193" s="323">
        <v>41.598604000000002</v>
      </c>
      <c r="N193" s="308">
        <v>4250</v>
      </c>
      <c r="O193" s="308">
        <v>30.36</v>
      </c>
      <c r="P193" s="308">
        <v>0.3201</v>
      </c>
      <c r="Q193" s="308">
        <v>1.9560000000000001E-2</v>
      </c>
      <c r="R193" s="309">
        <v>1.7662677200000001</v>
      </c>
      <c r="S193" s="309">
        <f>R193+R192</f>
        <v>9.1930922299999995</v>
      </c>
      <c r="T193" s="338">
        <v>87.8</v>
      </c>
      <c r="U193" s="338">
        <v>84.1</v>
      </c>
      <c r="V193" s="313">
        <v>5411</v>
      </c>
      <c r="W193" s="313">
        <v>7826</v>
      </c>
      <c r="X193" s="313">
        <f>W193-V193-X194</f>
        <v>568</v>
      </c>
      <c r="Y193" s="313">
        <f t="shared" si="80"/>
        <v>321.58205325747559</v>
      </c>
      <c r="Z193" s="332">
        <v>2920.7</v>
      </c>
      <c r="AA193" s="313">
        <v>2966.5618760000002</v>
      </c>
      <c r="AB193" s="313">
        <f>AA193-Z193-AB194</f>
        <v>19.642026000000442</v>
      </c>
      <c r="AC193" s="331">
        <f t="shared" si="81"/>
        <v>11.120639174677574</v>
      </c>
      <c r="AD193" s="332">
        <v>-41.89</v>
      </c>
      <c r="AE193" s="313">
        <v>-42.24</v>
      </c>
      <c r="AF193" s="313">
        <f>AE193-AD193-AF194</f>
        <v>-0.14000000000000767</v>
      </c>
      <c r="AG193" s="331">
        <f t="shared" si="82"/>
        <v>-7.9263182140931421E-2</v>
      </c>
      <c r="AH193" s="332">
        <v>5812.5</v>
      </c>
      <c r="AI193" s="313">
        <v>5900.5</v>
      </c>
      <c r="AJ193" s="313">
        <f>AI193-AH193-AJ194</f>
        <v>32.649999999999636</v>
      </c>
      <c r="AK193" s="331">
        <f t="shared" si="83"/>
        <v>18.485306406437431</v>
      </c>
      <c r="AL193" s="332">
        <v>-16.600000000000001</v>
      </c>
      <c r="AM193" s="313">
        <v>-20.95</v>
      </c>
      <c r="AN193" s="313">
        <f>AM193-AL193-AN194</f>
        <v>-1.3499999999999979</v>
      </c>
      <c r="AO193" s="331">
        <f t="shared" si="84"/>
        <v>-0.76432354207322417</v>
      </c>
      <c r="AP193" s="303">
        <v>87.8</v>
      </c>
      <c r="AQ193" s="303">
        <v>84.1</v>
      </c>
      <c r="AR193" s="303">
        <f>AQ193-AP193-AR194</f>
        <v>-0.90000000000000568</v>
      </c>
      <c r="AS193" s="332">
        <v>67079.199999999997</v>
      </c>
      <c r="AT193" s="313">
        <v>67080</v>
      </c>
      <c r="AU193" s="341">
        <f>AT193-AS193-AU194</f>
        <v>0.39999999999417923</v>
      </c>
      <c r="AV193" s="303"/>
      <c r="AW193" s="303"/>
      <c r="AX193" s="303"/>
      <c r="AY193" s="303"/>
      <c r="AZ193" s="322" t="s">
        <v>686</v>
      </c>
      <c r="BA193" s="461">
        <v>5560.0867787099996</v>
      </c>
      <c r="BB193" s="461">
        <v>-1.2946325999999999</v>
      </c>
      <c r="BC193" s="461">
        <v>2427.4287244799998</v>
      </c>
      <c r="BD193" s="461">
        <v>2459.26719938</v>
      </c>
      <c r="BE193" s="461">
        <v>3.1643820100000002</v>
      </c>
      <c r="BF193" s="461">
        <v>3.20770336</v>
      </c>
      <c r="BG193" s="461">
        <v>-0.33039362</v>
      </c>
      <c r="BH193" s="461">
        <v>1.76624983</v>
      </c>
      <c r="BI193" s="461">
        <v>1.77210475</v>
      </c>
      <c r="BJ193" s="461">
        <v>-1.0341134700000001</v>
      </c>
      <c r="BK193" s="461">
        <v>-1.35054096</v>
      </c>
      <c r="BL193" s="461">
        <v>0.81478119999999998</v>
      </c>
    </row>
    <row r="194" spans="1:70" ht="15" customHeight="1" x14ac:dyDescent="0.2">
      <c r="A194" s="328">
        <f t="shared" si="85"/>
        <v>62008028</v>
      </c>
      <c r="B194" s="321" t="s">
        <v>634</v>
      </c>
      <c r="C194" s="321" t="s">
        <v>781</v>
      </c>
      <c r="D194" s="352" t="s">
        <v>718</v>
      </c>
      <c r="E194" s="307" t="s">
        <v>891</v>
      </c>
      <c r="F194" s="307" t="str">
        <f t="shared" si="60"/>
        <v>08/11/20</v>
      </c>
      <c r="G194" s="322" t="s">
        <v>892</v>
      </c>
      <c r="H194" s="322" t="s">
        <v>685</v>
      </c>
      <c r="I194" s="330"/>
      <c r="J194" s="323">
        <v>38.496563000000002</v>
      </c>
      <c r="K194" s="323">
        <v>27.232306000000001</v>
      </c>
      <c r="L194" s="323">
        <v>29.307321999999999</v>
      </c>
      <c r="M194" s="323">
        <v>41.565685000000002</v>
      </c>
      <c r="N194" s="308">
        <v>4250</v>
      </c>
      <c r="O194" s="308">
        <v>30.36</v>
      </c>
      <c r="P194" s="308">
        <v>0.3201</v>
      </c>
      <c r="Q194" s="308">
        <v>1.9560000000000001E-2</v>
      </c>
      <c r="R194" s="309">
        <v>6.22736219</v>
      </c>
      <c r="S194" s="309">
        <f>R194+R193</f>
        <v>7.9936299100000001</v>
      </c>
      <c r="T194" s="338">
        <v>87.2</v>
      </c>
      <c r="U194" s="338">
        <v>84.4</v>
      </c>
      <c r="V194" s="313">
        <v>5784</v>
      </c>
      <c r="W194" s="313">
        <v>7631</v>
      </c>
      <c r="X194" s="313">
        <f>W194-V194</f>
        <v>1847</v>
      </c>
      <c r="Y194" s="313">
        <f t="shared" si="80"/>
        <v>296.59427919030355</v>
      </c>
      <c r="Z194" s="332">
        <v>2931.2021920000002</v>
      </c>
      <c r="AA194" s="313">
        <v>2957.4220420000001</v>
      </c>
      <c r="AB194" s="313">
        <f>AA194-Z194</f>
        <v>26.219849999999951</v>
      </c>
      <c r="AC194" s="331">
        <f t="shared" si="81"/>
        <v>4.2104263731607281</v>
      </c>
      <c r="AD194" s="332">
        <v>-41.95</v>
      </c>
      <c r="AE194" s="313">
        <v>-42.16</v>
      </c>
      <c r="AF194" s="313">
        <f>AE194-AD194</f>
        <v>-0.20999999999999375</v>
      </c>
      <c r="AG194" s="331">
        <f t="shared" si="82"/>
        <v>-3.3722143275561389E-2</v>
      </c>
      <c r="AH194" s="332">
        <v>5830.15</v>
      </c>
      <c r="AI194" s="313">
        <v>5885.5</v>
      </c>
      <c r="AJ194" s="313">
        <f>AI194-AH194</f>
        <v>55.350000000000364</v>
      </c>
      <c r="AK194" s="331">
        <f t="shared" si="83"/>
        <v>8.8881934776304323</v>
      </c>
      <c r="AL194" s="332">
        <v>-17.45</v>
      </c>
      <c r="AM194" s="313">
        <v>-20.45</v>
      </c>
      <c r="AN194" s="313">
        <f>AM194-AL194</f>
        <v>-3</v>
      </c>
      <c r="AO194" s="331">
        <f t="shared" si="84"/>
        <v>-0.48174490393660563</v>
      </c>
      <c r="AP194" s="303">
        <v>87.2</v>
      </c>
      <c r="AQ194" s="303">
        <v>84.4</v>
      </c>
      <c r="AR194" s="303">
        <f>AQ194-AP194</f>
        <v>-2.7999999999999972</v>
      </c>
      <c r="AS194" s="332">
        <v>67079.399999999994</v>
      </c>
      <c r="AT194" s="313">
        <v>67079.8</v>
      </c>
      <c r="AU194" s="341">
        <f>AT194-AS194</f>
        <v>0.40000000000873115</v>
      </c>
      <c r="AV194" s="303"/>
      <c r="AW194" s="303"/>
      <c r="AX194" s="303"/>
      <c r="AY194" s="303"/>
      <c r="AZ194" s="322" t="s">
        <v>686</v>
      </c>
      <c r="BA194" s="461">
        <v>11810.68402155</v>
      </c>
      <c r="BB194" s="461">
        <v>-9.4693178499999995</v>
      </c>
      <c r="BC194" s="461">
        <v>1030.4753634000001</v>
      </c>
      <c r="BD194" s="461">
        <v>1138.2609065700001</v>
      </c>
      <c r="BE194" s="461">
        <v>6.9214127999999997</v>
      </c>
      <c r="BF194" s="461">
        <v>7.0840808099999997</v>
      </c>
      <c r="BG194" s="461">
        <v>-0.11964115</v>
      </c>
      <c r="BH194" s="461">
        <v>6.2273985100000004</v>
      </c>
      <c r="BI194" s="461">
        <v>6.2348579600000003</v>
      </c>
      <c r="BJ194" s="461">
        <v>-2.2277610299999999</v>
      </c>
      <c r="BK194" s="461">
        <v>-2.2962472799999998</v>
      </c>
      <c r="BL194" s="461">
        <v>0.34891035999999997</v>
      </c>
    </row>
    <row r="195" spans="1:70" ht="15" customHeight="1" x14ac:dyDescent="0.2">
      <c r="A195" s="328">
        <f t="shared" si="85"/>
        <v>62008028</v>
      </c>
      <c r="B195" s="321" t="s">
        <v>635</v>
      </c>
      <c r="C195" s="321" t="s">
        <v>782</v>
      </c>
      <c r="D195" s="352" t="s">
        <v>718</v>
      </c>
      <c r="E195" s="307" t="s">
        <v>891</v>
      </c>
      <c r="F195" s="307" t="str">
        <f t="shared" si="60"/>
        <v>08/11/20</v>
      </c>
      <c r="G195" s="322" t="s">
        <v>892</v>
      </c>
      <c r="H195" s="322" t="s">
        <v>685</v>
      </c>
      <c r="I195" s="330"/>
      <c r="J195" s="324">
        <f>AVERAGE(J193:J194)</f>
        <v>36.401289000000006</v>
      </c>
      <c r="K195" s="324">
        <f>AVERAGE(K193:K194)</f>
        <v>32.403179000000002</v>
      </c>
      <c r="L195" s="324">
        <f>AVERAGE(L193:L194)</f>
        <v>29.298237499999999</v>
      </c>
      <c r="M195" s="324">
        <f>AVERAGE(M193:M194)</f>
        <v>41.582144499999998</v>
      </c>
      <c r="N195" s="310"/>
      <c r="O195" s="308"/>
      <c r="P195" s="326"/>
      <c r="Q195" s="325"/>
      <c r="R195" s="311">
        <f>R194+R193</f>
        <v>7.9936299100000001</v>
      </c>
      <c r="S195" s="311">
        <f>S194</f>
        <v>7.9936299100000001</v>
      </c>
      <c r="T195" s="339">
        <f>T193</f>
        <v>87.8</v>
      </c>
      <c r="U195" s="339">
        <f>U194</f>
        <v>84.4</v>
      </c>
      <c r="V195" s="314">
        <f>V193</f>
        <v>5411</v>
      </c>
      <c r="W195" s="314">
        <f>W194</f>
        <v>7631</v>
      </c>
      <c r="X195" s="314">
        <f>SUM(X193:X194)</f>
        <v>2415</v>
      </c>
      <c r="Y195" s="314">
        <f t="shared" si="80"/>
        <v>302.11556291577176</v>
      </c>
      <c r="Z195" s="314">
        <f>Z193</f>
        <v>2920.7</v>
      </c>
      <c r="AA195" s="314">
        <f>AA194</f>
        <v>2957.4220420000001</v>
      </c>
      <c r="AB195" s="314">
        <f>SUM(AB193:AB194)</f>
        <v>45.861876000000393</v>
      </c>
      <c r="AC195" s="312">
        <f t="shared" si="81"/>
        <v>5.7373028919724396</v>
      </c>
      <c r="AD195" s="314">
        <f>AD193</f>
        <v>-41.89</v>
      </c>
      <c r="AE195" s="314">
        <f>AE194</f>
        <v>-42.16</v>
      </c>
      <c r="AF195" s="314">
        <f>SUM(AF193:AF194)</f>
        <v>-0.35000000000000142</v>
      </c>
      <c r="AG195" s="312">
        <f t="shared" si="82"/>
        <v>-4.378486419069174E-2</v>
      </c>
      <c r="AH195" s="314">
        <f>AH193</f>
        <v>5812.5</v>
      </c>
      <c r="AI195" s="314">
        <f>AI194</f>
        <v>5885.5</v>
      </c>
      <c r="AJ195" s="314">
        <f>SUM(AJ193:AJ194)</f>
        <v>88</v>
      </c>
      <c r="AK195" s="312">
        <f t="shared" si="83"/>
        <v>11.008765853659591</v>
      </c>
      <c r="AL195" s="314">
        <f>AL193</f>
        <v>-16.600000000000001</v>
      </c>
      <c r="AM195" s="314">
        <f>AM194</f>
        <v>-20.45</v>
      </c>
      <c r="AN195" s="314">
        <f>SUM(AN193:AN194)</f>
        <v>-4.3499999999999979</v>
      </c>
      <c r="AO195" s="312">
        <f t="shared" si="84"/>
        <v>-0.54418331208430915</v>
      </c>
      <c r="AP195" s="305"/>
      <c r="AQ195" s="305"/>
      <c r="AR195" s="305">
        <f>SUM(AR193:AR194)</f>
        <v>-3.7000000000000028</v>
      </c>
      <c r="AS195" s="314">
        <f>AS193</f>
        <v>67079.199999999997</v>
      </c>
      <c r="AT195" s="314">
        <f>AT194</f>
        <v>67079.8</v>
      </c>
      <c r="AU195" s="342">
        <f>SUM(AU193:AU194)</f>
        <v>0.80000000000291038</v>
      </c>
      <c r="AV195" s="305"/>
      <c r="AW195" s="305"/>
      <c r="AX195" s="305"/>
      <c r="AY195" s="305"/>
      <c r="AZ195" s="322" t="s">
        <v>686</v>
      </c>
    </row>
    <row r="196" spans="1:70" ht="15" customHeight="1" x14ac:dyDescent="0.2">
      <c r="A196" s="485" t="s">
        <v>893</v>
      </c>
      <c r="B196" s="362"/>
      <c r="C196" s="363"/>
      <c r="D196" s="363"/>
      <c r="E196" s="363"/>
      <c r="F196" s="363"/>
      <c r="G196" s="363"/>
      <c r="H196" s="362"/>
      <c r="I196" s="362"/>
      <c r="J196" s="373"/>
      <c r="K196" s="374"/>
      <c r="L196" s="362"/>
      <c r="M196" s="362"/>
      <c r="N196" s="362"/>
      <c r="O196" s="362"/>
      <c r="P196" s="362"/>
      <c r="Q196" s="362"/>
      <c r="R196" s="362"/>
      <c r="S196" s="362"/>
      <c r="T196" s="362"/>
      <c r="U196" s="362"/>
      <c r="V196" s="362"/>
      <c r="W196" s="362"/>
      <c r="X196" s="362"/>
      <c r="Y196" s="362"/>
      <c r="Z196" s="362"/>
      <c r="AA196" s="362"/>
      <c r="AB196" s="362"/>
      <c r="AC196" s="362"/>
      <c r="AD196" s="362"/>
      <c r="AE196" s="362"/>
      <c r="AF196" s="362"/>
      <c r="AG196" s="362"/>
      <c r="AH196" s="362"/>
      <c r="AI196" s="362"/>
      <c r="AJ196" s="362"/>
      <c r="AK196" s="362"/>
      <c r="AL196" s="362"/>
      <c r="AM196" s="362"/>
      <c r="AN196" s="362"/>
      <c r="AO196" s="362"/>
      <c r="AP196" s="362"/>
      <c r="AQ196" s="362"/>
      <c r="AR196" s="362"/>
      <c r="AS196" s="362"/>
      <c r="AT196" s="362"/>
      <c r="AU196" s="362"/>
      <c r="AV196" s="362"/>
      <c r="AW196" s="362"/>
      <c r="AX196" s="362"/>
      <c r="AY196" s="362"/>
      <c r="AZ196" s="362"/>
      <c r="BA196" s="362"/>
      <c r="BB196" s="362"/>
      <c r="BC196" s="362"/>
      <c r="BD196" s="362"/>
      <c r="BE196" s="362"/>
      <c r="BF196" s="375"/>
      <c r="BG196" s="362"/>
      <c r="BH196" s="362"/>
      <c r="BI196" s="362"/>
      <c r="BJ196" s="362"/>
      <c r="BK196" s="362"/>
      <c r="BL196" s="362"/>
      <c r="BM196" s="362"/>
      <c r="BN196" s="362"/>
      <c r="BO196" s="362"/>
      <c r="BP196" s="362"/>
      <c r="BQ196" s="362"/>
      <c r="BR196" s="366"/>
    </row>
    <row r="197" spans="1:70" ht="15" customHeight="1" x14ac:dyDescent="0.2">
      <c r="A197" s="328">
        <v>62008029</v>
      </c>
      <c r="B197" s="321" t="s">
        <v>627</v>
      </c>
      <c r="C197" s="321" t="s">
        <v>773</v>
      </c>
      <c r="D197" s="352" t="s">
        <v>718</v>
      </c>
      <c r="E197" s="307" t="s">
        <v>897</v>
      </c>
      <c r="F197" s="307" t="str">
        <f t="shared" si="60"/>
        <v>08/12/20</v>
      </c>
      <c r="G197" s="322" t="s">
        <v>898</v>
      </c>
      <c r="H197" s="322" t="s">
        <v>899</v>
      </c>
      <c r="I197" s="330"/>
      <c r="J197" s="323">
        <v>-5.5703399999999998</v>
      </c>
      <c r="K197" s="323">
        <v>22.386593999999999</v>
      </c>
      <c r="L197" s="323">
        <v>29.408265</v>
      </c>
      <c r="M197" s="323">
        <v>3.0320469999999999</v>
      </c>
      <c r="N197" s="308">
        <v>4250</v>
      </c>
      <c r="O197" s="308">
        <v>30.36</v>
      </c>
      <c r="P197" s="308">
        <v>0.3201</v>
      </c>
      <c r="Q197" s="308">
        <v>1.9560000000000001E-2</v>
      </c>
      <c r="R197" s="309">
        <v>3.58184178</v>
      </c>
      <c r="S197" s="309">
        <f>R197+R196</f>
        <v>3.58184178</v>
      </c>
      <c r="T197" s="338">
        <v>97.1</v>
      </c>
      <c r="U197" s="338">
        <v>94.6</v>
      </c>
      <c r="V197" s="313">
        <v>-906</v>
      </c>
      <c r="W197" s="313">
        <v>444</v>
      </c>
      <c r="X197" s="313">
        <f>W197-V197</f>
        <v>1350</v>
      </c>
      <c r="Y197" s="313">
        <f t="shared" ref="Y197:Y218" si="86">X197/$R197</f>
        <v>376.90107015279722</v>
      </c>
      <c r="Z197" s="332">
        <v>3227.31</v>
      </c>
      <c r="AA197" s="313">
        <v>3288.0899599999998</v>
      </c>
      <c r="AB197" s="313">
        <f>AA197-Z197</f>
        <v>60.779959999999846</v>
      </c>
      <c r="AC197" s="331">
        <f t="shared" ref="AC197:AC218" si="87">AB197/$R197</f>
        <v>16.968912568773444</v>
      </c>
      <c r="AD197" s="332">
        <v>-43.43</v>
      </c>
      <c r="AE197" s="313">
        <v>-45.49</v>
      </c>
      <c r="AF197" s="313">
        <f>AE197-AD197</f>
        <v>-2.0600000000000023</v>
      </c>
      <c r="AG197" s="331">
        <f t="shared" ref="AG197:AG218" si="88">AF197/$R197</f>
        <v>-0.57512311445538011</v>
      </c>
      <c r="AH197" s="332">
        <v>5901</v>
      </c>
      <c r="AI197" s="313">
        <v>6193.65</v>
      </c>
      <c r="AJ197" s="313">
        <f>AI197-AH197</f>
        <v>292.64999999999964</v>
      </c>
      <c r="AK197" s="331">
        <f t="shared" ref="AK197:AK218" si="89">AJ197/$R197</f>
        <v>81.703776429789599</v>
      </c>
      <c r="AL197" s="332">
        <v>-21</v>
      </c>
      <c r="AM197" s="313">
        <v>317.75</v>
      </c>
      <c r="AN197" s="313">
        <f>AM197-AL197</f>
        <v>338.75</v>
      </c>
      <c r="AO197" s="331">
        <f t="shared" ref="AO197:AO218" si="90">AN197/$R197</f>
        <v>94.574250010563006</v>
      </c>
      <c r="AP197" s="303">
        <v>97.1</v>
      </c>
      <c r="AQ197" s="303">
        <v>94.6</v>
      </c>
      <c r="AR197" s="303">
        <f>AQ197-AP197</f>
        <v>-2.5</v>
      </c>
      <c r="AS197" s="332">
        <v>77072.600000000006</v>
      </c>
      <c r="AT197" s="313">
        <v>77073.399999999994</v>
      </c>
      <c r="AU197" s="341">
        <f>AT197-AS197</f>
        <v>0.79999999998835847</v>
      </c>
      <c r="AV197" s="303"/>
      <c r="AW197" s="303"/>
      <c r="AX197" s="303"/>
      <c r="AY197" s="303"/>
      <c r="AZ197" s="322" t="s">
        <v>686</v>
      </c>
      <c r="BA197" s="461">
        <v>2417.5341464799999</v>
      </c>
      <c r="BB197" s="461">
        <v>-1.1276184600000001</v>
      </c>
      <c r="BC197" s="461">
        <v>2025.70285025</v>
      </c>
      <c r="BD197" s="461">
        <v>2048.8055599499999</v>
      </c>
      <c r="BE197" s="461">
        <v>3.2214958999999999</v>
      </c>
      <c r="BF197" s="461">
        <v>3.2584947299999998</v>
      </c>
      <c r="BG197" s="461">
        <v>-0.25648032999999998</v>
      </c>
      <c r="BH197" s="461">
        <v>3.5817699200000002</v>
      </c>
      <c r="BI197" s="461">
        <v>3.59098008</v>
      </c>
      <c r="BJ197" s="461">
        <v>-0.88907243000000002</v>
      </c>
      <c r="BK197" s="461">
        <v>-1.13545772</v>
      </c>
      <c r="BL197" s="461">
        <v>0.59038767000000003</v>
      </c>
    </row>
    <row r="198" spans="1:70" ht="15" customHeight="1" x14ac:dyDescent="0.2">
      <c r="A198" s="328">
        <f>A197</f>
        <v>62008029</v>
      </c>
      <c r="B198" s="321" t="s">
        <v>894</v>
      </c>
      <c r="C198" s="321" t="s">
        <v>774</v>
      </c>
      <c r="D198" s="352" t="s">
        <v>718</v>
      </c>
      <c r="E198" s="307" t="s">
        <v>897</v>
      </c>
      <c r="F198" s="307" t="str">
        <f t="shared" si="60"/>
        <v>08/12/20</v>
      </c>
      <c r="G198" s="322" t="s">
        <v>898</v>
      </c>
      <c r="H198" s="322" t="s">
        <v>899</v>
      </c>
      <c r="I198" s="330"/>
      <c r="J198" s="323">
        <v>-7.3657349999999999</v>
      </c>
      <c r="K198" s="323">
        <v>25.964856999999999</v>
      </c>
      <c r="L198" s="323">
        <v>29.412002000000001</v>
      </c>
      <c r="M198" s="323">
        <v>6.9078140000000001</v>
      </c>
      <c r="N198" s="308">
        <v>4250</v>
      </c>
      <c r="O198" s="308">
        <v>30.36</v>
      </c>
      <c r="P198" s="308">
        <v>0.3201</v>
      </c>
      <c r="Q198" s="308">
        <v>1.9560000000000001E-2</v>
      </c>
      <c r="R198" s="309">
        <v>3.8477953</v>
      </c>
      <c r="S198" s="309">
        <f>R198+R197</f>
        <v>7.42963708</v>
      </c>
      <c r="T198" s="338">
        <v>94.6</v>
      </c>
      <c r="U198" s="338">
        <v>92</v>
      </c>
      <c r="V198" s="313">
        <v>444</v>
      </c>
      <c r="W198" s="313">
        <v>1754</v>
      </c>
      <c r="X198" s="313">
        <f>W198-V198</f>
        <v>1310</v>
      </c>
      <c r="Y198" s="313">
        <f t="shared" si="86"/>
        <v>340.45470142343589</v>
      </c>
      <c r="Z198" s="332">
        <v>3288.1200760000002</v>
      </c>
      <c r="AA198" s="313">
        <v>3389.2895659999999</v>
      </c>
      <c r="AB198" s="313">
        <f>AA198-Z198</f>
        <v>101.16948999999977</v>
      </c>
      <c r="AC198" s="331">
        <f t="shared" si="87"/>
        <v>26.292846191687943</v>
      </c>
      <c r="AD198" s="332">
        <v>-45.49</v>
      </c>
      <c r="AE198" s="313">
        <v>-46.27</v>
      </c>
      <c r="AF198" s="313">
        <f>AE198-AD198</f>
        <v>-0.78000000000000114</v>
      </c>
      <c r="AG198" s="331">
        <f t="shared" si="88"/>
        <v>-0.20271348634372549</v>
      </c>
      <c r="AH198" s="332">
        <v>6193.75</v>
      </c>
      <c r="AI198" s="313">
        <v>6658.6978440000003</v>
      </c>
      <c r="AJ198" s="313">
        <f>AI198-AH198</f>
        <v>464.94784400000026</v>
      </c>
      <c r="AK198" s="331">
        <f t="shared" si="89"/>
        <v>120.83486977594683</v>
      </c>
      <c r="AL198" s="332">
        <v>317.90026999999998</v>
      </c>
      <c r="AM198" s="313">
        <v>693.84784400000001</v>
      </c>
      <c r="AN198" s="313">
        <f>AM198-AL198</f>
        <v>375.94757400000003</v>
      </c>
      <c r="AO198" s="331">
        <f t="shared" si="90"/>
        <v>97.704671035904653</v>
      </c>
      <c r="AP198" s="303">
        <v>94.6</v>
      </c>
      <c r="AQ198" s="303">
        <v>92</v>
      </c>
      <c r="AR198" s="303">
        <f>AQ198-AP198</f>
        <v>-2.5999999999999943</v>
      </c>
      <c r="AS198" s="332">
        <v>77073.399999999994</v>
      </c>
      <c r="AT198" s="313">
        <v>77074.7</v>
      </c>
      <c r="AU198" s="341">
        <f>AT198-AS198</f>
        <v>1.3000000000029104</v>
      </c>
      <c r="AV198" s="303"/>
      <c r="AW198" s="303"/>
      <c r="AX198" s="303"/>
      <c r="AY198" s="303"/>
      <c r="AZ198" s="322" t="s">
        <v>686</v>
      </c>
      <c r="BA198" s="461">
        <v>1482.32260445</v>
      </c>
      <c r="BB198" s="461">
        <v>-2.2498394500000001</v>
      </c>
      <c r="BC198" s="461">
        <v>3339.2644125299998</v>
      </c>
      <c r="BD198" s="461">
        <v>3416.12166536</v>
      </c>
      <c r="BE198" s="461">
        <v>2.9510371700000002</v>
      </c>
      <c r="BF198" s="461">
        <v>3.0185892000000001</v>
      </c>
      <c r="BG198" s="461">
        <v>-0.31736246000000001</v>
      </c>
      <c r="BH198" s="461">
        <v>3.8475801000000001</v>
      </c>
      <c r="BI198" s="461">
        <v>3.8598297499999998</v>
      </c>
      <c r="BJ198" s="461">
        <v>-1.96446736</v>
      </c>
      <c r="BK198" s="461">
        <v>-2.2378676400000002</v>
      </c>
      <c r="BL198" s="461">
        <v>0.71451182000000002</v>
      </c>
    </row>
    <row r="199" spans="1:70" ht="15" customHeight="1" x14ac:dyDescent="0.2">
      <c r="A199" s="328">
        <f t="shared" ref="A199:A206" si="91">A198</f>
        <v>62008029</v>
      </c>
      <c r="B199" s="321" t="s">
        <v>629</v>
      </c>
      <c r="C199" s="321" t="s">
        <v>775</v>
      </c>
      <c r="D199" s="352" t="s">
        <v>718</v>
      </c>
      <c r="E199" s="307" t="s">
        <v>897</v>
      </c>
      <c r="F199" s="307" t="str">
        <f t="shared" si="60"/>
        <v>08/12/20</v>
      </c>
      <c r="G199" s="322" t="s">
        <v>898</v>
      </c>
      <c r="H199" s="322" t="s">
        <v>899</v>
      </c>
      <c r="I199" s="330"/>
      <c r="J199" s="324">
        <f>AVERAGE(J197:J198)</f>
        <v>-6.4680374999999994</v>
      </c>
      <c r="K199" s="324">
        <f>AVERAGE(K197:K198)</f>
        <v>24.175725499999999</v>
      </c>
      <c r="L199" s="324">
        <f>AVERAGE(L197:L198)</f>
        <v>29.410133500000001</v>
      </c>
      <c r="M199" s="324">
        <f>AVERAGE(M197:M198)</f>
        <v>4.9699305000000003</v>
      </c>
      <c r="N199" s="310"/>
      <c r="O199" s="308"/>
      <c r="P199" s="326"/>
      <c r="Q199" s="325"/>
      <c r="R199" s="311">
        <f>R198+R197</f>
        <v>7.42963708</v>
      </c>
      <c r="S199" s="311">
        <f>S198</f>
        <v>7.42963708</v>
      </c>
      <c r="T199" s="339">
        <f>T197</f>
        <v>97.1</v>
      </c>
      <c r="U199" s="339">
        <f>U198</f>
        <v>92</v>
      </c>
      <c r="V199" s="314">
        <f>V197</f>
        <v>-906</v>
      </c>
      <c r="W199" s="314">
        <f>W198</f>
        <v>1754</v>
      </c>
      <c r="X199" s="314">
        <f>SUM(X197:X198)</f>
        <v>2660</v>
      </c>
      <c r="Y199" s="314">
        <f t="shared" si="86"/>
        <v>358.02556320826375</v>
      </c>
      <c r="Z199" s="314">
        <f>Z197</f>
        <v>3227.31</v>
      </c>
      <c r="AA199" s="314">
        <f>AA198</f>
        <v>3389.2895659999999</v>
      </c>
      <c r="AB199" s="314">
        <f>SUM(AB197:AB198)</f>
        <v>161.94944999999962</v>
      </c>
      <c r="AC199" s="312">
        <f t="shared" si="87"/>
        <v>21.797760544179852</v>
      </c>
      <c r="AD199" s="314">
        <f>AD197</f>
        <v>-43.43</v>
      </c>
      <c r="AE199" s="314">
        <f>AE198</f>
        <v>-46.27</v>
      </c>
      <c r="AF199" s="314">
        <f>SUM(AF197:AF198)</f>
        <v>-2.8400000000000034</v>
      </c>
      <c r="AG199" s="312">
        <f t="shared" si="88"/>
        <v>-0.38225285695919931</v>
      </c>
      <c r="AH199" s="314">
        <f>AH197</f>
        <v>5901</v>
      </c>
      <c r="AI199" s="314">
        <f>AI198</f>
        <v>6658.6978440000003</v>
      </c>
      <c r="AJ199" s="314">
        <f>SUM(AJ197:AJ198)</f>
        <v>757.5978439999999</v>
      </c>
      <c r="AK199" s="312">
        <f t="shared" si="89"/>
        <v>101.9696972870174</v>
      </c>
      <c r="AL199" s="314">
        <f>AL197</f>
        <v>-21</v>
      </c>
      <c r="AM199" s="314">
        <f>AM198</f>
        <v>693.84784400000001</v>
      </c>
      <c r="AN199" s="314">
        <f>SUM(AN197:AN198)</f>
        <v>714.69757400000003</v>
      </c>
      <c r="AO199" s="312">
        <f t="shared" si="90"/>
        <v>96.195489268770586</v>
      </c>
      <c r="AP199" s="305"/>
      <c r="AQ199" s="305"/>
      <c r="AR199" s="305">
        <f>SUM(AR197:AR198)</f>
        <v>-5.0999999999999943</v>
      </c>
      <c r="AS199" s="314">
        <f>AS197</f>
        <v>77072.600000000006</v>
      </c>
      <c r="AT199" s="314">
        <f>AT198</f>
        <v>77074.7</v>
      </c>
      <c r="AU199" s="342">
        <f>SUM(AU197:AU198)</f>
        <v>2.0999999999912689</v>
      </c>
      <c r="AV199" s="305"/>
      <c r="AW199" s="305"/>
      <c r="AX199" s="305"/>
      <c r="AY199" s="305"/>
      <c r="AZ199" s="322" t="s">
        <v>686</v>
      </c>
    </row>
    <row r="200" spans="1:70" ht="15" customHeight="1" x14ac:dyDescent="0.2">
      <c r="A200" s="328">
        <f t="shared" si="91"/>
        <v>62008029</v>
      </c>
      <c r="B200" s="321" t="s">
        <v>630</v>
      </c>
      <c r="C200" s="321" t="s">
        <v>776</v>
      </c>
      <c r="D200" s="352" t="s">
        <v>718</v>
      </c>
      <c r="E200" s="307" t="s">
        <v>897</v>
      </c>
      <c r="F200" s="307" t="str">
        <f t="shared" si="60"/>
        <v>08/12/20</v>
      </c>
      <c r="G200" s="322" t="s">
        <v>898</v>
      </c>
      <c r="H200" s="322" t="s">
        <v>899</v>
      </c>
      <c r="I200" s="330"/>
      <c r="J200" s="323">
        <v>-3.2424309999999998</v>
      </c>
      <c r="K200" s="323">
        <v>19.135943000000001</v>
      </c>
      <c r="L200" s="323">
        <v>29.411268</v>
      </c>
      <c r="M200" s="323">
        <v>8.0246040000000001</v>
      </c>
      <c r="N200" s="308">
        <v>4250</v>
      </c>
      <c r="O200" s="308">
        <v>30.36</v>
      </c>
      <c r="P200" s="308">
        <v>0.3201</v>
      </c>
      <c r="Q200" s="308">
        <v>1.9560000000000001E-2</v>
      </c>
      <c r="R200" s="309">
        <v>10.24492468</v>
      </c>
      <c r="S200" s="309">
        <f>R200+R199</f>
        <v>17.67456176</v>
      </c>
      <c r="T200" s="338">
        <v>92</v>
      </c>
      <c r="U200" s="338">
        <v>87.3</v>
      </c>
      <c r="V200" s="313">
        <v>1761</v>
      </c>
      <c r="W200" s="313">
        <v>4731</v>
      </c>
      <c r="X200" s="313">
        <f>W200-V200</f>
        <v>2970</v>
      </c>
      <c r="Y200" s="313">
        <f t="shared" si="86"/>
        <v>289.89964228804854</v>
      </c>
      <c r="Z200" s="332">
        <v>3391.109571</v>
      </c>
      <c r="AA200" s="313">
        <v>3461.9192149999999</v>
      </c>
      <c r="AB200" s="313">
        <f>AA200-Z200</f>
        <v>70.809643999999935</v>
      </c>
      <c r="AC200" s="331">
        <f t="shared" si="87"/>
        <v>6.9116802916309901</v>
      </c>
      <c r="AD200" s="332">
        <v>-46.28</v>
      </c>
      <c r="AE200" s="313">
        <v>-46.67</v>
      </c>
      <c r="AF200" s="313">
        <f>AE200-AD200</f>
        <v>-0.39000000000000057</v>
      </c>
      <c r="AG200" s="331">
        <f t="shared" si="88"/>
        <v>-3.8067629795400362E-2</v>
      </c>
      <c r="AH200" s="332">
        <v>6663.7978380000004</v>
      </c>
      <c r="AI200" s="313">
        <v>7075.4464209999996</v>
      </c>
      <c r="AJ200" s="313">
        <f>AI200-AH200</f>
        <v>411.64858299999923</v>
      </c>
      <c r="AK200" s="331">
        <f t="shared" si="89"/>
        <v>40.180732983192534</v>
      </c>
      <c r="AL200" s="332">
        <v>697.45</v>
      </c>
      <c r="AM200" s="313">
        <v>835.2</v>
      </c>
      <c r="AN200" s="313">
        <f>AM200-AL200</f>
        <v>137.75</v>
      </c>
      <c r="AO200" s="331">
        <f t="shared" si="90"/>
        <v>13.445682062349725</v>
      </c>
      <c r="AP200" s="303">
        <v>92</v>
      </c>
      <c r="AQ200" s="303">
        <v>87.3</v>
      </c>
      <c r="AR200" s="303">
        <f>AQ200-AP200</f>
        <v>-4.7000000000000028</v>
      </c>
      <c r="AS200" s="332">
        <v>77074.7</v>
      </c>
      <c r="AT200" s="313">
        <v>77075.899999999994</v>
      </c>
      <c r="AU200" s="341">
        <f>AT200-AS200</f>
        <v>1.1999999999970896</v>
      </c>
      <c r="AV200" s="303"/>
      <c r="AW200" s="303"/>
      <c r="AX200" s="303"/>
      <c r="AY200" s="303"/>
      <c r="AZ200" s="322" t="s">
        <v>686</v>
      </c>
      <c r="BA200" s="461">
        <v>1945.01540105</v>
      </c>
      <c r="BB200" s="461">
        <v>-0.82474168999999997</v>
      </c>
      <c r="BC200" s="461">
        <v>1295.93951225</v>
      </c>
      <c r="BD200" s="461">
        <v>1306.71654842</v>
      </c>
      <c r="BE200" s="461">
        <v>7.9750329200000003</v>
      </c>
      <c r="BF200" s="461">
        <v>8.0200426700000005</v>
      </c>
      <c r="BG200" s="461">
        <v>-0.11390562999999999</v>
      </c>
      <c r="BH200" s="461">
        <v>10.24499761</v>
      </c>
      <c r="BI200" s="461">
        <v>10.25668055</v>
      </c>
      <c r="BJ200" s="461">
        <v>-0.44983472000000002</v>
      </c>
      <c r="BK200" s="461">
        <v>-0.56121580999999998</v>
      </c>
      <c r="BL200" s="461">
        <v>0.28276539000000001</v>
      </c>
    </row>
    <row r="201" spans="1:70" ht="15" customHeight="1" x14ac:dyDescent="0.2">
      <c r="A201" s="328">
        <f t="shared" si="91"/>
        <v>62008029</v>
      </c>
      <c r="B201" s="321" t="s">
        <v>631</v>
      </c>
      <c r="C201" s="321" t="s">
        <v>777</v>
      </c>
      <c r="D201" s="352" t="s">
        <v>718</v>
      </c>
      <c r="E201" s="307" t="s">
        <v>897</v>
      </c>
      <c r="F201" s="307" t="str">
        <f t="shared" si="60"/>
        <v>08/12/20</v>
      </c>
      <c r="G201" s="322" t="s">
        <v>898</v>
      </c>
      <c r="H201" s="322" t="s">
        <v>899</v>
      </c>
      <c r="I201" s="330"/>
      <c r="J201" s="323">
        <v>-7.0344819999999997</v>
      </c>
      <c r="K201" s="323">
        <v>32.526643999999997</v>
      </c>
      <c r="L201" s="323">
        <v>29.414967000000001</v>
      </c>
      <c r="M201" s="323">
        <v>7.371238</v>
      </c>
      <c r="N201" s="308">
        <v>4250</v>
      </c>
      <c r="O201" s="308">
        <v>30.36</v>
      </c>
      <c r="P201" s="308">
        <v>0.3201</v>
      </c>
      <c r="Q201" s="308">
        <v>1.9560000000000001E-2</v>
      </c>
      <c r="R201" s="309">
        <v>3.5827445999999998</v>
      </c>
      <c r="S201" s="309">
        <f>R201+R200</f>
        <v>13.82766928</v>
      </c>
      <c r="T201" s="338">
        <v>87.3</v>
      </c>
      <c r="U201" s="338">
        <v>85.2</v>
      </c>
      <c r="V201" s="313">
        <v>4737</v>
      </c>
      <c r="W201" s="313">
        <v>5915</v>
      </c>
      <c r="X201" s="313">
        <f>W201-V201</f>
        <v>1178</v>
      </c>
      <c r="Y201" s="313">
        <f t="shared" si="86"/>
        <v>328.79820682724636</v>
      </c>
      <c r="Z201" s="332">
        <v>3465.1189730000001</v>
      </c>
      <c r="AA201" s="313">
        <v>3520.858733</v>
      </c>
      <c r="AB201" s="313">
        <f>AA201-Z201</f>
        <v>55.739759999999933</v>
      </c>
      <c r="AC201" s="331">
        <f t="shared" si="87"/>
        <v>15.557837977063711</v>
      </c>
      <c r="AD201" s="332">
        <v>-43.47</v>
      </c>
      <c r="AE201" s="313">
        <v>-45.73</v>
      </c>
      <c r="AF201" s="313">
        <f>AE201-AD201</f>
        <v>-2.259999999999998</v>
      </c>
      <c r="AG201" s="331">
        <f t="shared" si="88"/>
        <v>-0.63080131360745006</v>
      </c>
      <c r="AH201" s="332">
        <v>7077.55</v>
      </c>
      <c r="AI201" s="313">
        <v>7339.9945209999996</v>
      </c>
      <c r="AJ201" s="313">
        <f>AI201-AH201</f>
        <v>262.44452099999944</v>
      </c>
      <c r="AK201" s="331">
        <f t="shared" si="89"/>
        <v>73.25236663534416</v>
      </c>
      <c r="AL201" s="332">
        <v>836.1</v>
      </c>
      <c r="AM201" s="313">
        <v>984.04726000000005</v>
      </c>
      <c r="AN201" s="313">
        <f>AM201-AL201</f>
        <v>147.94726000000003</v>
      </c>
      <c r="AO201" s="331">
        <f t="shared" si="90"/>
        <v>41.294392014434976</v>
      </c>
      <c r="AP201" s="303">
        <v>87.3</v>
      </c>
      <c r="AQ201" s="303">
        <v>85.2</v>
      </c>
      <c r="AR201" s="303">
        <f>AQ201-AP201</f>
        <v>-2.0999999999999943</v>
      </c>
      <c r="AS201" s="332">
        <v>77076.800000000003</v>
      </c>
      <c r="AT201" s="313">
        <v>77077.5</v>
      </c>
      <c r="AU201" s="341">
        <f>AT201-AS201</f>
        <v>0.69999999999708962</v>
      </c>
      <c r="AV201" s="303"/>
      <c r="AW201" s="303"/>
      <c r="AX201" s="303"/>
      <c r="AY201" s="303"/>
      <c r="AZ201" s="322" t="s">
        <v>686</v>
      </c>
      <c r="BA201" s="461">
        <v>2410.4759178300001</v>
      </c>
      <c r="BB201" s="461">
        <v>-1.12537424</v>
      </c>
      <c r="BC201" s="461">
        <v>2025.5883988099999</v>
      </c>
      <c r="BD201" s="461">
        <v>2048.6433027200001</v>
      </c>
      <c r="BE201" s="461">
        <v>3.2242066299999999</v>
      </c>
      <c r="BF201" s="461">
        <v>3.2582768199999999</v>
      </c>
      <c r="BG201" s="461">
        <v>-0.23177481</v>
      </c>
      <c r="BH201" s="461">
        <v>3.5826565700000002</v>
      </c>
      <c r="BI201" s="461">
        <v>3.5909795600000001</v>
      </c>
      <c r="BJ201" s="461">
        <v>-0.82247592000000003</v>
      </c>
      <c r="BK201" s="461">
        <v>-1.0456505199999999</v>
      </c>
      <c r="BL201" s="461">
        <v>0.59035908999999998</v>
      </c>
    </row>
    <row r="202" spans="1:70" ht="15" customHeight="1" x14ac:dyDescent="0.2">
      <c r="A202" s="328">
        <f t="shared" si="91"/>
        <v>62008029</v>
      </c>
      <c r="B202" s="321" t="s">
        <v>895</v>
      </c>
      <c r="C202" s="321" t="s">
        <v>778</v>
      </c>
      <c r="D202" s="352" t="s">
        <v>718</v>
      </c>
      <c r="E202" s="307" t="s">
        <v>897</v>
      </c>
      <c r="F202" s="307" t="str">
        <f t="shared" si="60"/>
        <v>08/12/20</v>
      </c>
      <c r="G202" s="322" t="s">
        <v>898</v>
      </c>
      <c r="H202" s="322" t="s">
        <v>899</v>
      </c>
      <c r="I202" s="330"/>
      <c r="J202" s="323">
        <v>-7.1497679999999999</v>
      </c>
      <c r="K202" s="323">
        <v>27.064651999999999</v>
      </c>
      <c r="L202" s="323">
        <v>29.410111000000001</v>
      </c>
      <c r="M202" s="323">
        <v>8.0139449999999997</v>
      </c>
      <c r="N202" s="308">
        <v>4250</v>
      </c>
      <c r="O202" s="308">
        <v>30.36</v>
      </c>
      <c r="P202" s="308">
        <v>0.3201</v>
      </c>
      <c r="Q202" s="308">
        <v>1.9560000000000001E-2</v>
      </c>
      <c r="R202" s="309">
        <v>3.8566650400000002</v>
      </c>
      <c r="S202" s="309">
        <f>R202+R201</f>
        <v>7.43940964</v>
      </c>
      <c r="T202" s="338">
        <v>85.2</v>
      </c>
      <c r="U202" s="338">
        <v>83.2</v>
      </c>
      <c r="V202" s="313">
        <v>5915</v>
      </c>
      <c r="W202" s="313">
        <v>7135</v>
      </c>
      <c r="X202" s="313">
        <f>W202-V202</f>
        <v>1220</v>
      </c>
      <c r="Y202" s="313">
        <f t="shared" si="86"/>
        <v>316.33548346734307</v>
      </c>
      <c r="Z202" s="332">
        <v>3520.8786380000001</v>
      </c>
      <c r="AA202" s="313">
        <v>3616.1582699999999</v>
      </c>
      <c r="AB202" s="313">
        <f>AA202-Z202</f>
        <v>95.279631999999765</v>
      </c>
      <c r="AC202" s="331">
        <f t="shared" si="87"/>
        <v>24.70518725681185</v>
      </c>
      <c r="AD202" s="332">
        <v>-45.73</v>
      </c>
      <c r="AE202" s="313">
        <v>-46.79</v>
      </c>
      <c r="AF202" s="313">
        <f>AE202-AD202</f>
        <v>-1.0600000000000023</v>
      </c>
      <c r="AG202" s="331">
        <f t="shared" si="88"/>
        <v>-0.27484886268474129</v>
      </c>
      <c r="AH202" s="332">
        <v>7340.0863369999997</v>
      </c>
      <c r="AI202" s="313">
        <v>7756.45</v>
      </c>
      <c r="AJ202" s="313">
        <f>AI202-AH202</f>
        <v>416.36366300000009</v>
      </c>
      <c r="AK202" s="331">
        <f t="shared" si="89"/>
        <v>107.95950871585157</v>
      </c>
      <c r="AL202" s="332">
        <v>984.05</v>
      </c>
      <c r="AM202" s="313">
        <v>1083.95</v>
      </c>
      <c r="AN202" s="313">
        <f>AM202-AL202</f>
        <v>99.900000000000091</v>
      </c>
      <c r="AO202" s="331">
        <f t="shared" si="90"/>
        <v>25.903208851137379</v>
      </c>
      <c r="AP202" s="303">
        <v>85.2</v>
      </c>
      <c r="AQ202" s="303">
        <v>83.2</v>
      </c>
      <c r="AR202" s="303">
        <f>AQ202-AP202</f>
        <v>-2</v>
      </c>
      <c r="AS202" s="332">
        <v>77077.5</v>
      </c>
      <c r="AT202" s="313">
        <v>77078.8</v>
      </c>
      <c r="AU202" s="341">
        <f>AT202-AS202</f>
        <v>1.3000000000029104</v>
      </c>
      <c r="AV202" s="303"/>
      <c r="AW202" s="303"/>
      <c r="AX202" s="303"/>
      <c r="AY202" s="303"/>
      <c r="AZ202" s="322" t="s">
        <v>686</v>
      </c>
      <c r="BA202" s="461">
        <v>1481.7525956899999</v>
      </c>
      <c r="BB202" s="461">
        <v>-1.5926842800000001</v>
      </c>
      <c r="BC202" s="461">
        <v>3361.5879623000001</v>
      </c>
      <c r="BD202" s="461">
        <v>3415.9939610400002</v>
      </c>
      <c r="BE202" s="461">
        <v>2.9594014199999998</v>
      </c>
      <c r="BF202" s="461">
        <v>3.0184255100000001</v>
      </c>
      <c r="BG202" s="461">
        <v>-8.6103410000000005E-2</v>
      </c>
      <c r="BH202" s="461">
        <v>3.8565059599999998</v>
      </c>
      <c r="BI202" s="461">
        <v>3.8598294000000002</v>
      </c>
      <c r="BJ202" s="461">
        <v>-1.9066397900000001</v>
      </c>
      <c r="BK202" s="461">
        <v>-1.95545963</v>
      </c>
      <c r="BL202" s="461">
        <v>0.71451609000000005</v>
      </c>
    </row>
    <row r="203" spans="1:70" ht="15" customHeight="1" x14ac:dyDescent="0.2">
      <c r="A203" s="328">
        <f t="shared" si="91"/>
        <v>62008029</v>
      </c>
      <c r="B203" s="321" t="s">
        <v>632</v>
      </c>
      <c r="C203" s="321" t="s">
        <v>779</v>
      </c>
      <c r="D203" s="352" t="s">
        <v>718</v>
      </c>
      <c r="E203" s="307" t="s">
        <v>897</v>
      </c>
      <c r="F203" s="307" t="str">
        <f t="shared" si="60"/>
        <v>08/12/20</v>
      </c>
      <c r="G203" s="322" t="s">
        <v>898</v>
      </c>
      <c r="H203" s="322" t="s">
        <v>899</v>
      </c>
      <c r="I203" s="330"/>
      <c r="J203" s="324">
        <f>AVERAGE(J201:J202)</f>
        <v>-7.0921249999999993</v>
      </c>
      <c r="K203" s="324">
        <f>AVERAGE(K201:K202)</f>
        <v>29.795648</v>
      </c>
      <c r="L203" s="324">
        <f>AVERAGE(L201:L202)</f>
        <v>29.412539000000002</v>
      </c>
      <c r="M203" s="324">
        <f>AVERAGE(M201:M202)</f>
        <v>7.6925914999999998</v>
      </c>
      <c r="N203" s="310"/>
      <c r="O203" s="308"/>
      <c r="P203" s="326"/>
      <c r="Q203" s="325"/>
      <c r="R203" s="311">
        <f>R202+R201</f>
        <v>7.43940964</v>
      </c>
      <c r="S203" s="311">
        <f>S202</f>
        <v>7.43940964</v>
      </c>
      <c r="T203" s="339">
        <f>T201</f>
        <v>87.3</v>
      </c>
      <c r="U203" s="339">
        <f>U202</f>
        <v>83.2</v>
      </c>
      <c r="V203" s="314">
        <f>V201</f>
        <v>4737</v>
      </c>
      <c r="W203" s="314">
        <f>W202</f>
        <v>7135</v>
      </c>
      <c r="X203" s="314">
        <f>SUM(X201:X202)</f>
        <v>2398</v>
      </c>
      <c r="Y203" s="314">
        <f t="shared" si="86"/>
        <v>322.33740525679667</v>
      </c>
      <c r="Z203" s="314">
        <f>Z201</f>
        <v>3465.1189730000001</v>
      </c>
      <c r="AA203" s="314">
        <f>AA202</f>
        <v>3616.1582699999999</v>
      </c>
      <c r="AB203" s="314">
        <f>SUM(AB201:AB202)</f>
        <v>151.0193919999997</v>
      </c>
      <c r="AC203" s="312">
        <f t="shared" si="87"/>
        <v>20.299916163777709</v>
      </c>
      <c r="AD203" s="314">
        <f>AD201</f>
        <v>-43.47</v>
      </c>
      <c r="AE203" s="314">
        <f>AE202</f>
        <v>-46.79</v>
      </c>
      <c r="AF203" s="314">
        <f>SUM(AF201:AF202)</f>
        <v>-3.3200000000000003</v>
      </c>
      <c r="AG203" s="312">
        <f t="shared" si="88"/>
        <v>-0.44627197058071938</v>
      </c>
      <c r="AH203" s="314">
        <f>AH201</f>
        <v>7077.55</v>
      </c>
      <c r="AI203" s="314">
        <f>AI202</f>
        <v>7756.45</v>
      </c>
      <c r="AJ203" s="314">
        <f>SUM(AJ201:AJ202)</f>
        <v>678.80818399999953</v>
      </c>
      <c r="AK203" s="312">
        <f t="shared" si="89"/>
        <v>91.244899373493766</v>
      </c>
      <c r="AL203" s="314">
        <f>AL201</f>
        <v>836.1</v>
      </c>
      <c r="AM203" s="314">
        <f>AM202</f>
        <v>1083.95</v>
      </c>
      <c r="AN203" s="314">
        <f>SUM(AN201:AN202)</f>
        <v>247.84726000000012</v>
      </c>
      <c r="AO203" s="312">
        <f t="shared" si="90"/>
        <v>33.315447326274686</v>
      </c>
      <c r="AP203" s="305"/>
      <c r="AQ203" s="305"/>
      <c r="AR203" s="305">
        <f>SUM(AR201:AR202)</f>
        <v>-4.0999999999999943</v>
      </c>
      <c r="AS203" s="314">
        <f>AS201</f>
        <v>77076.800000000003</v>
      </c>
      <c r="AT203" s="314">
        <f>AT202</f>
        <v>77078.8</v>
      </c>
      <c r="AU203" s="342">
        <f>SUM(AU201:AU202)</f>
        <v>2</v>
      </c>
      <c r="AV203" s="305"/>
      <c r="AW203" s="305"/>
      <c r="AX203" s="305"/>
      <c r="AY203" s="305"/>
      <c r="AZ203" s="322" t="s">
        <v>686</v>
      </c>
    </row>
    <row r="204" spans="1:70" ht="15" customHeight="1" x14ac:dyDescent="0.2">
      <c r="A204" s="328">
        <f t="shared" si="91"/>
        <v>62008029</v>
      </c>
      <c r="B204" s="321" t="s">
        <v>633</v>
      </c>
      <c r="C204" s="321" t="s">
        <v>780</v>
      </c>
      <c r="D204" s="352" t="s">
        <v>718</v>
      </c>
      <c r="E204" s="307" t="s">
        <v>897</v>
      </c>
      <c r="F204" s="307" t="str">
        <f t="shared" si="60"/>
        <v>08/12/20</v>
      </c>
      <c r="G204" s="322" t="s">
        <v>898</v>
      </c>
      <c r="H204" s="322" t="s">
        <v>899</v>
      </c>
      <c r="I204" s="330"/>
      <c r="J204" s="323">
        <v>-5.1461899999999998</v>
      </c>
      <c r="K204" s="323">
        <v>20.710477000000001</v>
      </c>
      <c r="L204" s="323">
        <v>29.405432000000001</v>
      </c>
      <c r="M204" s="323">
        <v>9.8321959999999997</v>
      </c>
      <c r="N204" s="308">
        <v>4250</v>
      </c>
      <c r="O204" s="308">
        <v>30.36</v>
      </c>
      <c r="P204" s="308">
        <v>0.3201</v>
      </c>
      <c r="Q204" s="308">
        <v>1.9560000000000001E-2</v>
      </c>
      <c r="R204" s="309">
        <v>1.76841385</v>
      </c>
      <c r="S204" s="309">
        <f>R204+R203</f>
        <v>9.2078234899999991</v>
      </c>
      <c r="T204" s="338">
        <v>83.1</v>
      </c>
      <c r="U204" s="338">
        <v>78.400000000000006</v>
      </c>
      <c r="V204" s="313">
        <v>7178.8137059999999</v>
      </c>
      <c r="W204" s="313">
        <v>10157</v>
      </c>
      <c r="X204" s="313">
        <f>W204-V204-X205</f>
        <v>792.99291499999981</v>
      </c>
      <c r="Y204" s="313">
        <f t="shared" si="86"/>
        <v>448.42043902788924</v>
      </c>
      <c r="Z204" s="332">
        <v>3626.2181369999998</v>
      </c>
      <c r="AA204" s="313">
        <v>3677.3478420000001</v>
      </c>
      <c r="AB204" s="313">
        <f>AA204-Z204-AB205</f>
        <v>23.089844999999968</v>
      </c>
      <c r="AC204" s="331">
        <f t="shared" si="87"/>
        <v>13.056810768587889</v>
      </c>
      <c r="AD204" s="332">
        <v>-46.86</v>
      </c>
      <c r="AE204" s="313">
        <v>-47.23</v>
      </c>
      <c r="AF204" s="313">
        <f>AE204-AD204-AF205</f>
        <v>-0.14999999999999858</v>
      </c>
      <c r="AG204" s="331">
        <f t="shared" si="88"/>
        <v>-8.4821774043444972E-2</v>
      </c>
      <c r="AH204" s="332">
        <v>7786.325769</v>
      </c>
      <c r="AI204" s="313">
        <v>8062.5388899999998</v>
      </c>
      <c r="AJ204" s="313">
        <f>AI204-AH204-AJ205</f>
        <v>108.89383799999905</v>
      </c>
      <c r="AK204" s="331">
        <f t="shared" si="89"/>
        <v>61.577123477063388</v>
      </c>
      <c r="AL204" s="332">
        <v>1093.45</v>
      </c>
      <c r="AM204" s="313">
        <v>1116.7</v>
      </c>
      <c r="AN204" s="313">
        <f>AM204-AL204-AN205</f>
        <v>14.25</v>
      </c>
      <c r="AO204" s="331">
        <f t="shared" si="90"/>
        <v>8.058068534127349</v>
      </c>
      <c r="AP204" s="303">
        <v>83.1</v>
      </c>
      <c r="AQ204" s="303">
        <v>78.400000000000006</v>
      </c>
      <c r="AR204" s="303">
        <f>AQ204-AP204-AR205</f>
        <v>-1.2999999999999829</v>
      </c>
      <c r="AS204" s="332">
        <v>77078.899999999994</v>
      </c>
      <c r="AT204" s="313">
        <v>77079.8</v>
      </c>
      <c r="AU204" s="341">
        <f>AT204-AS204-AU205</f>
        <v>0.3000000000174623</v>
      </c>
      <c r="AV204" s="303"/>
      <c r="AW204" s="303"/>
      <c r="AX204" s="303"/>
      <c r="AY204" s="303"/>
      <c r="AZ204" s="322" t="s">
        <v>686</v>
      </c>
      <c r="BA204" s="461">
        <v>5560.5599675699996</v>
      </c>
      <c r="BB204" s="461">
        <v>-2.1765345100000002</v>
      </c>
      <c r="BC204" s="461">
        <v>2405.7661074399998</v>
      </c>
      <c r="BD204" s="461">
        <v>2459.29347882</v>
      </c>
      <c r="BE204" s="461">
        <v>3.13498784</v>
      </c>
      <c r="BF204" s="461">
        <v>3.20773017</v>
      </c>
      <c r="BG204" s="461">
        <v>-0.20919203</v>
      </c>
      <c r="BH204" s="461">
        <v>1.76839803</v>
      </c>
      <c r="BI204" s="461">
        <v>1.7721051299999999</v>
      </c>
      <c r="BJ204" s="461">
        <v>-2.1062924700000001</v>
      </c>
      <c r="BK204" s="461">
        <v>-2.2677196999999998</v>
      </c>
      <c r="BL204" s="461">
        <v>0.81478238000000003</v>
      </c>
    </row>
    <row r="205" spans="1:70" ht="15" customHeight="1" x14ac:dyDescent="0.2">
      <c r="A205" s="328">
        <f t="shared" si="91"/>
        <v>62008029</v>
      </c>
      <c r="B205" s="321" t="s">
        <v>634</v>
      </c>
      <c r="C205" s="321" t="s">
        <v>781</v>
      </c>
      <c r="D205" s="352" t="s">
        <v>718</v>
      </c>
      <c r="E205" s="307" t="s">
        <v>897</v>
      </c>
      <c r="F205" s="307" t="str">
        <f t="shared" si="60"/>
        <v>08/12/20</v>
      </c>
      <c r="G205" s="322" t="s">
        <v>898</v>
      </c>
      <c r="H205" s="322" t="s">
        <v>899</v>
      </c>
      <c r="I205" s="330"/>
      <c r="J205" s="323">
        <v>-0.74821800000000005</v>
      </c>
      <c r="K205" s="323">
        <v>16.043265000000002</v>
      </c>
      <c r="L205" s="323">
        <v>29.402224</v>
      </c>
      <c r="M205" s="323">
        <v>9.1937130000000007</v>
      </c>
      <c r="N205" s="308">
        <v>4250</v>
      </c>
      <c r="O205" s="308">
        <v>30.36</v>
      </c>
      <c r="P205" s="308">
        <v>0.3201</v>
      </c>
      <c r="Q205" s="308">
        <v>1.9560000000000001E-2</v>
      </c>
      <c r="R205" s="309">
        <v>6.2272726499999997</v>
      </c>
      <c r="S205" s="309">
        <f>R205+R204</f>
        <v>7.9956864999999997</v>
      </c>
      <c r="T205" s="338">
        <v>82.2</v>
      </c>
      <c r="U205" s="338">
        <v>78.8</v>
      </c>
      <c r="V205" s="313">
        <v>7719.8066209999997</v>
      </c>
      <c r="W205" s="313">
        <v>9905</v>
      </c>
      <c r="X205" s="313">
        <f>W205-V205</f>
        <v>2185.1933790000003</v>
      </c>
      <c r="Y205" s="313">
        <f t="shared" si="86"/>
        <v>350.90697032512304</v>
      </c>
      <c r="Z205" s="332">
        <v>3638.5480659999998</v>
      </c>
      <c r="AA205" s="313">
        <v>3666.5879260000002</v>
      </c>
      <c r="AB205" s="313">
        <f>AA205-Z205</f>
        <v>28.039860000000317</v>
      </c>
      <c r="AC205" s="331">
        <f t="shared" si="87"/>
        <v>4.50275129674952</v>
      </c>
      <c r="AD205" s="332">
        <v>-46.95</v>
      </c>
      <c r="AE205" s="313">
        <v>-47.17</v>
      </c>
      <c r="AF205" s="313">
        <f>AE205-AD205</f>
        <v>-0.21999999999999886</v>
      </c>
      <c r="AG205" s="331">
        <f t="shared" si="88"/>
        <v>-3.5328467591666933E-2</v>
      </c>
      <c r="AH205" s="332">
        <v>7853.0307169999996</v>
      </c>
      <c r="AI205" s="313">
        <v>8020.35</v>
      </c>
      <c r="AJ205" s="313">
        <f>AI205-AH205</f>
        <v>167.31928300000072</v>
      </c>
      <c r="AK205" s="331">
        <f t="shared" si="89"/>
        <v>26.868790304211384</v>
      </c>
      <c r="AL205" s="332">
        <v>1103.5999999999999</v>
      </c>
      <c r="AM205" s="313">
        <v>1112.5999999999999</v>
      </c>
      <c r="AN205" s="313">
        <f>AM205-AL205</f>
        <v>9</v>
      </c>
      <c r="AO205" s="331">
        <f t="shared" si="90"/>
        <v>1.4452554923863821</v>
      </c>
      <c r="AP205" s="303">
        <v>82.2</v>
      </c>
      <c r="AQ205" s="303">
        <v>78.8</v>
      </c>
      <c r="AR205" s="303">
        <f>AQ205-AP205</f>
        <v>-3.4000000000000057</v>
      </c>
      <c r="AS205" s="332">
        <v>77079.100000000006</v>
      </c>
      <c r="AT205" s="313">
        <v>77079.7</v>
      </c>
      <c r="AU205" s="341">
        <f>AT205-AS205</f>
        <v>0.59999999999126885</v>
      </c>
      <c r="AV205" s="303"/>
      <c r="AW205" s="303"/>
      <c r="AX205" s="303"/>
      <c r="AY205" s="303"/>
      <c r="AZ205" s="322" t="s">
        <v>686</v>
      </c>
      <c r="BA205" s="461">
        <v>11814.31325372</v>
      </c>
      <c r="BB205" s="461">
        <v>-7.0395615600000001</v>
      </c>
      <c r="BC205" s="461">
        <v>1058.1998892700001</v>
      </c>
      <c r="BD205" s="461">
        <v>1138.33358256</v>
      </c>
      <c r="BE205" s="461">
        <v>6.9580610299999996</v>
      </c>
      <c r="BF205" s="461">
        <v>7.0841608699999998</v>
      </c>
      <c r="BG205" s="461">
        <v>-0.12104068</v>
      </c>
      <c r="BH205" s="461">
        <v>6.2273113100000002</v>
      </c>
      <c r="BI205" s="461">
        <v>6.2348580199999999</v>
      </c>
      <c r="BJ205" s="461">
        <v>-1.6890498700000001</v>
      </c>
      <c r="BK205" s="461">
        <v>-1.7800250399999999</v>
      </c>
      <c r="BL205" s="461">
        <v>0.34893456</v>
      </c>
    </row>
    <row r="206" spans="1:70" ht="15" customHeight="1" x14ac:dyDescent="0.2">
      <c r="A206" s="328">
        <f t="shared" si="91"/>
        <v>62008029</v>
      </c>
      <c r="B206" s="321" t="s">
        <v>635</v>
      </c>
      <c r="C206" s="321" t="s">
        <v>782</v>
      </c>
      <c r="D206" s="352" t="s">
        <v>718</v>
      </c>
      <c r="E206" s="307" t="s">
        <v>897</v>
      </c>
      <c r="F206" s="307" t="str">
        <f t="shared" ref="F206:F269" si="92">LEFT(E206,8)</f>
        <v>08/12/20</v>
      </c>
      <c r="G206" s="322" t="s">
        <v>898</v>
      </c>
      <c r="H206" s="322" t="s">
        <v>899</v>
      </c>
      <c r="I206" s="330"/>
      <c r="J206" s="324">
        <f>AVERAGE(J204:J205)</f>
        <v>-2.9472040000000002</v>
      </c>
      <c r="K206" s="324">
        <f>AVERAGE(K204:K205)</f>
        <v>18.376871000000001</v>
      </c>
      <c r="L206" s="324">
        <f>AVERAGE(L204:L205)</f>
        <v>29.403828000000001</v>
      </c>
      <c r="M206" s="324">
        <f>AVERAGE(M204:M205)</f>
        <v>9.5129544999999993</v>
      </c>
      <c r="N206" s="310"/>
      <c r="O206" s="308"/>
      <c r="P206" s="326"/>
      <c r="Q206" s="325"/>
      <c r="R206" s="311">
        <f>R205+R204</f>
        <v>7.9956864999999997</v>
      </c>
      <c r="S206" s="311">
        <f>S205</f>
        <v>7.9956864999999997</v>
      </c>
      <c r="T206" s="339">
        <f>T204</f>
        <v>83.1</v>
      </c>
      <c r="U206" s="339">
        <f>U205</f>
        <v>78.8</v>
      </c>
      <c r="V206" s="314">
        <f>V204</f>
        <v>7178.8137059999999</v>
      </c>
      <c r="W206" s="314">
        <f>W205</f>
        <v>9905</v>
      </c>
      <c r="X206" s="314">
        <f>SUM(X204:X205)</f>
        <v>2978.1862940000001</v>
      </c>
      <c r="Y206" s="314">
        <f t="shared" si="86"/>
        <v>372.47412013965283</v>
      </c>
      <c r="Z206" s="314">
        <f>Z204</f>
        <v>3626.2181369999998</v>
      </c>
      <c r="AA206" s="314">
        <f>AA205</f>
        <v>3666.5879260000002</v>
      </c>
      <c r="AB206" s="314">
        <f>SUM(AB204:AB205)</f>
        <v>51.129705000000286</v>
      </c>
      <c r="AC206" s="312">
        <f t="shared" si="87"/>
        <v>6.3946610463029394</v>
      </c>
      <c r="AD206" s="314">
        <f>AD204</f>
        <v>-46.86</v>
      </c>
      <c r="AE206" s="314">
        <f>AE205</f>
        <v>-47.17</v>
      </c>
      <c r="AF206" s="314">
        <f>SUM(AF204:AF205)</f>
        <v>-0.36999999999999744</v>
      </c>
      <c r="AG206" s="312">
        <f t="shared" si="88"/>
        <v>-4.6274950875074633E-2</v>
      </c>
      <c r="AH206" s="314">
        <f>AH204</f>
        <v>7786.325769</v>
      </c>
      <c r="AI206" s="314">
        <f>AI205</f>
        <v>8020.35</v>
      </c>
      <c r="AJ206" s="314">
        <f>SUM(AJ204:AJ205)</f>
        <v>276.21312099999977</v>
      </c>
      <c r="AK206" s="312">
        <f t="shared" si="89"/>
        <v>34.545266500881418</v>
      </c>
      <c r="AL206" s="314">
        <f>AL204</f>
        <v>1093.45</v>
      </c>
      <c r="AM206" s="314">
        <f>AM205</f>
        <v>1112.5999999999999</v>
      </c>
      <c r="AN206" s="314">
        <f>SUM(AN204:AN205)</f>
        <v>23.25</v>
      </c>
      <c r="AO206" s="312">
        <f t="shared" si="90"/>
        <v>2.9078178590418724</v>
      </c>
      <c r="AP206" s="305"/>
      <c r="AQ206" s="305"/>
      <c r="AR206" s="305">
        <f>SUM(AR204:AR205)</f>
        <v>-4.6999999999999886</v>
      </c>
      <c r="AS206" s="314">
        <f>AS204</f>
        <v>77078.899999999994</v>
      </c>
      <c r="AT206" s="314">
        <f>AT205</f>
        <v>77079.7</v>
      </c>
      <c r="AU206" s="342">
        <f>SUM(AU204:AU205)</f>
        <v>0.90000000000873115</v>
      </c>
      <c r="AV206" s="305"/>
      <c r="AW206" s="305"/>
      <c r="AX206" s="305"/>
      <c r="AY206" s="305"/>
      <c r="AZ206" s="322" t="s">
        <v>686</v>
      </c>
    </row>
    <row r="207" spans="1:70" ht="15" customHeight="1" x14ac:dyDescent="0.2">
      <c r="A207" s="328">
        <v>62008030</v>
      </c>
      <c r="B207" s="321" t="s">
        <v>896</v>
      </c>
      <c r="C207" s="321" t="s">
        <v>773</v>
      </c>
      <c r="D207" s="352" t="s">
        <v>900</v>
      </c>
      <c r="E207" s="307" t="s">
        <v>901</v>
      </c>
      <c r="F207" s="307" t="str">
        <f t="shared" si="92"/>
        <v>08/12/20</v>
      </c>
      <c r="G207" s="322" t="s">
        <v>902</v>
      </c>
      <c r="H207" s="322" t="s">
        <v>903</v>
      </c>
      <c r="I207" s="330"/>
      <c r="J207" s="323">
        <v>0.25093500000000002</v>
      </c>
      <c r="K207" s="323">
        <v>-50.687378000000002</v>
      </c>
      <c r="L207" s="323">
        <v>-141.73229000000001</v>
      </c>
      <c r="M207" s="323">
        <v>-50.029580000000003</v>
      </c>
      <c r="N207" s="308">
        <v>4250</v>
      </c>
      <c r="O207" s="308">
        <v>30.36</v>
      </c>
      <c r="P207" s="308">
        <v>0.3201</v>
      </c>
      <c r="Q207" s="308">
        <v>1.9560000000000001E-2</v>
      </c>
      <c r="R207" s="309">
        <v>97.232581620000005</v>
      </c>
      <c r="S207" s="309">
        <f>R207+R206</f>
        <v>105.22826812000001</v>
      </c>
      <c r="T207" s="338">
        <v>78.3</v>
      </c>
      <c r="U207" s="338">
        <v>25.3</v>
      </c>
      <c r="V207" s="313">
        <v>10163</v>
      </c>
      <c r="W207" s="313">
        <v>41529</v>
      </c>
      <c r="X207" s="313">
        <f>W207-V207</f>
        <v>31366</v>
      </c>
      <c r="Y207" s="313">
        <f t="shared" si="86"/>
        <v>322.58734137681529</v>
      </c>
      <c r="Z207" s="332">
        <v>3679.7280609999998</v>
      </c>
      <c r="AA207" s="313">
        <v>4080.4353460000002</v>
      </c>
      <c r="AB207" s="313">
        <f>AA207-Z207</f>
        <v>400.70728500000041</v>
      </c>
      <c r="AC207" s="331">
        <f t="shared" si="87"/>
        <v>4.1211215245320396</v>
      </c>
      <c r="AD207" s="332">
        <v>-44.498061</v>
      </c>
      <c r="AE207" s="313">
        <v>-49.31</v>
      </c>
      <c r="AF207" s="313">
        <f>AE207-AD207</f>
        <v>-4.8119390000000024</v>
      </c>
      <c r="AG207" s="331">
        <f t="shared" si="88"/>
        <v>-4.9488956477632219E-2</v>
      </c>
      <c r="AH207" s="332">
        <v>8066.3</v>
      </c>
      <c r="AI207" s="313">
        <v>10262.476735</v>
      </c>
      <c r="AJ207" s="313">
        <f>AI207-AH207</f>
        <v>2196.176735</v>
      </c>
      <c r="AK207" s="331">
        <f t="shared" si="89"/>
        <v>22.5868397034134</v>
      </c>
      <c r="AL207" s="332">
        <v>1117.640316</v>
      </c>
      <c r="AM207" s="313">
        <v>1333.3</v>
      </c>
      <c r="AN207" s="313">
        <f>AM207-AL207</f>
        <v>215.65968399999997</v>
      </c>
      <c r="AO207" s="331">
        <f t="shared" si="90"/>
        <v>2.217977558621568</v>
      </c>
      <c r="AP207" s="303">
        <v>78.3</v>
      </c>
      <c r="AQ207" s="303">
        <v>25.3</v>
      </c>
      <c r="AR207" s="303">
        <f>AQ207-AP207</f>
        <v>-53</v>
      </c>
      <c r="AS207" s="332">
        <v>77080.5</v>
      </c>
      <c r="AT207" s="313">
        <v>77088.399999999994</v>
      </c>
      <c r="AU207" s="341">
        <f>AT207-AS207</f>
        <v>7.8999999999941792</v>
      </c>
      <c r="AV207" s="303"/>
      <c r="AW207" s="303"/>
      <c r="AX207" s="303"/>
      <c r="AY207" s="303"/>
      <c r="AZ207" s="322" t="s">
        <v>686</v>
      </c>
      <c r="BA207" s="461">
        <v>24.777108590000001</v>
      </c>
      <c r="BB207" s="461">
        <v>47.087648160000001</v>
      </c>
      <c r="BC207" s="461">
        <v>854.80280904999995</v>
      </c>
      <c r="BD207" s="461">
        <v>581.15200000000004</v>
      </c>
      <c r="BE207" s="461">
        <v>93.516225719999994</v>
      </c>
      <c r="BF207" s="461">
        <v>93.761127419999994</v>
      </c>
      <c r="BG207" s="461">
        <v>-0.10703711</v>
      </c>
      <c r="BH207" s="461">
        <v>97.233402100000006</v>
      </c>
      <c r="BI207" s="461">
        <v>97.337589440000002</v>
      </c>
      <c r="BJ207" s="461">
        <v>-0.15456407999999999</v>
      </c>
      <c r="BK207" s="461">
        <v>-0.26119747999999998</v>
      </c>
      <c r="BL207" s="461">
        <v>8.8103799999999996E-3</v>
      </c>
    </row>
    <row r="208" spans="1:70" ht="15" customHeight="1" x14ac:dyDescent="0.2">
      <c r="A208" s="328">
        <v>62008031</v>
      </c>
      <c r="B208" s="321" t="s">
        <v>633</v>
      </c>
      <c r="C208" s="321" t="s">
        <v>810</v>
      </c>
      <c r="D208" s="352" t="s">
        <v>724</v>
      </c>
      <c r="E208" s="307" t="s">
        <v>904</v>
      </c>
      <c r="F208" s="307" t="str">
        <f t="shared" si="92"/>
        <v>08/12/20</v>
      </c>
      <c r="G208" s="322" t="s">
        <v>905</v>
      </c>
      <c r="H208" s="322" t="s">
        <v>906</v>
      </c>
      <c r="I208" s="330"/>
      <c r="J208" s="323">
        <v>-6.6519729999999999</v>
      </c>
      <c r="K208" s="323">
        <v>13.201473999999999</v>
      </c>
      <c r="L208" s="323">
        <v>29.392493999999999</v>
      </c>
      <c r="M208" s="323">
        <v>11.630931</v>
      </c>
      <c r="N208" s="308">
        <v>4250</v>
      </c>
      <c r="O208" s="308">
        <v>30.36</v>
      </c>
      <c r="P208" s="308">
        <v>0.3201</v>
      </c>
      <c r="Q208" s="308">
        <v>1.9560000000000001E-2</v>
      </c>
      <c r="R208" s="309">
        <v>1.7677690699999999</v>
      </c>
      <c r="S208" s="309">
        <f>R208+R207</f>
        <v>99.000350690000005</v>
      </c>
      <c r="T208" s="338">
        <v>25.2</v>
      </c>
      <c r="U208" s="338">
        <v>20.100000000000001</v>
      </c>
      <c r="V208" s="313">
        <v>41535</v>
      </c>
      <c r="W208" s="313">
        <v>44380</v>
      </c>
      <c r="X208" s="313">
        <f>W208-V208-X209</f>
        <v>693</v>
      </c>
      <c r="Y208" s="313">
        <f t="shared" si="86"/>
        <v>392.01953001700616</v>
      </c>
      <c r="Z208" s="332">
        <v>4082.19</v>
      </c>
      <c r="AA208" s="313">
        <v>4135.29547</v>
      </c>
      <c r="AB208" s="313">
        <f>AA208-Z208-AB209</f>
        <v>23.785781000000497</v>
      </c>
      <c r="AC208" s="331">
        <f t="shared" si="87"/>
        <v>13.455253519058628</v>
      </c>
      <c r="AD208" s="332">
        <v>-46.87</v>
      </c>
      <c r="AE208" s="313">
        <v>-48.96</v>
      </c>
      <c r="AF208" s="313">
        <f>AE208-AD208-AF209</f>
        <v>-1.1100000000000065</v>
      </c>
      <c r="AG208" s="331">
        <f t="shared" si="88"/>
        <v>-0.6279100697242127</v>
      </c>
      <c r="AH208" s="332">
        <v>10265.700000000001</v>
      </c>
      <c r="AI208" s="313">
        <v>10538.15</v>
      </c>
      <c r="AJ208" s="313">
        <f>AI208-AH208-AJ209</f>
        <v>96.028702999998131</v>
      </c>
      <c r="AK208" s="331">
        <f t="shared" si="89"/>
        <v>54.321972609238003</v>
      </c>
      <c r="AL208" s="332">
        <v>1333.3</v>
      </c>
      <c r="AM208" s="313">
        <v>1363.5</v>
      </c>
      <c r="AN208" s="313">
        <f>AM208-AL208-AN209</f>
        <v>10.350000000000136</v>
      </c>
      <c r="AO208" s="331">
        <f t="shared" si="90"/>
        <v>5.854837136617701</v>
      </c>
      <c r="AP208" s="303">
        <v>25.2</v>
      </c>
      <c r="AQ208" s="303">
        <v>20.100000000000001</v>
      </c>
      <c r="AR208" s="303">
        <f>AQ208-AP208-AR209</f>
        <v>-1.1999999999999993</v>
      </c>
      <c r="AS208" s="332">
        <v>77088.899999999994</v>
      </c>
      <c r="AT208" s="313">
        <v>77089.7</v>
      </c>
      <c r="AU208" s="341">
        <f>AT208-AS208-AU209</f>
        <v>0.19999999999708962</v>
      </c>
      <c r="AV208" s="303"/>
      <c r="AW208" s="303"/>
      <c r="AX208" s="303"/>
      <c r="AY208" s="303"/>
      <c r="AZ208" s="322" t="s">
        <v>686</v>
      </c>
      <c r="BA208" s="461">
        <v>5539.6960577999998</v>
      </c>
      <c r="BB208" s="461">
        <v>-2.11298297</v>
      </c>
      <c r="BC208" s="461">
        <v>2407.6752909400002</v>
      </c>
      <c r="BD208" s="461">
        <v>2459.6472178700001</v>
      </c>
      <c r="BE208" s="461">
        <v>3.1502913100000001</v>
      </c>
      <c r="BF208" s="461">
        <v>3.2084943500000001</v>
      </c>
      <c r="BG208" s="461">
        <v>-0.25264876000000003</v>
      </c>
      <c r="BH208" s="461">
        <v>1.76772178</v>
      </c>
      <c r="BI208" s="461">
        <v>1.7721992200000001</v>
      </c>
      <c r="BJ208" s="461">
        <v>-1.59022843</v>
      </c>
      <c r="BK208" s="461">
        <v>-1.81402997</v>
      </c>
      <c r="BL208" s="461">
        <v>0.81480602000000002</v>
      </c>
    </row>
    <row r="209" spans="1:70" ht="15" customHeight="1" x14ac:dyDescent="0.2">
      <c r="A209" s="328">
        <f t="shared" ref="A209:A217" si="93">A208</f>
        <v>62008031</v>
      </c>
      <c r="B209" s="321" t="s">
        <v>634</v>
      </c>
      <c r="C209" s="321" t="s">
        <v>774</v>
      </c>
      <c r="D209" s="352" t="s">
        <v>724</v>
      </c>
      <c r="E209" s="307" t="s">
        <v>904</v>
      </c>
      <c r="F209" s="307" t="str">
        <f t="shared" si="92"/>
        <v>08/12/20</v>
      </c>
      <c r="G209" s="322" t="s">
        <v>905</v>
      </c>
      <c r="H209" s="322" t="s">
        <v>906</v>
      </c>
      <c r="I209" s="330"/>
      <c r="J209" s="323">
        <v>-2.3001459999999998</v>
      </c>
      <c r="K209" s="323">
        <v>11.195966</v>
      </c>
      <c r="L209" s="323">
        <v>29.389600999999999</v>
      </c>
      <c r="M209" s="323">
        <v>8.9183199999999996</v>
      </c>
      <c r="N209" s="308">
        <v>4250</v>
      </c>
      <c r="O209" s="308">
        <v>30.36</v>
      </c>
      <c r="P209" s="308">
        <v>0.3201</v>
      </c>
      <c r="Q209" s="308">
        <v>1.9560000000000001E-2</v>
      </c>
      <c r="R209" s="309">
        <v>6.2283515500000002</v>
      </c>
      <c r="S209" s="309">
        <f>R209+R208</f>
        <v>7.9961206200000001</v>
      </c>
      <c r="T209" s="338">
        <v>24.4</v>
      </c>
      <c r="U209" s="338">
        <v>20.5</v>
      </c>
      <c r="V209" s="313">
        <v>42004</v>
      </c>
      <c r="W209" s="313">
        <v>44156</v>
      </c>
      <c r="X209" s="313">
        <f>W209-V209</f>
        <v>2152</v>
      </c>
      <c r="Y209" s="313">
        <f t="shared" si="86"/>
        <v>345.51678445318328</v>
      </c>
      <c r="Z209" s="332">
        <v>4095.0457430000001</v>
      </c>
      <c r="AA209" s="313">
        <v>4124.3654319999996</v>
      </c>
      <c r="AB209" s="313">
        <f>AA209-Z209</f>
        <v>29.319688999999471</v>
      </c>
      <c r="AC209" s="331">
        <f t="shared" si="87"/>
        <v>4.7074556990925585</v>
      </c>
      <c r="AD209" s="332">
        <v>-47.84</v>
      </c>
      <c r="AE209" s="313">
        <v>-48.82</v>
      </c>
      <c r="AF209" s="313">
        <f>AE209-AD209</f>
        <v>-0.97999999999999687</v>
      </c>
      <c r="AG209" s="331">
        <f t="shared" si="88"/>
        <v>-0.15734500407254579</v>
      </c>
      <c r="AH209" s="332">
        <v>10320.828702999999</v>
      </c>
      <c r="AI209" s="313">
        <v>10497.25</v>
      </c>
      <c r="AJ209" s="313">
        <f>AI209-AH209</f>
        <v>176.42129700000078</v>
      </c>
      <c r="AK209" s="331">
        <f t="shared" si="89"/>
        <v>28.325520096886756</v>
      </c>
      <c r="AL209" s="332">
        <v>1339.95</v>
      </c>
      <c r="AM209" s="313">
        <v>1359.8</v>
      </c>
      <c r="AN209" s="313">
        <f>AM209-AL209</f>
        <v>19.849999999999909</v>
      </c>
      <c r="AO209" s="331">
        <f t="shared" si="90"/>
        <v>3.1870391131020708</v>
      </c>
      <c r="AP209" s="303">
        <v>24.4</v>
      </c>
      <c r="AQ209" s="303">
        <v>20.5</v>
      </c>
      <c r="AR209" s="303">
        <f>AQ209-AP209</f>
        <v>-3.8999999999999986</v>
      </c>
      <c r="AS209" s="332">
        <v>77089</v>
      </c>
      <c r="AT209" s="313">
        <v>77089.600000000006</v>
      </c>
      <c r="AU209" s="341">
        <f>AT209-AS209</f>
        <v>0.60000000000582077</v>
      </c>
      <c r="AV209" s="303"/>
      <c r="AW209" s="303"/>
      <c r="AX209" s="303"/>
      <c r="AY209" s="303"/>
      <c r="AZ209" s="322" t="s">
        <v>686</v>
      </c>
      <c r="BA209" s="461">
        <v>11825.91802777</v>
      </c>
      <c r="BB209" s="461">
        <v>-6.8131403400000004</v>
      </c>
      <c r="BC209" s="461">
        <v>1061.5022666899999</v>
      </c>
      <c r="BD209" s="461">
        <v>1139.11153414</v>
      </c>
      <c r="BE209" s="461">
        <v>6.9666246200000002</v>
      </c>
      <c r="BF209" s="461">
        <v>7.0875167899999996</v>
      </c>
      <c r="BG209" s="461">
        <v>-0.11807556</v>
      </c>
      <c r="BH209" s="461">
        <v>6.2283897499999998</v>
      </c>
      <c r="BI209" s="461">
        <v>6.2357526400000003</v>
      </c>
      <c r="BJ209" s="461">
        <v>-1.6151802799999999</v>
      </c>
      <c r="BK209" s="461">
        <v>-1.70570562</v>
      </c>
      <c r="BL209" s="461">
        <v>0.34910933999999999</v>
      </c>
    </row>
    <row r="210" spans="1:70" ht="15" customHeight="1" x14ac:dyDescent="0.2">
      <c r="A210" s="328">
        <f t="shared" si="93"/>
        <v>62008031</v>
      </c>
      <c r="B210" s="321" t="s">
        <v>635</v>
      </c>
      <c r="C210" s="321" t="s">
        <v>775</v>
      </c>
      <c r="D210" s="352" t="s">
        <v>724</v>
      </c>
      <c r="E210" s="307" t="s">
        <v>904</v>
      </c>
      <c r="F210" s="307" t="str">
        <f t="shared" si="92"/>
        <v>08/12/20</v>
      </c>
      <c r="G210" s="322" t="s">
        <v>905</v>
      </c>
      <c r="H210" s="322" t="s">
        <v>906</v>
      </c>
      <c r="I210" s="330"/>
      <c r="J210" s="324">
        <f>AVERAGE(J208:J209)</f>
        <v>-4.4760594999999999</v>
      </c>
      <c r="K210" s="324">
        <f>AVERAGE(K208:K209)</f>
        <v>12.19872</v>
      </c>
      <c r="L210" s="324">
        <f>AVERAGE(L208:L209)</f>
        <v>29.391047499999999</v>
      </c>
      <c r="M210" s="324">
        <f>AVERAGE(M208:M209)</f>
        <v>10.274625499999999</v>
      </c>
      <c r="N210" s="310"/>
      <c r="O210" s="308"/>
      <c r="P210" s="326"/>
      <c r="Q210" s="325"/>
      <c r="R210" s="311">
        <f>R209+R208</f>
        <v>7.9961206200000001</v>
      </c>
      <c r="S210" s="311">
        <f>S209</f>
        <v>7.9961206200000001</v>
      </c>
      <c r="T210" s="339">
        <f>T208</f>
        <v>25.2</v>
      </c>
      <c r="U210" s="339">
        <f>U209</f>
        <v>20.5</v>
      </c>
      <c r="V210" s="314">
        <f>V208</f>
        <v>41535</v>
      </c>
      <c r="W210" s="314">
        <f>W209</f>
        <v>44156</v>
      </c>
      <c r="X210" s="314">
        <f>SUM(X208:X209)</f>
        <v>2845</v>
      </c>
      <c r="Y210" s="314">
        <f t="shared" si="86"/>
        <v>355.79753422979252</v>
      </c>
      <c r="Z210" s="314">
        <f>Z208</f>
        <v>4082.19</v>
      </c>
      <c r="AA210" s="314">
        <f>AA209</f>
        <v>4124.3654319999996</v>
      </c>
      <c r="AB210" s="314">
        <f>SUM(AB208:AB209)</f>
        <v>53.105469999999968</v>
      </c>
      <c r="AC210" s="312">
        <f t="shared" si="87"/>
        <v>6.6414043163846079</v>
      </c>
      <c r="AD210" s="314">
        <f>AD208</f>
        <v>-46.87</v>
      </c>
      <c r="AE210" s="314">
        <f>AE209</f>
        <v>-48.82</v>
      </c>
      <c r="AF210" s="314">
        <f>SUM(AF208:AF209)</f>
        <v>-2.0900000000000034</v>
      </c>
      <c r="AG210" s="312">
        <f t="shared" si="88"/>
        <v>-0.2613767474658234</v>
      </c>
      <c r="AH210" s="314">
        <f>AH208</f>
        <v>10265.700000000001</v>
      </c>
      <c r="AI210" s="314">
        <f>AI209</f>
        <v>10497.25</v>
      </c>
      <c r="AJ210" s="314">
        <f>SUM(AJ208:AJ209)</f>
        <v>272.44999999999891</v>
      </c>
      <c r="AK210" s="312">
        <f t="shared" si="89"/>
        <v>34.072772654097221</v>
      </c>
      <c r="AL210" s="314">
        <f>AL208</f>
        <v>1333.3</v>
      </c>
      <c r="AM210" s="314">
        <f>AM209</f>
        <v>1359.8</v>
      </c>
      <c r="AN210" s="314">
        <f>SUM(AN208:AN209)</f>
        <v>30.200000000000045</v>
      </c>
      <c r="AO210" s="312">
        <f t="shared" si="90"/>
        <v>3.7768314705587875</v>
      </c>
      <c r="AP210" s="305"/>
      <c r="AQ210" s="305"/>
      <c r="AR210" s="305">
        <f>SUM(AR208:AR209)</f>
        <v>-5.0999999999999979</v>
      </c>
      <c r="AS210" s="314">
        <f>AS208</f>
        <v>77088.899999999994</v>
      </c>
      <c r="AT210" s="314">
        <f>AT209</f>
        <v>77089.600000000006</v>
      </c>
      <c r="AU210" s="342">
        <f>SUM(AU208:AU209)</f>
        <v>0.80000000000291038</v>
      </c>
      <c r="AV210" s="305"/>
      <c r="AW210" s="305"/>
      <c r="AX210" s="305"/>
      <c r="AY210" s="305"/>
      <c r="AZ210" s="322" t="s">
        <v>686</v>
      </c>
    </row>
    <row r="211" spans="1:70" ht="15" customHeight="1" x14ac:dyDescent="0.2">
      <c r="A211" s="328">
        <f t="shared" si="93"/>
        <v>62008031</v>
      </c>
      <c r="B211" s="321" t="s">
        <v>627</v>
      </c>
      <c r="C211" s="321" t="s">
        <v>776</v>
      </c>
      <c r="D211" s="352" t="s">
        <v>724</v>
      </c>
      <c r="E211" s="307" t="s">
        <v>904</v>
      </c>
      <c r="F211" s="307" t="str">
        <f t="shared" si="92"/>
        <v>08/12/20</v>
      </c>
      <c r="G211" s="322" t="s">
        <v>905</v>
      </c>
      <c r="H211" s="322" t="s">
        <v>906</v>
      </c>
      <c r="I211" s="330"/>
      <c r="J211" s="323">
        <v>-5.925065</v>
      </c>
      <c r="K211" s="323">
        <v>38.050443999999999</v>
      </c>
      <c r="L211" s="323">
        <v>29.395661</v>
      </c>
      <c r="M211" s="323">
        <v>7.7828429999999997</v>
      </c>
      <c r="N211" s="308">
        <v>4250</v>
      </c>
      <c r="O211" s="308">
        <v>30.36</v>
      </c>
      <c r="P211" s="308">
        <v>0.3201</v>
      </c>
      <c r="Q211" s="308">
        <v>1.9560000000000001E-2</v>
      </c>
      <c r="R211" s="309">
        <v>3.5892993</v>
      </c>
      <c r="S211" s="309">
        <f>R211+R210</f>
        <v>11.58541992</v>
      </c>
      <c r="T211" s="338">
        <v>20.100000000000001</v>
      </c>
      <c r="U211" s="338">
        <v>18</v>
      </c>
      <c r="V211" s="313">
        <v>44386</v>
      </c>
      <c r="W211" s="313">
        <v>45506</v>
      </c>
      <c r="X211" s="313">
        <f>W211-V211</f>
        <v>1120</v>
      </c>
      <c r="Y211" s="313">
        <f t="shared" si="86"/>
        <v>312.03861990556209</v>
      </c>
      <c r="Z211" s="332">
        <v>4139.1752530000003</v>
      </c>
      <c r="AA211" s="313">
        <v>4193.1000050000002</v>
      </c>
      <c r="AB211" s="313">
        <f>AA211-Z211</f>
        <v>53.924751999999899</v>
      </c>
      <c r="AC211" s="331">
        <f t="shared" si="87"/>
        <v>15.02375463645506</v>
      </c>
      <c r="AD211" s="332">
        <v>-46.44</v>
      </c>
      <c r="AE211" s="313">
        <v>-48.51</v>
      </c>
      <c r="AF211" s="313">
        <f>AE211-AD211</f>
        <v>-2.0700000000000003</v>
      </c>
      <c r="AG211" s="331">
        <f t="shared" si="88"/>
        <v>-0.57671423500402996</v>
      </c>
      <c r="AH211" s="332">
        <v>10540.376281999999</v>
      </c>
      <c r="AI211" s="313">
        <v>10784.2</v>
      </c>
      <c r="AJ211" s="313">
        <f>AI211-AH211</f>
        <v>243.82371800000146</v>
      </c>
      <c r="AK211" s="331">
        <f t="shared" si="89"/>
        <v>67.930728986574479</v>
      </c>
      <c r="AL211" s="332">
        <v>1363.7</v>
      </c>
      <c r="AM211" s="313">
        <v>1431.6</v>
      </c>
      <c r="AN211" s="313">
        <f>AM211-AL211</f>
        <v>67.899999999999864</v>
      </c>
      <c r="AO211" s="331">
        <f t="shared" si="90"/>
        <v>18.917341331774661</v>
      </c>
      <c r="AP211" s="303">
        <v>20.100000000000001</v>
      </c>
      <c r="AQ211" s="303">
        <v>18</v>
      </c>
      <c r="AR211" s="303">
        <f>AQ211-AP211</f>
        <v>-2.1000000000000014</v>
      </c>
      <c r="AS211" s="332">
        <v>77090.600000000006</v>
      </c>
      <c r="AT211" s="313">
        <v>77091.3</v>
      </c>
      <c r="AU211" s="341">
        <f>AT211-AS211</f>
        <v>0.69999999999708962</v>
      </c>
      <c r="AV211" s="303"/>
      <c r="AW211" s="303"/>
      <c r="AX211" s="303"/>
      <c r="AY211" s="303"/>
      <c r="AZ211" s="322" t="s">
        <v>686</v>
      </c>
      <c r="BA211" s="461">
        <v>2412.7521300799999</v>
      </c>
      <c r="BB211" s="461">
        <v>-1.03304237</v>
      </c>
      <c r="BC211" s="461">
        <v>2027.5439475799999</v>
      </c>
      <c r="BD211" s="461">
        <v>2048.7079690400001</v>
      </c>
      <c r="BE211" s="461">
        <v>3.2267191899999998</v>
      </c>
      <c r="BF211" s="461">
        <v>3.2583628199999999</v>
      </c>
      <c r="BG211" s="461">
        <v>-4.7384700000000002E-2</v>
      </c>
      <c r="BH211" s="461">
        <v>3.5892779500000001</v>
      </c>
      <c r="BI211" s="461">
        <v>3.5909795199999999</v>
      </c>
      <c r="BJ211" s="461">
        <v>-0.93282580000000004</v>
      </c>
      <c r="BK211" s="461">
        <v>-0.97115134999999997</v>
      </c>
      <c r="BL211" s="461">
        <v>0.59037101999999997</v>
      </c>
    </row>
    <row r="212" spans="1:70" ht="15" customHeight="1" x14ac:dyDescent="0.2">
      <c r="A212" s="328">
        <f t="shared" si="93"/>
        <v>62008031</v>
      </c>
      <c r="B212" s="321" t="s">
        <v>894</v>
      </c>
      <c r="C212" s="321" t="s">
        <v>777</v>
      </c>
      <c r="D212" s="352" t="s">
        <v>724</v>
      </c>
      <c r="E212" s="307" t="s">
        <v>904</v>
      </c>
      <c r="F212" s="307" t="str">
        <f t="shared" si="92"/>
        <v>08/12/20</v>
      </c>
      <c r="G212" s="322" t="s">
        <v>905</v>
      </c>
      <c r="H212" s="322" t="s">
        <v>906</v>
      </c>
      <c r="I212" s="330"/>
      <c r="J212" s="323">
        <v>-7.2929729999999999</v>
      </c>
      <c r="K212" s="323">
        <v>39.277937999999999</v>
      </c>
      <c r="L212" s="323">
        <v>29.398620000000001</v>
      </c>
      <c r="M212" s="323">
        <v>8.176679</v>
      </c>
      <c r="N212" s="308">
        <v>4250</v>
      </c>
      <c r="O212" s="308">
        <v>30.36</v>
      </c>
      <c r="P212" s="308">
        <v>0.3201</v>
      </c>
      <c r="Q212" s="308">
        <v>1.9560000000000001E-2</v>
      </c>
      <c r="R212" s="309">
        <v>3.8568311199999998</v>
      </c>
      <c r="S212" s="309">
        <f>R212+R211</f>
        <v>7.4461304199999994</v>
      </c>
      <c r="T212" s="338">
        <v>18</v>
      </c>
      <c r="U212" s="338">
        <v>16</v>
      </c>
      <c r="V212" s="313">
        <v>45506</v>
      </c>
      <c r="W212" s="313">
        <v>46623</v>
      </c>
      <c r="X212" s="313">
        <f>W212-V212</f>
        <v>1117</v>
      </c>
      <c r="Y212" s="313">
        <f t="shared" si="86"/>
        <v>289.61599957220841</v>
      </c>
      <c r="Z212" s="332">
        <v>4193.1249959999996</v>
      </c>
      <c r="AA212" s="313">
        <v>4285.76</v>
      </c>
      <c r="AB212" s="313">
        <f>AA212-Z212</f>
        <v>92.635004000000663</v>
      </c>
      <c r="AC212" s="331">
        <f t="shared" si="87"/>
        <v>24.018423705313978</v>
      </c>
      <c r="AD212" s="332">
        <v>-48.51</v>
      </c>
      <c r="AE212" s="313">
        <v>-49.53</v>
      </c>
      <c r="AF212" s="313">
        <f>AE212-AD212</f>
        <v>-1.0200000000000031</v>
      </c>
      <c r="AG212" s="331">
        <f t="shared" si="88"/>
        <v>-0.26446581876781866</v>
      </c>
      <c r="AH212" s="332">
        <v>10784.274966999999</v>
      </c>
      <c r="AI212" s="313">
        <v>11118.9</v>
      </c>
      <c r="AJ212" s="313">
        <f>AI212-AH212</f>
        <v>334.62503300000026</v>
      </c>
      <c r="AK212" s="331">
        <f t="shared" si="89"/>
        <v>86.761650326032495</v>
      </c>
      <c r="AL212" s="332">
        <v>1431.6</v>
      </c>
      <c r="AM212" s="313">
        <v>1447.35</v>
      </c>
      <c r="AN212" s="313">
        <f>AM212-AL212</f>
        <v>15.75</v>
      </c>
      <c r="AO212" s="331">
        <f t="shared" si="90"/>
        <v>4.0836633780324822</v>
      </c>
      <c r="AP212" s="303">
        <v>18</v>
      </c>
      <c r="AQ212" s="303">
        <v>16</v>
      </c>
      <c r="AR212" s="303">
        <f>AQ212-AP212</f>
        <v>-2</v>
      </c>
      <c r="AS212" s="332">
        <v>77091.3</v>
      </c>
      <c r="AT212" s="313">
        <v>77092.600000000006</v>
      </c>
      <c r="AU212" s="341">
        <f>AT212-AS212</f>
        <v>1.3000000000029104</v>
      </c>
      <c r="AV212" s="303"/>
      <c r="AW212" s="303"/>
      <c r="AX212" s="303"/>
      <c r="AY212" s="303"/>
      <c r="AZ212" s="322" t="s">
        <v>686</v>
      </c>
      <c r="BA212" s="461">
        <v>1481.79558851</v>
      </c>
      <c r="BB212" s="461">
        <v>-0.80988066999999997</v>
      </c>
      <c r="BC212" s="461">
        <v>3388.3508005499998</v>
      </c>
      <c r="BD212" s="461">
        <v>3416.01645745</v>
      </c>
      <c r="BE212" s="461">
        <v>2.9734966799999998</v>
      </c>
      <c r="BF212" s="461">
        <v>3.0184664899999998</v>
      </c>
      <c r="BG212" s="461">
        <v>-7.8765539999999995E-2</v>
      </c>
      <c r="BH212" s="461">
        <v>3.8567895499999998</v>
      </c>
      <c r="BI212" s="461">
        <v>3.8598297700000002</v>
      </c>
      <c r="BJ212" s="461">
        <v>-1.4323977400000001</v>
      </c>
      <c r="BK212" s="461">
        <v>-1.48982309</v>
      </c>
      <c r="BL212" s="461">
        <v>0.71451290000000001</v>
      </c>
    </row>
    <row r="213" spans="1:70" ht="15" customHeight="1" x14ac:dyDescent="0.2">
      <c r="A213" s="328">
        <f t="shared" si="93"/>
        <v>62008031</v>
      </c>
      <c r="B213" s="321" t="s">
        <v>629</v>
      </c>
      <c r="C213" s="321" t="s">
        <v>799</v>
      </c>
      <c r="D213" s="352" t="s">
        <v>724</v>
      </c>
      <c r="E213" s="307" t="s">
        <v>904</v>
      </c>
      <c r="F213" s="307" t="str">
        <f t="shared" si="92"/>
        <v>08/12/20</v>
      </c>
      <c r="G213" s="322" t="s">
        <v>905</v>
      </c>
      <c r="H213" s="322" t="s">
        <v>906</v>
      </c>
      <c r="I213" s="330"/>
      <c r="J213" s="324">
        <f>AVERAGE(J211:J212)</f>
        <v>-6.609019</v>
      </c>
      <c r="K213" s="324">
        <f>AVERAGE(K211:K212)</f>
        <v>38.664191000000002</v>
      </c>
      <c r="L213" s="324">
        <f>AVERAGE(L211:L212)</f>
        <v>29.397140499999999</v>
      </c>
      <c r="M213" s="324">
        <f>AVERAGE(M211:M212)</f>
        <v>7.9797609999999999</v>
      </c>
      <c r="N213" s="310"/>
      <c r="O213" s="308"/>
      <c r="P213" s="326"/>
      <c r="Q213" s="325"/>
      <c r="R213" s="311">
        <f>R212+R211</f>
        <v>7.4461304199999994</v>
      </c>
      <c r="S213" s="311">
        <f>S212</f>
        <v>7.4461304199999994</v>
      </c>
      <c r="T213" s="339">
        <f>T211</f>
        <v>20.100000000000001</v>
      </c>
      <c r="U213" s="339">
        <f>U212</f>
        <v>16</v>
      </c>
      <c r="V213" s="314">
        <f>V211</f>
        <v>44386</v>
      </c>
      <c r="W213" s="314">
        <f>W212</f>
        <v>46623</v>
      </c>
      <c r="X213" s="314">
        <f>SUM(X211:X212)</f>
        <v>2237</v>
      </c>
      <c r="Y213" s="314">
        <f t="shared" si="86"/>
        <v>300.42449887682739</v>
      </c>
      <c r="Z213" s="314">
        <f>Z211</f>
        <v>4139.1752530000003</v>
      </c>
      <c r="AA213" s="314">
        <f>AA212</f>
        <v>4285.76</v>
      </c>
      <c r="AB213" s="314">
        <f>SUM(AB211:AB212)</f>
        <v>146.55975600000056</v>
      </c>
      <c r="AC213" s="312">
        <f t="shared" si="87"/>
        <v>19.682673782659929</v>
      </c>
      <c r="AD213" s="314">
        <f>AD211</f>
        <v>-46.44</v>
      </c>
      <c r="AE213" s="314">
        <f>AE212</f>
        <v>-49.53</v>
      </c>
      <c r="AF213" s="314">
        <f>SUM(AF211:AF212)</f>
        <v>-3.0900000000000034</v>
      </c>
      <c r="AG213" s="312">
        <f t="shared" si="88"/>
        <v>-0.41498064440294929</v>
      </c>
      <c r="AH213" s="314">
        <f>AH211</f>
        <v>10540.376281999999</v>
      </c>
      <c r="AI213" s="314">
        <f>AI212</f>
        <v>11118.9</v>
      </c>
      <c r="AJ213" s="314">
        <f>SUM(AJ211:AJ212)</f>
        <v>578.44875100000172</v>
      </c>
      <c r="AK213" s="312">
        <f t="shared" si="89"/>
        <v>77.684477489987586</v>
      </c>
      <c r="AL213" s="314">
        <f>AL211</f>
        <v>1363.7</v>
      </c>
      <c r="AM213" s="314">
        <f>AM212</f>
        <v>1447.35</v>
      </c>
      <c r="AN213" s="314">
        <f>SUM(AN211:AN212)</f>
        <v>83.649999999999864</v>
      </c>
      <c r="AO213" s="312">
        <f t="shared" si="90"/>
        <v>11.234022946377545</v>
      </c>
      <c r="AP213" s="305"/>
      <c r="AQ213" s="305"/>
      <c r="AR213" s="305">
        <f>SUM(AR211:AR212)</f>
        <v>-4.1000000000000014</v>
      </c>
      <c r="AS213" s="314">
        <f>AS211</f>
        <v>77090.600000000006</v>
      </c>
      <c r="AT213" s="314">
        <f>AT212</f>
        <v>77092.600000000006</v>
      </c>
      <c r="AU213" s="342">
        <f>SUM(AU211:AU212)</f>
        <v>2</v>
      </c>
      <c r="AV213" s="305"/>
      <c r="AW213" s="305"/>
      <c r="AX213" s="305"/>
      <c r="AY213" s="305"/>
      <c r="AZ213" s="322" t="s">
        <v>686</v>
      </c>
    </row>
    <row r="214" spans="1:70" ht="15" customHeight="1" x14ac:dyDescent="0.2">
      <c r="A214" s="328">
        <f t="shared" si="93"/>
        <v>62008031</v>
      </c>
      <c r="B214" s="321" t="s">
        <v>630</v>
      </c>
      <c r="C214" s="321" t="s">
        <v>778</v>
      </c>
      <c r="D214" s="352" t="s">
        <v>724</v>
      </c>
      <c r="E214" s="307" t="s">
        <v>904</v>
      </c>
      <c r="F214" s="307" t="str">
        <f t="shared" si="92"/>
        <v>08/12/20</v>
      </c>
      <c r="G214" s="322" t="s">
        <v>905</v>
      </c>
      <c r="H214" s="322" t="s">
        <v>906</v>
      </c>
      <c r="I214" s="330"/>
      <c r="J214" s="323">
        <v>-3.0149620000000001</v>
      </c>
      <c r="K214" s="323">
        <v>24.026738999999999</v>
      </c>
      <c r="L214" s="323">
        <v>29.400860999999999</v>
      </c>
      <c r="M214" s="323">
        <v>8.1717390000000005</v>
      </c>
      <c r="N214" s="308">
        <v>4250</v>
      </c>
      <c r="O214" s="308">
        <v>30.36</v>
      </c>
      <c r="P214" s="308">
        <v>0.3201</v>
      </c>
      <c r="Q214" s="308">
        <v>1.9560000000000001E-2</v>
      </c>
      <c r="R214" s="309">
        <v>10.245732970000001</v>
      </c>
      <c r="S214" s="309">
        <f>R214+R213</f>
        <v>17.691863390000002</v>
      </c>
      <c r="T214" s="338">
        <v>16</v>
      </c>
      <c r="U214" s="338">
        <v>11</v>
      </c>
      <c r="V214" s="313">
        <v>46630</v>
      </c>
      <c r="W214" s="313">
        <v>49388</v>
      </c>
      <c r="X214" s="313">
        <f>W214-V214</f>
        <v>2758</v>
      </c>
      <c r="Y214" s="313">
        <f t="shared" si="86"/>
        <v>269.1852313617344</v>
      </c>
      <c r="Z214" s="332">
        <v>4287.4644980000003</v>
      </c>
      <c r="AA214" s="313">
        <v>4354.1840620000003</v>
      </c>
      <c r="AB214" s="313">
        <f>AA214-Z214</f>
        <v>66.719563999999991</v>
      </c>
      <c r="AC214" s="331">
        <f t="shared" si="87"/>
        <v>6.5119366467346049</v>
      </c>
      <c r="AD214" s="332">
        <v>-49.54</v>
      </c>
      <c r="AE214" s="313">
        <v>-50.05</v>
      </c>
      <c r="AF214" s="313">
        <f>AE214-AD214</f>
        <v>-0.50999999999999801</v>
      </c>
      <c r="AG214" s="331">
        <f t="shared" si="88"/>
        <v>-4.9776819432372735E-2</v>
      </c>
      <c r="AH214" s="332">
        <v>11124.164914999999</v>
      </c>
      <c r="AI214" s="313">
        <v>11407.920303999999</v>
      </c>
      <c r="AJ214" s="313">
        <f>AI214-AH214</f>
        <v>283.75538899999992</v>
      </c>
      <c r="AK214" s="331">
        <f t="shared" si="89"/>
        <v>27.694981884736734</v>
      </c>
      <c r="AL214" s="332">
        <v>1447.85</v>
      </c>
      <c r="AM214" s="313">
        <v>1460.6</v>
      </c>
      <c r="AN214" s="313">
        <f>AM214-AL214</f>
        <v>12.75</v>
      </c>
      <c r="AO214" s="331">
        <f t="shared" si="90"/>
        <v>1.2444204858093231</v>
      </c>
      <c r="AP214" s="303">
        <v>16</v>
      </c>
      <c r="AQ214" s="303">
        <v>11</v>
      </c>
      <c r="AR214" s="303">
        <f>AQ214-AP214</f>
        <v>-5</v>
      </c>
      <c r="AS214" s="332">
        <v>77092.600000000006</v>
      </c>
      <c r="AT214" s="313">
        <v>77093.7</v>
      </c>
      <c r="AU214" s="341">
        <f>AT214-AS214</f>
        <v>1.0999999999912689</v>
      </c>
      <c r="AV214" s="303"/>
      <c r="AW214" s="303"/>
      <c r="AX214" s="303"/>
      <c r="AY214" s="303"/>
      <c r="AZ214" s="322" t="s">
        <v>686</v>
      </c>
      <c r="BA214" s="461">
        <v>1944.9687888599999</v>
      </c>
      <c r="BB214" s="461">
        <v>0.87296158000000001</v>
      </c>
      <c r="BC214" s="461">
        <v>1318.1091014599999</v>
      </c>
      <c r="BD214" s="461">
        <v>1306.7020941999999</v>
      </c>
      <c r="BE214" s="461">
        <v>8.00500334</v>
      </c>
      <c r="BF214" s="461">
        <v>8.0200004400000005</v>
      </c>
      <c r="BG214" s="461">
        <v>-0.10592989</v>
      </c>
      <c r="BH214" s="461">
        <v>10.2458154</v>
      </c>
      <c r="BI214" s="461">
        <v>10.25668029</v>
      </c>
      <c r="BJ214" s="461">
        <v>-8.1218159999999998E-2</v>
      </c>
      <c r="BK214" s="461">
        <v>-0.18699616999999999</v>
      </c>
      <c r="BL214" s="461">
        <v>0.28276332999999998</v>
      </c>
    </row>
    <row r="215" spans="1:70" ht="15" customHeight="1" x14ac:dyDescent="0.2">
      <c r="A215" s="328">
        <f t="shared" si="93"/>
        <v>62008031</v>
      </c>
      <c r="B215" s="321" t="s">
        <v>631</v>
      </c>
      <c r="C215" s="321" t="s">
        <v>783</v>
      </c>
      <c r="D215" s="352" t="s">
        <v>724</v>
      </c>
      <c r="E215" s="307" t="s">
        <v>904</v>
      </c>
      <c r="F215" s="307" t="str">
        <f t="shared" si="92"/>
        <v>08/12/20</v>
      </c>
      <c r="G215" s="322" t="s">
        <v>905</v>
      </c>
      <c r="H215" s="322" t="s">
        <v>906</v>
      </c>
      <c r="I215" s="330"/>
      <c r="J215" s="323">
        <v>-7.6351230000000001</v>
      </c>
      <c r="K215" s="323">
        <v>20.842258999999999</v>
      </c>
      <c r="L215" s="323">
        <v>29.397898000000001</v>
      </c>
      <c r="M215" s="323">
        <v>7.3260870000000002</v>
      </c>
      <c r="N215" s="308">
        <v>4250</v>
      </c>
      <c r="O215" s="308">
        <v>30.36</v>
      </c>
      <c r="P215" s="308">
        <v>0.3201</v>
      </c>
      <c r="Q215" s="308">
        <v>1.9560000000000001E-2</v>
      </c>
      <c r="R215" s="309">
        <v>3.58903303</v>
      </c>
      <c r="S215" s="309">
        <f>R215+R214</f>
        <v>13.834766</v>
      </c>
      <c r="T215" s="338">
        <v>11</v>
      </c>
      <c r="U215" s="338">
        <v>8.9</v>
      </c>
      <c r="V215" s="313">
        <v>49393</v>
      </c>
      <c r="W215" s="313">
        <v>50503</v>
      </c>
      <c r="X215" s="313">
        <f>W215-V215</f>
        <v>1110</v>
      </c>
      <c r="Y215" s="313">
        <f t="shared" si="86"/>
        <v>309.27550421568566</v>
      </c>
      <c r="Z215" s="332">
        <v>4356.9738459999999</v>
      </c>
      <c r="AA215" s="313">
        <v>4411.1334880000004</v>
      </c>
      <c r="AB215" s="313">
        <f>AA215-Z215</f>
        <v>54.159642000000531</v>
      </c>
      <c r="AC215" s="331">
        <f t="shared" si="87"/>
        <v>15.090315844766836</v>
      </c>
      <c r="AD215" s="332">
        <v>-47.39</v>
      </c>
      <c r="AE215" s="313">
        <v>-49.44</v>
      </c>
      <c r="AF215" s="313">
        <f>AE215-AD215</f>
        <v>-2.0499999999999972</v>
      </c>
      <c r="AG215" s="331">
        <f t="shared" si="88"/>
        <v>-0.57118448976770697</v>
      </c>
      <c r="AH215" s="332">
        <v>11409.7</v>
      </c>
      <c r="AI215" s="313">
        <v>11665.85</v>
      </c>
      <c r="AJ215" s="313">
        <f>AI215-AH215</f>
        <v>256.14999999999964</v>
      </c>
      <c r="AK215" s="331">
        <f t="shared" si="89"/>
        <v>71.370198562925907</v>
      </c>
      <c r="AL215" s="332">
        <v>1460.8</v>
      </c>
      <c r="AM215" s="313">
        <v>1518.65</v>
      </c>
      <c r="AN215" s="313">
        <f>AM215-AL215</f>
        <v>57.850000000000136</v>
      </c>
      <c r="AO215" s="331">
        <f t="shared" si="90"/>
        <v>16.118547674664374</v>
      </c>
      <c r="AP215" s="303">
        <v>11</v>
      </c>
      <c r="AQ215" s="303">
        <v>8.9</v>
      </c>
      <c r="AR215" s="303">
        <f>AQ215-AP215</f>
        <v>-2.0999999999999996</v>
      </c>
      <c r="AS215" s="332">
        <v>77094.5</v>
      </c>
      <c r="AT215" s="313">
        <v>77095.3</v>
      </c>
      <c r="AU215" s="341">
        <f>AT215-AS215</f>
        <v>0.80000000000291038</v>
      </c>
      <c r="AV215" s="303"/>
      <c r="AW215" s="303"/>
      <c r="AX215" s="303"/>
      <c r="AY215" s="303"/>
      <c r="AZ215" s="322" t="s">
        <v>686</v>
      </c>
      <c r="BA215" s="461">
        <v>2410.9387386899998</v>
      </c>
      <c r="BB215" s="461">
        <v>-1.1483178999999999</v>
      </c>
      <c r="BC215" s="461">
        <v>2025.1405217199999</v>
      </c>
      <c r="BD215" s="461">
        <v>2048.6657168000002</v>
      </c>
      <c r="BE215" s="461">
        <v>3.2291516300000001</v>
      </c>
      <c r="BF215" s="461">
        <v>3.2582973000000002</v>
      </c>
      <c r="BG215" s="461">
        <v>-5.5766070000000001E-2</v>
      </c>
      <c r="BH215" s="461">
        <v>3.5889768399999999</v>
      </c>
      <c r="BI215" s="461">
        <v>3.5909793900000002</v>
      </c>
      <c r="BJ215" s="461">
        <v>-0.84631038000000003</v>
      </c>
      <c r="BK215" s="461">
        <v>-0.89450616000000005</v>
      </c>
      <c r="BL215" s="461">
        <v>0.59036500000000003</v>
      </c>
    </row>
    <row r="216" spans="1:70" ht="15" customHeight="1" x14ac:dyDescent="0.2">
      <c r="A216" s="328">
        <f t="shared" si="93"/>
        <v>62008031</v>
      </c>
      <c r="B216" s="321" t="s">
        <v>895</v>
      </c>
      <c r="C216" s="321" t="s">
        <v>781</v>
      </c>
      <c r="D216" s="352" t="s">
        <v>724</v>
      </c>
      <c r="E216" s="307" t="s">
        <v>904</v>
      </c>
      <c r="F216" s="307" t="str">
        <f t="shared" si="92"/>
        <v>08/12/20</v>
      </c>
      <c r="G216" s="322" t="s">
        <v>905</v>
      </c>
      <c r="H216" s="322" t="s">
        <v>906</v>
      </c>
      <c r="I216" s="330"/>
      <c r="J216" s="323">
        <v>-7.168946</v>
      </c>
      <c r="K216" s="323">
        <v>15.524770999999999</v>
      </c>
      <c r="L216" s="323">
        <v>29.396231</v>
      </c>
      <c r="M216" s="323">
        <v>7.7665600000000001</v>
      </c>
      <c r="N216" s="308">
        <v>4250</v>
      </c>
      <c r="O216" s="308">
        <v>30.36</v>
      </c>
      <c r="P216" s="308">
        <v>0.3201</v>
      </c>
      <c r="Q216" s="308">
        <v>1.9560000000000001E-2</v>
      </c>
      <c r="R216" s="309">
        <v>3.8567235800000002</v>
      </c>
      <c r="S216" s="309">
        <f>R216+R215</f>
        <v>7.4457566100000001</v>
      </c>
      <c r="T216" s="338">
        <v>8.9</v>
      </c>
      <c r="U216" s="338">
        <v>6.8</v>
      </c>
      <c r="V216" s="313">
        <v>50504</v>
      </c>
      <c r="W216" s="313">
        <v>51628</v>
      </c>
      <c r="X216" s="313">
        <f>W216-V216</f>
        <v>1124</v>
      </c>
      <c r="Y216" s="313">
        <f t="shared" si="86"/>
        <v>291.43908726795502</v>
      </c>
      <c r="Z216" s="332">
        <v>4411.1571119999999</v>
      </c>
      <c r="AA216" s="313">
        <v>4503.4330179999997</v>
      </c>
      <c r="AB216" s="313">
        <f>AA216-Z216</f>
        <v>92.27590599999985</v>
      </c>
      <c r="AC216" s="331">
        <f t="shared" si="87"/>
        <v>23.925983826924885</v>
      </c>
      <c r="AD216" s="332">
        <v>-49.44</v>
      </c>
      <c r="AE216" s="313">
        <v>-50.34</v>
      </c>
      <c r="AF216" s="313">
        <f>AE216-AD216</f>
        <v>-0.90000000000000568</v>
      </c>
      <c r="AG216" s="331">
        <f t="shared" si="88"/>
        <v>-0.23335869976971635</v>
      </c>
      <c r="AH216" s="332">
        <v>11665.95</v>
      </c>
      <c r="AI216" s="313">
        <v>12012.6</v>
      </c>
      <c r="AJ216" s="313">
        <f>AI216-AH216</f>
        <v>346.64999999999964</v>
      </c>
      <c r="AK216" s="331">
        <f t="shared" si="89"/>
        <v>89.881992527968421</v>
      </c>
      <c r="AL216" s="332">
        <v>1518.65</v>
      </c>
      <c r="AM216" s="313">
        <v>1537.45</v>
      </c>
      <c r="AN216" s="313">
        <f>AM216-AL216</f>
        <v>18.799999999999955</v>
      </c>
      <c r="AO216" s="331">
        <f t="shared" si="90"/>
        <v>4.8746039507451435</v>
      </c>
      <c r="AP216" s="303">
        <v>8.9</v>
      </c>
      <c r="AQ216" s="303">
        <v>6.8</v>
      </c>
      <c r="AR216" s="303">
        <f>AQ216-AP216</f>
        <v>-2.1000000000000005</v>
      </c>
      <c r="AS216" s="332">
        <v>77095.3</v>
      </c>
      <c r="AT216" s="313">
        <v>77096.5</v>
      </c>
      <c r="AU216" s="341">
        <f>AT216-AS216</f>
        <v>1.1999999999970896</v>
      </c>
      <c r="AV216" s="303"/>
      <c r="AW216" s="303"/>
      <c r="AX216" s="303"/>
      <c r="AY216" s="303"/>
      <c r="AZ216" s="322" t="s">
        <v>686</v>
      </c>
      <c r="BA216" s="461">
        <v>1482.7022024</v>
      </c>
      <c r="BB216" s="461">
        <v>-0.87983891000000003</v>
      </c>
      <c r="BC216" s="461">
        <v>3386.0164593999998</v>
      </c>
      <c r="BD216" s="461">
        <v>3416.0723933899999</v>
      </c>
      <c r="BE216" s="461">
        <v>2.97329468</v>
      </c>
      <c r="BF216" s="461">
        <v>3.0185426199999998</v>
      </c>
      <c r="BG216" s="461">
        <v>-8.2385429999999996E-2</v>
      </c>
      <c r="BH216" s="461">
        <v>3.8566497200000001</v>
      </c>
      <c r="BI216" s="461">
        <v>3.8598296599999999</v>
      </c>
      <c r="BJ216" s="461">
        <v>-1.43817222</v>
      </c>
      <c r="BK216" s="461">
        <v>-1.4989994600000001</v>
      </c>
      <c r="BL216" s="461">
        <v>0.71450950999999996</v>
      </c>
    </row>
    <row r="217" spans="1:70" ht="15" customHeight="1" x14ac:dyDescent="0.2">
      <c r="A217" s="328">
        <f t="shared" si="93"/>
        <v>62008031</v>
      </c>
      <c r="B217" s="321" t="s">
        <v>632</v>
      </c>
      <c r="C217" s="321" t="s">
        <v>782</v>
      </c>
      <c r="D217" s="352" t="s">
        <v>724</v>
      </c>
      <c r="E217" s="307" t="s">
        <v>904</v>
      </c>
      <c r="F217" s="307" t="str">
        <f t="shared" si="92"/>
        <v>08/12/20</v>
      </c>
      <c r="G217" s="322" t="s">
        <v>905</v>
      </c>
      <c r="H217" s="322" t="s">
        <v>906</v>
      </c>
      <c r="I217" s="330"/>
      <c r="J217" s="324">
        <f>AVERAGE(J215:J216)</f>
        <v>-7.4020345000000001</v>
      </c>
      <c r="K217" s="324">
        <f>AVERAGE(K215:K216)</f>
        <v>18.183515</v>
      </c>
      <c r="L217" s="324">
        <f>AVERAGE(L215:L216)</f>
        <v>29.397064499999999</v>
      </c>
      <c r="M217" s="324">
        <f>AVERAGE(M215:M216)</f>
        <v>7.5463234999999997</v>
      </c>
      <c r="N217" s="310"/>
      <c r="O217" s="308"/>
      <c r="P217" s="326"/>
      <c r="Q217" s="325"/>
      <c r="R217" s="311">
        <f>R216+R215</f>
        <v>7.4457566100000001</v>
      </c>
      <c r="S217" s="311">
        <f>S216</f>
        <v>7.4457566100000001</v>
      </c>
      <c r="T217" s="339">
        <f>T215</f>
        <v>11</v>
      </c>
      <c r="U217" s="339">
        <f>U216</f>
        <v>6.8</v>
      </c>
      <c r="V217" s="314">
        <f>V215</f>
        <v>49393</v>
      </c>
      <c r="W217" s="314">
        <f>W216</f>
        <v>51628</v>
      </c>
      <c r="X217" s="314">
        <f>SUM(X215:X216)</f>
        <v>2234</v>
      </c>
      <c r="Y217" s="314">
        <f t="shared" si="86"/>
        <v>300.0366674623279</v>
      </c>
      <c r="Z217" s="314">
        <f>Z215</f>
        <v>4356.9738459999999</v>
      </c>
      <c r="AA217" s="314">
        <f>AA216</f>
        <v>4503.4330179999997</v>
      </c>
      <c r="AB217" s="314">
        <f>SUM(AB215:AB216)</f>
        <v>146.43554800000038</v>
      </c>
      <c r="AC217" s="312">
        <f t="shared" si="87"/>
        <v>19.666980223786872</v>
      </c>
      <c r="AD217" s="314">
        <f>AD215</f>
        <v>-47.39</v>
      </c>
      <c r="AE217" s="314">
        <f>AE216</f>
        <v>-50.34</v>
      </c>
      <c r="AF217" s="314">
        <f>SUM(AF215:AF216)</f>
        <v>-2.9500000000000028</v>
      </c>
      <c r="AG217" s="312">
        <f t="shared" si="88"/>
        <v>-0.39619882229806097</v>
      </c>
      <c r="AH217" s="314">
        <f>AH215</f>
        <v>11409.7</v>
      </c>
      <c r="AI217" s="314">
        <f>AI216</f>
        <v>12012.6</v>
      </c>
      <c r="AJ217" s="314">
        <f>SUM(AJ215:AJ216)</f>
        <v>602.79999999999927</v>
      </c>
      <c r="AK217" s="312">
        <f t="shared" si="89"/>
        <v>80.95886443432903</v>
      </c>
      <c r="AL217" s="314">
        <f>AL215</f>
        <v>1460.8</v>
      </c>
      <c r="AM217" s="314">
        <f>AM216</f>
        <v>1537.45</v>
      </c>
      <c r="AN217" s="314">
        <f>SUM(AN215:AN216)</f>
        <v>76.650000000000091</v>
      </c>
      <c r="AO217" s="312">
        <f t="shared" si="90"/>
        <v>10.294454145473349</v>
      </c>
      <c r="AP217" s="305"/>
      <c r="AQ217" s="305"/>
      <c r="AR217" s="305">
        <f>SUM(AR215:AR216)</f>
        <v>-4.2</v>
      </c>
      <c r="AS217" s="314">
        <f>AS215</f>
        <v>77094.5</v>
      </c>
      <c r="AT217" s="314">
        <f>AT216</f>
        <v>77096.5</v>
      </c>
      <c r="AU217" s="342">
        <f>SUM(AU215:AU216)</f>
        <v>2</v>
      </c>
      <c r="AV217" s="305"/>
      <c r="AW217" s="305"/>
      <c r="AX217" s="305"/>
      <c r="AY217" s="305"/>
      <c r="AZ217" s="322" t="s">
        <v>686</v>
      </c>
    </row>
    <row r="218" spans="1:70" ht="15" customHeight="1" x14ac:dyDescent="0.2">
      <c r="A218" s="328">
        <v>62008032</v>
      </c>
      <c r="B218" s="367" t="s">
        <v>645</v>
      </c>
      <c r="C218" s="321" t="s">
        <v>773</v>
      </c>
      <c r="D218" s="352" t="s">
        <v>731</v>
      </c>
      <c r="E218" s="307" t="s">
        <v>907</v>
      </c>
      <c r="F218" s="307" t="str">
        <f t="shared" si="92"/>
        <v>08/12/20</v>
      </c>
      <c r="G218" s="322" t="s">
        <v>908</v>
      </c>
      <c r="H218" s="322" t="s">
        <v>685</v>
      </c>
      <c r="I218" s="330"/>
      <c r="J218" s="323">
        <v>-343.27087699999998</v>
      </c>
      <c r="K218" s="323">
        <v>311.84922</v>
      </c>
      <c r="L218" s="323">
        <v>1487.7205959999999</v>
      </c>
      <c r="M218" s="323">
        <v>-340.52811200000002</v>
      </c>
      <c r="N218" s="308">
        <v>4250</v>
      </c>
      <c r="O218" s="308">
        <v>30.36</v>
      </c>
      <c r="P218" s="308">
        <v>0.3201</v>
      </c>
      <c r="Q218" s="308">
        <v>1.9560000000000001E-2</v>
      </c>
      <c r="R218" s="309">
        <v>1.0449140000000001E-2</v>
      </c>
      <c r="S218" s="309">
        <f>R218+R217</f>
        <v>7.4562057500000005</v>
      </c>
      <c r="T218" s="338">
        <v>0</v>
      </c>
      <c r="U218" s="338">
        <v>0</v>
      </c>
      <c r="V218" s="313">
        <v>54524</v>
      </c>
      <c r="W218" s="313">
        <v>-5261</v>
      </c>
      <c r="X218" s="313">
        <f>W218-V218</f>
        <v>-59785</v>
      </c>
      <c r="Y218" s="313">
        <f t="shared" si="86"/>
        <v>-5721523.493799489</v>
      </c>
      <c r="Z218" s="332">
        <v>4636.3500000000004</v>
      </c>
      <c r="AA218" s="313">
        <v>5114.08</v>
      </c>
      <c r="AB218" s="313">
        <f>AA218-Z218</f>
        <v>477.72999999999956</v>
      </c>
      <c r="AC218" s="331">
        <f t="shared" si="87"/>
        <v>45719.552039689348</v>
      </c>
      <c r="AD218" s="332">
        <v>-43.97</v>
      </c>
      <c r="AE218" s="313">
        <v>-64.22</v>
      </c>
      <c r="AF218" s="313">
        <f>AE218-AD218</f>
        <v>-20.25</v>
      </c>
      <c r="AG218" s="331">
        <f t="shared" si="88"/>
        <v>-1937.9585305584956</v>
      </c>
      <c r="AH218" s="332">
        <v>12496.55</v>
      </c>
      <c r="AI218" s="313">
        <v>12496.55</v>
      </c>
      <c r="AJ218" s="313">
        <f>AI218-AH218</f>
        <v>0</v>
      </c>
      <c r="AK218" s="331">
        <f t="shared" si="89"/>
        <v>0</v>
      </c>
      <c r="AL218" s="332">
        <v>1689.2</v>
      </c>
      <c r="AM218" s="313">
        <v>1689.2</v>
      </c>
      <c r="AN218" s="313">
        <f>AM218-AL218</f>
        <v>0</v>
      </c>
      <c r="AO218" s="331">
        <f t="shared" si="90"/>
        <v>0</v>
      </c>
      <c r="AP218" s="303">
        <v>0</v>
      </c>
      <c r="AQ218" s="303">
        <v>0</v>
      </c>
      <c r="AR218" s="303">
        <f>AQ218-AP218</f>
        <v>0</v>
      </c>
      <c r="AS218" s="332">
        <v>77100</v>
      </c>
      <c r="AT218" s="313">
        <v>143081</v>
      </c>
      <c r="AU218" s="341">
        <f>AT218-AS218</f>
        <v>65981</v>
      </c>
      <c r="AV218" s="303"/>
      <c r="AW218" s="303"/>
      <c r="AX218" s="303"/>
      <c r="AY218" s="303"/>
      <c r="AZ218" s="322" t="s">
        <v>714</v>
      </c>
      <c r="BA218" s="461">
        <v>0</v>
      </c>
      <c r="BB218" s="461" t="s">
        <v>691</v>
      </c>
      <c r="BC218" s="461">
        <v>0</v>
      </c>
      <c r="BD218" s="461">
        <v>0</v>
      </c>
      <c r="BE218" s="461">
        <v>0</v>
      </c>
      <c r="BF218" s="461">
        <v>0</v>
      </c>
      <c r="BG218" s="461" t="s">
        <v>691</v>
      </c>
      <c r="BH218" s="461">
        <v>0</v>
      </c>
      <c r="BI218" s="461">
        <v>0</v>
      </c>
      <c r="BJ218" s="461" t="s">
        <v>691</v>
      </c>
      <c r="BK218" s="461" t="s">
        <v>691</v>
      </c>
      <c r="BL218" s="461" t="s">
        <v>691</v>
      </c>
    </row>
    <row r="219" spans="1:70" ht="15" customHeight="1" x14ac:dyDescent="0.2">
      <c r="A219" s="485" t="s">
        <v>893</v>
      </c>
      <c r="B219" s="362"/>
      <c r="C219" s="363"/>
      <c r="D219" s="363"/>
      <c r="E219" s="363"/>
      <c r="F219" s="363"/>
      <c r="G219" s="363"/>
      <c r="H219" s="362"/>
      <c r="I219" s="362"/>
      <c r="J219" s="373"/>
      <c r="K219" s="374"/>
      <c r="L219" s="362"/>
      <c r="M219" s="362"/>
      <c r="N219" s="362"/>
      <c r="O219" s="362"/>
      <c r="P219" s="362"/>
      <c r="Q219" s="362"/>
      <c r="R219" s="362"/>
      <c r="S219" s="362"/>
      <c r="T219" s="362"/>
      <c r="U219" s="362"/>
      <c r="V219" s="362"/>
      <c r="W219" s="362"/>
      <c r="X219" s="362"/>
      <c r="Y219" s="362"/>
      <c r="Z219" s="362"/>
      <c r="AA219" s="362"/>
      <c r="AB219" s="362"/>
      <c r="AC219" s="362"/>
      <c r="AD219" s="362"/>
      <c r="AE219" s="362"/>
      <c r="AF219" s="362"/>
      <c r="AG219" s="362"/>
      <c r="AH219" s="362"/>
      <c r="AI219" s="362"/>
      <c r="AJ219" s="362"/>
      <c r="AK219" s="362"/>
      <c r="AL219" s="362"/>
      <c r="AM219" s="362"/>
      <c r="AN219" s="362"/>
      <c r="AO219" s="362"/>
      <c r="AP219" s="362"/>
      <c r="AQ219" s="362"/>
      <c r="AR219" s="362"/>
      <c r="AS219" s="362"/>
      <c r="AT219" s="362"/>
      <c r="AU219" s="362"/>
      <c r="AV219" s="362"/>
      <c r="AW219" s="362"/>
      <c r="AX219" s="362"/>
      <c r="AY219" s="362"/>
      <c r="AZ219" s="362"/>
      <c r="BA219" s="362"/>
      <c r="BB219" s="362"/>
      <c r="BC219" s="362"/>
      <c r="BD219" s="362"/>
      <c r="BE219" s="362"/>
      <c r="BF219" s="375"/>
      <c r="BG219" s="362"/>
      <c r="BH219" s="362"/>
      <c r="BI219" s="362"/>
      <c r="BJ219" s="362"/>
      <c r="BK219" s="362"/>
      <c r="BL219" s="362"/>
      <c r="BM219" s="362"/>
      <c r="BN219" s="362"/>
      <c r="BO219" s="362"/>
      <c r="BP219" s="362"/>
      <c r="BQ219" s="362"/>
      <c r="BR219" s="366"/>
    </row>
    <row r="220" spans="1:70" ht="15" customHeight="1" x14ac:dyDescent="0.2">
      <c r="A220" s="328">
        <v>62008033</v>
      </c>
      <c r="B220" s="321" t="s">
        <v>627</v>
      </c>
      <c r="C220" s="321" t="s">
        <v>773</v>
      </c>
      <c r="D220" s="352" t="s">
        <v>718</v>
      </c>
      <c r="E220" s="307" t="s">
        <v>909</v>
      </c>
      <c r="F220" s="307" t="str">
        <f t="shared" si="92"/>
        <v>08/13/20</v>
      </c>
      <c r="G220" s="322" t="s">
        <v>910</v>
      </c>
      <c r="H220" s="322" t="s">
        <v>685</v>
      </c>
      <c r="I220" s="330"/>
      <c r="J220" s="323">
        <v>-5.6061059999999996</v>
      </c>
      <c r="K220" s="323">
        <v>13.382251</v>
      </c>
      <c r="L220" s="323">
        <v>29.398845999999999</v>
      </c>
      <c r="M220" s="323">
        <v>3.03464</v>
      </c>
      <c r="N220" s="308">
        <v>4250</v>
      </c>
      <c r="O220" s="308">
        <v>30.36</v>
      </c>
      <c r="P220" s="308">
        <v>0.3201</v>
      </c>
      <c r="Q220" s="308">
        <v>1.9560000000000001E-2</v>
      </c>
      <c r="R220" s="309">
        <v>3.5797915100000002</v>
      </c>
      <c r="S220" s="309">
        <f>R220+R219</f>
        <v>3.5797915100000002</v>
      </c>
      <c r="T220" s="338">
        <v>96.8</v>
      </c>
      <c r="U220" s="338">
        <v>94.6</v>
      </c>
      <c r="V220" s="313">
        <v>1</v>
      </c>
      <c r="W220" s="313">
        <v>1350</v>
      </c>
      <c r="X220" s="313">
        <f>W220-V220</f>
        <v>1349</v>
      </c>
      <c r="Y220" s="313">
        <f t="shared" ref="Y220:Y238" si="94">X220/$R220</f>
        <v>376.83758851084599</v>
      </c>
      <c r="Z220" s="332">
        <v>1.134927</v>
      </c>
      <c r="AA220" s="313">
        <v>61.688890999999998</v>
      </c>
      <c r="AB220" s="313">
        <f>AA220-Z220</f>
        <v>60.553964000000001</v>
      </c>
      <c r="AC220" s="331">
        <f t="shared" ref="AC220:AC238" si="95">AB220/$R220</f>
        <v>16.915500199060475</v>
      </c>
      <c r="AD220" s="332">
        <v>2.4500000000000002</v>
      </c>
      <c r="AE220" s="313">
        <v>0.32</v>
      </c>
      <c r="AF220" s="313">
        <f>AE220-AD220</f>
        <v>-2.1300000000000003</v>
      </c>
      <c r="AG220" s="331">
        <f t="shared" ref="AG220:AG238" si="96">AF220/$R220</f>
        <v>-0.59500671870133581</v>
      </c>
      <c r="AH220" s="332">
        <v>0</v>
      </c>
      <c r="AI220" s="313">
        <v>290.39999999999998</v>
      </c>
      <c r="AJ220" s="313">
        <f>AI220-AH220</f>
        <v>290.39999999999998</v>
      </c>
      <c r="AK220" s="331">
        <f t="shared" ref="AK220:AK238" si="97">AJ220/$R220</f>
        <v>81.122042775055348</v>
      </c>
      <c r="AL220" s="332">
        <v>0</v>
      </c>
      <c r="AM220" s="313">
        <v>319.92312600000002</v>
      </c>
      <c r="AN220" s="313">
        <f>AM220-AL220</f>
        <v>319.92312600000002</v>
      </c>
      <c r="AO220" s="331">
        <f t="shared" ref="AO220:AO238" si="98">AN220/$R220</f>
        <v>89.369206308889204</v>
      </c>
      <c r="AP220" s="303">
        <v>96.8</v>
      </c>
      <c r="AQ220" s="303">
        <v>94.6</v>
      </c>
      <c r="AR220" s="303">
        <f>AQ220-AP220</f>
        <v>-2.2000000000000028</v>
      </c>
      <c r="AS220" s="332">
        <v>1.3</v>
      </c>
      <c r="AT220" s="313">
        <v>2.1</v>
      </c>
      <c r="AU220" s="341">
        <f>AT220-AS220</f>
        <v>0.8</v>
      </c>
      <c r="AV220" s="303"/>
      <c r="AW220" s="303"/>
      <c r="AX220" s="303"/>
      <c r="AY220" s="303"/>
      <c r="AZ220" s="322" t="s">
        <v>686</v>
      </c>
      <c r="BA220" s="461">
        <v>2420.1870213900002</v>
      </c>
      <c r="BB220" s="461">
        <v>-1.6894999399999999</v>
      </c>
      <c r="BC220" s="461">
        <v>2014.24003806</v>
      </c>
      <c r="BD220" s="461">
        <v>2048.8554497300001</v>
      </c>
      <c r="BE220" s="461">
        <v>3.21533392</v>
      </c>
      <c r="BF220" s="461">
        <v>3.2585598199999999</v>
      </c>
      <c r="BG220" s="461">
        <v>-0.31357637999999999</v>
      </c>
      <c r="BH220" s="461">
        <v>3.57971978</v>
      </c>
      <c r="BI220" s="461">
        <v>3.5909802499999999</v>
      </c>
      <c r="BJ220" s="461">
        <v>-1.0265753799999999</v>
      </c>
      <c r="BK220" s="461">
        <v>-1.3265338799999999</v>
      </c>
      <c r="BL220" s="461">
        <v>0.59039788000000004</v>
      </c>
    </row>
    <row r="221" spans="1:70" ht="15" customHeight="1" x14ac:dyDescent="0.2">
      <c r="A221" s="328">
        <f>A220</f>
        <v>62008033</v>
      </c>
      <c r="B221" s="321" t="s">
        <v>894</v>
      </c>
      <c r="C221" s="321" t="s">
        <v>774</v>
      </c>
      <c r="D221" s="352" t="s">
        <v>718</v>
      </c>
      <c r="E221" s="307" t="s">
        <v>909</v>
      </c>
      <c r="F221" s="307" t="str">
        <f t="shared" si="92"/>
        <v>08/13/20</v>
      </c>
      <c r="G221" s="322" t="s">
        <v>910</v>
      </c>
      <c r="H221" s="322" t="s">
        <v>685</v>
      </c>
      <c r="I221" s="330"/>
      <c r="J221" s="323">
        <v>-7.363035</v>
      </c>
      <c r="K221" s="323">
        <v>14.805674</v>
      </c>
      <c r="L221" s="323">
        <v>29.400092999999998</v>
      </c>
      <c r="M221" s="323">
        <v>6.4986620000000004</v>
      </c>
      <c r="N221" s="308">
        <v>4250</v>
      </c>
      <c r="O221" s="308">
        <v>30.36</v>
      </c>
      <c r="P221" s="308">
        <v>0.3201</v>
      </c>
      <c r="Q221" s="308">
        <v>1.9560000000000001E-2</v>
      </c>
      <c r="R221" s="309">
        <v>3.8407973800000001</v>
      </c>
      <c r="S221" s="309">
        <f>R221+R220</f>
        <v>7.4205888900000003</v>
      </c>
      <c r="T221" s="338">
        <v>94.6</v>
      </c>
      <c r="U221" s="338">
        <v>92.1</v>
      </c>
      <c r="V221" s="313">
        <v>1350</v>
      </c>
      <c r="W221" s="313">
        <v>2651</v>
      </c>
      <c r="X221" s="313">
        <f>W221-V221</f>
        <v>1301</v>
      </c>
      <c r="Y221" s="313">
        <f t="shared" si="94"/>
        <v>338.73174533356922</v>
      </c>
      <c r="Z221" s="332">
        <v>61.718071999999999</v>
      </c>
      <c r="AA221" s="313">
        <v>161.87836300000001</v>
      </c>
      <c r="AB221" s="313">
        <f>AA221-Z221</f>
        <v>100.160291</v>
      </c>
      <c r="AC221" s="331">
        <f t="shared" si="95"/>
        <v>26.077993991966324</v>
      </c>
      <c r="AD221" s="332">
        <v>0.32</v>
      </c>
      <c r="AE221" s="313">
        <v>-0.56999999999999995</v>
      </c>
      <c r="AF221" s="313">
        <f>AE221-AD221</f>
        <v>-0.8899999999999999</v>
      </c>
      <c r="AG221" s="331">
        <f t="shared" si="96"/>
        <v>-0.23172271587000506</v>
      </c>
      <c r="AH221" s="332">
        <v>290.47308700000002</v>
      </c>
      <c r="AI221" s="313">
        <v>744.77093000000002</v>
      </c>
      <c r="AJ221" s="313">
        <f>AI221-AH221</f>
        <v>454.297843</v>
      </c>
      <c r="AK221" s="331">
        <f t="shared" si="97"/>
        <v>118.28216853241031</v>
      </c>
      <c r="AL221" s="332">
        <v>320</v>
      </c>
      <c r="AM221" s="313">
        <v>657.55</v>
      </c>
      <c r="AN221" s="313">
        <f>AM221-AL221</f>
        <v>337.54999999999995</v>
      </c>
      <c r="AO221" s="331">
        <f t="shared" si="98"/>
        <v>87.885396339236195</v>
      </c>
      <c r="AP221" s="303">
        <v>94.6</v>
      </c>
      <c r="AQ221" s="303">
        <v>92.1</v>
      </c>
      <c r="AR221" s="303">
        <f>AQ221-AP221</f>
        <v>-2.5</v>
      </c>
      <c r="AS221" s="332">
        <v>2.1</v>
      </c>
      <c r="AT221" s="313">
        <v>3.4</v>
      </c>
      <c r="AU221" s="341">
        <f>AT221-AS221</f>
        <v>1.2999999999999998</v>
      </c>
      <c r="AV221" s="303"/>
      <c r="AW221" s="303"/>
      <c r="AX221" s="303"/>
      <c r="AY221" s="303"/>
      <c r="AZ221" s="322" t="s">
        <v>686</v>
      </c>
      <c r="BA221" s="461">
        <v>1482.90592728</v>
      </c>
      <c r="BB221" s="461">
        <v>-2.1300346800000001</v>
      </c>
      <c r="BC221" s="461">
        <v>3343.413873</v>
      </c>
      <c r="BD221" s="461">
        <v>3416.1796850800001</v>
      </c>
      <c r="BE221" s="461">
        <v>2.9534916099999999</v>
      </c>
      <c r="BF221" s="461">
        <v>3.01869495</v>
      </c>
      <c r="BG221" s="461">
        <v>-0.49681734999999999</v>
      </c>
      <c r="BH221" s="461">
        <v>3.8406542300000002</v>
      </c>
      <c r="BI221" s="461">
        <v>3.85983053</v>
      </c>
      <c r="BJ221" s="461">
        <v>-1.6998842300000001</v>
      </c>
      <c r="BK221" s="461">
        <v>-2.1599843500000002</v>
      </c>
      <c r="BL221" s="461">
        <v>0.71450601999999996</v>
      </c>
    </row>
    <row r="222" spans="1:70" ht="15" customHeight="1" x14ac:dyDescent="0.2">
      <c r="A222" s="328">
        <f t="shared" ref="A222:A229" si="99">A221</f>
        <v>62008033</v>
      </c>
      <c r="B222" s="321" t="s">
        <v>629</v>
      </c>
      <c r="C222" s="321" t="s">
        <v>775</v>
      </c>
      <c r="D222" s="352" t="s">
        <v>718</v>
      </c>
      <c r="E222" s="307" t="s">
        <v>909</v>
      </c>
      <c r="F222" s="307" t="str">
        <f t="shared" si="92"/>
        <v>08/13/20</v>
      </c>
      <c r="G222" s="322" t="s">
        <v>910</v>
      </c>
      <c r="H222" s="322" t="s">
        <v>685</v>
      </c>
      <c r="I222" s="330"/>
      <c r="J222" s="324">
        <f>AVERAGE(J220:J221)</f>
        <v>-6.4845705000000002</v>
      </c>
      <c r="K222" s="324">
        <f>AVERAGE(K220:K221)</f>
        <v>14.0939625</v>
      </c>
      <c r="L222" s="324">
        <f>AVERAGE(L220:L221)</f>
        <v>29.399469499999999</v>
      </c>
      <c r="M222" s="324">
        <f>AVERAGE(M220:M221)</f>
        <v>4.7666510000000004</v>
      </c>
      <c r="N222" s="310"/>
      <c r="O222" s="308"/>
      <c r="P222" s="326"/>
      <c r="Q222" s="325"/>
      <c r="R222" s="311">
        <f>R221+R220</f>
        <v>7.4205888900000003</v>
      </c>
      <c r="S222" s="311">
        <f>S221</f>
        <v>7.4205888900000003</v>
      </c>
      <c r="T222" s="339">
        <f>T220</f>
        <v>96.8</v>
      </c>
      <c r="U222" s="339">
        <f>U221</f>
        <v>92.1</v>
      </c>
      <c r="V222" s="314">
        <f>V220</f>
        <v>1</v>
      </c>
      <c r="W222" s="314">
        <f>W221</f>
        <v>2651</v>
      </c>
      <c r="X222" s="314">
        <f>SUM(X220:X221)</f>
        <v>2650</v>
      </c>
      <c r="Y222" s="314">
        <f t="shared" si="94"/>
        <v>357.11451466758183</v>
      </c>
      <c r="Z222" s="314">
        <f>Z220</f>
        <v>1.134927</v>
      </c>
      <c r="AA222" s="314">
        <f>AA221</f>
        <v>161.87836300000001</v>
      </c>
      <c r="AB222" s="314">
        <f>SUM(AB220:AB221)</f>
        <v>160.71425500000001</v>
      </c>
      <c r="AC222" s="312">
        <f t="shared" si="95"/>
        <v>21.657884216787544</v>
      </c>
      <c r="AD222" s="314">
        <f>AD220</f>
        <v>2.4500000000000002</v>
      </c>
      <c r="AE222" s="314">
        <f>AE221</f>
        <v>-0.56999999999999995</v>
      </c>
      <c r="AF222" s="314">
        <f>SUM(AF220:AF221)</f>
        <v>-3.0200000000000005</v>
      </c>
      <c r="AG222" s="312">
        <f t="shared" si="96"/>
        <v>-0.4069757865268292</v>
      </c>
      <c r="AH222" s="314">
        <f>AH220</f>
        <v>0</v>
      </c>
      <c r="AI222" s="314">
        <f>AI221</f>
        <v>744.77093000000002</v>
      </c>
      <c r="AJ222" s="314">
        <f>SUM(AJ220:AJ221)</f>
        <v>744.69784299999992</v>
      </c>
      <c r="AK222" s="312">
        <f t="shared" si="97"/>
        <v>100.35562595356228</v>
      </c>
      <c r="AL222" s="314">
        <f>AL220</f>
        <v>0</v>
      </c>
      <c r="AM222" s="314">
        <f>AM221</f>
        <v>657.55</v>
      </c>
      <c r="AN222" s="314">
        <f>SUM(AN220:AN221)</f>
        <v>657.47312599999998</v>
      </c>
      <c r="AO222" s="312">
        <f t="shared" si="98"/>
        <v>88.601206150365243</v>
      </c>
      <c r="AP222" s="305"/>
      <c r="AQ222" s="305"/>
      <c r="AR222" s="305">
        <f>SUM(AR220:AR221)</f>
        <v>-4.7000000000000028</v>
      </c>
      <c r="AS222" s="314">
        <f>AS220</f>
        <v>1.3</v>
      </c>
      <c r="AT222" s="314">
        <f>AT221</f>
        <v>3.4</v>
      </c>
      <c r="AU222" s="342">
        <f>SUM(AU220:AU221)</f>
        <v>2.0999999999999996</v>
      </c>
      <c r="AV222" s="305"/>
      <c r="AW222" s="305"/>
      <c r="AX222" s="305"/>
      <c r="AY222" s="305"/>
      <c r="AZ222" s="322" t="s">
        <v>686</v>
      </c>
    </row>
    <row r="223" spans="1:70" ht="15" customHeight="1" x14ac:dyDescent="0.2">
      <c r="A223" s="328">
        <f t="shared" si="99"/>
        <v>62008033</v>
      </c>
      <c r="B223" s="321" t="s">
        <v>630</v>
      </c>
      <c r="C223" s="321" t="s">
        <v>776</v>
      </c>
      <c r="D223" s="352" t="s">
        <v>718</v>
      </c>
      <c r="E223" s="307" t="s">
        <v>909</v>
      </c>
      <c r="F223" s="307" t="str">
        <f t="shared" si="92"/>
        <v>08/13/20</v>
      </c>
      <c r="G223" s="322" t="s">
        <v>910</v>
      </c>
      <c r="H223" s="322" t="s">
        <v>685</v>
      </c>
      <c r="I223" s="330"/>
      <c r="J223" s="323">
        <v>-3.048651</v>
      </c>
      <c r="K223" s="323">
        <v>10.614535</v>
      </c>
      <c r="L223" s="323">
        <v>29.401240000000001</v>
      </c>
      <c r="M223" s="323">
        <v>7.5487739999999999</v>
      </c>
      <c r="N223" s="308">
        <v>4250</v>
      </c>
      <c r="O223" s="308">
        <v>30.36</v>
      </c>
      <c r="P223" s="308">
        <v>0.3201</v>
      </c>
      <c r="Q223" s="308">
        <v>1.9560000000000001E-2</v>
      </c>
      <c r="R223" s="309">
        <v>10.24428799</v>
      </c>
      <c r="S223" s="309">
        <f>R223+R222</f>
        <v>17.664876880000001</v>
      </c>
      <c r="T223" s="338">
        <v>92.1</v>
      </c>
      <c r="U223" s="338">
        <v>87.4</v>
      </c>
      <c r="V223" s="313">
        <v>2658</v>
      </c>
      <c r="W223" s="313">
        <v>5630</v>
      </c>
      <c r="X223" s="313">
        <f>W223-V223</f>
        <v>2972</v>
      </c>
      <c r="Y223" s="313">
        <f t="shared" si="94"/>
        <v>290.11289051041211</v>
      </c>
      <c r="Z223" s="332">
        <v>163.69422</v>
      </c>
      <c r="AA223" s="313">
        <v>234.48340200000001</v>
      </c>
      <c r="AB223" s="313">
        <f>AA223-Z223</f>
        <v>70.789182000000011</v>
      </c>
      <c r="AC223" s="331">
        <f t="shared" si="95"/>
        <v>6.9101124518464472</v>
      </c>
      <c r="AD223" s="332">
        <v>-0.57999999999999996</v>
      </c>
      <c r="AE223" s="313">
        <v>-1.04</v>
      </c>
      <c r="AF223" s="313">
        <f>AE223-AD223</f>
        <v>-0.46000000000000008</v>
      </c>
      <c r="AG223" s="331">
        <f t="shared" si="96"/>
        <v>-4.4903071882499868E-2</v>
      </c>
      <c r="AH223" s="332">
        <v>749.97112300000003</v>
      </c>
      <c r="AI223" s="313">
        <v>1160.05</v>
      </c>
      <c r="AJ223" s="313">
        <f>AI223-AH223</f>
        <v>410.07887699999992</v>
      </c>
      <c r="AK223" s="331">
        <f t="shared" si="97"/>
        <v>40.030002807447424</v>
      </c>
      <c r="AL223" s="332">
        <v>660.72112300000003</v>
      </c>
      <c r="AM223" s="313">
        <v>792.1</v>
      </c>
      <c r="AN223" s="313">
        <f>AM223-AL223</f>
        <v>131.37887699999999</v>
      </c>
      <c r="AO223" s="331">
        <f t="shared" si="98"/>
        <v>12.824598169071972</v>
      </c>
      <c r="AP223" s="303">
        <v>92.1</v>
      </c>
      <c r="AQ223" s="303">
        <v>87.4</v>
      </c>
      <c r="AR223" s="303">
        <f>AQ223-AP223</f>
        <v>-4.6999999999999886</v>
      </c>
      <c r="AS223" s="332">
        <v>3.4</v>
      </c>
      <c r="AT223" s="313">
        <v>4.5999999999999996</v>
      </c>
      <c r="AU223" s="341">
        <f>AT223-AS223</f>
        <v>1.1999999999999997</v>
      </c>
      <c r="AV223" s="303"/>
      <c r="AW223" s="303"/>
      <c r="AX223" s="303"/>
      <c r="AY223" s="303"/>
      <c r="AZ223" s="322" t="s">
        <v>686</v>
      </c>
      <c r="BA223" s="461">
        <v>1945.5250860900001</v>
      </c>
      <c r="BB223" s="461">
        <v>-0.74879247999999998</v>
      </c>
      <c r="BC223" s="461">
        <v>1296.9462775899999</v>
      </c>
      <c r="BD223" s="461">
        <v>1306.7309808699999</v>
      </c>
      <c r="BE223" s="461">
        <v>7.97534046</v>
      </c>
      <c r="BF223" s="461">
        <v>8.0200702400000008</v>
      </c>
      <c r="BG223" s="461">
        <v>-0.12002017</v>
      </c>
      <c r="BH223" s="461">
        <v>10.24437043</v>
      </c>
      <c r="BI223" s="461">
        <v>10.256680510000001</v>
      </c>
      <c r="BJ223" s="461">
        <v>-0.44015770999999998</v>
      </c>
      <c r="BK223" s="461">
        <v>-0.55772301000000002</v>
      </c>
      <c r="BL223" s="461">
        <v>0.28276799000000002</v>
      </c>
    </row>
    <row r="224" spans="1:70" ht="15" customHeight="1" x14ac:dyDescent="0.2">
      <c r="A224" s="328">
        <f t="shared" si="99"/>
        <v>62008033</v>
      </c>
      <c r="B224" s="321" t="s">
        <v>631</v>
      </c>
      <c r="C224" s="321" t="s">
        <v>777</v>
      </c>
      <c r="D224" s="352" t="s">
        <v>718</v>
      </c>
      <c r="E224" s="307" t="s">
        <v>909</v>
      </c>
      <c r="F224" s="307" t="str">
        <f t="shared" si="92"/>
        <v>08/13/20</v>
      </c>
      <c r="G224" s="322" t="s">
        <v>910</v>
      </c>
      <c r="H224" s="322" t="s">
        <v>685</v>
      </c>
      <c r="I224" s="330"/>
      <c r="J224" s="323">
        <v>-6.4479689999999996</v>
      </c>
      <c r="K224" s="323">
        <v>12.903516</v>
      </c>
      <c r="L224" s="323">
        <v>29.406255000000002</v>
      </c>
      <c r="M224" s="323">
        <v>6.970726</v>
      </c>
      <c r="N224" s="308">
        <v>4250</v>
      </c>
      <c r="O224" s="308">
        <v>30.36</v>
      </c>
      <c r="P224" s="308">
        <v>0.3201</v>
      </c>
      <c r="Q224" s="308">
        <v>1.9560000000000001E-2</v>
      </c>
      <c r="R224" s="309">
        <v>3.5802852000000001</v>
      </c>
      <c r="S224" s="309">
        <f>R224+R223</f>
        <v>13.824573190000001</v>
      </c>
      <c r="T224" s="338">
        <v>87.4</v>
      </c>
      <c r="U224" s="338">
        <v>85.5</v>
      </c>
      <c r="V224" s="313">
        <v>5635</v>
      </c>
      <c r="W224" s="313">
        <v>6777</v>
      </c>
      <c r="X224" s="313">
        <f>W224-V224</f>
        <v>1142</v>
      </c>
      <c r="Y224" s="313">
        <f t="shared" si="94"/>
        <v>318.96900280458101</v>
      </c>
      <c r="Z224" s="332">
        <v>237.433513</v>
      </c>
      <c r="AA224" s="313">
        <v>292.70321999999999</v>
      </c>
      <c r="AB224" s="313">
        <f>AA224-Z224</f>
        <v>55.269706999999983</v>
      </c>
      <c r="AC224" s="331">
        <f t="shared" si="95"/>
        <v>15.437235838083508</v>
      </c>
      <c r="AD224" s="332">
        <v>1.63</v>
      </c>
      <c r="AE224" s="313">
        <v>-0.39</v>
      </c>
      <c r="AF224" s="313">
        <f>AE224-AD224</f>
        <v>-2.02</v>
      </c>
      <c r="AG224" s="331">
        <f t="shared" si="96"/>
        <v>-0.5642008631044253</v>
      </c>
      <c r="AH224" s="332">
        <v>1161.9000000000001</v>
      </c>
      <c r="AI224" s="313">
        <v>1426.45</v>
      </c>
      <c r="AJ224" s="313">
        <f>AI224-AH224</f>
        <v>264.54999999999995</v>
      </c>
      <c r="AK224" s="331">
        <f t="shared" si="97"/>
        <v>73.890761551621623</v>
      </c>
      <c r="AL224" s="332">
        <v>792.9</v>
      </c>
      <c r="AM224" s="313">
        <v>923.1</v>
      </c>
      <c r="AN224" s="313">
        <f>AM224-AL224</f>
        <v>130.20000000000005</v>
      </c>
      <c r="AO224" s="331">
        <f t="shared" si="98"/>
        <v>36.365818008017918</v>
      </c>
      <c r="AP224" s="303">
        <v>87.4</v>
      </c>
      <c r="AQ224" s="303">
        <v>85.5</v>
      </c>
      <c r="AR224" s="303">
        <f>AQ224-AP224</f>
        <v>-1.9000000000000057</v>
      </c>
      <c r="AS224" s="332">
        <v>5.4</v>
      </c>
      <c r="AT224" s="313">
        <v>6.2</v>
      </c>
      <c r="AU224" s="341">
        <f>AT224-AS224</f>
        <v>0.79999999999999982</v>
      </c>
      <c r="AV224" s="303"/>
      <c r="AW224" s="303"/>
      <c r="AX224" s="303"/>
      <c r="AY224" s="303"/>
      <c r="AZ224" s="322" t="s">
        <v>686</v>
      </c>
      <c r="BA224" s="461">
        <v>2410.67561673</v>
      </c>
      <c r="BB224" s="461">
        <v>-1.99555745</v>
      </c>
      <c r="BC224" s="461">
        <v>2007.7723172000001</v>
      </c>
      <c r="BD224" s="461">
        <v>2048.6543925800001</v>
      </c>
      <c r="BE224" s="461">
        <v>3.2121279700000001</v>
      </c>
      <c r="BF224" s="461">
        <v>3.2582860899999999</v>
      </c>
      <c r="BG224" s="461">
        <v>-0.29921666000000002</v>
      </c>
      <c r="BH224" s="461">
        <v>3.58023457</v>
      </c>
      <c r="BI224" s="461">
        <v>3.5909793799999998</v>
      </c>
      <c r="BJ224" s="461">
        <v>-1.1334784600000001</v>
      </c>
      <c r="BK224" s="461">
        <v>-1.4166378399999999</v>
      </c>
      <c r="BL224" s="461">
        <v>0.59036206999999996</v>
      </c>
    </row>
    <row r="225" spans="1:70" ht="15" customHeight="1" x14ac:dyDescent="0.2">
      <c r="A225" s="328">
        <f t="shared" si="99"/>
        <v>62008033</v>
      </c>
      <c r="B225" s="321" t="s">
        <v>895</v>
      </c>
      <c r="C225" s="321" t="s">
        <v>778</v>
      </c>
      <c r="D225" s="352" t="s">
        <v>718</v>
      </c>
      <c r="E225" s="307" t="s">
        <v>909</v>
      </c>
      <c r="F225" s="307" t="str">
        <f t="shared" si="92"/>
        <v>08/13/20</v>
      </c>
      <c r="G225" s="322" t="s">
        <v>910</v>
      </c>
      <c r="H225" s="322" t="s">
        <v>685</v>
      </c>
      <c r="I225" s="330"/>
      <c r="J225" s="323">
        <v>-6.9220980000000001</v>
      </c>
      <c r="K225" s="323">
        <v>12.803345999999999</v>
      </c>
      <c r="L225" s="323">
        <v>29.405778000000002</v>
      </c>
      <c r="M225" s="323">
        <v>7.5933099999999998</v>
      </c>
      <c r="N225" s="308">
        <v>4250</v>
      </c>
      <c r="O225" s="308">
        <v>30.36</v>
      </c>
      <c r="P225" s="308">
        <v>0.3201</v>
      </c>
      <c r="Q225" s="308">
        <v>1.9560000000000001E-2</v>
      </c>
      <c r="R225" s="309">
        <v>3.8412088899999999</v>
      </c>
      <c r="S225" s="309">
        <f>R225+R224</f>
        <v>7.4214940899999995</v>
      </c>
      <c r="T225" s="338">
        <v>85.5</v>
      </c>
      <c r="U225" s="338">
        <v>83.5</v>
      </c>
      <c r="V225" s="313">
        <v>6777</v>
      </c>
      <c r="W225" s="313">
        <v>7973</v>
      </c>
      <c r="X225" s="313">
        <f>W225-V225</f>
        <v>1196</v>
      </c>
      <c r="Y225" s="313">
        <f t="shared" si="94"/>
        <v>311.36031240415048</v>
      </c>
      <c r="Z225" s="332">
        <v>292.72322700000001</v>
      </c>
      <c r="AA225" s="313">
        <v>387.03266200000002</v>
      </c>
      <c r="AB225" s="313">
        <f>AA225-Z225</f>
        <v>94.309435000000008</v>
      </c>
      <c r="AC225" s="331">
        <f t="shared" si="95"/>
        <v>24.552019351387059</v>
      </c>
      <c r="AD225" s="332">
        <v>-0.39</v>
      </c>
      <c r="AE225" s="313">
        <v>-1.31</v>
      </c>
      <c r="AF225" s="313">
        <f>AE225-AD225</f>
        <v>-0.92</v>
      </c>
      <c r="AG225" s="331">
        <f t="shared" si="96"/>
        <v>-0.23950793261857728</v>
      </c>
      <c r="AH225" s="332">
        <v>1426.492669</v>
      </c>
      <c r="AI225" s="313">
        <v>1835.826638</v>
      </c>
      <c r="AJ225" s="313">
        <f>AI225-AH225</f>
        <v>409.33396900000002</v>
      </c>
      <c r="AK225" s="331">
        <f t="shared" si="97"/>
        <v>106.56383985407261</v>
      </c>
      <c r="AL225" s="332">
        <v>923.14266899999996</v>
      </c>
      <c r="AM225" s="313">
        <v>1003.15</v>
      </c>
      <c r="AN225" s="313">
        <f>AM225-AL225</f>
        <v>80.007331000000022</v>
      </c>
      <c r="AO225" s="331">
        <f t="shared" si="98"/>
        <v>20.828685263195887</v>
      </c>
      <c r="AP225" s="303">
        <v>85.5</v>
      </c>
      <c r="AQ225" s="303">
        <v>83.5</v>
      </c>
      <c r="AR225" s="303">
        <f>AQ225-AP225</f>
        <v>-2</v>
      </c>
      <c r="AS225" s="332">
        <v>6.2</v>
      </c>
      <c r="AT225" s="313">
        <v>7.5</v>
      </c>
      <c r="AU225" s="341">
        <f>AT225-AS225</f>
        <v>1.2999999999999998</v>
      </c>
      <c r="AV225" s="303"/>
      <c r="AW225" s="303"/>
      <c r="AX225" s="303"/>
      <c r="AY225" s="303"/>
      <c r="AZ225" s="322" t="s">
        <v>686</v>
      </c>
      <c r="BA225" s="461">
        <v>1481.6655025099999</v>
      </c>
      <c r="BB225" s="461">
        <v>-2.0862388200000002</v>
      </c>
      <c r="BC225" s="461">
        <v>3344.73422673</v>
      </c>
      <c r="BD225" s="461">
        <v>3416.00014801</v>
      </c>
      <c r="BE225" s="461">
        <v>2.95334874</v>
      </c>
      <c r="BF225" s="461">
        <v>3.0184200699999999</v>
      </c>
      <c r="BG225" s="461">
        <v>-0.48527677000000002</v>
      </c>
      <c r="BH225" s="461">
        <v>3.84109809</v>
      </c>
      <c r="BI225" s="461">
        <v>3.8598289399999999</v>
      </c>
      <c r="BJ225" s="461">
        <v>-1.7073375900000001</v>
      </c>
      <c r="BK225" s="461">
        <v>-2.1558074500000002</v>
      </c>
      <c r="BL225" s="461">
        <v>0.71451913</v>
      </c>
    </row>
    <row r="226" spans="1:70" ht="15" customHeight="1" x14ac:dyDescent="0.2">
      <c r="A226" s="328">
        <f t="shared" si="99"/>
        <v>62008033</v>
      </c>
      <c r="B226" s="321" t="s">
        <v>632</v>
      </c>
      <c r="C226" s="321" t="s">
        <v>779</v>
      </c>
      <c r="D226" s="352" t="s">
        <v>718</v>
      </c>
      <c r="E226" s="307" t="s">
        <v>909</v>
      </c>
      <c r="F226" s="307" t="str">
        <f t="shared" si="92"/>
        <v>08/13/20</v>
      </c>
      <c r="G226" s="322" t="s">
        <v>910</v>
      </c>
      <c r="H226" s="322" t="s">
        <v>685</v>
      </c>
      <c r="I226" s="330"/>
      <c r="J226" s="324">
        <f>AVERAGE(J224:J225)</f>
        <v>-6.6850334999999994</v>
      </c>
      <c r="K226" s="324">
        <f>AVERAGE(K224:K225)</f>
        <v>12.853431</v>
      </c>
      <c r="L226" s="324">
        <f>AVERAGE(L224:L225)</f>
        <v>29.4060165</v>
      </c>
      <c r="M226" s="324">
        <f>AVERAGE(M224:M225)</f>
        <v>7.2820179999999999</v>
      </c>
      <c r="N226" s="310"/>
      <c r="O226" s="308"/>
      <c r="P226" s="326"/>
      <c r="Q226" s="325"/>
      <c r="R226" s="311">
        <f>R225+R224</f>
        <v>7.4214940899999995</v>
      </c>
      <c r="S226" s="311">
        <f>S225</f>
        <v>7.4214940899999995</v>
      </c>
      <c r="T226" s="339">
        <f>T224</f>
        <v>87.4</v>
      </c>
      <c r="U226" s="339">
        <f>U225</f>
        <v>83.5</v>
      </c>
      <c r="V226" s="314">
        <f>V224</f>
        <v>5635</v>
      </c>
      <c r="W226" s="314">
        <f>W225</f>
        <v>7973</v>
      </c>
      <c r="X226" s="314">
        <f>SUM(X224:X225)</f>
        <v>2338</v>
      </c>
      <c r="Y226" s="314">
        <f t="shared" si="94"/>
        <v>315.03090505054894</v>
      </c>
      <c r="Z226" s="314">
        <f>Z224</f>
        <v>237.433513</v>
      </c>
      <c r="AA226" s="314">
        <f>AA225</f>
        <v>387.03266200000002</v>
      </c>
      <c r="AB226" s="314">
        <f>SUM(AB224:AB225)</f>
        <v>149.57914199999999</v>
      </c>
      <c r="AC226" s="312">
        <f t="shared" si="95"/>
        <v>20.154855637700845</v>
      </c>
      <c r="AD226" s="314">
        <f>AD224</f>
        <v>1.63</v>
      </c>
      <c r="AE226" s="314">
        <f>AE225</f>
        <v>-1.31</v>
      </c>
      <c r="AF226" s="314">
        <f>SUM(AF224:AF225)</f>
        <v>-2.94</v>
      </c>
      <c r="AG226" s="312">
        <f t="shared" si="96"/>
        <v>-0.39614664706955255</v>
      </c>
      <c r="AH226" s="314">
        <f>AH224</f>
        <v>1161.9000000000001</v>
      </c>
      <c r="AI226" s="314">
        <f>AI225</f>
        <v>1835.826638</v>
      </c>
      <c r="AJ226" s="314">
        <f>SUM(AJ224:AJ225)</f>
        <v>673.88396899999998</v>
      </c>
      <c r="AK226" s="312">
        <f t="shared" si="97"/>
        <v>90.801658106555209</v>
      </c>
      <c r="AL226" s="314">
        <f>AL224</f>
        <v>792.9</v>
      </c>
      <c r="AM226" s="314">
        <f>AM225</f>
        <v>1003.15</v>
      </c>
      <c r="AN226" s="314">
        <f>SUM(AN224:AN225)</f>
        <v>210.20733100000007</v>
      </c>
      <c r="AO226" s="312">
        <f t="shared" si="98"/>
        <v>28.324125634384231</v>
      </c>
      <c r="AP226" s="305"/>
      <c r="AQ226" s="305"/>
      <c r="AR226" s="305">
        <f>SUM(AR224:AR225)</f>
        <v>-3.9000000000000057</v>
      </c>
      <c r="AS226" s="314">
        <f>AS224</f>
        <v>5.4</v>
      </c>
      <c r="AT226" s="314">
        <f>AT225</f>
        <v>7.5</v>
      </c>
      <c r="AU226" s="342">
        <f>SUM(AU224:AU225)</f>
        <v>2.0999999999999996</v>
      </c>
      <c r="AV226" s="305"/>
      <c r="AW226" s="305"/>
      <c r="AX226" s="305"/>
      <c r="AY226" s="305"/>
      <c r="AZ226" s="322" t="s">
        <v>686</v>
      </c>
    </row>
    <row r="227" spans="1:70" ht="15" customHeight="1" x14ac:dyDescent="0.2">
      <c r="A227" s="328">
        <f t="shared" si="99"/>
        <v>62008033</v>
      </c>
      <c r="B227" s="321" t="s">
        <v>633</v>
      </c>
      <c r="C227" s="321" t="s">
        <v>780</v>
      </c>
      <c r="D227" s="352" t="s">
        <v>718</v>
      </c>
      <c r="E227" s="307" t="s">
        <v>909</v>
      </c>
      <c r="F227" s="307" t="str">
        <f t="shared" si="92"/>
        <v>08/13/20</v>
      </c>
      <c r="G227" s="322" t="s">
        <v>910</v>
      </c>
      <c r="H227" s="322" t="s">
        <v>685</v>
      </c>
      <c r="I227" s="330"/>
      <c r="J227" s="323">
        <v>-4.880026</v>
      </c>
      <c r="K227" s="323">
        <v>11.310489</v>
      </c>
      <c r="L227" s="323">
        <v>29.405069999999998</v>
      </c>
      <c r="M227" s="323">
        <v>9.2838849999999997</v>
      </c>
      <c r="N227" s="308">
        <v>4250</v>
      </c>
      <c r="O227" s="308">
        <v>30.36</v>
      </c>
      <c r="P227" s="308">
        <v>0.3201</v>
      </c>
      <c r="Q227" s="308">
        <v>1.9560000000000001E-2</v>
      </c>
      <c r="R227" s="309">
        <v>1.7643072</v>
      </c>
      <c r="S227" s="309">
        <f>R227+R226</f>
        <v>9.1858012899999988</v>
      </c>
      <c r="T227" s="338">
        <v>83.4</v>
      </c>
      <c r="U227" s="338">
        <v>78.8</v>
      </c>
      <c r="V227" s="313">
        <v>8014</v>
      </c>
      <c r="W227" s="313">
        <v>10943</v>
      </c>
      <c r="X227" s="313">
        <f>W227-V227-X228</f>
        <v>752</v>
      </c>
      <c r="Y227" s="313">
        <f t="shared" si="94"/>
        <v>426.22962713069472</v>
      </c>
      <c r="Z227" s="332">
        <v>396.96275100000003</v>
      </c>
      <c r="AA227" s="313">
        <v>447.80237199999999</v>
      </c>
      <c r="AB227" s="313">
        <f>AA227-Z227-AB228</f>
        <v>22.89001300000001</v>
      </c>
      <c r="AC227" s="331">
        <f t="shared" si="95"/>
        <v>12.973938438838776</v>
      </c>
      <c r="AD227" s="332">
        <v>-1.38</v>
      </c>
      <c r="AE227" s="313">
        <v>-1.74</v>
      </c>
      <c r="AF227" s="313">
        <f>AE227-AD227-AF228</f>
        <v>-0.15000000000000013</v>
      </c>
      <c r="AG227" s="331">
        <f t="shared" si="96"/>
        <v>-8.501920753936737E-2</v>
      </c>
      <c r="AH227" s="332">
        <v>1865.95</v>
      </c>
      <c r="AI227" s="313">
        <v>2132.25</v>
      </c>
      <c r="AJ227" s="313">
        <f>AI227-AH227-AJ228</f>
        <v>107.06319499999995</v>
      </c>
      <c r="AK227" s="331">
        <f t="shared" si="97"/>
        <v>60.682853303551646</v>
      </c>
      <c r="AL227" s="332">
        <v>1011.45</v>
      </c>
      <c r="AM227" s="313">
        <v>1032.1500000000001</v>
      </c>
      <c r="AN227" s="313">
        <f>AM227-AL227-AN228</f>
        <v>10.600000000000023</v>
      </c>
      <c r="AO227" s="331">
        <f t="shared" si="98"/>
        <v>6.0080239994486355</v>
      </c>
      <c r="AP227" s="303">
        <v>83.4</v>
      </c>
      <c r="AQ227" s="303">
        <v>78.8</v>
      </c>
      <c r="AR227" s="303">
        <f>AQ227-AP227-AR228</f>
        <v>-1.2000000000000171</v>
      </c>
      <c r="AS227" s="332">
        <v>7.6</v>
      </c>
      <c r="AT227" s="313">
        <v>8.5</v>
      </c>
      <c r="AU227" s="341">
        <f>AT227-AS227-AU228</f>
        <v>0.39999999999999947</v>
      </c>
      <c r="AV227" s="303"/>
      <c r="AW227" s="303"/>
      <c r="AX227" s="303"/>
      <c r="AY227" s="303"/>
      <c r="AZ227" s="322" t="s">
        <v>686</v>
      </c>
      <c r="BA227" s="461">
        <v>5559.5378147299998</v>
      </c>
      <c r="BB227" s="461">
        <v>-1.33527938</v>
      </c>
      <c r="BC227" s="461">
        <v>2426.42216074</v>
      </c>
      <c r="BD227" s="461">
        <v>2459.26015456</v>
      </c>
      <c r="BE227" s="461">
        <v>3.1645627900000002</v>
      </c>
      <c r="BF227" s="461">
        <v>3.2076931499999999</v>
      </c>
      <c r="BG227" s="461">
        <v>-0.44018965999999998</v>
      </c>
      <c r="BH227" s="461">
        <v>1.7643039300000001</v>
      </c>
      <c r="BI227" s="461">
        <v>1.7721045499999999</v>
      </c>
      <c r="BJ227" s="461">
        <v>-0.91672781999999997</v>
      </c>
      <c r="BK227" s="461">
        <v>-1.34459124</v>
      </c>
      <c r="BL227" s="461">
        <v>0.81478238000000003</v>
      </c>
    </row>
    <row r="228" spans="1:70" ht="15" customHeight="1" x14ac:dyDescent="0.2">
      <c r="A228" s="328">
        <f t="shared" si="99"/>
        <v>62008033</v>
      </c>
      <c r="B228" s="321" t="s">
        <v>634</v>
      </c>
      <c r="C228" s="321" t="s">
        <v>781</v>
      </c>
      <c r="D228" s="352" t="s">
        <v>718</v>
      </c>
      <c r="E228" s="307" t="s">
        <v>909</v>
      </c>
      <c r="F228" s="307" t="str">
        <f t="shared" si="92"/>
        <v>08/13/20</v>
      </c>
      <c r="G228" s="322" t="s">
        <v>910</v>
      </c>
      <c r="H228" s="322" t="s">
        <v>685</v>
      </c>
      <c r="I228" s="330"/>
      <c r="J228" s="323">
        <v>0.14812700000000001</v>
      </c>
      <c r="K228" s="323">
        <v>8.3009190000000004</v>
      </c>
      <c r="L228" s="323">
        <v>29.402799000000002</v>
      </c>
      <c r="M228" s="323">
        <v>8.7807340000000007</v>
      </c>
      <c r="N228" s="308">
        <v>4250</v>
      </c>
      <c r="O228" s="308">
        <v>30.36</v>
      </c>
      <c r="P228" s="308">
        <v>0.3201</v>
      </c>
      <c r="Q228" s="308">
        <v>1.9560000000000001E-2</v>
      </c>
      <c r="R228" s="309">
        <v>6.2262166499999996</v>
      </c>
      <c r="S228" s="309">
        <f>R228+R227</f>
        <v>7.9905238499999998</v>
      </c>
      <c r="T228" s="338">
        <v>82.6</v>
      </c>
      <c r="U228" s="338">
        <v>79.2</v>
      </c>
      <c r="V228" s="313">
        <v>8523</v>
      </c>
      <c r="W228" s="313">
        <v>10700</v>
      </c>
      <c r="X228" s="313">
        <f>W228-V228</f>
        <v>2177</v>
      </c>
      <c r="Y228" s="313">
        <f t="shared" si="94"/>
        <v>349.65053777882918</v>
      </c>
      <c r="Z228" s="332">
        <v>409.21264000000002</v>
      </c>
      <c r="AA228" s="313">
        <v>437.16224799999998</v>
      </c>
      <c r="AB228" s="313">
        <f>AA228-Z228</f>
        <v>27.949607999999955</v>
      </c>
      <c r="AC228" s="331">
        <f t="shared" si="95"/>
        <v>4.4890195075367245</v>
      </c>
      <c r="AD228" s="332">
        <v>-1.47</v>
      </c>
      <c r="AE228" s="313">
        <v>-1.68</v>
      </c>
      <c r="AF228" s="313">
        <f>AE228-AD228</f>
        <v>-0.20999999999999996</v>
      </c>
      <c r="AG228" s="331">
        <f t="shared" si="96"/>
        <v>-3.3728347695706991E-2</v>
      </c>
      <c r="AH228" s="332">
        <v>1932.1631950000001</v>
      </c>
      <c r="AI228" s="313">
        <v>2091.4</v>
      </c>
      <c r="AJ228" s="313">
        <f>AI228-AH228</f>
        <v>159.236805</v>
      </c>
      <c r="AK228" s="331">
        <f t="shared" si="97"/>
        <v>25.57521107139759</v>
      </c>
      <c r="AL228" s="332">
        <v>1019.6</v>
      </c>
      <c r="AM228" s="313">
        <v>1029.7</v>
      </c>
      <c r="AN228" s="313">
        <f>AM228-AL228</f>
        <v>10.100000000000023</v>
      </c>
      <c r="AO228" s="331">
        <f t="shared" si="98"/>
        <v>1.6221729129840066</v>
      </c>
      <c r="AP228" s="303">
        <v>82.6</v>
      </c>
      <c r="AQ228" s="303">
        <v>79.2</v>
      </c>
      <c r="AR228" s="303">
        <f>AQ228-AP228</f>
        <v>-3.3999999999999915</v>
      </c>
      <c r="AS228" s="332">
        <v>7.8</v>
      </c>
      <c r="AT228" s="313">
        <v>8.3000000000000007</v>
      </c>
      <c r="AU228" s="341">
        <f>AT228-AS228</f>
        <v>0.50000000000000089</v>
      </c>
      <c r="AV228" s="303"/>
      <c r="AW228" s="303"/>
      <c r="AX228" s="303"/>
      <c r="AY228" s="303"/>
      <c r="AZ228" s="322" t="s">
        <v>686</v>
      </c>
      <c r="BA228" s="461">
        <v>11810.484622280001</v>
      </c>
      <c r="BB228" s="461">
        <v>-9.5643977099999997</v>
      </c>
      <c r="BC228" s="461">
        <v>1029.37190089</v>
      </c>
      <c r="BD228" s="461">
        <v>1138.2374582499999</v>
      </c>
      <c r="BE228" s="461">
        <v>6.92031799</v>
      </c>
      <c r="BF228" s="461">
        <v>7.0840040999999996</v>
      </c>
      <c r="BG228" s="461">
        <v>-0.13774676999999999</v>
      </c>
      <c r="BH228" s="461">
        <v>6.2262698299999997</v>
      </c>
      <c r="BI228" s="461">
        <v>6.23485815</v>
      </c>
      <c r="BJ228" s="461">
        <v>-2.2242925699999998</v>
      </c>
      <c r="BK228" s="461">
        <v>-2.3106438599999999</v>
      </c>
      <c r="BL228" s="461">
        <v>0.34890388</v>
      </c>
    </row>
    <row r="229" spans="1:70" ht="15" customHeight="1" x14ac:dyDescent="0.2">
      <c r="A229" s="328">
        <f t="shared" si="99"/>
        <v>62008033</v>
      </c>
      <c r="B229" s="321" t="s">
        <v>635</v>
      </c>
      <c r="C229" s="321" t="s">
        <v>782</v>
      </c>
      <c r="D229" s="352" t="s">
        <v>718</v>
      </c>
      <c r="E229" s="307" t="s">
        <v>909</v>
      </c>
      <c r="F229" s="307" t="str">
        <f t="shared" si="92"/>
        <v>08/13/20</v>
      </c>
      <c r="G229" s="322" t="s">
        <v>910</v>
      </c>
      <c r="H229" s="322" t="s">
        <v>685</v>
      </c>
      <c r="I229" s="330"/>
      <c r="J229" s="324">
        <f>AVERAGE(J227:J228)</f>
        <v>-2.3659495000000001</v>
      </c>
      <c r="K229" s="324">
        <f>AVERAGE(K227:K228)</f>
        <v>9.8057040000000004</v>
      </c>
      <c r="L229" s="324">
        <f>AVERAGE(L227:L228)</f>
        <v>29.403934499999998</v>
      </c>
      <c r="M229" s="324">
        <f>AVERAGE(M227:M228)</f>
        <v>9.0323095000000002</v>
      </c>
      <c r="N229" s="310"/>
      <c r="O229" s="308"/>
      <c r="P229" s="326"/>
      <c r="Q229" s="325"/>
      <c r="R229" s="311">
        <f>R228+R227</f>
        <v>7.9905238499999998</v>
      </c>
      <c r="S229" s="311">
        <f>S228</f>
        <v>7.9905238499999998</v>
      </c>
      <c r="T229" s="339">
        <f>T227</f>
        <v>83.4</v>
      </c>
      <c r="U229" s="339">
        <f>U228</f>
        <v>79.2</v>
      </c>
      <c r="V229" s="314">
        <f>V227</f>
        <v>8014</v>
      </c>
      <c r="W229" s="314">
        <f>W228</f>
        <v>10700</v>
      </c>
      <c r="X229" s="314">
        <f>SUM(X227:X228)</f>
        <v>2929</v>
      </c>
      <c r="Y229" s="314">
        <f t="shared" si="94"/>
        <v>366.55919624093235</v>
      </c>
      <c r="Z229" s="314">
        <f>Z227</f>
        <v>396.96275100000003</v>
      </c>
      <c r="AA229" s="314">
        <f>AA228</f>
        <v>437.16224799999998</v>
      </c>
      <c r="AB229" s="314">
        <f>SUM(AB227:AB228)</f>
        <v>50.839620999999966</v>
      </c>
      <c r="AC229" s="312">
        <f t="shared" si="95"/>
        <v>6.3624891126506018</v>
      </c>
      <c r="AD229" s="314">
        <f>AD227</f>
        <v>-1.38</v>
      </c>
      <c r="AE229" s="314">
        <f>AE228</f>
        <v>-1.68</v>
      </c>
      <c r="AF229" s="314">
        <f>SUM(AF227:AF228)</f>
        <v>-0.3600000000000001</v>
      </c>
      <c r="AG229" s="312">
        <f t="shared" si="96"/>
        <v>-4.505336655743792E-2</v>
      </c>
      <c r="AH229" s="314">
        <f>AH227</f>
        <v>1865.95</v>
      </c>
      <c r="AI229" s="314">
        <f>AI228</f>
        <v>2091.4</v>
      </c>
      <c r="AJ229" s="314">
        <f>SUM(AJ227:AJ228)</f>
        <v>266.29999999999995</v>
      </c>
      <c r="AK229" s="312">
        <f t="shared" si="97"/>
        <v>33.326976428460313</v>
      </c>
      <c r="AL229" s="314">
        <f>AL227</f>
        <v>1011.45</v>
      </c>
      <c r="AM229" s="314">
        <f>AM228</f>
        <v>1029.7</v>
      </c>
      <c r="AN229" s="314">
        <f>SUM(AN227:AN228)</f>
        <v>20.700000000000045</v>
      </c>
      <c r="AO229" s="312">
        <f t="shared" si="98"/>
        <v>2.5905685770526854</v>
      </c>
      <c r="AP229" s="305"/>
      <c r="AQ229" s="305"/>
      <c r="AR229" s="305">
        <f>SUM(AR227:AR228)</f>
        <v>-4.6000000000000085</v>
      </c>
      <c r="AS229" s="314">
        <f>AS227</f>
        <v>7.6</v>
      </c>
      <c r="AT229" s="314">
        <f>AT228</f>
        <v>8.3000000000000007</v>
      </c>
      <c r="AU229" s="342">
        <f>SUM(AU227:AU228)</f>
        <v>0.90000000000000036</v>
      </c>
      <c r="AV229" s="305"/>
      <c r="AW229" s="305"/>
      <c r="AX229" s="305"/>
      <c r="AY229" s="305"/>
      <c r="AZ229" s="322" t="s">
        <v>686</v>
      </c>
    </row>
    <row r="230" spans="1:70" ht="15" customHeight="1" x14ac:dyDescent="0.2">
      <c r="A230" s="328">
        <v>62008034</v>
      </c>
      <c r="B230" s="321" t="s">
        <v>896</v>
      </c>
      <c r="C230" s="321" t="s">
        <v>773</v>
      </c>
      <c r="D230" s="352" t="s">
        <v>900</v>
      </c>
      <c r="E230" s="307" t="s">
        <v>911</v>
      </c>
      <c r="F230" s="307" t="str">
        <f t="shared" si="92"/>
        <v>08/13/20</v>
      </c>
      <c r="G230" s="322" t="s">
        <v>912</v>
      </c>
      <c r="H230" s="322" t="s">
        <v>685</v>
      </c>
      <c r="I230" s="330"/>
      <c r="J230" s="323">
        <v>-3.2108530000000002</v>
      </c>
      <c r="K230" s="323">
        <v>-36.130716</v>
      </c>
      <c r="L230" s="323">
        <v>-141.780891</v>
      </c>
      <c r="M230" s="323">
        <v>-46.629947999999999</v>
      </c>
      <c r="N230" s="308">
        <v>4250</v>
      </c>
      <c r="O230" s="308">
        <v>30.36</v>
      </c>
      <c r="P230" s="308">
        <v>0.3201</v>
      </c>
      <c r="Q230" s="308">
        <v>1.9560000000000001E-2</v>
      </c>
      <c r="R230" s="309">
        <v>97.230895790000005</v>
      </c>
      <c r="S230" s="309">
        <f>R230+R229</f>
        <v>105.22141964000001</v>
      </c>
      <c r="T230" s="338">
        <v>78.8</v>
      </c>
      <c r="U230" s="338">
        <v>26</v>
      </c>
      <c r="V230" s="313">
        <v>10946</v>
      </c>
      <c r="W230" s="313">
        <v>42209</v>
      </c>
      <c r="X230" s="313">
        <f>W230-V230</f>
        <v>31263</v>
      </c>
      <c r="Y230" s="313">
        <f t="shared" si="94"/>
        <v>321.53360046709901</v>
      </c>
      <c r="Z230" s="332">
        <v>449.41262499999999</v>
      </c>
      <c r="AA230" s="313">
        <v>843.32993799999997</v>
      </c>
      <c r="AB230" s="313">
        <f>AA230-Z230</f>
        <v>393.91731299999998</v>
      </c>
      <c r="AC230" s="331">
        <f t="shared" si="95"/>
        <v>4.051359496376393</v>
      </c>
      <c r="AD230" s="332">
        <v>0.87</v>
      </c>
      <c r="AE230" s="313">
        <v>-3.67</v>
      </c>
      <c r="AF230" s="313">
        <f>AE230-AD230</f>
        <v>-4.54</v>
      </c>
      <c r="AG230" s="331">
        <f t="shared" si="96"/>
        <v>-4.6692977197346046E-2</v>
      </c>
      <c r="AH230" s="332">
        <v>2133.5</v>
      </c>
      <c r="AI230" s="313">
        <v>4333.6000000000004</v>
      </c>
      <c r="AJ230" s="313">
        <f>AI230-AH230</f>
        <v>2200.1000000000004</v>
      </c>
      <c r="AK230" s="331">
        <f t="shared" si="97"/>
        <v>22.627581306581732</v>
      </c>
      <c r="AL230" s="332">
        <v>1032.3499999999999</v>
      </c>
      <c r="AM230" s="313">
        <v>1187.5</v>
      </c>
      <c r="AN230" s="313">
        <f>AM230-AL230</f>
        <v>155.15000000000009</v>
      </c>
      <c r="AO230" s="331">
        <f t="shared" si="98"/>
        <v>1.5956862141339743</v>
      </c>
      <c r="AP230" s="303">
        <v>78.8</v>
      </c>
      <c r="AQ230" s="303">
        <v>26</v>
      </c>
      <c r="AR230" s="303">
        <f>AQ230-AP230</f>
        <v>-52.8</v>
      </c>
      <c r="AS230" s="332">
        <v>9.1999999999999993</v>
      </c>
      <c r="AT230" s="313">
        <v>17</v>
      </c>
      <c r="AU230" s="341">
        <f>AT230-AS230</f>
        <v>7.8000000000000007</v>
      </c>
      <c r="AV230" s="303"/>
      <c r="AW230" s="303"/>
      <c r="AX230" s="303"/>
      <c r="AY230" s="303"/>
      <c r="AZ230" s="322" t="s">
        <v>686</v>
      </c>
      <c r="BA230" s="461">
        <v>24.77809804</v>
      </c>
      <c r="BB230" s="461">
        <v>40.665586159999997</v>
      </c>
      <c r="BC230" s="461">
        <v>817.4808673</v>
      </c>
      <c r="BD230" s="461">
        <v>581.15200000000004</v>
      </c>
      <c r="BE230" s="461">
        <v>93.517345469999995</v>
      </c>
      <c r="BF230" s="461">
        <v>93.761131919999997</v>
      </c>
      <c r="BG230" s="461">
        <v>-0.10876450999999999</v>
      </c>
      <c r="BH230" s="461">
        <v>97.231720730000006</v>
      </c>
      <c r="BI230" s="461">
        <v>97.337589480000005</v>
      </c>
      <c r="BJ230" s="461">
        <v>-0.15163776000000001</v>
      </c>
      <c r="BK230" s="461">
        <v>-0.26000800000000002</v>
      </c>
      <c r="BL230" s="461">
        <v>8.8103799999999996E-3</v>
      </c>
    </row>
    <row r="231" spans="1:70" ht="15" customHeight="1" x14ac:dyDescent="0.2">
      <c r="A231" s="328">
        <v>62008035</v>
      </c>
      <c r="B231" s="321" t="s">
        <v>633</v>
      </c>
      <c r="C231" s="321" t="s">
        <v>810</v>
      </c>
      <c r="D231" s="352" t="s">
        <v>724</v>
      </c>
      <c r="E231" s="307" t="s">
        <v>913</v>
      </c>
      <c r="F231" s="307" t="str">
        <f t="shared" si="92"/>
        <v>08/13/20</v>
      </c>
      <c r="G231" s="322" t="s">
        <v>914</v>
      </c>
      <c r="H231" s="322" t="s">
        <v>915</v>
      </c>
      <c r="I231" s="330"/>
      <c r="J231" s="323">
        <v>-7.4058960000000003</v>
      </c>
      <c r="K231" s="323">
        <v>13.179040000000001</v>
      </c>
      <c r="L231" s="323">
        <v>29.401897000000002</v>
      </c>
      <c r="M231" s="323">
        <v>10.879896</v>
      </c>
      <c r="N231" s="308">
        <v>4250</v>
      </c>
      <c r="O231" s="308">
        <v>30.36</v>
      </c>
      <c r="P231" s="308">
        <v>0.3201</v>
      </c>
      <c r="Q231" s="308">
        <v>1.9560000000000001E-2</v>
      </c>
      <c r="R231" s="309">
        <v>1.76480949</v>
      </c>
      <c r="S231" s="309">
        <f>R231+R230</f>
        <v>98.99570528000001</v>
      </c>
      <c r="T231" s="338">
        <v>26</v>
      </c>
      <c r="U231" s="338">
        <v>20.8</v>
      </c>
      <c r="V231" s="313">
        <v>42212</v>
      </c>
      <c r="W231" s="313">
        <v>45102.994659999997</v>
      </c>
      <c r="X231" s="313">
        <f>W231-V231-X232</f>
        <v>698.98699799999304</v>
      </c>
      <c r="Y231" s="313">
        <f t="shared" si="94"/>
        <v>396.0693785707108</v>
      </c>
      <c r="Z231" s="332">
        <v>844.88032599999997</v>
      </c>
      <c r="AA231" s="313">
        <v>897.97994700000004</v>
      </c>
      <c r="AB231" s="313">
        <f>AA231-Z231-AB232</f>
        <v>23.959607000000005</v>
      </c>
      <c r="AC231" s="331">
        <f t="shared" si="95"/>
        <v>13.576313554388244</v>
      </c>
      <c r="AD231" s="332">
        <v>-1.22</v>
      </c>
      <c r="AE231" s="313">
        <v>-3.42</v>
      </c>
      <c r="AF231" s="313">
        <f>AE231-AD231-AF232</f>
        <v>-1.1800000000000002</v>
      </c>
      <c r="AG231" s="331">
        <f t="shared" si="96"/>
        <v>-0.66862741088274646</v>
      </c>
      <c r="AH231" s="332">
        <v>4335.1499999999996</v>
      </c>
      <c r="AI231" s="313">
        <v>4647.7</v>
      </c>
      <c r="AJ231" s="313">
        <f>AI231-AH231-AJ232</f>
        <v>102.89962999999989</v>
      </c>
      <c r="AK231" s="331">
        <f t="shared" si="97"/>
        <v>58.306367108213983</v>
      </c>
      <c r="AL231" s="332">
        <v>1187.5</v>
      </c>
      <c r="AM231" s="313">
        <v>1210.55</v>
      </c>
      <c r="AN231" s="313">
        <f>AM231-AL231-AN232</f>
        <v>7.7999999999999545</v>
      </c>
      <c r="AO231" s="331">
        <f t="shared" si="98"/>
        <v>4.4197405126147382</v>
      </c>
      <c r="AP231" s="303">
        <v>26</v>
      </c>
      <c r="AQ231" s="303">
        <v>20.8</v>
      </c>
      <c r="AR231" s="303">
        <f>AQ231-AP231-AR232</f>
        <v>-1.1999999999999993</v>
      </c>
      <c r="AS231" s="332">
        <v>17.5</v>
      </c>
      <c r="AT231" s="313">
        <v>18.3</v>
      </c>
      <c r="AU231" s="341">
        <f>AT231-AS231-AU232</f>
        <v>0.20000000000000284</v>
      </c>
      <c r="AV231" s="303"/>
      <c r="AW231" s="303"/>
      <c r="AX231" s="303"/>
      <c r="AY231" s="303"/>
      <c r="AZ231" s="322" t="s">
        <v>686</v>
      </c>
      <c r="BA231" s="461">
        <v>5547.1511460900001</v>
      </c>
      <c r="BB231" s="461">
        <v>-1.1225665600000001</v>
      </c>
      <c r="BC231" s="461">
        <v>2432.0858170199999</v>
      </c>
      <c r="BD231" s="461">
        <v>2459.6975594199998</v>
      </c>
      <c r="BE231" s="461">
        <v>3.1690020200000002</v>
      </c>
      <c r="BF231" s="461">
        <v>3.20857035</v>
      </c>
      <c r="BG231" s="461">
        <v>-0.4170934</v>
      </c>
      <c r="BH231" s="461">
        <v>1.76480777</v>
      </c>
      <c r="BI231" s="461">
        <v>1.77219949</v>
      </c>
      <c r="BJ231" s="461">
        <v>-0.82630417</v>
      </c>
      <c r="BK231" s="461">
        <v>-1.2332075300000001</v>
      </c>
      <c r="BL231" s="461">
        <v>0.81480858</v>
      </c>
    </row>
    <row r="232" spans="1:70" ht="15" customHeight="1" x14ac:dyDescent="0.2">
      <c r="A232" s="328">
        <f t="shared" ref="A232:A237" si="100">A231</f>
        <v>62008035</v>
      </c>
      <c r="B232" s="321" t="s">
        <v>634</v>
      </c>
      <c r="C232" s="321" t="s">
        <v>774</v>
      </c>
      <c r="D232" s="352" t="s">
        <v>724</v>
      </c>
      <c r="E232" s="307" t="s">
        <v>913</v>
      </c>
      <c r="F232" s="307" t="str">
        <f t="shared" si="92"/>
        <v>08/13/20</v>
      </c>
      <c r="G232" s="322" t="s">
        <v>914</v>
      </c>
      <c r="H232" s="322" t="s">
        <v>915</v>
      </c>
      <c r="I232" s="330"/>
      <c r="J232" s="323">
        <v>-2.9625759999999999</v>
      </c>
      <c r="K232" s="323">
        <v>10.55721</v>
      </c>
      <c r="L232" s="323">
        <v>29.396232999999999</v>
      </c>
      <c r="M232" s="323">
        <v>8.0086619999999993</v>
      </c>
      <c r="N232" s="308">
        <v>4250</v>
      </c>
      <c r="O232" s="308">
        <v>30.36</v>
      </c>
      <c r="P232" s="308">
        <v>0.3201</v>
      </c>
      <c r="Q232" s="308">
        <v>1.9560000000000001E-2</v>
      </c>
      <c r="R232" s="309">
        <v>6.22778527</v>
      </c>
      <c r="S232" s="309">
        <f>R232+R231</f>
        <v>7.9925947600000002</v>
      </c>
      <c r="T232" s="338">
        <v>25.2</v>
      </c>
      <c r="U232" s="338">
        <v>21.2</v>
      </c>
      <c r="V232" s="313">
        <v>42688</v>
      </c>
      <c r="W232" s="313">
        <v>44880.007662000004</v>
      </c>
      <c r="X232" s="313">
        <f>W232-V232</f>
        <v>2192.0076620000036</v>
      </c>
      <c r="Y232" s="313">
        <f t="shared" si="94"/>
        <v>351.97226091900944</v>
      </c>
      <c r="Z232" s="332">
        <v>857.84006299999999</v>
      </c>
      <c r="AA232" s="313">
        <v>886.98007700000005</v>
      </c>
      <c r="AB232" s="313">
        <f>AA232-Z232</f>
        <v>29.140014000000065</v>
      </c>
      <c r="AC232" s="331">
        <f t="shared" si="95"/>
        <v>4.6790331934485696</v>
      </c>
      <c r="AD232" s="332">
        <v>-2.2599999999999998</v>
      </c>
      <c r="AE232" s="313">
        <v>-3.28</v>
      </c>
      <c r="AF232" s="313">
        <f>AE232-AD232</f>
        <v>-1.02</v>
      </c>
      <c r="AG232" s="331">
        <f t="shared" si="96"/>
        <v>-0.16378214016360909</v>
      </c>
      <c r="AH232" s="332">
        <v>4393.8999999999996</v>
      </c>
      <c r="AI232" s="313">
        <v>4603.5503699999999</v>
      </c>
      <c r="AJ232" s="313">
        <f>AI232-AH232</f>
        <v>209.65037000000029</v>
      </c>
      <c r="AK232" s="331">
        <f t="shared" si="97"/>
        <v>33.663712043816226</v>
      </c>
      <c r="AL232" s="332">
        <v>1195.3</v>
      </c>
      <c r="AM232" s="313">
        <v>1210.55</v>
      </c>
      <c r="AN232" s="313">
        <f>AM232-AL232</f>
        <v>15.25</v>
      </c>
      <c r="AO232" s="331">
        <f t="shared" si="98"/>
        <v>2.4487035661716061</v>
      </c>
      <c r="AP232" s="303">
        <v>25.2</v>
      </c>
      <c r="AQ232" s="303">
        <v>21.2</v>
      </c>
      <c r="AR232" s="303">
        <f>AQ232-AP232</f>
        <v>-4</v>
      </c>
      <c r="AS232" s="332">
        <v>17.600000000000001</v>
      </c>
      <c r="AT232" s="313">
        <v>18.2</v>
      </c>
      <c r="AU232" s="341">
        <f>AT232-AS232</f>
        <v>0.59999999999999787</v>
      </c>
      <c r="AV232" s="303"/>
      <c r="AW232" s="303"/>
      <c r="AX232" s="303"/>
      <c r="AY232" s="303"/>
      <c r="AZ232" s="322" t="s">
        <v>686</v>
      </c>
      <c r="BA232" s="461">
        <v>11826.539598580001</v>
      </c>
      <c r="BB232" s="461">
        <v>-9.6933859800000004</v>
      </c>
      <c r="BC232" s="461">
        <v>1028.8442086800001</v>
      </c>
      <c r="BD232" s="461">
        <v>1139.2789108500001</v>
      </c>
      <c r="BE232" s="461">
        <v>6.9201392899999998</v>
      </c>
      <c r="BF232" s="461">
        <v>7.0877674800000001</v>
      </c>
      <c r="BG232" s="461">
        <v>-0.12703974000000001</v>
      </c>
      <c r="BH232" s="461">
        <v>6.2278304200000001</v>
      </c>
      <c r="BI232" s="461">
        <v>6.2357523099999996</v>
      </c>
      <c r="BJ232" s="461">
        <v>-2.2922068900000001</v>
      </c>
      <c r="BK232" s="461">
        <v>-2.3650351299999999</v>
      </c>
      <c r="BL232" s="461">
        <v>0.34916369000000003</v>
      </c>
    </row>
    <row r="233" spans="1:70" ht="15" customHeight="1" x14ac:dyDescent="0.2">
      <c r="A233" s="328">
        <f t="shared" si="100"/>
        <v>62008035</v>
      </c>
      <c r="B233" s="321" t="s">
        <v>635</v>
      </c>
      <c r="C233" s="321" t="s">
        <v>775</v>
      </c>
      <c r="D233" s="352" t="s">
        <v>724</v>
      </c>
      <c r="E233" s="307" t="s">
        <v>913</v>
      </c>
      <c r="F233" s="307" t="str">
        <f t="shared" si="92"/>
        <v>08/13/20</v>
      </c>
      <c r="G233" s="322" t="s">
        <v>914</v>
      </c>
      <c r="H233" s="322" t="s">
        <v>915</v>
      </c>
      <c r="I233" s="330"/>
      <c r="J233" s="324">
        <f>AVERAGE(J231:J232)</f>
        <v>-5.1842360000000003</v>
      </c>
      <c r="K233" s="324">
        <f>AVERAGE(K231:K232)</f>
        <v>11.868124999999999</v>
      </c>
      <c r="L233" s="324">
        <f>AVERAGE(L231:L232)</f>
        <v>29.399065</v>
      </c>
      <c r="M233" s="324">
        <f>AVERAGE(M231:M232)</f>
        <v>9.4442789999999999</v>
      </c>
      <c r="N233" s="310"/>
      <c r="O233" s="308"/>
      <c r="P233" s="326"/>
      <c r="Q233" s="325"/>
      <c r="R233" s="311">
        <f>R232+R231</f>
        <v>7.9925947600000002</v>
      </c>
      <c r="S233" s="311">
        <f>S232</f>
        <v>7.9925947600000002</v>
      </c>
      <c r="T233" s="339">
        <f>T231</f>
        <v>26</v>
      </c>
      <c r="U233" s="339">
        <f>U232</f>
        <v>21.2</v>
      </c>
      <c r="V233" s="314">
        <f>V231</f>
        <v>42212</v>
      </c>
      <c r="W233" s="314">
        <f>W232</f>
        <v>44880.007662000004</v>
      </c>
      <c r="X233" s="314">
        <f>SUM(X231:X232)</f>
        <v>2890.9946599999967</v>
      </c>
      <c r="Y233" s="314">
        <f t="shared" si="94"/>
        <v>361.70915038359789</v>
      </c>
      <c r="Z233" s="314">
        <f>Z231</f>
        <v>844.88032599999997</v>
      </c>
      <c r="AA233" s="314">
        <f>AA232</f>
        <v>886.98007700000005</v>
      </c>
      <c r="AB233" s="314">
        <f>SUM(AB231:AB232)</f>
        <v>53.09962100000007</v>
      </c>
      <c r="AC233" s="312">
        <f t="shared" si="95"/>
        <v>6.6436023086950637</v>
      </c>
      <c r="AD233" s="314">
        <f>AD231</f>
        <v>-1.22</v>
      </c>
      <c r="AE233" s="314">
        <f>AE232</f>
        <v>-3.28</v>
      </c>
      <c r="AF233" s="314">
        <f>SUM(AF231:AF232)</f>
        <v>-2.2000000000000002</v>
      </c>
      <c r="AG233" s="312">
        <f t="shared" si="96"/>
        <v>-0.27525479097353861</v>
      </c>
      <c r="AH233" s="314">
        <f>AH231</f>
        <v>4335.1499999999996</v>
      </c>
      <c r="AI233" s="314">
        <f>AI232</f>
        <v>4603.5503699999999</v>
      </c>
      <c r="AJ233" s="314">
        <f>SUM(AJ231:AJ232)</f>
        <v>312.55000000000018</v>
      </c>
      <c r="AK233" s="312">
        <f t="shared" si="97"/>
        <v>39.104947690354336</v>
      </c>
      <c r="AL233" s="314">
        <f>AL231</f>
        <v>1187.5</v>
      </c>
      <c r="AM233" s="314">
        <f>AM232</f>
        <v>1210.55</v>
      </c>
      <c r="AN233" s="314">
        <f>SUM(AN231:AN232)</f>
        <v>23.049999999999955</v>
      </c>
      <c r="AO233" s="312">
        <f t="shared" si="98"/>
        <v>2.8839195145182055</v>
      </c>
      <c r="AP233" s="305"/>
      <c r="AQ233" s="305"/>
      <c r="AR233" s="305">
        <f>SUM(AR231:AR232)</f>
        <v>-5.1999999999999993</v>
      </c>
      <c r="AS233" s="314">
        <f>AS231</f>
        <v>17.5</v>
      </c>
      <c r="AT233" s="314">
        <f>AT232</f>
        <v>18.2</v>
      </c>
      <c r="AU233" s="342">
        <f>SUM(AU231:AU232)</f>
        <v>0.80000000000000071</v>
      </c>
      <c r="AV233" s="305"/>
      <c r="AW233" s="305"/>
      <c r="AX233" s="305"/>
      <c r="AY233" s="305"/>
      <c r="AZ233" s="322" t="s">
        <v>686</v>
      </c>
    </row>
    <row r="234" spans="1:70" ht="15" customHeight="1" x14ac:dyDescent="0.2">
      <c r="A234" s="328">
        <f t="shared" si="100"/>
        <v>62008035</v>
      </c>
      <c r="B234" s="321" t="s">
        <v>627</v>
      </c>
      <c r="C234" s="321" t="s">
        <v>776</v>
      </c>
      <c r="D234" s="352" t="s">
        <v>724</v>
      </c>
      <c r="E234" s="307" t="s">
        <v>913</v>
      </c>
      <c r="F234" s="307" t="str">
        <f t="shared" si="92"/>
        <v>08/13/20</v>
      </c>
      <c r="G234" s="322" t="s">
        <v>914</v>
      </c>
      <c r="H234" s="322" t="s">
        <v>915</v>
      </c>
      <c r="I234" s="330"/>
      <c r="J234" s="323">
        <v>1.0121549999999999</v>
      </c>
      <c r="K234" s="323">
        <v>16.948349</v>
      </c>
      <c r="L234" s="323">
        <v>29.394397999999999</v>
      </c>
      <c r="M234" s="323">
        <v>8.6886050000000008</v>
      </c>
      <c r="N234" s="308">
        <v>4250</v>
      </c>
      <c r="O234" s="308">
        <v>30.36</v>
      </c>
      <c r="P234" s="308">
        <v>0.3201</v>
      </c>
      <c r="Q234" s="308">
        <v>1.9560000000000001E-2</v>
      </c>
      <c r="R234" s="309">
        <v>3.5800197100000002</v>
      </c>
      <c r="S234" s="309">
        <f>R234+R233</f>
        <v>11.572614470000001</v>
      </c>
      <c r="T234" s="338">
        <v>20.8</v>
      </c>
      <c r="U234" s="338">
        <v>18.899999999999999</v>
      </c>
      <c r="V234" s="313">
        <v>45106</v>
      </c>
      <c r="W234" s="313">
        <v>46178</v>
      </c>
      <c r="X234" s="313">
        <f>W234-V234</f>
        <v>1072</v>
      </c>
      <c r="Y234" s="313">
        <f t="shared" si="94"/>
        <v>299.4396921909684</v>
      </c>
      <c r="Z234" s="332">
        <v>900.23966199999995</v>
      </c>
      <c r="AA234" s="313">
        <v>953.10936300000003</v>
      </c>
      <c r="AB234" s="313">
        <f>AA234-Z234</f>
        <v>52.869701000000077</v>
      </c>
      <c r="AC234" s="331">
        <f t="shared" si="95"/>
        <v>14.767991598571415</v>
      </c>
      <c r="AD234" s="332">
        <v>-0.89</v>
      </c>
      <c r="AE234" s="313">
        <v>-3.01</v>
      </c>
      <c r="AF234" s="313">
        <f>AE234-AD234</f>
        <v>-2.1199999999999997</v>
      </c>
      <c r="AG234" s="331">
        <f t="shared" si="96"/>
        <v>-0.5921755106761688</v>
      </c>
      <c r="AH234" s="332">
        <v>4648.8500000000004</v>
      </c>
      <c r="AI234" s="313">
        <v>4840.5968329999996</v>
      </c>
      <c r="AJ234" s="313">
        <f>AI234-AH234</f>
        <v>191.74683299999924</v>
      </c>
      <c r="AK234" s="331">
        <f t="shared" si="97"/>
        <v>53.560272996373875</v>
      </c>
      <c r="AL234" s="332">
        <v>1210.55</v>
      </c>
      <c r="AM234" s="313">
        <v>1235.8499999999999</v>
      </c>
      <c r="AN234" s="313">
        <f>AM234-AL234</f>
        <v>25.299999999999955</v>
      </c>
      <c r="AO234" s="331">
        <f t="shared" si="98"/>
        <v>7.0670001981637007</v>
      </c>
      <c r="AP234" s="303">
        <v>20.8</v>
      </c>
      <c r="AQ234" s="303">
        <v>18.899999999999999</v>
      </c>
      <c r="AR234" s="303">
        <f>AQ234-AP234</f>
        <v>-1.9000000000000021</v>
      </c>
      <c r="AS234" s="332">
        <v>19.2</v>
      </c>
      <c r="AT234" s="313">
        <v>19.899999999999999</v>
      </c>
      <c r="AU234" s="341">
        <f>AT234-AS234</f>
        <v>0.69999999999999929</v>
      </c>
      <c r="AV234" s="303"/>
      <c r="AW234" s="303"/>
      <c r="AX234" s="303"/>
      <c r="AY234" s="303"/>
      <c r="AZ234" s="322" t="s">
        <v>686</v>
      </c>
      <c r="BA234" s="461">
        <v>2413.2481666100002</v>
      </c>
      <c r="BB234" s="461">
        <v>-1.52647084</v>
      </c>
      <c r="BC234" s="461">
        <v>2017.4584547899999</v>
      </c>
      <c r="BD234" s="461">
        <v>2048.7317474800002</v>
      </c>
      <c r="BE234" s="461">
        <v>3.2194553400000001</v>
      </c>
      <c r="BF234" s="461">
        <v>3.25838625</v>
      </c>
      <c r="BG234" s="461">
        <v>-0.30497134999999997</v>
      </c>
      <c r="BH234" s="461">
        <v>3.5800281100000002</v>
      </c>
      <c r="BI234" s="461">
        <v>3.5909795600000001</v>
      </c>
      <c r="BJ234" s="461">
        <v>-0.90057978000000005</v>
      </c>
      <c r="BK234" s="461">
        <v>-1.1947910900000001</v>
      </c>
      <c r="BL234" s="461">
        <v>0.59037614999999999</v>
      </c>
    </row>
    <row r="235" spans="1:70" ht="15" customHeight="1" x14ac:dyDescent="0.2">
      <c r="A235" s="328">
        <f t="shared" si="100"/>
        <v>62008035</v>
      </c>
      <c r="B235" s="321" t="s">
        <v>894</v>
      </c>
      <c r="C235" s="321" t="s">
        <v>777</v>
      </c>
      <c r="D235" s="352" t="s">
        <v>724</v>
      </c>
      <c r="E235" s="307" t="s">
        <v>913</v>
      </c>
      <c r="F235" s="307" t="str">
        <f t="shared" si="92"/>
        <v>08/13/20</v>
      </c>
      <c r="G235" s="322" t="s">
        <v>914</v>
      </c>
      <c r="H235" s="322" t="s">
        <v>915</v>
      </c>
      <c r="I235" s="330"/>
      <c r="J235" s="323">
        <v>4.9419240000000002</v>
      </c>
      <c r="K235" s="323">
        <v>9.1302260000000004</v>
      </c>
      <c r="L235" s="323">
        <v>29.393678999999999</v>
      </c>
      <c r="M235" s="323">
        <v>11.378863000000001</v>
      </c>
      <c r="N235" s="308">
        <v>4250</v>
      </c>
      <c r="O235" s="308">
        <v>30.36</v>
      </c>
      <c r="P235" s="308">
        <v>0.3201</v>
      </c>
      <c r="Q235" s="308">
        <v>1.9560000000000001E-2</v>
      </c>
      <c r="R235" s="309">
        <v>3.84130116</v>
      </c>
      <c r="S235" s="309">
        <f>R235+R234</f>
        <v>7.4213208700000006</v>
      </c>
      <c r="T235" s="338">
        <v>18.899999999999999</v>
      </c>
      <c r="U235" s="338">
        <v>17.2</v>
      </c>
      <c r="V235" s="313">
        <v>46178</v>
      </c>
      <c r="W235" s="313">
        <v>47099</v>
      </c>
      <c r="X235" s="313">
        <f>W235-V235</f>
        <v>921</v>
      </c>
      <c r="Y235" s="313">
        <f t="shared" si="94"/>
        <v>239.76250797268912</v>
      </c>
      <c r="Z235" s="332">
        <v>953.12945400000001</v>
      </c>
      <c r="AA235" s="313">
        <v>1042.2690009999999</v>
      </c>
      <c r="AB235" s="313">
        <f>AA235-Z235</f>
        <v>89.13954699999988</v>
      </c>
      <c r="AC235" s="331">
        <f t="shared" si="95"/>
        <v>23.205560638728954</v>
      </c>
      <c r="AD235" s="332">
        <v>-3.01</v>
      </c>
      <c r="AE235" s="313">
        <v>-4.05</v>
      </c>
      <c r="AF235" s="313">
        <f>AE235-AD235</f>
        <v>-1.04</v>
      </c>
      <c r="AG235" s="331">
        <f t="shared" si="96"/>
        <v>-0.27074159423626137</v>
      </c>
      <c r="AH235" s="332">
        <v>4840.6472919999997</v>
      </c>
      <c r="AI235" s="313">
        <v>5019.45</v>
      </c>
      <c r="AJ235" s="313">
        <f>AI235-AH235</f>
        <v>178.80270800000017</v>
      </c>
      <c r="AK235" s="331">
        <f t="shared" si="97"/>
        <v>46.547432901616119</v>
      </c>
      <c r="AL235" s="332">
        <v>1235.8499999999999</v>
      </c>
      <c r="AM235" s="313">
        <v>1235.8499999999999</v>
      </c>
      <c r="AN235" s="313">
        <f>AM235-AL235</f>
        <v>0</v>
      </c>
      <c r="AO235" s="331">
        <f t="shared" si="98"/>
        <v>0</v>
      </c>
      <c r="AP235" s="303">
        <v>18.899999999999999</v>
      </c>
      <c r="AQ235" s="303">
        <v>17.2</v>
      </c>
      <c r="AR235" s="303">
        <f>AQ235-AP235</f>
        <v>-1.6999999999999993</v>
      </c>
      <c r="AS235" s="332">
        <v>19.899999999999999</v>
      </c>
      <c r="AT235" s="313">
        <v>21.1</v>
      </c>
      <c r="AU235" s="341">
        <f>AT235-AS235</f>
        <v>1.2000000000000028</v>
      </c>
      <c r="AV235" s="303"/>
      <c r="AW235" s="303"/>
      <c r="AX235" s="303"/>
      <c r="AY235" s="303"/>
      <c r="AZ235" s="322" t="s">
        <v>686</v>
      </c>
      <c r="BA235" s="461">
        <v>1482.4599154299999</v>
      </c>
      <c r="BB235" s="461">
        <v>-2.0709335699999998</v>
      </c>
      <c r="BC235" s="461">
        <v>3345.2881551099999</v>
      </c>
      <c r="BD235" s="461">
        <v>3416.0319066100001</v>
      </c>
      <c r="BE235" s="461">
        <v>2.9542985599999998</v>
      </c>
      <c r="BF235" s="461">
        <v>3.0184890000000002</v>
      </c>
      <c r="BG235" s="461">
        <v>-0.48113236999999998</v>
      </c>
      <c r="BH235" s="461">
        <v>3.8412586900000001</v>
      </c>
      <c r="BI235" s="461">
        <v>3.85982958</v>
      </c>
      <c r="BJ235" s="461">
        <v>-1.68119452</v>
      </c>
      <c r="BK235" s="461">
        <v>-2.1265750300000001</v>
      </c>
      <c r="BL235" s="461">
        <v>0.71451164</v>
      </c>
    </row>
    <row r="236" spans="1:70" ht="15" customHeight="1" x14ac:dyDescent="0.2">
      <c r="A236" s="328">
        <f t="shared" si="100"/>
        <v>62008035</v>
      </c>
      <c r="B236" s="321" t="s">
        <v>629</v>
      </c>
      <c r="C236" s="321" t="s">
        <v>799</v>
      </c>
      <c r="D236" s="352" t="s">
        <v>724</v>
      </c>
      <c r="E236" s="307" t="s">
        <v>913</v>
      </c>
      <c r="F236" s="307" t="str">
        <f t="shared" si="92"/>
        <v>08/13/20</v>
      </c>
      <c r="G236" s="322" t="s">
        <v>914</v>
      </c>
      <c r="H236" s="322" t="s">
        <v>915</v>
      </c>
      <c r="I236" s="330"/>
      <c r="J236" s="324">
        <f>AVERAGE(J234:J235)</f>
        <v>2.9770395000000001</v>
      </c>
      <c r="K236" s="324">
        <f>AVERAGE(K234:K235)</f>
        <v>13.0392875</v>
      </c>
      <c r="L236" s="324">
        <f>AVERAGE(L234:L235)</f>
        <v>29.394038500000001</v>
      </c>
      <c r="M236" s="324">
        <f>AVERAGE(M234:M235)</f>
        <v>10.033734000000001</v>
      </c>
      <c r="N236" s="310"/>
      <c r="O236" s="308"/>
      <c r="P236" s="326"/>
      <c r="Q236" s="325"/>
      <c r="R236" s="311">
        <f>R235+R234</f>
        <v>7.4213208700000006</v>
      </c>
      <c r="S236" s="311">
        <f>S235</f>
        <v>7.4213208700000006</v>
      </c>
      <c r="T236" s="339">
        <f>T234</f>
        <v>20.8</v>
      </c>
      <c r="U236" s="339">
        <f>U235</f>
        <v>17.2</v>
      </c>
      <c r="V236" s="314">
        <f>V234</f>
        <v>45106</v>
      </c>
      <c r="W236" s="314">
        <f>W235</f>
        <v>47099</v>
      </c>
      <c r="X236" s="314">
        <f>SUM(X234:X235)</f>
        <v>1993</v>
      </c>
      <c r="Y236" s="314">
        <f t="shared" si="94"/>
        <v>268.55057676545385</v>
      </c>
      <c r="Z236" s="314">
        <f>Z234</f>
        <v>900.23966199999995</v>
      </c>
      <c r="AA236" s="314">
        <f>AA235</f>
        <v>1042.2690009999999</v>
      </c>
      <c r="AB236" s="314">
        <f>SUM(AB234:AB235)</f>
        <v>142.00924799999996</v>
      </c>
      <c r="AC236" s="312">
        <f t="shared" si="95"/>
        <v>19.13530630026511</v>
      </c>
      <c r="AD236" s="314">
        <f>AD234</f>
        <v>-0.89</v>
      </c>
      <c r="AE236" s="314">
        <f>AE235</f>
        <v>-4.05</v>
      </c>
      <c r="AF236" s="314">
        <f>SUM(AF234:AF235)</f>
        <v>-3.1599999999999997</v>
      </c>
      <c r="AG236" s="312">
        <f t="shared" si="96"/>
        <v>-0.4258002120315274</v>
      </c>
      <c r="AH236" s="314">
        <f>AH234</f>
        <v>4648.8500000000004</v>
      </c>
      <c r="AI236" s="314">
        <f>AI235</f>
        <v>5019.45</v>
      </c>
      <c r="AJ236" s="314">
        <f>SUM(AJ234:AJ235)</f>
        <v>370.54954099999941</v>
      </c>
      <c r="AK236" s="312">
        <f t="shared" si="97"/>
        <v>49.930402887969912</v>
      </c>
      <c r="AL236" s="314">
        <f>AL234</f>
        <v>1210.55</v>
      </c>
      <c r="AM236" s="314">
        <f>AM235</f>
        <v>1235.8499999999999</v>
      </c>
      <c r="AN236" s="314">
        <f>SUM(AN234:AN235)</f>
        <v>25.299999999999955</v>
      </c>
      <c r="AO236" s="312">
        <f t="shared" si="98"/>
        <v>3.409096634303046</v>
      </c>
      <c r="AP236" s="305"/>
      <c r="AQ236" s="305"/>
      <c r="AR236" s="305">
        <f>SUM(AR234:AR235)</f>
        <v>-3.6000000000000014</v>
      </c>
      <c r="AS236" s="314">
        <f>AS234</f>
        <v>19.2</v>
      </c>
      <c r="AT236" s="314">
        <f>AT235</f>
        <v>21.1</v>
      </c>
      <c r="AU236" s="342">
        <f>SUM(AU234:AU235)</f>
        <v>1.9000000000000021</v>
      </c>
      <c r="AV236" s="305"/>
      <c r="AW236" s="305"/>
      <c r="AX236" s="305"/>
      <c r="AY236" s="305"/>
      <c r="AZ236" s="322" t="s">
        <v>686</v>
      </c>
    </row>
    <row r="237" spans="1:70" ht="15" customHeight="1" x14ac:dyDescent="0.2">
      <c r="A237" s="328">
        <f t="shared" si="100"/>
        <v>62008035</v>
      </c>
      <c r="B237" s="321" t="s">
        <v>630</v>
      </c>
      <c r="C237" s="321" t="s">
        <v>778</v>
      </c>
      <c r="D237" s="352" t="s">
        <v>724</v>
      </c>
      <c r="E237" s="307" t="s">
        <v>913</v>
      </c>
      <c r="F237" s="307" t="str">
        <f t="shared" si="92"/>
        <v>08/13/20</v>
      </c>
      <c r="G237" s="322" t="s">
        <v>914</v>
      </c>
      <c r="H237" s="322" t="s">
        <v>915</v>
      </c>
      <c r="I237" s="330"/>
      <c r="J237" s="323">
        <v>6.8826910000000003</v>
      </c>
      <c r="K237" s="323">
        <v>8.7691940000000006</v>
      </c>
      <c r="L237" s="323">
        <v>29.392014</v>
      </c>
      <c r="M237" s="323">
        <v>13.433789000000001</v>
      </c>
      <c r="N237" s="308">
        <v>4250</v>
      </c>
      <c r="O237" s="308">
        <v>30.36</v>
      </c>
      <c r="P237" s="308">
        <v>0.3201</v>
      </c>
      <c r="Q237" s="308">
        <v>1.9560000000000001E-2</v>
      </c>
      <c r="R237" s="309">
        <v>10.245492349999999</v>
      </c>
      <c r="S237" s="309">
        <f>R237+R236</f>
        <v>17.666813220000002</v>
      </c>
      <c r="T237" s="338">
        <v>17.2</v>
      </c>
      <c r="U237" s="338">
        <v>12.7</v>
      </c>
      <c r="V237" s="313">
        <v>47103</v>
      </c>
      <c r="W237" s="313">
        <v>49627</v>
      </c>
      <c r="X237" s="313">
        <f>W237-V237</f>
        <v>2524</v>
      </c>
      <c r="Y237" s="313">
        <f t="shared" si="94"/>
        <v>246.35224094428222</v>
      </c>
      <c r="Z237" s="332">
        <v>1043.9087549999999</v>
      </c>
      <c r="AA237" s="313">
        <v>1106.0985109999999</v>
      </c>
      <c r="AB237" s="313">
        <f>AA237-Z237</f>
        <v>62.189755999999988</v>
      </c>
      <c r="AC237" s="331">
        <f t="shared" si="95"/>
        <v>6.0699626602132</v>
      </c>
      <c r="AD237" s="332">
        <v>-4.0599999999999996</v>
      </c>
      <c r="AE237" s="313">
        <v>-4.5999999999999996</v>
      </c>
      <c r="AF237" s="313">
        <f>AE237-AD237</f>
        <v>-0.54</v>
      </c>
      <c r="AG237" s="331">
        <f t="shared" si="96"/>
        <v>-5.2706105431819493E-2</v>
      </c>
      <c r="AH237" s="332">
        <v>5022.05</v>
      </c>
      <c r="AI237" s="313">
        <v>5151.75</v>
      </c>
      <c r="AJ237" s="313">
        <f>AI237-AH237</f>
        <v>129.69999999999982</v>
      </c>
      <c r="AK237" s="331">
        <f t="shared" si="97"/>
        <v>12.659225693531441</v>
      </c>
      <c r="AL237" s="332">
        <v>1235.8499999999999</v>
      </c>
      <c r="AM237" s="313">
        <v>1240.05</v>
      </c>
      <c r="AN237" s="313">
        <f>AM237-AL237</f>
        <v>4.2000000000000455</v>
      </c>
      <c r="AO237" s="331">
        <f t="shared" si="98"/>
        <v>0.40993637558082269</v>
      </c>
      <c r="AP237" s="303">
        <v>17.2</v>
      </c>
      <c r="AQ237" s="303">
        <v>12.7</v>
      </c>
      <c r="AR237" s="303">
        <f>AQ237-AP237</f>
        <v>-4.5</v>
      </c>
      <c r="AS237" s="332">
        <v>21.2</v>
      </c>
      <c r="AT237" s="313">
        <v>22.2</v>
      </c>
      <c r="AU237" s="341">
        <f>AT237-AS237</f>
        <v>1</v>
      </c>
      <c r="AV237" s="303"/>
      <c r="AW237" s="303"/>
      <c r="AX237" s="303"/>
      <c r="AY237" s="303"/>
      <c r="AZ237" s="322" t="s">
        <v>686</v>
      </c>
      <c r="BA237" s="461">
        <v>1945.0855546099999</v>
      </c>
      <c r="BB237" s="461">
        <v>-0.80873110000000004</v>
      </c>
      <c r="BC237" s="461">
        <v>1296.13671776</v>
      </c>
      <c r="BD237" s="461">
        <v>1306.7044429699999</v>
      </c>
      <c r="BE237" s="461">
        <v>7.9725917400000004</v>
      </c>
      <c r="BF237" s="461">
        <v>8.0200068699999996</v>
      </c>
      <c r="BG237" s="461">
        <v>-0.10826489</v>
      </c>
      <c r="BH237" s="461">
        <v>10.245576030000001</v>
      </c>
      <c r="BI237" s="461">
        <v>10.25668041</v>
      </c>
      <c r="BJ237" s="461">
        <v>-0.48581788999999997</v>
      </c>
      <c r="BK237" s="461">
        <v>-0.59121056999999999</v>
      </c>
      <c r="BL237" s="461">
        <v>0.28276378000000002</v>
      </c>
    </row>
    <row r="238" spans="1:70" ht="15" customHeight="1" x14ac:dyDescent="0.2">
      <c r="A238" s="328">
        <v>62008036</v>
      </c>
      <c r="B238" s="321" t="s">
        <v>896</v>
      </c>
      <c r="C238" s="321" t="s">
        <v>773</v>
      </c>
      <c r="D238" s="352" t="s">
        <v>727</v>
      </c>
      <c r="E238" s="307" t="s">
        <v>916</v>
      </c>
      <c r="F238" s="307" t="str">
        <f t="shared" si="92"/>
        <v>08/13/20</v>
      </c>
      <c r="G238" s="322" t="s">
        <v>917</v>
      </c>
      <c r="H238" s="322" t="s">
        <v>918</v>
      </c>
      <c r="I238" s="330"/>
      <c r="J238" s="323">
        <v>-0.70993799999999996</v>
      </c>
      <c r="K238" s="323">
        <v>7.4219210000000002</v>
      </c>
      <c r="L238" s="323">
        <v>29.368100999999999</v>
      </c>
      <c r="M238" s="323">
        <v>10.352682</v>
      </c>
      <c r="N238" s="308">
        <v>4250</v>
      </c>
      <c r="O238" s="308">
        <v>30.36</v>
      </c>
      <c r="P238" s="308">
        <v>0.3201</v>
      </c>
      <c r="Q238" s="308">
        <v>1.9560000000000001E-2</v>
      </c>
      <c r="R238" s="309">
        <v>18.7990827</v>
      </c>
      <c r="S238" s="309">
        <f>R238+R237</f>
        <v>29.044575049999999</v>
      </c>
      <c r="T238" s="338">
        <v>12.7</v>
      </c>
      <c r="U238" s="338">
        <v>0.9</v>
      </c>
      <c r="V238" s="313">
        <v>49642</v>
      </c>
      <c r="W238" s="313">
        <v>55726</v>
      </c>
      <c r="X238" s="313">
        <f>W238-V238</f>
        <v>6084</v>
      </c>
      <c r="Y238" s="313">
        <f t="shared" si="94"/>
        <v>323.63281214779698</v>
      </c>
      <c r="Z238" s="332">
        <v>1114.2168839999999</v>
      </c>
      <c r="AA238" s="313">
        <v>1194.01</v>
      </c>
      <c r="AB238" s="313">
        <f>AA238-Z238</f>
        <v>79.793116000000055</v>
      </c>
      <c r="AC238" s="331">
        <f t="shared" si="95"/>
        <v>4.2445217819058829</v>
      </c>
      <c r="AD238" s="332">
        <v>-0.69688399999999995</v>
      </c>
      <c r="AE238" s="313">
        <v>-0.45</v>
      </c>
      <c r="AF238" s="313">
        <f>AE238-AD238</f>
        <v>0.24688399999999994</v>
      </c>
      <c r="AG238" s="331">
        <f t="shared" si="96"/>
        <v>1.3132768440877168E-2</v>
      </c>
      <c r="AH238" s="332">
        <v>5157.8999999999996</v>
      </c>
      <c r="AI238" s="313">
        <v>5695.65</v>
      </c>
      <c r="AJ238" s="313">
        <f>AI238-AH238</f>
        <v>537.75</v>
      </c>
      <c r="AK238" s="331">
        <f t="shared" si="97"/>
        <v>28.605119121051583</v>
      </c>
      <c r="AL238" s="332">
        <v>1243.234436</v>
      </c>
      <c r="AM238" s="313">
        <v>1367.95</v>
      </c>
      <c r="AN238" s="313">
        <f>AM238-AL238</f>
        <v>124.71556400000009</v>
      </c>
      <c r="AO238" s="331">
        <f t="shared" si="98"/>
        <v>6.6341302918998322</v>
      </c>
      <c r="AP238" s="303">
        <v>12.7</v>
      </c>
      <c r="AQ238" s="303">
        <v>0.9</v>
      </c>
      <c r="AR238" s="303">
        <f>AQ238-AP238</f>
        <v>-11.799999999999999</v>
      </c>
      <c r="AS238" s="332">
        <v>28.9</v>
      </c>
      <c r="AT238" s="313">
        <v>30.5</v>
      </c>
      <c r="AU238" s="341">
        <f>AT238-AS238</f>
        <v>1.6000000000000014</v>
      </c>
      <c r="AV238" s="303"/>
      <c r="AW238" s="303"/>
      <c r="AX238" s="303"/>
      <c r="AY238" s="303"/>
      <c r="AZ238" s="322" t="s">
        <v>686</v>
      </c>
      <c r="BA238" s="461">
        <v>117.0337335</v>
      </c>
      <c r="BB238" s="461">
        <v>7.6887378499999999</v>
      </c>
      <c r="BC238" s="461">
        <v>625.83525378000002</v>
      </c>
      <c r="BD238" s="461">
        <v>581.15200000000004</v>
      </c>
      <c r="BE238" s="461">
        <v>17.259373109999999</v>
      </c>
      <c r="BF238" s="461">
        <v>20.237916030000001</v>
      </c>
      <c r="BG238" s="461">
        <v>-7.74101514</v>
      </c>
      <c r="BH238" s="461">
        <v>18.799239830000001</v>
      </c>
      <c r="BI238" s="461">
        <v>20.376595139999999</v>
      </c>
      <c r="BJ238" s="461">
        <v>-8.1806144799999991</v>
      </c>
      <c r="BK238" s="461">
        <v>-14.717636519999999</v>
      </c>
      <c r="BL238" s="461">
        <v>4.0818E-2</v>
      </c>
    </row>
    <row r="239" spans="1:70" ht="15" customHeight="1" x14ac:dyDescent="0.2">
      <c r="A239" s="328">
        <v>62008037</v>
      </c>
      <c r="B239" s="367" t="s">
        <v>645</v>
      </c>
      <c r="C239" s="321" t="s">
        <v>773</v>
      </c>
      <c r="D239" s="352" t="s">
        <v>923</v>
      </c>
      <c r="E239" s="307" t="s">
        <v>924</v>
      </c>
      <c r="F239" s="307" t="str">
        <f t="shared" si="92"/>
        <v>08/13/20</v>
      </c>
      <c r="G239" s="322" t="s">
        <v>925</v>
      </c>
      <c r="H239" s="322" t="s">
        <v>685</v>
      </c>
      <c r="I239" s="330"/>
      <c r="J239" s="323">
        <v>212.01391000000001</v>
      </c>
      <c r="K239" s="323">
        <v>-236.06244899999999</v>
      </c>
      <c r="L239" s="323">
        <v>-921.610592</v>
      </c>
      <c r="M239" s="323">
        <v>221.828644</v>
      </c>
      <c r="N239" s="308">
        <v>4250</v>
      </c>
      <c r="O239" s="308">
        <v>30.36</v>
      </c>
      <c r="P239" s="308">
        <v>0.3201</v>
      </c>
      <c r="Q239" s="308">
        <v>1.9560000000000001E-2</v>
      </c>
      <c r="R239" s="309">
        <v>2.1771990000000001E-2</v>
      </c>
      <c r="S239" s="309">
        <f>R239+R238</f>
        <v>18.820854690000001</v>
      </c>
      <c r="T239" s="338">
        <v>0</v>
      </c>
      <c r="U239" s="338">
        <v>0</v>
      </c>
      <c r="V239" s="313">
        <v>55726</v>
      </c>
      <c r="W239" s="313">
        <v>-4289</v>
      </c>
      <c r="X239" s="313">
        <f>W239-V239</f>
        <v>-60015</v>
      </c>
      <c r="Y239" s="313">
        <f>X239/$R239</f>
        <v>-2756523.404612991</v>
      </c>
      <c r="Z239" s="332">
        <v>1194.74</v>
      </c>
      <c r="AA239" s="313">
        <v>1624.06</v>
      </c>
      <c r="AB239" s="313">
        <f>AA239-Z239</f>
        <v>429.31999999999994</v>
      </c>
      <c r="AC239" s="331">
        <f>AB239/$R239</f>
        <v>19718.914072622665</v>
      </c>
      <c r="AD239" s="332">
        <v>2.33</v>
      </c>
      <c r="AE239" s="313">
        <v>-3.66</v>
      </c>
      <c r="AF239" s="313">
        <f>AE239-AD239</f>
        <v>-5.99</v>
      </c>
      <c r="AG239" s="331">
        <f>AF239/$R239</f>
        <v>-275.12413885914884</v>
      </c>
      <c r="AH239" s="332">
        <v>5695.65</v>
      </c>
      <c r="AI239" s="313">
        <v>5695.65</v>
      </c>
      <c r="AJ239" s="313">
        <f>AI239-AH239</f>
        <v>0</v>
      </c>
      <c r="AK239" s="331">
        <f>AJ239/$R239</f>
        <v>0</v>
      </c>
      <c r="AL239" s="332">
        <v>1367.95</v>
      </c>
      <c r="AM239" s="313">
        <v>1367.95</v>
      </c>
      <c r="AN239" s="313">
        <f>AM239-AL239</f>
        <v>0</v>
      </c>
      <c r="AO239" s="331">
        <f>AN239/$R239</f>
        <v>0</v>
      </c>
      <c r="AP239" s="303">
        <v>0</v>
      </c>
      <c r="AQ239" s="303">
        <v>0</v>
      </c>
      <c r="AR239" s="303">
        <f>AQ239-AP239</f>
        <v>0</v>
      </c>
      <c r="AS239" s="332">
        <v>41.1</v>
      </c>
      <c r="AT239" s="313">
        <v>66245.5</v>
      </c>
      <c r="AU239" s="341">
        <f>AT239-AS239</f>
        <v>66204.399999999994</v>
      </c>
      <c r="AV239" s="303"/>
      <c r="AW239" s="303"/>
      <c r="AX239" s="303"/>
      <c r="AY239" s="303"/>
      <c r="AZ239" s="322" t="s">
        <v>686</v>
      </c>
      <c r="BA239" s="461">
        <v>0</v>
      </c>
      <c r="BB239" s="461" t="s">
        <v>691</v>
      </c>
      <c r="BC239" s="461">
        <v>0</v>
      </c>
      <c r="BD239" s="461">
        <v>0</v>
      </c>
      <c r="BE239" s="461">
        <v>0</v>
      </c>
      <c r="BF239" s="461">
        <v>0</v>
      </c>
      <c r="BG239" s="461" t="s">
        <v>691</v>
      </c>
      <c r="BH239" s="461">
        <v>0</v>
      </c>
      <c r="BI239" s="461">
        <v>0</v>
      </c>
      <c r="BJ239" s="461" t="s">
        <v>691</v>
      </c>
      <c r="BK239" s="461" t="s">
        <v>691</v>
      </c>
      <c r="BL239" s="461" t="s">
        <v>691</v>
      </c>
    </row>
    <row r="240" spans="1:70" ht="15" customHeight="1" x14ac:dyDescent="0.2">
      <c r="A240" s="485" t="s">
        <v>920</v>
      </c>
      <c r="B240" s="362"/>
      <c r="C240" s="363"/>
      <c r="D240" s="363"/>
      <c r="E240" s="363"/>
      <c r="F240" s="363"/>
      <c r="G240" s="363"/>
      <c r="H240" s="362"/>
      <c r="I240" s="362"/>
      <c r="J240" s="373"/>
      <c r="K240" s="374"/>
      <c r="L240" s="362"/>
      <c r="M240" s="362"/>
      <c r="N240" s="362"/>
      <c r="O240" s="362"/>
      <c r="P240" s="362"/>
      <c r="Q240" s="362"/>
      <c r="R240" s="362"/>
      <c r="S240" s="362"/>
      <c r="T240" s="362"/>
      <c r="U240" s="362"/>
      <c r="V240" s="362"/>
      <c r="W240" s="362"/>
      <c r="X240" s="362"/>
      <c r="Y240" s="362"/>
      <c r="Z240" s="362"/>
      <c r="AA240" s="362"/>
      <c r="AB240" s="362"/>
      <c r="AC240" s="362"/>
      <c r="AD240" s="362"/>
      <c r="AE240" s="362"/>
      <c r="AF240" s="362"/>
      <c r="AG240" s="362"/>
      <c r="AH240" s="362"/>
      <c r="AI240" s="362"/>
      <c r="AJ240" s="362"/>
      <c r="AK240" s="362"/>
      <c r="AL240" s="362"/>
      <c r="AM240" s="362"/>
      <c r="AN240" s="362"/>
      <c r="AO240" s="362"/>
      <c r="AP240" s="362"/>
      <c r="AQ240" s="362"/>
      <c r="AR240" s="362"/>
      <c r="AS240" s="362"/>
      <c r="AT240" s="362"/>
      <c r="AU240" s="362"/>
      <c r="AV240" s="362"/>
      <c r="AW240" s="362"/>
      <c r="AX240" s="362"/>
      <c r="AY240" s="362"/>
      <c r="AZ240" s="362"/>
      <c r="BA240" s="362"/>
      <c r="BB240" s="362"/>
      <c r="BC240" s="362"/>
      <c r="BD240" s="362"/>
      <c r="BE240" s="362"/>
      <c r="BF240" s="375"/>
      <c r="BG240" s="362"/>
      <c r="BH240" s="362"/>
      <c r="BI240" s="362"/>
      <c r="BJ240" s="362"/>
      <c r="BK240" s="362"/>
      <c r="BL240" s="362"/>
      <c r="BM240" s="362"/>
      <c r="BN240" s="362"/>
      <c r="BO240" s="362"/>
      <c r="BP240" s="362"/>
      <c r="BQ240" s="362"/>
      <c r="BR240" s="366"/>
    </row>
    <row r="241" spans="1:70" ht="15" customHeight="1" x14ac:dyDescent="0.2">
      <c r="A241" s="328">
        <v>62008038</v>
      </c>
      <c r="B241" s="321" t="s">
        <v>922</v>
      </c>
      <c r="C241" s="321" t="s">
        <v>784</v>
      </c>
      <c r="D241" s="352" t="s">
        <v>926</v>
      </c>
      <c r="E241" s="307" t="s">
        <v>927</v>
      </c>
      <c r="F241" s="307" t="str">
        <f t="shared" si="92"/>
        <v>08/14/20</v>
      </c>
      <c r="G241" s="322" t="s">
        <v>928</v>
      </c>
      <c r="H241" s="322" t="s">
        <v>929</v>
      </c>
      <c r="I241" s="330"/>
      <c r="J241" s="323">
        <v>7.6321510000000004</v>
      </c>
      <c r="K241" s="323">
        <v>-9.0321929999999995</v>
      </c>
      <c r="L241" s="323">
        <v>-30.277032999999999</v>
      </c>
      <c r="M241" s="323">
        <v>8.6959119999999999</v>
      </c>
      <c r="N241" s="308">
        <v>4250</v>
      </c>
      <c r="O241" s="308">
        <v>30.36</v>
      </c>
      <c r="P241" s="308">
        <v>0.3201</v>
      </c>
      <c r="Q241" s="308">
        <v>1.9560000000000001E-2</v>
      </c>
      <c r="R241" s="309">
        <v>2.64592E-3</v>
      </c>
      <c r="S241" s="309">
        <f>R241+R240</f>
        <v>2.64592E-3</v>
      </c>
      <c r="T241" s="338" t="s">
        <v>1011</v>
      </c>
      <c r="U241" s="338" t="s">
        <v>1012</v>
      </c>
      <c r="V241" s="313">
        <v>-4289</v>
      </c>
      <c r="W241" s="313">
        <v>-4289</v>
      </c>
      <c r="X241" s="313">
        <f>W241-V241</f>
        <v>0</v>
      </c>
      <c r="Y241" s="313">
        <f>X241/$R241</f>
        <v>0</v>
      </c>
      <c r="Z241" s="332">
        <v>1624.28</v>
      </c>
      <c r="AA241" s="313">
        <v>1624.62</v>
      </c>
      <c r="AB241" s="313">
        <f>AA241-Z241</f>
        <v>0.33999999999991815</v>
      </c>
      <c r="AC241" s="331">
        <f>AB241/$R241</f>
        <v>128.49972788289824</v>
      </c>
      <c r="AD241" s="332">
        <v>3.23</v>
      </c>
      <c r="AE241" s="313">
        <v>3.74</v>
      </c>
      <c r="AF241" s="313">
        <f>AE241-AD241</f>
        <v>0.51000000000000023</v>
      </c>
      <c r="AG241" s="331">
        <f>AF241/$R241</f>
        <v>192.74959182439386</v>
      </c>
      <c r="AH241" s="332">
        <v>5695.65</v>
      </c>
      <c r="AI241" s="313">
        <v>5695.65</v>
      </c>
      <c r="AJ241" s="313">
        <f>AI241-AH241</f>
        <v>0</v>
      </c>
      <c r="AK241" s="331">
        <f>AJ241/$R241</f>
        <v>0</v>
      </c>
      <c r="AL241" s="332">
        <v>1367.95</v>
      </c>
      <c r="AM241" s="313">
        <v>1367.95</v>
      </c>
      <c r="AN241" s="313">
        <f>AM241-AL241</f>
        <v>0</v>
      </c>
      <c r="AO241" s="331">
        <f>AN241/$R241</f>
        <v>0</v>
      </c>
      <c r="AP241" s="303" t="s">
        <v>1011</v>
      </c>
      <c r="AQ241" s="303" t="s">
        <v>1013</v>
      </c>
      <c r="AR241" s="303" t="e">
        <f>AQ241-AP241</f>
        <v>#VALUE!</v>
      </c>
      <c r="AS241" s="332">
        <v>66248.600000000006</v>
      </c>
      <c r="AT241" s="313">
        <v>66253.399999999994</v>
      </c>
      <c r="AU241" s="341">
        <f>AT241-AS241</f>
        <v>4.7999999999883585</v>
      </c>
      <c r="AV241" s="303"/>
      <c r="AW241" s="303"/>
      <c r="AX241" s="303"/>
      <c r="AY241" s="303"/>
      <c r="AZ241" s="322" t="s">
        <v>714</v>
      </c>
      <c r="BA241" s="461">
        <v>0</v>
      </c>
      <c r="BB241" s="461" t="s">
        <v>691</v>
      </c>
      <c r="BC241" s="461">
        <v>0</v>
      </c>
      <c r="BD241" s="461">
        <v>0</v>
      </c>
      <c r="BE241" s="461">
        <v>0</v>
      </c>
      <c r="BF241" s="461">
        <v>0</v>
      </c>
      <c r="BG241" s="461" t="s">
        <v>691</v>
      </c>
      <c r="BH241" s="461">
        <v>0</v>
      </c>
      <c r="BI241" s="461">
        <v>0</v>
      </c>
      <c r="BJ241" s="461" t="s">
        <v>691</v>
      </c>
      <c r="BK241" s="461" t="s">
        <v>691</v>
      </c>
      <c r="BL241" s="461" t="s">
        <v>691</v>
      </c>
    </row>
    <row r="242" spans="1:70" ht="15" customHeight="1" x14ac:dyDescent="0.2">
      <c r="A242" s="328">
        <v>62008039</v>
      </c>
      <c r="B242" s="321" t="s">
        <v>921</v>
      </c>
      <c r="C242" s="321" t="s">
        <v>784</v>
      </c>
      <c r="D242" s="352" t="s">
        <v>930</v>
      </c>
      <c r="E242" s="307" t="s">
        <v>931</v>
      </c>
      <c r="F242" s="307" t="str">
        <f t="shared" si="92"/>
        <v>08/14/20</v>
      </c>
      <c r="G242" s="322" t="s">
        <v>932</v>
      </c>
      <c r="H242" s="322" t="s">
        <v>685</v>
      </c>
      <c r="I242" s="330"/>
      <c r="J242" s="323">
        <v>8.9133490000000002</v>
      </c>
      <c r="K242" s="323">
        <v>-10.591101</v>
      </c>
      <c r="L242" s="323">
        <v>-36.406948</v>
      </c>
      <c r="M242" s="323">
        <v>10.105019</v>
      </c>
      <c r="N242" s="308">
        <v>4250</v>
      </c>
      <c r="O242" s="308">
        <v>30.36</v>
      </c>
      <c r="P242" s="308">
        <v>0.3201</v>
      </c>
      <c r="Q242" s="308">
        <v>1.9560000000000001E-2</v>
      </c>
      <c r="R242" s="309">
        <v>2.2877700000000002E-3</v>
      </c>
      <c r="S242" s="309">
        <f>R242+R241</f>
        <v>4.9336900000000001E-3</v>
      </c>
      <c r="T242" s="338">
        <v>0</v>
      </c>
      <c r="U242" s="338">
        <v>96.1</v>
      </c>
      <c r="V242" s="313">
        <v>-4289</v>
      </c>
      <c r="W242" s="313">
        <v>-7048</v>
      </c>
      <c r="X242" s="313">
        <f>W242-V242</f>
        <v>-2759</v>
      </c>
      <c r="Y242" s="313">
        <f t="shared" ref="Y242:Y252" si="101">X242/$R242</f>
        <v>-1205977.8736498861</v>
      </c>
      <c r="Z242" s="332">
        <v>1624.65</v>
      </c>
      <c r="AA242" s="313">
        <v>1803.595658</v>
      </c>
      <c r="AB242" s="313">
        <f>AA242-Z242</f>
        <v>178.94565799999987</v>
      </c>
      <c r="AC242" s="331">
        <f t="shared" ref="AC242:AC252" si="102">AB242/$R242</f>
        <v>78218.377721536628</v>
      </c>
      <c r="AD242" s="332">
        <v>3.77</v>
      </c>
      <c r="AE242" s="313">
        <v>-4.05</v>
      </c>
      <c r="AF242" s="313">
        <f>AE242-AD242</f>
        <v>-7.82</v>
      </c>
      <c r="AG242" s="331">
        <f t="shared" ref="AG242:AG252" si="103">AF242/$R242</f>
        <v>-3418.1757781595174</v>
      </c>
      <c r="AH242" s="332">
        <v>5695.65</v>
      </c>
      <c r="AI242" s="313">
        <v>5695.65</v>
      </c>
      <c r="AJ242" s="313">
        <f>AI242-AH242</f>
        <v>0</v>
      </c>
      <c r="AK242" s="331">
        <f t="shared" ref="AK242:AK252" si="104">AJ242/$R242</f>
        <v>0</v>
      </c>
      <c r="AL242" s="332">
        <v>1367.95</v>
      </c>
      <c r="AM242" s="313">
        <v>4751</v>
      </c>
      <c r="AN242" s="313">
        <f>AM242-AL242</f>
        <v>3383.05</v>
      </c>
      <c r="AO242" s="331">
        <f t="shared" ref="AO242:AO252" si="105">AN242/$R242</f>
        <v>1478754.4202432937</v>
      </c>
      <c r="AP242" s="303">
        <v>0</v>
      </c>
      <c r="AQ242" s="303">
        <v>96.1</v>
      </c>
      <c r="AR242" s="303">
        <f>AQ242-AP242</f>
        <v>96.1</v>
      </c>
      <c r="AS242" s="332">
        <v>66253.8</v>
      </c>
      <c r="AT242" s="313">
        <v>69448.2</v>
      </c>
      <c r="AU242" s="341">
        <f>AT242-AS242</f>
        <v>3194.3999999999942</v>
      </c>
      <c r="AV242" s="303"/>
      <c r="AW242" s="303"/>
      <c r="AX242" s="303"/>
      <c r="AY242" s="303"/>
      <c r="AZ242" s="322" t="s">
        <v>686</v>
      </c>
      <c r="BA242" s="461">
        <v>0</v>
      </c>
      <c r="BB242" s="461" t="s">
        <v>691</v>
      </c>
      <c r="BC242" s="461">
        <v>0</v>
      </c>
      <c r="BD242" s="461">
        <v>0</v>
      </c>
      <c r="BE242" s="461">
        <v>0</v>
      </c>
      <c r="BF242" s="461">
        <v>0</v>
      </c>
      <c r="BG242" s="461" t="s">
        <v>691</v>
      </c>
      <c r="BH242" s="461">
        <v>0</v>
      </c>
      <c r="BI242" s="461">
        <v>0</v>
      </c>
      <c r="BJ242" s="461" t="s">
        <v>691</v>
      </c>
      <c r="BK242" s="461" t="s">
        <v>691</v>
      </c>
      <c r="BL242" s="461" t="s">
        <v>691</v>
      </c>
    </row>
    <row r="243" spans="1:70" ht="15" customHeight="1" x14ac:dyDescent="0.2">
      <c r="A243" s="328">
        <v>62008039</v>
      </c>
      <c r="B243" s="321" t="s">
        <v>627</v>
      </c>
      <c r="C243" s="321" t="s">
        <v>773</v>
      </c>
      <c r="D243" s="352" t="s">
        <v>930</v>
      </c>
      <c r="E243" s="307" t="s">
        <v>931</v>
      </c>
      <c r="F243" s="307" t="str">
        <f t="shared" si="92"/>
        <v>08/14/20</v>
      </c>
      <c r="G243" s="322" t="s">
        <v>932</v>
      </c>
      <c r="H243" s="322" t="s">
        <v>685</v>
      </c>
      <c r="I243" s="330"/>
      <c r="J243" s="323">
        <v>-5.5664049999999996</v>
      </c>
      <c r="K243" s="323">
        <v>7.5712169999999999</v>
      </c>
      <c r="L243" s="323">
        <v>29.318673</v>
      </c>
      <c r="M243" s="323">
        <v>2.9262950000000001</v>
      </c>
      <c r="N243" s="308">
        <v>4250</v>
      </c>
      <c r="O243" s="308">
        <v>30.36</v>
      </c>
      <c r="P243" s="308">
        <v>0.3201</v>
      </c>
      <c r="Q243" s="308">
        <v>1.9560000000000001E-2</v>
      </c>
      <c r="R243" s="309">
        <v>3.57965723</v>
      </c>
      <c r="S243" s="309">
        <f>R243+R242</f>
        <v>3.5819450000000002</v>
      </c>
      <c r="T243" s="338">
        <v>96.1</v>
      </c>
      <c r="U243" s="338">
        <v>94</v>
      </c>
      <c r="V243" s="313">
        <v>-7048</v>
      </c>
      <c r="W243" s="313">
        <v>-5765</v>
      </c>
      <c r="X243" s="313">
        <f>W243-V243</f>
        <v>1283</v>
      </c>
      <c r="Y243" s="313">
        <f t="shared" si="101"/>
        <v>358.41420492654265</v>
      </c>
      <c r="Z243" s="332">
        <v>1803.61</v>
      </c>
      <c r="AA243" s="313">
        <v>1857.13</v>
      </c>
      <c r="AB243" s="313">
        <f>AA243-Z243</f>
        <v>53.520000000000209</v>
      </c>
      <c r="AC243" s="331">
        <f t="shared" si="102"/>
        <v>14.951152180567917</v>
      </c>
      <c r="AD243" s="332">
        <v>-4.05</v>
      </c>
      <c r="AE243" s="313">
        <v>-4.72</v>
      </c>
      <c r="AF243" s="313">
        <f>AE243-AD243</f>
        <v>-0.66999999999999993</v>
      </c>
      <c r="AG243" s="331">
        <f t="shared" si="103"/>
        <v>-0.18716875861323737</v>
      </c>
      <c r="AH243" s="332">
        <v>5695.65</v>
      </c>
      <c r="AI243" s="313">
        <v>5940.45</v>
      </c>
      <c r="AJ243" s="313">
        <f>AI243-AH243</f>
        <v>244.80000000000018</v>
      </c>
      <c r="AK243" s="331">
        <f t="shared" si="104"/>
        <v>68.386435982866487</v>
      </c>
      <c r="AL243" s="332">
        <v>4751</v>
      </c>
      <c r="AM243" s="313">
        <v>4861.3500000000004</v>
      </c>
      <c r="AN243" s="313">
        <f>AM243-AL243</f>
        <v>110.35000000000036</v>
      </c>
      <c r="AO243" s="331">
        <f t="shared" si="105"/>
        <v>30.826973899956439</v>
      </c>
      <c r="AP243" s="303">
        <v>96.1</v>
      </c>
      <c r="AQ243" s="303">
        <v>94</v>
      </c>
      <c r="AR243" s="303">
        <f>AQ243-AP243</f>
        <v>-2.0999999999999943</v>
      </c>
      <c r="AS243" s="332">
        <v>69448.2</v>
      </c>
      <c r="AT243" s="313">
        <v>69448.899999999994</v>
      </c>
      <c r="AU243" s="341">
        <f>AT243-AS243</f>
        <v>0.69999999999708962</v>
      </c>
      <c r="AV243" s="303"/>
      <c r="AW243" s="303"/>
      <c r="AX243" s="303"/>
      <c r="AY243" s="303"/>
      <c r="AZ243" s="322" t="s">
        <v>686</v>
      </c>
      <c r="BA243" s="461">
        <v>2414.6647538699999</v>
      </c>
      <c r="BB243" s="461">
        <v>-1.7144003699999999</v>
      </c>
      <c r="BC243" s="461">
        <v>2013.5358674399999</v>
      </c>
      <c r="BD243" s="461">
        <v>2048.6580690300002</v>
      </c>
      <c r="BE243" s="461">
        <v>3.2160773900000001</v>
      </c>
      <c r="BF243" s="461">
        <v>3.25828579</v>
      </c>
      <c r="BG243" s="461">
        <v>-0.31630841999999998</v>
      </c>
      <c r="BH243" s="461">
        <v>3.5796206399999999</v>
      </c>
      <c r="BI243" s="461">
        <v>3.59097921</v>
      </c>
      <c r="BJ243" s="461">
        <v>-0.99195904000000001</v>
      </c>
      <c r="BK243" s="461">
        <v>-1.29541744</v>
      </c>
      <c r="BL243" s="461">
        <v>0.59036409999999995</v>
      </c>
    </row>
    <row r="244" spans="1:70" ht="15" customHeight="1" x14ac:dyDescent="0.2">
      <c r="A244" s="328">
        <v>62008039</v>
      </c>
      <c r="B244" s="321" t="s">
        <v>894</v>
      </c>
      <c r="C244" s="321" t="s">
        <v>774</v>
      </c>
      <c r="D244" s="352" t="s">
        <v>930</v>
      </c>
      <c r="E244" s="307" t="s">
        <v>931</v>
      </c>
      <c r="F244" s="307" t="str">
        <f t="shared" si="92"/>
        <v>08/14/20</v>
      </c>
      <c r="G244" s="322" t="s">
        <v>932</v>
      </c>
      <c r="H244" s="322" t="s">
        <v>685</v>
      </c>
      <c r="I244" s="330"/>
      <c r="J244" s="323">
        <v>-6.4180339999999996</v>
      </c>
      <c r="K244" s="323">
        <v>7.6074999999999999</v>
      </c>
      <c r="L244" s="323">
        <v>29.318595999999999</v>
      </c>
      <c r="M244" s="323">
        <v>7.014443</v>
      </c>
      <c r="N244" s="308">
        <v>4250</v>
      </c>
      <c r="O244" s="308">
        <v>30.36</v>
      </c>
      <c r="P244" s="308">
        <v>0.3201</v>
      </c>
      <c r="Q244" s="308">
        <v>1.9560000000000001E-2</v>
      </c>
      <c r="R244" s="309">
        <v>3.8406158600000002</v>
      </c>
      <c r="S244" s="309">
        <f>R244+R243</f>
        <v>7.4202730900000002</v>
      </c>
      <c r="T244" s="338">
        <v>94</v>
      </c>
      <c r="U244" s="338">
        <v>92</v>
      </c>
      <c r="V244" s="313">
        <v>-5765</v>
      </c>
      <c r="W244" s="313">
        <v>-4521</v>
      </c>
      <c r="X244" s="313">
        <f>W244-V244</f>
        <v>1244</v>
      </c>
      <c r="Y244" s="313">
        <f t="shared" si="101"/>
        <v>323.90638515980089</v>
      </c>
      <c r="Z244" s="332">
        <v>1857.145491</v>
      </c>
      <c r="AA244" s="313">
        <v>1950.814897</v>
      </c>
      <c r="AB244" s="313">
        <f>AA244-Z244</f>
        <v>93.669405999999981</v>
      </c>
      <c r="AC244" s="331">
        <f t="shared" si="102"/>
        <v>24.389162940133247</v>
      </c>
      <c r="AD244" s="332">
        <v>-4.72</v>
      </c>
      <c r="AE244" s="313">
        <v>-5.28</v>
      </c>
      <c r="AF244" s="313">
        <f>AE244-AD244</f>
        <v>-0.5600000000000005</v>
      </c>
      <c r="AG244" s="331">
        <f t="shared" si="103"/>
        <v>-0.14580994830344748</v>
      </c>
      <c r="AH244" s="332">
        <v>5940.55</v>
      </c>
      <c r="AI244" s="313">
        <v>6344.5244730000004</v>
      </c>
      <c r="AJ244" s="313">
        <f>AI244-AH244</f>
        <v>403.97447300000022</v>
      </c>
      <c r="AK244" s="331">
        <f t="shared" si="104"/>
        <v>105.18481611436145</v>
      </c>
      <c r="AL244" s="332">
        <v>4861.3500000000004</v>
      </c>
      <c r="AM244" s="313">
        <v>4911.05</v>
      </c>
      <c r="AN244" s="313">
        <f>AM244-AL244</f>
        <v>49.699999999999818</v>
      </c>
      <c r="AO244" s="331">
        <f t="shared" si="105"/>
        <v>12.940632911930905</v>
      </c>
      <c r="AP244" s="303">
        <v>94</v>
      </c>
      <c r="AQ244" s="303">
        <v>92</v>
      </c>
      <c r="AR244" s="303">
        <f>AQ244-AP244</f>
        <v>-2</v>
      </c>
      <c r="AS244" s="332">
        <v>69448.899999999994</v>
      </c>
      <c r="AT244" s="313">
        <v>69450.100000000006</v>
      </c>
      <c r="AU244" s="341">
        <f>AT244-AS244</f>
        <v>1.2000000000116415</v>
      </c>
      <c r="AV244" s="303"/>
      <c r="AW244" s="303"/>
      <c r="AX244" s="303"/>
      <c r="AY244" s="303"/>
      <c r="AZ244" s="322" t="s">
        <v>686</v>
      </c>
      <c r="BA244" s="461">
        <v>1482.00673117</v>
      </c>
      <c r="BB244" s="461">
        <v>-2.1166056200000001</v>
      </c>
      <c r="BC244" s="461">
        <v>3343.7422404899999</v>
      </c>
      <c r="BD244" s="461">
        <v>3416.0464719699999</v>
      </c>
      <c r="BE244" s="461">
        <v>2.95309724</v>
      </c>
      <c r="BF244" s="461">
        <v>3.0184904800000001</v>
      </c>
      <c r="BG244" s="461">
        <v>-0.50008487999999995</v>
      </c>
      <c r="BH244" s="461">
        <v>3.8405271000000001</v>
      </c>
      <c r="BI244" s="461">
        <v>3.8598295299999998</v>
      </c>
      <c r="BJ244" s="461">
        <v>-1.7032364600000001</v>
      </c>
      <c r="BK244" s="461">
        <v>-2.1664220599999999</v>
      </c>
      <c r="BL244" s="461">
        <v>0.71451571999999997</v>
      </c>
    </row>
    <row r="245" spans="1:70" ht="15" customHeight="1" x14ac:dyDescent="0.2">
      <c r="A245" s="328">
        <v>62008039</v>
      </c>
      <c r="B245" s="321" t="s">
        <v>629</v>
      </c>
      <c r="C245" s="321" t="s">
        <v>775</v>
      </c>
      <c r="D245" s="352" t="s">
        <v>930</v>
      </c>
      <c r="E245" s="307" t="s">
        <v>931</v>
      </c>
      <c r="F245" s="307" t="str">
        <f t="shared" si="92"/>
        <v>08/14/20</v>
      </c>
      <c r="G245" s="322" t="s">
        <v>932</v>
      </c>
      <c r="H245" s="322" t="s">
        <v>685</v>
      </c>
      <c r="I245" s="330"/>
      <c r="J245" s="324">
        <f>AVERAGE(J243:J244)</f>
        <v>-5.9922194999999991</v>
      </c>
      <c r="K245" s="324">
        <f>AVERAGE(K243:K244)</f>
        <v>7.5893584999999995</v>
      </c>
      <c r="L245" s="324">
        <f>AVERAGE(L243:L244)</f>
        <v>29.318634500000002</v>
      </c>
      <c r="M245" s="324">
        <f>AVERAGE(M243:M244)</f>
        <v>4.9703689999999998</v>
      </c>
      <c r="N245" s="310"/>
      <c r="O245" s="308"/>
      <c r="P245" s="326"/>
      <c r="Q245" s="325"/>
      <c r="R245" s="311">
        <f>R244+R243</f>
        <v>7.4202730900000002</v>
      </c>
      <c r="S245" s="311">
        <f>S244</f>
        <v>7.4202730900000002</v>
      </c>
      <c r="T245" s="339">
        <f>T243</f>
        <v>96.1</v>
      </c>
      <c r="U245" s="339">
        <f>U244</f>
        <v>92</v>
      </c>
      <c r="V245" s="314">
        <f>V243</f>
        <v>-7048</v>
      </c>
      <c r="W245" s="314">
        <f>W244</f>
        <v>-4521</v>
      </c>
      <c r="X245" s="314">
        <f>SUM(X243:X244)</f>
        <v>2527</v>
      </c>
      <c r="Y245" s="314">
        <f t="shared" si="101"/>
        <v>340.55350380642119</v>
      </c>
      <c r="Z245" s="314">
        <f>Z243</f>
        <v>1803.61</v>
      </c>
      <c r="AA245" s="314">
        <f>AA244</f>
        <v>1950.814897</v>
      </c>
      <c r="AB245" s="314">
        <f>SUM(AB243:AB244)</f>
        <v>147.18940600000019</v>
      </c>
      <c r="AC245" s="312">
        <f t="shared" si="102"/>
        <v>19.836117109808445</v>
      </c>
      <c r="AD245" s="314">
        <f>AD243</f>
        <v>-4.05</v>
      </c>
      <c r="AE245" s="314">
        <f>AE244</f>
        <v>-5.28</v>
      </c>
      <c r="AF245" s="314">
        <f>SUM(AF243:AF244)</f>
        <v>-1.2300000000000004</v>
      </c>
      <c r="AG245" s="312">
        <f t="shared" si="103"/>
        <v>-0.16576209326549199</v>
      </c>
      <c r="AH245" s="314">
        <f>AH243</f>
        <v>5695.65</v>
      </c>
      <c r="AI245" s="314">
        <f>AI244</f>
        <v>6344.5244730000004</v>
      </c>
      <c r="AJ245" s="314">
        <f>SUM(AJ243:AJ244)</f>
        <v>648.7744730000004</v>
      </c>
      <c r="AK245" s="312">
        <f t="shared" si="104"/>
        <v>87.432694879427999</v>
      </c>
      <c r="AL245" s="314">
        <f>AL243</f>
        <v>4751</v>
      </c>
      <c r="AM245" s="314">
        <f>AM244</f>
        <v>4911.05</v>
      </c>
      <c r="AN245" s="314">
        <f>SUM(AN243:AN244)</f>
        <v>160.05000000000018</v>
      </c>
      <c r="AO245" s="312">
        <f t="shared" si="105"/>
        <v>21.569287013936595</v>
      </c>
      <c r="AP245" s="305"/>
      <c r="AQ245" s="305"/>
      <c r="AR245" s="305">
        <f>SUM(AR243:AR244)</f>
        <v>-4.0999999999999943</v>
      </c>
      <c r="AS245" s="314">
        <f>AS243</f>
        <v>69448.2</v>
      </c>
      <c r="AT245" s="314">
        <f>AT244</f>
        <v>69450.100000000006</v>
      </c>
      <c r="AU245" s="342">
        <f>SUM(AU243:AU244)</f>
        <v>1.9000000000087311</v>
      </c>
      <c r="AV245" s="305"/>
      <c r="AW245" s="305"/>
      <c r="AX245" s="305"/>
      <c r="AY245" s="305"/>
      <c r="AZ245" s="322" t="s">
        <v>686</v>
      </c>
    </row>
    <row r="246" spans="1:70" ht="15" customHeight="1" x14ac:dyDescent="0.2">
      <c r="A246" s="328">
        <v>62008039</v>
      </c>
      <c r="B246" s="321" t="s">
        <v>630</v>
      </c>
      <c r="C246" s="321" t="s">
        <v>776</v>
      </c>
      <c r="D246" s="352" t="s">
        <v>930</v>
      </c>
      <c r="E246" s="307" t="s">
        <v>931</v>
      </c>
      <c r="F246" s="307" t="str">
        <f t="shared" si="92"/>
        <v>08/14/20</v>
      </c>
      <c r="G246" s="322" t="s">
        <v>932</v>
      </c>
      <c r="H246" s="322" t="s">
        <v>685</v>
      </c>
      <c r="I246" s="330"/>
      <c r="J246" s="323">
        <v>-3.3024640000000001</v>
      </c>
      <c r="K246" s="323">
        <v>6.5551969999999997</v>
      </c>
      <c r="L246" s="323">
        <v>29.314696999999999</v>
      </c>
      <c r="M246" s="323">
        <v>7.8332170000000003</v>
      </c>
      <c r="N246" s="308">
        <v>4250</v>
      </c>
      <c r="O246" s="308">
        <v>30.36</v>
      </c>
      <c r="P246" s="308">
        <v>0.3201</v>
      </c>
      <c r="Q246" s="308">
        <v>1.9560000000000001E-2</v>
      </c>
      <c r="R246" s="309">
        <v>10.245198540000001</v>
      </c>
      <c r="S246" s="309">
        <f>R246+R245</f>
        <v>17.665471629999999</v>
      </c>
      <c r="T246" s="338">
        <v>92</v>
      </c>
      <c r="U246" s="338">
        <v>87.6</v>
      </c>
      <c r="V246" s="313">
        <v>-4514</v>
      </c>
      <c r="W246" s="313">
        <v>-1592</v>
      </c>
      <c r="X246" s="313">
        <f>W246-V246</f>
        <v>2922</v>
      </c>
      <c r="Y246" s="313">
        <f t="shared" si="101"/>
        <v>285.20677160054333</v>
      </c>
      <c r="Z246" s="332">
        <v>1952.5648739999999</v>
      </c>
      <c r="AA246" s="313">
        <v>2020.5345749999999</v>
      </c>
      <c r="AB246" s="313">
        <f>AA246-Z246</f>
        <v>67.969700999999986</v>
      </c>
      <c r="AC246" s="331">
        <f t="shared" si="102"/>
        <v>6.6342980796934352</v>
      </c>
      <c r="AD246" s="332">
        <v>-5.29</v>
      </c>
      <c r="AE246" s="313">
        <v>-5.72</v>
      </c>
      <c r="AF246" s="313">
        <f>AE246-AD246</f>
        <v>-0.42999999999999972</v>
      </c>
      <c r="AG246" s="331">
        <f t="shared" si="103"/>
        <v>-4.1970880146554944E-2</v>
      </c>
      <c r="AH246" s="332">
        <v>6349.9197100000001</v>
      </c>
      <c r="AI246" s="313">
        <v>6714.1949860000004</v>
      </c>
      <c r="AJ246" s="313">
        <f>AI246-AH246</f>
        <v>364.2752760000003</v>
      </c>
      <c r="AK246" s="331">
        <f t="shared" si="104"/>
        <v>35.55570685895173</v>
      </c>
      <c r="AL246" s="332">
        <v>4911.8</v>
      </c>
      <c r="AM246" s="313">
        <v>4929.9449860000004</v>
      </c>
      <c r="AN246" s="313">
        <f>AM246-AL246</f>
        <v>18.144986000000245</v>
      </c>
      <c r="AO246" s="331">
        <f t="shared" si="105"/>
        <v>1.7710721689928561</v>
      </c>
      <c r="AP246" s="303">
        <v>92</v>
      </c>
      <c r="AQ246" s="303">
        <v>87.6</v>
      </c>
      <c r="AR246" s="303">
        <f>AQ246-AP246</f>
        <v>-4.4000000000000057</v>
      </c>
      <c r="AS246" s="332">
        <v>69450.2</v>
      </c>
      <c r="AT246" s="313">
        <v>69451.3</v>
      </c>
      <c r="AU246" s="341">
        <f>AT246-AS246</f>
        <v>1.1000000000058208</v>
      </c>
      <c r="AV246" s="303"/>
      <c r="AW246" s="303"/>
      <c r="AX246" s="303"/>
      <c r="AY246" s="303"/>
      <c r="AZ246" s="322" t="s">
        <v>686</v>
      </c>
      <c r="BA246" s="461">
        <v>1946.6240771099999</v>
      </c>
      <c r="BB246" s="461">
        <v>-0.72277577999999998</v>
      </c>
      <c r="BC246" s="461">
        <v>1297.2994114000001</v>
      </c>
      <c r="BD246" s="461">
        <v>1306.7442423</v>
      </c>
      <c r="BE246" s="461">
        <v>7.9759681799999997</v>
      </c>
      <c r="BF246" s="461">
        <v>8.0200950199999994</v>
      </c>
      <c r="BG246" s="461">
        <v>-0.11100231000000001</v>
      </c>
      <c r="BH246" s="461">
        <v>10.245295199999999</v>
      </c>
      <c r="BI246" s="461">
        <v>10.25668035</v>
      </c>
      <c r="BJ246" s="461">
        <v>-0.441631</v>
      </c>
      <c r="BK246" s="461">
        <v>-0.55020345000000004</v>
      </c>
      <c r="BL246" s="461">
        <v>0.28277094000000003</v>
      </c>
    </row>
    <row r="247" spans="1:70" ht="15" customHeight="1" x14ac:dyDescent="0.2">
      <c r="A247" s="328">
        <v>62008039</v>
      </c>
      <c r="B247" s="321" t="s">
        <v>631</v>
      </c>
      <c r="C247" s="321" t="s">
        <v>777</v>
      </c>
      <c r="D247" s="352" t="s">
        <v>930</v>
      </c>
      <c r="E247" s="307" t="s">
        <v>931</v>
      </c>
      <c r="F247" s="307" t="str">
        <f t="shared" si="92"/>
        <v>08/14/20</v>
      </c>
      <c r="G247" s="322" t="s">
        <v>932</v>
      </c>
      <c r="H247" s="322" t="s">
        <v>685</v>
      </c>
      <c r="I247" s="330"/>
      <c r="J247" s="323">
        <v>-6.2699569999999998</v>
      </c>
      <c r="K247" s="323">
        <v>8.1522140000000007</v>
      </c>
      <c r="L247" s="323">
        <v>29.317913000000001</v>
      </c>
      <c r="M247" s="323">
        <v>7.1477969999999997</v>
      </c>
      <c r="N247" s="308">
        <v>4250</v>
      </c>
      <c r="O247" s="308">
        <v>30.36</v>
      </c>
      <c r="P247" s="308">
        <v>0.3201</v>
      </c>
      <c r="Q247" s="308">
        <v>1.9560000000000001E-2</v>
      </c>
      <c r="R247" s="309">
        <v>3.5795645999999999</v>
      </c>
      <c r="S247" s="309">
        <f>R247+R246</f>
        <v>13.82476314</v>
      </c>
      <c r="T247" s="338">
        <v>87.6</v>
      </c>
      <c r="U247" s="338">
        <v>85.7</v>
      </c>
      <c r="V247" s="313">
        <v>-1587</v>
      </c>
      <c r="W247" s="313">
        <v>-414</v>
      </c>
      <c r="X247" s="313">
        <f>W247-V247</f>
        <v>1173</v>
      </c>
      <c r="Y247" s="313">
        <f t="shared" si="101"/>
        <v>327.69348540322477</v>
      </c>
      <c r="Z247" s="332">
        <v>2023.3042680000001</v>
      </c>
      <c r="AA247" s="313">
        <v>2078.1540500000001</v>
      </c>
      <c r="AB247" s="313">
        <f>AA247-Z247</f>
        <v>54.849782000000005</v>
      </c>
      <c r="AC247" s="331">
        <f t="shared" si="102"/>
        <v>15.323031745257511</v>
      </c>
      <c r="AD247" s="332">
        <v>-1.76</v>
      </c>
      <c r="AE247" s="313">
        <v>-4.34</v>
      </c>
      <c r="AF247" s="313">
        <f>AE247-AD247</f>
        <v>-2.58</v>
      </c>
      <c r="AG247" s="331">
        <f t="shared" si="103"/>
        <v>-0.72075804973599311</v>
      </c>
      <c r="AH247" s="332">
        <v>6716.4567790000001</v>
      </c>
      <c r="AI247" s="313">
        <v>6971.5</v>
      </c>
      <c r="AJ247" s="313">
        <f>AI247-AH247</f>
        <v>255.0432209999999</v>
      </c>
      <c r="AK247" s="331">
        <f t="shared" si="104"/>
        <v>71.249788591606901</v>
      </c>
      <c r="AL247" s="332">
        <v>4930.6067789999997</v>
      </c>
      <c r="AM247" s="313">
        <v>5004.6000000000004</v>
      </c>
      <c r="AN247" s="313">
        <f>AM247-AL247</f>
        <v>73.993221000000631</v>
      </c>
      <c r="AO247" s="331">
        <f t="shared" si="105"/>
        <v>20.671011496761544</v>
      </c>
      <c r="AP247" s="303">
        <v>87.6</v>
      </c>
      <c r="AQ247" s="303">
        <v>85.7</v>
      </c>
      <c r="AR247" s="303">
        <f>AQ247-AP247</f>
        <v>-1.8999999999999915</v>
      </c>
      <c r="AS247" s="332">
        <v>69452.100000000006</v>
      </c>
      <c r="AT247" s="313">
        <v>69452.899999999994</v>
      </c>
      <c r="AU247" s="341">
        <f>AT247-AS247</f>
        <v>0.79999999998835847</v>
      </c>
      <c r="AV247" s="303"/>
      <c r="AW247" s="303"/>
      <c r="AX247" s="303"/>
      <c r="AY247" s="303"/>
      <c r="AZ247" s="322" t="s">
        <v>686</v>
      </c>
      <c r="BA247" s="461">
        <v>2415.7797676199998</v>
      </c>
      <c r="BB247" s="461">
        <v>-1.67434802</v>
      </c>
      <c r="BC247" s="461">
        <v>2014.5895864399999</v>
      </c>
      <c r="BD247" s="461">
        <v>2048.8952231200001</v>
      </c>
      <c r="BE247" s="461">
        <v>3.2175423599999999</v>
      </c>
      <c r="BF247" s="461">
        <v>3.2585875500000001</v>
      </c>
      <c r="BG247" s="461">
        <v>-0.31902850999999999</v>
      </c>
      <c r="BH247" s="461">
        <v>3.57952454</v>
      </c>
      <c r="BI247" s="461">
        <v>3.5909808000000001</v>
      </c>
      <c r="BJ247" s="461">
        <v>-0.95257084000000003</v>
      </c>
      <c r="BK247" s="461">
        <v>-1.25960077</v>
      </c>
      <c r="BL247" s="461">
        <v>0.59041279999999996</v>
      </c>
    </row>
    <row r="248" spans="1:70" ht="15" customHeight="1" x14ac:dyDescent="0.2">
      <c r="A248" s="328">
        <v>62008039</v>
      </c>
      <c r="B248" s="321" t="s">
        <v>895</v>
      </c>
      <c r="C248" s="321" t="s">
        <v>778</v>
      </c>
      <c r="D248" s="352" t="s">
        <v>930</v>
      </c>
      <c r="E248" s="307" t="s">
        <v>931</v>
      </c>
      <c r="F248" s="307" t="str">
        <f t="shared" si="92"/>
        <v>08/14/20</v>
      </c>
      <c r="G248" s="322" t="s">
        <v>932</v>
      </c>
      <c r="H248" s="322" t="s">
        <v>685</v>
      </c>
      <c r="I248" s="330"/>
      <c r="J248" s="323">
        <v>-7.5059310000000004</v>
      </c>
      <c r="K248" s="323">
        <v>8.0031049999999997</v>
      </c>
      <c r="L248" s="323">
        <v>29.316680000000002</v>
      </c>
      <c r="M248" s="323">
        <v>7.5193529999999997</v>
      </c>
      <c r="N248" s="308">
        <v>4250</v>
      </c>
      <c r="O248" s="308">
        <v>30.36</v>
      </c>
      <c r="P248" s="308">
        <v>0.3201</v>
      </c>
      <c r="Q248" s="308">
        <v>1.9560000000000001E-2</v>
      </c>
      <c r="R248" s="309">
        <v>3.8405285400000002</v>
      </c>
      <c r="S248" s="309">
        <f>R248+R247</f>
        <v>7.4200931400000005</v>
      </c>
      <c r="T248" s="338">
        <v>85.7</v>
      </c>
      <c r="U248" s="338">
        <v>83.8</v>
      </c>
      <c r="V248" s="313">
        <v>-414</v>
      </c>
      <c r="W248" s="313">
        <v>782</v>
      </c>
      <c r="X248" s="313">
        <f>W248-V248</f>
        <v>1196</v>
      </c>
      <c r="Y248" s="313">
        <f t="shared" si="101"/>
        <v>311.41546991341977</v>
      </c>
      <c r="Z248" s="332">
        <v>2078.173996</v>
      </c>
      <c r="AA248" s="313">
        <v>2172.0535909999999</v>
      </c>
      <c r="AB248" s="313">
        <f>AA248-Z248</f>
        <v>93.879594999999881</v>
      </c>
      <c r="AC248" s="331">
        <f t="shared" si="102"/>
        <v>24.444446649002085</v>
      </c>
      <c r="AD248" s="332">
        <v>-4.34</v>
      </c>
      <c r="AE248" s="313">
        <v>-5.64</v>
      </c>
      <c r="AF248" s="313">
        <f>AE248-AD248</f>
        <v>-1.2999999999999998</v>
      </c>
      <c r="AG248" s="331">
        <f t="shared" si="103"/>
        <v>-0.33849507599284751</v>
      </c>
      <c r="AH248" s="332">
        <v>6971.5699590000004</v>
      </c>
      <c r="AI248" s="313">
        <v>7376</v>
      </c>
      <c r="AJ248" s="313">
        <f>AI248-AH248</f>
        <v>404.43004099999962</v>
      </c>
      <c r="AK248" s="331">
        <f t="shared" si="104"/>
        <v>105.30582881698872</v>
      </c>
      <c r="AL248" s="332">
        <v>5004.6199589999997</v>
      </c>
      <c r="AM248" s="313">
        <v>5033.8500000000004</v>
      </c>
      <c r="AN248" s="313">
        <f>AM248-AL248</f>
        <v>29.23004100000071</v>
      </c>
      <c r="AO248" s="331">
        <f t="shared" si="105"/>
        <v>7.6109422688994544</v>
      </c>
      <c r="AP248" s="303">
        <v>85.7</v>
      </c>
      <c r="AQ248" s="303">
        <v>83.8</v>
      </c>
      <c r="AR248" s="303">
        <f>AQ248-AP248</f>
        <v>-1.9000000000000057</v>
      </c>
      <c r="AS248" s="332">
        <v>69452.899999999994</v>
      </c>
      <c r="AT248" s="313">
        <v>69454.100000000006</v>
      </c>
      <c r="AU248" s="341">
        <f>AT248-AS248</f>
        <v>1.2000000000116415</v>
      </c>
      <c r="AV248" s="303"/>
      <c r="AW248" s="303"/>
      <c r="AX248" s="303"/>
      <c r="AY248" s="303"/>
      <c r="AZ248" s="322" t="s">
        <v>686</v>
      </c>
      <c r="BA248" s="461">
        <v>1487.5875977400001</v>
      </c>
      <c r="BB248" s="461">
        <v>-2.0788142000000001</v>
      </c>
      <c r="BC248" s="461">
        <v>3345.48526322</v>
      </c>
      <c r="BD248" s="461">
        <v>3416.5081190300002</v>
      </c>
      <c r="BE248" s="461">
        <v>2.95365528</v>
      </c>
      <c r="BF248" s="461">
        <v>3.0191006300000001</v>
      </c>
      <c r="BG248" s="461">
        <v>-0.50275369999999997</v>
      </c>
      <c r="BH248" s="461">
        <v>3.8404273400000002</v>
      </c>
      <c r="BI248" s="461">
        <v>3.85983279</v>
      </c>
      <c r="BJ248" s="461">
        <v>-1.70184775</v>
      </c>
      <c r="BK248" s="461">
        <v>-2.1677103199999999</v>
      </c>
      <c r="BL248" s="461">
        <v>0.71450184000000005</v>
      </c>
    </row>
    <row r="249" spans="1:70" ht="15" customHeight="1" x14ac:dyDescent="0.2">
      <c r="A249" s="328">
        <v>62008039</v>
      </c>
      <c r="B249" s="321" t="s">
        <v>632</v>
      </c>
      <c r="C249" s="321" t="s">
        <v>779</v>
      </c>
      <c r="D249" s="352" t="s">
        <v>930</v>
      </c>
      <c r="E249" s="307" t="s">
        <v>931</v>
      </c>
      <c r="F249" s="307" t="str">
        <f t="shared" si="92"/>
        <v>08/14/20</v>
      </c>
      <c r="G249" s="322" t="s">
        <v>932</v>
      </c>
      <c r="H249" s="322" t="s">
        <v>685</v>
      </c>
      <c r="I249" s="330"/>
      <c r="J249" s="324">
        <f>AVERAGE(J247:J248)</f>
        <v>-6.8879440000000001</v>
      </c>
      <c r="K249" s="324">
        <f>AVERAGE(K247:K248)</f>
        <v>8.0776594999999993</v>
      </c>
      <c r="L249" s="324">
        <f>AVERAGE(L247:L248)</f>
        <v>29.317296500000001</v>
      </c>
      <c r="M249" s="324">
        <f>AVERAGE(M247:M248)</f>
        <v>7.3335749999999997</v>
      </c>
      <c r="N249" s="310"/>
      <c r="O249" s="308"/>
      <c r="P249" s="326"/>
      <c r="Q249" s="325"/>
      <c r="R249" s="311">
        <f>R248+R247</f>
        <v>7.4200931400000005</v>
      </c>
      <c r="S249" s="311">
        <f>S248</f>
        <v>7.4200931400000005</v>
      </c>
      <c r="T249" s="339">
        <f>T247</f>
        <v>87.6</v>
      </c>
      <c r="U249" s="339">
        <f>U248</f>
        <v>83.8</v>
      </c>
      <c r="V249" s="314">
        <f>V247</f>
        <v>-1587</v>
      </c>
      <c r="W249" s="314">
        <f>W248</f>
        <v>782</v>
      </c>
      <c r="X249" s="314">
        <f>SUM(X247:X248)</f>
        <v>2369</v>
      </c>
      <c r="Y249" s="314">
        <f t="shared" si="101"/>
        <v>319.26822956295126</v>
      </c>
      <c r="Z249" s="314">
        <f>Z247</f>
        <v>2023.3042680000001</v>
      </c>
      <c r="AA249" s="314">
        <f>AA248</f>
        <v>2172.0535909999999</v>
      </c>
      <c r="AB249" s="314">
        <f>SUM(AB247:AB248)</f>
        <v>148.72937699999989</v>
      </c>
      <c r="AC249" s="312">
        <f t="shared" si="102"/>
        <v>20.044138825998601</v>
      </c>
      <c r="AD249" s="314">
        <f>AD247</f>
        <v>-1.76</v>
      </c>
      <c r="AE249" s="314">
        <f>AE248</f>
        <v>-5.64</v>
      </c>
      <c r="AF249" s="314">
        <f>SUM(AF247:AF248)</f>
        <v>-3.88</v>
      </c>
      <c r="AG249" s="312">
        <f t="shared" si="103"/>
        <v>-0.52290448742264706</v>
      </c>
      <c r="AH249" s="314">
        <f>AH247</f>
        <v>6716.4567790000001</v>
      </c>
      <c r="AI249" s="314">
        <f>AI248</f>
        <v>7376</v>
      </c>
      <c r="AJ249" s="314">
        <f>SUM(AJ247:AJ248)</f>
        <v>659.47326199999952</v>
      </c>
      <c r="AK249" s="312">
        <f t="shared" si="104"/>
        <v>88.87668248326051</v>
      </c>
      <c r="AL249" s="314">
        <f>AL247</f>
        <v>4930.6067789999997</v>
      </c>
      <c r="AM249" s="314">
        <f>AM248</f>
        <v>5033.8500000000004</v>
      </c>
      <c r="AN249" s="314">
        <f>SUM(AN247:AN248)</f>
        <v>103.22326200000134</v>
      </c>
      <c r="AO249" s="312">
        <f t="shared" si="105"/>
        <v>13.911316212939253</v>
      </c>
      <c r="AP249" s="305"/>
      <c r="AQ249" s="305"/>
      <c r="AR249" s="305">
        <f>SUM(AR247:AR248)</f>
        <v>-3.7999999999999972</v>
      </c>
      <c r="AS249" s="314">
        <f>AS247</f>
        <v>69452.100000000006</v>
      </c>
      <c r="AT249" s="314">
        <f>AT248</f>
        <v>69454.100000000006</v>
      </c>
      <c r="AU249" s="342">
        <f>SUM(AU247:AU248)</f>
        <v>2</v>
      </c>
      <c r="AV249" s="305"/>
      <c r="AW249" s="305"/>
      <c r="AX249" s="305"/>
      <c r="AY249" s="305"/>
      <c r="AZ249" s="322" t="s">
        <v>686</v>
      </c>
    </row>
    <row r="250" spans="1:70" ht="15" customHeight="1" x14ac:dyDescent="0.2">
      <c r="A250" s="328">
        <v>62008039</v>
      </c>
      <c r="B250" s="321" t="s">
        <v>633</v>
      </c>
      <c r="C250" s="321" t="s">
        <v>780</v>
      </c>
      <c r="D250" s="352" t="s">
        <v>930</v>
      </c>
      <c r="E250" s="307" t="s">
        <v>931</v>
      </c>
      <c r="F250" s="307" t="str">
        <f t="shared" si="92"/>
        <v>08/14/20</v>
      </c>
      <c r="G250" s="322" t="s">
        <v>932</v>
      </c>
      <c r="H250" s="322" t="s">
        <v>685</v>
      </c>
      <c r="I250" s="330"/>
      <c r="J250" s="323">
        <v>-5.1717500000000003</v>
      </c>
      <c r="K250" s="323">
        <v>7.0868120000000001</v>
      </c>
      <c r="L250" s="323">
        <v>29.314926</v>
      </c>
      <c r="M250" s="323">
        <v>9.2586460000000006</v>
      </c>
      <c r="N250" s="308">
        <v>4250</v>
      </c>
      <c r="O250" s="308">
        <v>30.36</v>
      </c>
      <c r="P250" s="308">
        <v>0.3201</v>
      </c>
      <c r="Q250" s="308">
        <v>1.9560000000000001E-2</v>
      </c>
      <c r="R250" s="309">
        <v>1.76518745</v>
      </c>
      <c r="S250" s="309">
        <f>R250+R249</f>
        <v>9.1852805900000014</v>
      </c>
      <c r="T250" s="338">
        <v>83.7</v>
      </c>
      <c r="U250" s="338">
        <v>79.099999999999994</v>
      </c>
      <c r="V250" s="313">
        <v>824</v>
      </c>
      <c r="W250" s="313">
        <v>3728</v>
      </c>
      <c r="X250" s="313">
        <f>W250-V250-X251</f>
        <v>748</v>
      </c>
      <c r="Y250" s="313">
        <f t="shared" si="101"/>
        <v>423.75102995435412</v>
      </c>
      <c r="Z250" s="332">
        <v>2182.0234650000002</v>
      </c>
      <c r="AA250" s="313">
        <v>2232.367362</v>
      </c>
      <c r="AB250" s="313">
        <f>AA250-Z250-AB251</f>
        <v>22.717274999999972</v>
      </c>
      <c r="AC250" s="331">
        <f t="shared" si="102"/>
        <v>12.869610533430867</v>
      </c>
      <c r="AD250" s="332">
        <v>-5.73</v>
      </c>
      <c r="AE250" s="313">
        <v>-6.21</v>
      </c>
      <c r="AF250" s="313">
        <f>AE250-AD250-AF251</f>
        <v>-0.1899999999999995</v>
      </c>
      <c r="AG250" s="331">
        <f t="shared" si="103"/>
        <v>-0.10763729370498272</v>
      </c>
      <c r="AH250" s="332">
        <v>7406.2</v>
      </c>
      <c r="AI250" s="313">
        <v>7637.9</v>
      </c>
      <c r="AJ250" s="313">
        <f>AI250-AH250-AJ251</f>
        <v>94.5</v>
      </c>
      <c r="AK250" s="331">
        <f t="shared" si="104"/>
        <v>53.53539081642576</v>
      </c>
      <c r="AL250" s="332">
        <v>5037.6000000000004</v>
      </c>
      <c r="AM250" s="313">
        <v>5048.95</v>
      </c>
      <c r="AN250" s="313">
        <f>AM250-AL250-AN251</f>
        <v>3.9499999999998181</v>
      </c>
      <c r="AO250" s="331">
        <f t="shared" si="105"/>
        <v>2.2377226849192806</v>
      </c>
      <c r="AP250" s="303">
        <v>83.7</v>
      </c>
      <c r="AQ250" s="303">
        <v>79.099999999999994</v>
      </c>
      <c r="AR250" s="303">
        <f>AQ250-AP250-AR251</f>
        <v>-1.2000000000000028</v>
      </c>
      <c r="AS250" s="332">
        <v>69454.3</v>
      </c>
      <c r="AT250" s="313">
        <v>69455.100000000006</v>
      </c>
      <c r="AU250" s="341">
        <f>AT250-AS250-AU251</f>
        <v>0.19999999999708962</v>
      </c>
      <c r="AV250" s="303"/>
      <c r="AW250" s="303"/>
      <c r="AX250" s="303"/>
      <c r="AY250" s="303"/>
      <c r="AZ250" s="322" t="s">
        <v>686</v>
      </c>
      <c r="BA250" s="461">
        <v>5585.97591259</v>
      </c>
      <c r="BB250" s="461">
        <v>-1.1939536500000001</v>
      </c>
      <c r="BC250" s="461">
        <v>2430.5065146299999</v>
      </c>
      <c r="BD250" s="461">
        <v>2459.8762974199999</v>
      </c>
      <c r="BE250" s="461">
        <v>3.1652375099999999</v>
      </c>
      <c r="BF250" s="461">
        <v>3.2083695799999998</v>
      </c>
      <c r="BG250" s="461">
        <v>-0.39135165999999999</v>
      </c>
      <c r="BH250" s="461">
        <v>1.76517177</v>
      </c>
      <c r="BI250" s="461">
        <v>1.77210694</v>
      </c>
      <c r="BJ250" s="461">
        <v>-0.96599586999999998</v>
      </c>
      <c r="BK250" s="461">
        <v>-1.34436106</v>
      </c>
      <c r="BL250" s="461">
        <v>0.81483320000000004</v>
      </c>
    </row>
    <row r="251" spans="1:70" ht="15" customHeight="1" x14ac:dyDescent="0.2">
      <c r="A251" s="328">
        <v>62008039</v>
      </c>
      <c r="B251" s="321" t="s">
        <v>634</v>
      </c>
      <c r="C251" s="321" t="s">
        <v>781</v>
      </c>
      <c r="D251" s="352" t="s">
        <v>930</v>
      </c>
      <c r="E251" s="307" t="s">
        <v>931</v>
      </c>
      <c r="F251" s="307" t="str">
        <f t="shared" si="92"/>
        <v>08/14/20</v>
      </c>
      <c r="G251" s="322" t="s">
        <v>932</v>
      </c>
      <c r="H251" s="322" t="s">
        <v>685</v>
      </c>
      <c r="I251" s="330"/>
      <c r="J251" s="323">
        <v>-0.13264400000000001</v>
      </c>
      <c r="K251" s="323">
        <v>5.1918049999999996</v>
      </c>
      <c r="L251" s="323">
        <v>29.312816000000002</v>
      </c>
      <c r="M251" s="323">
        <v>8.8791849999999997</v>
      </c>
      <c r="N251" s="308">
        <v>4250</v>
      </c>
      <c r="O251" s="308">
        <v>30.36</v>
      </c>
      <c r="P251" s="308">
        <v>0.3201</v>
      </c>
      <c r="Q251" s="308">
        <v>1.9560000000000001E-2</v>
      </c>
      <c r="R251" s="309">
        <v>6.2264044299999997</v>
      </c>
      <c r="S251" s="309">
        <f>R251+R250</f>
        <v>7.9915918799999996</v>
      </c>
      <c r="T251" s="338">
        <v>82.9</v>
      </c>
      <c r="U251" s="338">
        <v>79.5</v>
      </c>
      <c r="V251" s="313">
        <v>1326</v>
      </c>
      <c r="W251" s="313">
        <v>3482</v>
      </c>
      <c r="X251" s="313">
        <f>W251-V251</f>
        <v>2156</v>
      </c>
      <c r="Y251" s="313">
        <f t="shared" si="101"/>
        <v>346.26725973853905</v>
      </c>
      <c r="Z251" s="332">
        <v>2194.19</v>
      </c>
      <c r="AA251" s="313">
        <v>2221.8166219999998</v>
      </c>
      <c r="AB251" s="313">
        <f>AA251-Z251</f>
        <v>27.62662199999977</v>
      </c>
      <c r="AC251" s="331">
        <f t="shared" si="102"/>
        <v>4.437010526796084</v>
      </c>
      <c r="AD251" s="332">
        <v>-5.85</v>
      </c>
      <c r="AE251" s="313">
        <v>-6.14</v>
      </c>
      <c r="AF251" s="313">
        <f>AE251-AD251</f>
        <v>-0.29000000000000004</v>
      </c>
      <c r="AG251" s="331">
        <f t="shared" si="103"/>
        <v>-4.6575837348875854E-2</v>
      </c>
      <c r="AH251" s="332">
        <v>7463.05</v>
      </c>
      <c r="AI251" s="313">
        <v>7600.25</v>
      </c>
      <c r="AJ251" s="313">
        <f>AI251-AH251</f>
        <v>137.19999999999982</v>
      </c>
      <c r="AK251" s="331">
        <f t="shared" si="104"/>
        <v>22.03518925608882</v>
      </c>
      <c r="AL251" s="332">
        <v>5041.25</v>
      </c>
      <c r="AM251" s="313">
        <v>5048.6499999999996</v>
      </c>
      <c r="AN251" s="313">
        <f>AM251-AL251</f>
        <v>7.3999999999996362</v>
      </c>
      <c r="AO251" s="331">
        <f t="shared" si="105"/>
        <v>1.1884868840747045</v>
      </c>
      <c r="AP251" s="303">
        <v>82.9</v>
      </c>
      <c r="AQ251" s="303">
        <v>79.5</v>
      </c>
      <c r="AR251" s="303">
        <f>AQ251-AP251</f>
        <v>-3.4000000000000057</v>
      </c>
      <c r="AS251" s="332">
        <v>69454.399999999994</v>
      </c>
      <c r="AT251" s="313">
        <v>69455</v>
      </c>
      <c r="AU251" s="341">
        <f>AT251-AS251</f>
        <v>0.60000000000582077</v>
      </c>
      <c r="AV251" s="303"/>
      <c r="AW251" s="303"/>
      <c r="AX251" s="303"/>
      <c r="AY251" s="303"/>
      <c r="AZ251" s="322" t="s">
        <v>686</v>
      </c>
      <c r="BA251" s="461">
        <v>11906.705715669999</v>
      </c>
      <c r="BB251" s="461">
        <v>-9.7214611800000004</v>
      </c>
      <c r="BC251" s="461">
        <v>1029.6577831499999</v>
      </c>
      <c r="BD251" s="461">
        <v>1140.53439121</v>
      </c>
      <c r="BE251" s="461">
        <v>6.9206008199999998</v>
      </c>
      <c r="BF251" s="461">
        <v>7.0873160000000004</v>
      </c>
      <c r="BG251" s="461">
        <v>-0.13463766999999999</v>
      </c>
      <c r="BH251" s="461">
        <v>6.2264644799999997</v>
      </c>
      <c r="BI251" s="461">
        <v>6.2348589499999996</v>
      </c>
      <c r="BJ251" s="461">
        <v>-2.2710887899999999</v>
      </c>
      <c r="BK251" s="461">
        <v>-2.3523035600000002</v>
      </c>
      <c r="BL251" s="461">
        <v>0.34966642999999997</v>
      </c>
    </row>
    <row r="252" spans="1:70" ht="15" customHeight="1" x14ac:dyDescent="0.2">
      <c r="A252" s="328">
        <v>62008039</v>
      </c>
      <c r="B252" s="321" t="s">
        <v>635</v>
      </c>
      <c r="C252" s="321" t="s">
        <v>782</v>
      </c>
      <c r="D252" s="352" t="s">
        <v>930</v>
      </c>
      <c r="E252" s="307" t="s">
        <v>931</v>
      </c>
      <c r="F252" s="307" t="str">
        <f t="shared" si="92"/>
        <v>08/14/20</v>
      </c>
      <c r="G252" s="322" t="s">
        <v>932</v>
      </c>
      <c r="H252" s="322" t="s">
        <v>685</v>
      </c>
      <c r="I252" s="330"/>
      <c r="J252" s="324">
        <f>AVERAGE(J250:J251)</f>
        <v>-2.6521970000000001</v>
      </c>
      <c r="K252" s="324">
        <f>AVERAGE(K250:K251)</f>
        <v>6.1393085000000003</v>
      </c>
      <c r="L252" s="324">
        <f>AVERAGE(L250:L251)</f>
        <v>29.313870999999999</v>
      </c>
      <c r="M252" s="324">
        <f>AVERAGE(M250:M251)</f>
        <v>9.0689154999999992</v>
      </c>
      <c r="N252" s="310"/>
      <c r="O252" s="308"/>
      <c r="P252" s="326"/>
      <c r="Q252" s="325"/>
      <c r="R252" s="311">
        <f>R251+R250</f>
        <v>7.9915918799999996</v>
      </c>
      <c r="S252" s="311">
        <f>S251</f>
        <v>7.9915918799999996</v>
      </c>
      <c r="T252" s="339">
        <f>T250</f>
        <v>83.7</v>
      </c>
      <c r="U252" s="339">
        <f>U251</f>
        <v>79.5</v>
      </c>
      <c r="V252" s="314">
        <f>V250</f>
        <v>824</v>
      </c>
      <c r="W252" s="314">
        <f>W251</f>
        <v>3482</v>
      </c>
      <c r="X252" s="314">
        <f>SUM(X250:X251)</f>
        <v>2904</v>
      </c>
      <c r="Y252" s="314">
        <f t="shared" si="101"/>
        <v>363.38191984848959</v>
      </c>
      <c r="Z252" s="314">
        <f>Z250</f>
        <v>2182.0234650000002</v>
      </c>
      <c r="AA252" s="314">
        <f>AA251</f>
        <v>2221.8166219999998</v>
      </c>
      <c r="AB252" s="314">
        <f>SUM(AB250:AB251)</f>
        <v>50.343896999999743</v>
      </c>
      <c r="AC252" s="312">
        <f t="shared" si="102"/>
        <v>6.2996081076151933</v>
      </c>
      <c r="AD252" s="314">
        <f>AD250</f>
        <v>-5.73</v>
      </c>
      <c r="AE252" s="314">
        <f>AE251</f>
        <v>-6.14</v>
      </c>
      <c r="AF252" s="314">
        <f>SUM(AF250:AF251)</f>
        <v>-0.47999999999999954</v>
      </c>
      <c r="AG252" s="312">
        <f t="shared" si="103"/>
        <v>-6.0063127247684173E-2</v>
      </c>
      <c r="AH252" s="314">
        <f>AH250</f>
        <v>7406.2</v>
      </c>
      <c r="AI252" s="314">
        <f>AI251</f>
        <v>7600.25</v>
      </c>
      <c r="AJ252" s="314">
        <f>SUM(AJ250:AJ251)</f>
        <v>231.69999999999982</v>
      </c>
      <c r="AK252" s="312">
        <f t="shared" si="104"/>
        <v>28.992972048517551</v>
      </c>
      <c r="AL252" s="314">
        <f>AL250</f>
        <v>5037.6000000000004</v>
      </c>
      <c r="AM252" s="314">
        <f>AM251</f>
        <v>5048.6499999999996</v>
      </c>
      <c r="AN252" s="314">
        <f>SUM(AN250:AN251)</f>
        <v>11.349999999999454</v>
      </c>
      <c r="AO252" s="312">
        <f t="shared" si="105"/>
        <v>1.420242696377465</v>
      </c>
      <c r="AP252" s="305"/>
      <c r="AQ252" s="305"/>
      <c r="AR252" s="305">
        <f>SUM(AR250:AR251)</f>
        <v>-4.6000000000000085</v>
      </c>
      <c r="AS252" s="314">
        <f>AS250</f>
        <v>69454.3</v>
      </c>
      <c r="AT252" s="314">
        <f>AT251</f>
        <v>69455</v>
      </c>
      <c r="AU252" s="342">
        <f>SUM(AU250:AU251)</f>
        <v>0.80000000000291038</v>
      </c>
      <c r="AV252" s="305"/>
      <c r="AW252" s="305"/>
      <c r="AX252" s="305"/>
      <c r="AY252" s="305"/>
      <c r="AZ252" s="322" t="s">
        <v>686</v>
      </c>
    </row>
    <row r="253" spans="1:70" ht="15" customHeight="1" x14ac:dyDescent="0.2">
      <c r="A253" s="485" t="s">
        <v>933</v>
      </c>
      <c r="B253" s="362"/>
      <c r="C253" s="363"/>
      <c r="D253" s="363"/>
      <c r="E253" s="363"/>
      <c r="F253" s="363"/>
      <c r="G253" s="363"/>
      <c r="H253" s="362"/>
      <c r="I253" s="362"/>
      <c r="J253" s="373"/>
      <c r="K253" s="374"/>
      <c r="L253" s="362"/>
      <c r="M253" s="362"/>
      <c r="N253" s="362"/>
      <c r="O253" s="362"/>
      <c r="P253" s="362"/>
      <c r="Q253" s="362"/>
      <c r="R253" s="362"/>
      <c r="S253" s="362"/>
      <c r="T253" s="362"/>
      <c r="U253" s="362"/>
      <c r="V253" s="362"/>
      <c r="W253" s="362"/>
      <c r="X253" s="362"/>
      <c r="Y253" s="362"/>
      <c r="Z253" s="362"/>
      <c r="AA253" s="362"/>
      <c r="AB253" s="362"/>
      <c r="AC253" s="362"/>
      <c r="AD253" s="362"/>
      <c r="AE253" s="362"/>
      <c r="AF253" s="362"/>
      <c r="AG253" s="362"/>
      <c r="AH253" s="362"/>
      <c r="AI253" s="362"/>
      <c r="AJ253" s="362"/>
      <c r="AK253" s="362"/>
      <c r="AL253" s="362"/>
      <c r="AM253" s="362"/>
      <c r="AN253" s="362"/>
      <c r="AO253" s="362"/>
      <c r="AP253" s="362"/>
      <c r="AQ253" s="362"/>
      <c r="AR253" s="362"/>
      <c r="AS253" s="362"/>
      <c r="AT253" s="362"/>
      <c r="AU253" s="362"/>
      <c r="AV253" s="362"/>
      <c r="AW253" s="362"/>
      <c r="AX253" s="362"/>
      <c r="AY253" s="362"/>
      <c r="AZ253" s="362"/>
      <c r="BA253" s="362"/>
      <c r="BB253" s="362"/>
      <c r="BC253" s="362"/>
      <c r="BD253" s="362"/>
      <c r="BE253" s="362"/>
      <c r="BF253" s="375"/>
      <c r="BG253" s="362"/>
      <c r="BH253" s="362"/>
      <c r="BI253" s="362"/>
      <c r="BJ253" s="362"/>
      <c r="BK253" s="362"/>
      <c r="BL253" s="362"/>
      <c r="BM253" s="362"/>
      <c r="BN253" s="362"/>
      <c r="BO253" s="362"/>
      <c r="BP253" s="362"/>
      <c r="BQ253" s="362"/>
      <c r="BR253" s="366"/>
    </row>
    <row r="254" spans="1:70" ht="15" customHeight="1" x14ac:dyDescent="0.2">
      <c r="A254" s="328">
        <v>62008040</v>
      </c>
      <c r="B254" s="321" t="s">
        <v>627</v>
      </c>
      <c r="C254" s="321" t="s">
        <v>773</v>
      </c>
      <c r="D254" s="352" t="s">
        <v>718</v>
      </c>
      <c r="E254" s="307" t="s">
        <v>934</v>
      </c>
      <c r="F254" s="307" t="str">
        <f t="shared" si="92"/>
        <v>08/17/20</v>
      </c>
      <c r="G254" s="322" t="s">
        <v>935</v>
      </c>
      <c r="H254" s="322" t="s">
        <v>685</v>
      </c>
      <c r="I254" s="330"/>
      <c r="J254" s="323">
        <v>-16.588533999999999</v>
      </c>
      <c r="K254" s="323">
        <v>16.020683999999999</v>
      </c>
      <c r="L254" s="323">
        <v>29.303481999999999</v>
      </c>
      <c r="M254" s="323">
        <v>-7.0191720000000002</v>
      </c>
      <c r="N254" s="308">
        <v>4250</v>
      </c>
      <c r="O254" s="308">
        <v>30.36</v>
      </c>
      <c r="P254" s="308">
        <v>0.3201</v>
      </c>
      <c r="Q254" s="308">
        <v>1.9560000000000001E-2</v>
      </c>
      <c r="R254" s="309">
        <v>3.5818136800000002</v>
      </c>
      <c r="S254" s="309">
        <f>R254+R253</f>
        <v>3.5818136800000002</v>
      </c>
      <c r="T254" s="338">
        <v>95.8</v>
      </c>
      <c r="U254" s="338">
        <v>93</v>
      </c>
      <c r="V254" s="313">
        <v>-7576</v>
      </c>
      <c r="W254" s="313">
        <v>-6308</v>
      </c>
      <c r="X254" s="313">
        <f>W254-V254</f>
        <v>1268</v>
      </c>
      <c r="Y254" s="313">
        <f t="shared" ref="Y254:Y276" si="106">X254/$R254</f>
        <v>354.01059722347139</v>
      </c>
      <c r="Z254" s="332">
        <v>2401.234551</v>
      </c>
      <c r="AA254" s="313">
        <v>2450.4867789999998</v>
      </c>
      <c r="AB254" s="313">
        <f>AA254-Z254</f>
        <v>49.252227999999832</v>
      </c>
      <c r="AC254" s="331">
        <f t="shared" ref="AC254:AC276" si="107">AB254/$R254</f>
        <v>13.750639312986216</v>
      </c>
      <c r="AD254" s="332">
        <v>17.96</v>
      </c>
      <c r="AE254" s="313">
        <v>15.8</v>
      </c>
      <c r="AF254" s="313">
        <f>AE254-AD254</f>
        <v>-2.16</v>
      </c>
      <c r="AG254" s="331">
        <f t="shared" ref="AG254:AG276" si="108">AF254/$R254</f>
        <v>-0.60304644321979362</v>
      </c>
      <c r="AH254" s="332">
        <v>7640.75</v>
      </c>
      <c r="AI254" s="313">
        <v>7640.75</v>
      </c>
      <c r="AJ254" s="313">
        <f>AI254-AH254</f>
        <v>0</v>
      </c>
      <c r="AK254" s="331">
        <f t="shared" ref="AK254:AK276" si="109">AJ254/$R254</f>
        <v>0</v>
      </c>
      <c r="AL254" s="332">
        <v>5048.95</v>
      </c>
      <c r="AM254" s="313">
        <v>5638.3516639999998</v>
      </c>
      <c r="AN254" s="313">
        <f>AM254-AL254</f>
        <v>589.40166399999998</v>
      </c>
      <c r="AO254" s="331">
        <f t="shared" ref="AO254:AO276" si="110">AN254/$R254</f>
        <v>164.5539708810314</v>
      </c>
      <c r="AP254" s="303">
        <v>95.8</v>
      </c>
      <c r="AQ254" s="303">
        <v>93</v>
      </c>
      <c r="AR254" s="303">
        <f>AQ254-AP254</f>
        <v>-2.7999999999999972</v>
      </c>
      <c r="AS254" s="332">
        <v>82342.5</v>
      </c>
      <c r="AT254" s="313">
        <v>82343.199999999997</v>
      </c>
      <c r="AU254" s="341">
        <f>AT254-AS254</f>
        <v>0.69999999999708962</v>
      </c>
      <c r="AV254" s="303"/>
      <c r="AW254" s="303"/>
      <c r="AX254" s="303"/>
      <c r="AY254" s="303"/>
      <c r="AZ254" s="322" t="s">
        <v>686</v>
      </c>
      <c r="BA254" s="461">
        <v>2420.1727995800002</v>
      </c>
      <c r="BB254" s="461">
        <v>-1.6600588300000001</v>
      </c>
      <c r="BC254" s="461">
        <v>2014.84293404</v>
      </c>
      <c r="BD254" s="461">
        <v>2048.85513455</v>
      </c>
      <c r="BE254" s="461">
        <v>3.2145564499999999</v>
      </c>
      <c r="BF254" s="461">
        <v>3.2585607300000001</v>
      </c>
      <c r="BG254" s="461">
        <v>-0.25763353</v>
      </c>
      <c r="BH254" s="461">
        <v>3.5817287800000002</v>
      </c>
      <c r="BI254" s="461">
        <v>3.5909803500000002</v>
      </c>
      <c r="BJ254" s="461">
        <v>-1.1077463999999999</v>
      </c>
      <c r="BK254" s="461">
        <v>-1.3504206999999999</v>
      </c>
      <c r="BL254" s="461">
        <v>0.59039827</v>
      </c>
    </row>
    <row r="255" spans="1:70" ht="15" customHeight="1" x14ac:dyDescent="0.2">
      <c r="A255" s="328">
        <v>62008040</v>
      </c>
      <c r="B255" s="321" t="s">
        <v>894</v>
      </c>
      <c r="C255" s="321" t="s">
        <v>774</v>
      </c>
      <c r="D255" s="352" t="s">
        <v>718</v>
      </c>
      <c r="E255" s="307" t="s">
        <v>934</v>
      </c>
      <c r="F255" s="307" t="str">
        <f t="shared" si="92"/>
        <v>08/17/20</v>
      </c>
      <c r="G255" s="322" t="s">
        <v>935</v>
      </c>
      <c r="H255" s="322" t="s">
        <v>685</v>
      </c>
      <c r="I255" s="330"/>
      <c r="J255" s="323">
        <v>-18.027470999999998</v>
      </c>
      <c r="K255" s="323">
        <v>16.220385</v>
      </c>
      <c r="L255" s="323">
        <v>29.302495</v>
      </c>
      <c r="M255" s="323">
        <v>-2.4246989999999999</v>
      </c>
      <c r="N255" s="308">
        <v>4250</v>
      </c>
      <c r="O255" s="308">
        <v>30.36</v>
      </c>
      <c r="P255" s="308">
        <v>0.3201</v>
      </c>
      <c r="Q255" s="308">
        <v>1.9560000000000001E-2</v>
      </c>
      <c r="R255" s="309">
        <v>3.8393937400000002</v>
      </c>
      <c r="S255" s="309">
        <f>R255+R254</f>
        <v>7.42120742</v>
      </c>
      <c r="T255" s="338">
        <v>93</v>
      </c>
      <c r="U255" s="338">
        <v>89.6</v>
      </c>
      <c r="V255" s="313">
        <v>-6308</v>
      </c>
      <c r="W255" s="313">
        <v>-5239</v>
      </c>
      <c r="X255" s="313">
        <f>W255-V255</f>
        <v>1069</v>
      </c>
      <c r="Y255" s="313">
        <f t="shared" si="106"/>
        <v>278.42937515442213</v>
      </c>
      <c r="Z255" s="332">
        <v>2450.5</v>
      </c>
      <c r="AA255" s="313">
        <v>2534.2163169999999</v>
      </c>
      <c r="AB255" s="313">
        <f>AA255-Z255</f>
        <v>83.71631699999989</v>
      </c>
      <c r="AC255" s="331">
        <f t="shared" si="107"/>
        <v>21.80456672828765</v>
      </c>
      <c r="AD255" s="332">
        <v>15.8</v>
      </c>
      <c r="AE255" s="313">
        <v>14.14</v>
      </c>
      <c r="AF255" s="313">
        <f>AE255-AD255</f>
        <v>-1.6600000000000001</v>
      </c>
      <c r="AG255" s="331">
        <f t="shared" si="108"/>
        <v>-0.43235992774213361</v>
      </c>
      <c r="AH255" s="332">
        <v>7640.75</v>
      </c>
      <c r="AI255" s="313">
        <v>7640.75</v>
      </c>
      <c r="AJ255" s="313">
        <f>AI255-AH255</f>
        <v>0</v>
      </c>
      <c r="AK255" s="331">
        <f t="shared" si="109"/>
        <v>0</v>
      </c>
      <c r="AL255" s="332">
        <v>5638.5832179999998</v>
      </c>
      <c r="AM255" s="313">
        <v>6716.4446980000002</v>
      </c>
      <c r="AN255" s="313">
        <f>AM255-AL255</f>
        <v>1077.8614800000005</v>
      </c>
      <c r="AO255" s="331">
        <f t="shared" si="110"/>
        <v>280.73741663182489</v>
      </c>
      <c r="AP255" s="303">
        <v>93</v>
      </c>
      <c r="AQ255" s="303">
        <v>89.6</v>
      </c>
      <c r="AR255" s="303">
        <f>AQ255-AP255</f>
        <v>-3.4000000000000057</v>
      </c>
      <c r="AS255" s="332">
        <v>82343.199999999997</v>
      </c>
      <c r="AT255" s="313">
        <v>82344.5</v>
      </c>
      <c r="AU255" s="341">
        <f>AT255-AS255</f>
        <v>1.3000000000029104</v>
      </c>
      <c r="AV255" s="303"/>
      <c r="AW255" s="303"/>
      <c r="AX255" s="303"/>
      <c r="AY255" s="303"/>
      <c r="AZ255" s="322" t="s">
        <v>686</v>
      </c>
      <c r="BA255" s="461">
        <v>1482.8553650700001</v>
      </c>
      <c r="BB255" s="461">
        <v>-2.09262799</v>
      </c>
      <c r="BC255" s="461">
        <v>3344.6815076500002</v>
      </c>
      <c r="BD255" s="461">
        <v>3416.1692211</v>
      </c>
      <c r="BE255" s="461">
        <v>2.95435582</v>
      </c>
      <c r="BF255" s="461">
        <v>3.0186862300000001</v>
      </c>
      <c r="BG255" s="461">
        <v>-0.53492339</v>
      </c>
      <c r="BH255" s="461">
        <v>3.8391833100000001</v>
      </c>
      <c r="BI255" s="461">
        <v>3.85983045</v>
      </c>
      <c r="BJ255" s="461">
        <v>-1.6309055100000001</v>
      </c>
      <c r="BK255" s="461">
        <v>-2.13107311</v>
      </c>
      <c r="BL255" s="461">
        <v>0.71450546000000004</v>
      </c>
    </row>
    <row r="256" spans="1:70" ht="15" customHeight="1" x14ac:dyDescent="0.2">
      <c r="A256" s="328">
        <v>62008040</v>
      </c>
      <c r="B256" s="321" t="s">
        <v>629</v>
      </c>
      <c r="C256" s="321" t="s">
        <v>775</v>
      </c>
      <c r="D256" s="352" t="s">
        <v>718</v>
      </c>
      <c r="E256" s="307" t="s">
        <v>934</v>
      </c>
      <c r="F256" s="307" t="str">
        <f t="shared" si="92"/>
        <v>08/17/20</v>
      </c>
      <c r="G256" s="322" t="s">
        <v>935</v>
      </c>
      <c r="H256" s="322" t="s">
        <v>685</v>
      </c>
      <c r="I256" s="330"/>
      <c r="J256" s="324">
        <f>AVERAGE(J254:J255)</f>
        <v>-17.308002500000001</v>
      </c>
      <c r="K256" s="324">
        <f>AVERAGE(K254:K255)</f>
        <v>16.120534499999998</v>
      </c>
      <c r="L256" s="324">
        <f>AVERAGE(L254:L255)</f>
        <v>29.302988499999998</v>
      </c>
      <c r="M256" s="324">
        <f>AVERAGE(M254:M255)</f>
        <v>-4.7219354999999998</v>
      </c>
      <c r="N256" s="310"/>
      <c r="O256" s="308"/>
      <c r="P256" s="326"/>
      <c r="Q256" s="325"/>
      <c r="R256" s="311">
        <f>R255+R254</f>
        <v>7.42120742</v>
      </c>
      <c r="S256" s="311">
        <f>S255</f>
        <v>7.42120742</v>
      </c>
      <c r="T256" s="339">
        <f>T254</f>
        <v>95.8</v>
      </c>
      <c r="U256" s="339">
        <f>U255</f>
        <v>89.6</v>
      </c>
      <c r="V256" s="314">
        <f>V254</f>
        <v>-7576</v>
      </c>
      <c r="W256" s="314">
        <f>W255</f>
        <v>-5239</v>
      </c>
      <c r="X256" s="314">
        <f>SUM(X254:X255)</f>
        <v>2337</v>
      </c>
      <c r="Y256" s="314">
        <f t="shared" si="106"/>
        <v>314.90832525470631</v>
      </c>
      <c r="Z256" s="314">
        <f>Z254</f>
        <v>2401.234551</v>
      </c>
      <c r="AA256" s="314">
        <f>AA255</f>
        <v>2534.2163169999999</v>
      </c>
      <c r="AB256" s="314">
        <f>SUM(AB254:AB255)</f>
        <v>132.96854499999972</v>
      </c>
      <c r="AC256" s="312">
        <f t="shared" si="107"/>
        <v>17.917373477751376</v>
      </c>
      <c r="AD256" s="314">
        <f>AD254</f>
        <v>17.96</v>
      </c>
      <c r="AE256" s="314">
        <f>AE255</f>
        <v>14.14</v>
      </c>
      <c r="AF256" s="314">
        <f>SUM(AF254:AF255)</f>
        <v>-3.8200000000000003</v>
      </c>
      <c r="AG256" s="312">
        <f t="shared" si="108"/>
        <v>-0.51474103657380332</v>
      </c>
      <c r="AH256" s="314">
        <f>AH254</f>
        <v>7640.75</v>
      </c>
      <c r="AI256" s="314">
        <f>AI255</f>
        <v>7640.75</v>
      </c>
      <c r="AJ256" s="314">
        <f>SUM(AJ254:AJ255)</f>
        <v>0</v>
      </c>
      <c r="AK256" s="312">
        <f t="shared" si="109"/>
        <v>0</v>
      </c>
      <c r="AL256" s="314">
        <f>AL254</f>
        <v>5048.95</v>
      </c>
      <c r="AM256" s="314">
        <f>AM255</f>
        <v>6716.4446980000002</v>
      </c>
      <c r="AN256" s="314">
        <f>SUM(AN254:AN255)</f>
        <v>1667.2631440000005</v>
      </c>
      <c r="AO256" s="312">
        <f t="shared" si="110"/>
        <v>224.66197879158597</v>
      </c>
      <c r="AP256" s="305"/>
      <c r="AQ256" s="305"/>
      <c r="AR256" s="305">
        <f>SUM(AR254:AR255)</f>
        <v>-6.2000000000000028</v>
      </c>
      <c r="AS256" s="314">
        <f>AS254</f>
        <v>82342.5</v>
      </c>
      <c r="AT256" s="314">
        <f>AT255</f>
        <v>82344.5</v>
      </c>
      <c r="AU256" s="342">
        <f>SUM(AU254:AU255)</f>
        <v>2</v>
      </c>
      <c r="AV256" s="305"/>
      <c r="AW256" s="305"/>
      <c r="AX256" s="305"/>
      <c r="AY256" s="305"/>
      <c r="AZ256" s="322" t="s">
        <v>686</v>
      </c>
    </row>
    <row r="257" spans="1:64" ht="15" customHeight="1" x14ac:dyDescent="0.2">
      <c r="A257" s="328">
        <v>62008040</v>
      </c>
      <c r="B257" s="321" t="s">
        <v>630</v>
      </c>
      <c r="C257" s="321" t="s">
        <v>776</v>
      </c>
      <c r="D257" s="352" t="s">
        <v>718</v>
      </c>
      <c r="E257" s="307" t="s">
        <v>934</v>
      </c>
      <c r="F257" s="307" t="str">
        <f t="shared" si="92"/>
        <v>08/17/20</v>
      </c>
      <c r="G257" s="322" t="s">
        <v>935</v>
      </c>
      <c r="H257" s="322" t="s">
        <v>685</v>
      </c>
      <c r="I257" s="330"/>
      <c r="J257" s="323">
        <v>-13.954682</v>
      </c>
      <c r="K257" s="323">
        <v>12.681964000000001</v>
      </c>
      <c r="L257" s="323">
        <v>29.300577000000001</v>
      </c>
      <c r="M257" s="323">
        <v>-1.3106</v>
      </c>
      <c r="N257" s="308">
        <v>4250</v>
      </c>
      <c r="O257" s="308">
        <v>30.36</v>
      </c>
      <c r="P257" s="308">
        <v>0.3201</v>
      </c>
      <c r="Q257" s="308">
        <v>1.9560000000000001E-2</v>
      </c>
      <c r="R257" s="309">
        <v>10.243577520000001</v>
      </c>
      <c r="S257" s="309">
        <f>R257+R256</f>
        <v>17.664784940000001</v>
      </c>
      <c r="T257" s="338">
        <v>89.6</v>
      </c>
      <c r="U257" s="338">
        <v>83.8</v>
      </c>
      <c r="V257" s="313">
        <v>-5238</v>
      </c>
      <c r="W257" s="313">
        <v>-2492</v>
      </c>
      <c r="X257" s="313">
        <f>W257-V257</f>
        <v>2746</v>
      </c>
      <c r="Y257" s="313">
        <f t="shared" si="106"/>
        <v>268.07040749568125</v>
      </c>
      <c r="Z257" s="332">
        <v>2535.7863040000002</v>
      </c>
      <c r="AA257" s="313">
        <v>2607.6357929999999</v>
      </c>
      <c r="AB257" s="313">
        <f>AA257-Z257</f>
        <v>71.849488999999721</v>
      </c>
      <c r="AC257" s="331">
        <f t="shared" si="107"/>
        <v>7.0141011633599391</v>
      </c>
      <c r="AD257" s="332">
        <v>14.12</v>
      </c>
      <c r="AE257" s="313">
        <v>13.19</v>
      </c>
      <c r="AF257" s="313">
        <f>AE257-AD257</f>
        <v>-0.92999999999999972</v>
      </c>
      <c r="AG257" s="331">
        <f t="shared" si="108"/>
        <v>-9.0788593944276574E-2</v>
      </c>
      <c r="AH257" s="332">
        <v>7640.75</v>
      </c>
      <c r="AI257" s="313">
        <v>7640.75</v>
      </c>
      <c r="AJ257" s="313">
        <f>AI257-AH257</f>
        <v>0</v>
      </c>
      <c r="AK257" s="331">
        <f t="shared" si="109"/>
        <v>0</v>
      </c>
      <c r="AL257" s="332">
        <v>6736.463006</v>
      </c>
      <c r="AM257" s="313">
        <v>7668.8398630000002</v>
      </c>
      <c r="AN257" s="313">
        <f>AM257-AL257</f>
        <v>932.3768570000002</v>
      </c>
      <c r="AO257" s="331">
        <f t="shared" si="110"/>
        <v>91.020627820660081</v>
      </c>
      <c r="AP257" s="303">
        <v>89.6</v>
      </c>
      <c r="AQ257" s="303">
        <v>83.8</v>
      </c>
      <c r="AR257" s="303">
        <f>AQ257-AP257</f>
        <v>-5.7999999999999972</v>
      </c>
      <c r="AS257" s="332">
        <v>82344.5</v>
      </c>
      <c r="AT257" s="313">
        <v>82345.7</v>
      </c>
      <c r="AU257" s="341">
        <f>AT257-AS257</f>
        <v>1.1999999999970896</v>
      </c>
      <c r="AV257" s="303"/>
      <c r="AW257" s="303"/>
      <c r="AX257" s="303"/>
      <c r="AY257" s="303"/>
      <c r="AZ257" s="322" t="s">
        <v>686</v>
      </c>
      <c r="BA257" s="461">
        <v>1945.4918813700001</v>
      </c>
      <c r="BB257" s="461">
        <v>-0.58223986000000005</v>
      </c>
      <c r="BC257" s="461">
        <v>1299.12118261</v>
      </c>
      <c r="BD257" s="461">
        <v>1306.72948247</v>
      </c>
      <c r="BE257" s="461">
        <v>7.9823628500000003</v>
      </c>
      <c r="BF257" s="461">
        <v>8.0200758499999996</v>
      </c>
      <c r="BG257" s="461">
        <v>-0.12695666</v>
      </c>
      <c r="BH257" s="461">
        <v>10.2436589</v>
      </c>
      <c r="BI257" s="461">
        <v>10.25668044</v>
      </c>
      <c r="BJ257" s="461">
        <v>-0.34489756999999999</v>
      </c>
      <c r="BK257" s="461">
        <v>-0.47023240999999999</v>
      </c>
      <c r="BL257" s="461">
        <v>0.28276744999999998</v>
      </c>
    </row>
    <row r="258" spans="1:64" ht="15" customHeight="1" x14ac:dyDescent="0.2">
      <c r="A258" s="328">
        <v>62008040</v>
      </c>
      <c r="B258" s="321" t="s">
        <v>631</v>
      </c>
      <c r="C258" s="321" t="s">
        <v>777</v>
      </c>
      <c r="D258" s="352" t="s">
        <v>718</v>
      </c>
      <c r="E258" s="307" t="s">
        <v>934</v>
      </c>
      <c r="F258" s="307" t="str">
        <f t="shared" si="92"/>
        <v>08/17/20</v>
      </c>
      <c r="G258" s="322" t="s">
        <v>935</v>
      </c>
      <c r="H258" s="322" t="s">
        <v>685</v>
      </c>
      <c r="I258" s="330"/>
      <c r="J258" s="323">
        <v>-18.154309999999999</v>
      </c>
      <c r="K258" s="323">
        <v>17.689893999999999</v>
      </c>
      <c r="L258" s="323">
        <v>29.302256</v>
      </c>
      <c r="M258" s="323">
        <v>-1.471409</v>
      </c>
      <c r="N258" s="308">
        <v>4250</v>
      </c>
      <c r="O258" s="308">
        <v>30.36</v>
      </c>
      <c r="P258" s="308">
        <v>0.3201</v>
      </c>
      <c r="Q258" s="308">
        <v>1.9560000000000001E-2</v>
      </c>
      <c r="R258" s="309">
        <v>3.57990575</v>
      </c>
      <c r="S258" s="309">
        <f>R258+R257</f>
        <v>13.823483270000001</v>
      </c>
      <c r="T258" s="338">
        <v>83.8</v>
      </c>
      <c r="U258" s="338">
        <v>81.2</v>
      </c>
      <c r="V258" s="313">
        <v>-2489</v>
      </c>
      <c r="W258" s="313">
        <v>-1468</v>
      </c>
      <c r="X258" s="313">
        <f>W258-V258</f>
        <v>1021</v>
      </c>
      <c r="Y258" s="313">
        <f t="shared" si="106"/>
        <v>285.20303921409106</v>
      </c>
      <c r="Z258" s="332">
        <v>2610.4956299999999</v>
      </c>
      <c r="AA258" s="313">
        <v>2658.5653769999999</v>
      </c>
      <c r="AB258" s="313">
        <f>AA258-Z258</f>
        <v>48.069747000000007</v>
      </c>
      <c r="AC258" s="331">
        <f t="shared" si="107"/>
        <v>13.427657138738919</v>
      </c>
      <c r="AD258" s="332">
        <v>15.96</v>
      </c>
      <c r="AE258" s="313">
        <v>14.1</v>
      </c>
      <c r="AF258" s="313">
        <f>AE258-AD258</f>
        <v>-1.8600000000000012</v>
      </c>
      <c r="AG258" s="331">
        <f t="shared" si="108"/>
        <v>-0.51956675116377049</v>
      </c>
      <c r="AH258" s="332">
        <v>7640.75</v>
      </c>
      <c r="AI258" s="313">
        <v>7640.75</v>
      </c>
      <c r="AJ258" s="313">
        <f>AI258-AH258</f>
        <v>0</v>
      </c>
      <c r="AK258" s="331">
        <f t="shared" si="109"/>
        <v>0</v>
      </c>
      <c r="AL258" s="332">
        <v>7675.25</v>
      </c>
      <c r="AM258" s="313">
        <v>8246.2537410000004</v>
      </c>
      <c r="AN258" s="313">
        <f>AM258-AL258</f>
        <v>571.00374100000045</v>
      </c>
      <c r="AO258" s="331">
        <f t="shared" si="110"/>
        <v>159.50245086759628</v>
      </c>
      <c r="AP258" s="303">
        <v>83.8</v>
      </c>
      <c r="AQ258" s="303">
        <v>81.2</v>
      </c>
      <c r="AR258" s="303">
        <f>AQ258-AP258</f>
        <v>-2.5999999999999943</v>
      </c>
      <c r="AS258" s="332">
        <v>82346.600000000006</v>
      </c>
      <c r="AT258" s="313">
        <v>82347.3</v>
      </c>
      <c r="AU258" s="341">
        <f>AT258-AS258</f>
        <v>0.69999999999708962</v>
      </c>
      <c r="AV258" s="303"/>
      <c r="AW258" s="303"/>
      <c r="AX258" s="303"/>
      <c r="AY258" s="303"/>
      <c r="AZ258" s="322" t="s">
        <v>686</v>
      </c>
      <c r="BA258" s="461">
        <v>2410.7179217100002</v>
      </c>
      <c r="BB258" s="461">
        <v>-1.6078346299999999</v>
      </c>
      <c r="BC258" s="461">
        <v>2015.7141574899999</v>
      </c>
      <c r="BD258" s="461">
        <v>2048.6531117</v>
      </c>
      <c r="BE258" s="461">
        <v>3.2180210800000002</v>
      </c>
      <c r="BF258" s="461">
        <v>3.2582852299999998</v>
      </c>
      <c r="BG258" s="461">
        <v>-0.31049395000000002</v>
      </c>
      <c r="BH258" s="461">
        <v>3.5798295800000002</v>
      </c>
      <c r="BI258" s="461">
        <v>3.59097935</v>
      </c>
      <c r="BJ258" s="461">
        <v>-0.93682957</v>
      </c>
      <c r="BK258" s="461">
        <v>-1.2357466800000001</v>
      </c>
      <c r="BL258" s="461">
        <v>0.59036202000000004</v>
      </c>
    </row>
    <row r="259" spans="1:64" ht="15" customHeight="1" x14ac:dyDescent="0.2">
      <c r="A259" s="328">
        <v>62008040</v>
      </c>
      <c r="B259" s="321" t="s">
        <v>895</v>
      </c>
      <c r="C259" s="321" t="s">
        <v>778</v>
      </c>
      <c r="D259" s="352" t="s">
        <v>718</v>
      </c>
      <c r="E259" s="307" t="s">
        <v>934</v>
      </c>
      <c r="F259" s="307" t="str">
        <f t="shared" si="92"/>
        <v>08/17/20</v>
      </c>
      <c r="G259" s="322" t="s">
        <v>935</v>
      </c>
      <c r="H259" s="322" t="s">
        <v>685</v>
      </c>
      <c r="I259" s="330"/>
      <c r="J259" s="323">
        <v>-17.855539</v>
      </c>
      <c r="K259" s="323">
        <v>16.242653000000001</v>
      </c>
      <c r="L259" s="323">
        <v>29.302734999999998</v>
      </c>
      <c r="M259" s="323">
        <v>-1.2369410000000001</v>
      </c>
      <c r="N259" s="308">
        <v>4250</v>
      </c>
      <c r="O259" s="308">
        <v>30.36</v>
      </c>
      <c r="P259" s="308">
        <v>0.3201</v>
      </c>
      <c r="Q259" s="308">
        <v>1.9560000000000001E-2</v>
      </c>
      <c r="R259" s="309">
        <v>3.84024477</v>
      </c>
      <c r="S259" s="309">
        <f>R259+R258</f>
        <v>7.42015052</v>
      </c>
      <c r="T259" s="338">
        <v>81.2</v>
      </c>
      <c r="U259" s="338">
        <v>78.2</v>
      </c>
      <c r="V259" s="313">
        <v>-1468</v>
      </c>
      <c r="W259" s="313">
        <v>-592</v>
      </c>
      <c r="X259" s="313">
        <f>W259-V259</f>
        <v>876</v>
      </c>
      <c r="Y259" s="313">
        <f t="shared" si="106"/>
        <v>228.11045974030452</v>
      </c>
      <c r="Z259" s="332">
        <v>2658.5854319999999</v>
      </c>
      <c r="AA259" s="313">
        <v>2735.4349379999999</v>
      </c>
      <c r="AB259" s="313">
        <f>AA259-Z259</f>
        <v>76.849506000000019</v>
      </c>
      <c r="AC259" s="331">
        <f t="shared" si="107"/>
        <v>20.011616603282302</v>
      </c>
      <c r="AD259" s="332">
        <v>14.1</v>
      </c>
      <c r="AE259" s="313">
        <v>12.66</v>
      </c>
      <c r="AF259" s="313">
        <f>AE259-AD259</f>
        <v>-1.4399999999999995</v>
      </c>
      <c r="AG259" s="331">
        <f t="shared" si="108"/>
        <v>-0.37497609820324018</v>
      </c>
      <c r="AH259" s="332">
        <v>7640.75</v>
      </c>
      <c r="AI259" s="313">
        <v>7640.75</v>
      </c>
      <c r="AJ259" s="313">
        <f>AI259-AH259</f>
        <v>0</v>
      </c>
      <c r="AK259" s="331">
        <f t="shared" si="109"/>
        <v>0</v>
      </c>
      <c r="AL259" s="332">
        <v>8246.531438</v>
      </c>
      <c r="AM259" s="313">
        <v>9256.9057190000003</v>
      </c>
      <c r="AN259" s="313">
        <f>AM259-AL259</f>
        <v>1010.3742810000003</v>
      </c>
      <c r="AO259" s="331">
        <f t="shared" si="110"/>
        <v>263.10153167658643</v>
      </c>
      <c r="AP259" s="303">
        <v>81.2</v>
      </c>
      <c r="AQ259" s="303">
        <v>78.2</v>
      </c>
      <c r="AR259" s="303">
        <f>AQ259-AP259</f>
        <v>-3</v>
      </c>
      <c r="AS259" s="332">
        <v>82347.3</v>
      </c>
      <c r="AT259" s="313">
        <v>82348.600000000006</v>
      </c>
      <c r="AU259" s="341">
        <f>AT259-AS259</f>
        <v>1.3000000000029104</v>
      </c>
      <c r="AV259" s="303"/>
      <c r="AW259" s="303"/>
      <c r="AX259" s="303"/>
      <c r="AY259" s="303"/>
      <c r="AZ259" s="322" t="s">
        <v>686</v>
      </c>
      <c r="BA259" s="461">
        <v>1481.6550478700001</v>
      </c>
      <c r="BB259" s="461">
        <v>-2.0750633299999999</v>
      </c>
      <c r="BC259" s="461">
        <v>3345.1039273800002</v>
      </c>
      <c r="BD259" s="461">
        <v>3415.9878383099999</v>
      </c>
      <c r="BE259" s="461">
        <v>2.9513960799999999</v>
      </c>
      <c r="BF259" s="461">
        <v>3.01841866</v>
      </c>
      <c r="BG259" s="461">
        <v>-0.51240079000000005</v>
      </c>
      <c r="BH259" s="461">
        <v>3.84005163</v>
      </c>
      <c r="BI259" s="461">
        <v>3.8598294200000001</v>
      </c>
      <c r="BJ259" s="461">
        <v>-1.7468403699999999</v>
      </c>
      <c r="BK259" s="461">
        <v>-2.2204533799999999</v>
      </c>
      <c r="BL259" s="461">
        <v>0.71451684000000004</v>
      </c>
    </row>
    <row r="260" spans="1:64" ht="15" customHeight="1" x14ac:dyDescent="0.2">
      <c r="A260" s="328">
        <v>62008040</v>
      </c>
      <c r="B260" s="321" t="s">
        <v>632</v>
      </c>
      <c r="C260" s="321" t="s">
        <v>779</v>
      </c>
      <c r="D260" s="352" t="s">
        <v>718</v>
      </c>
      <c r="E260" s="307" t="s">
        <v>934</v>
      </c>
      <c r="F260" s="307" t="str">
        <f t="shared" si="92"/>
        <v>08/17/20</v>
      </c>
      <c r="G260" s="322" t="s">
        <v>935</v>
      </c>
      <c r="H260" s="322" t="s">
        <v>685</v>
      </c>
      <c r="I260" s="330"/>
      <c r="J260" s="324">
        <f>AVERAGE(J258:J259)</f>
        <v>-18.004924500000001</v>
      </c>
      <c r="K260" s="324">
        <f>AVERAGE(K258:K259)</f>
        <v>16.9662735</v>
      </c>
      <c r="L260" s="324">
        <f>AVERAGE(L258:L259)</f>
        <v>29.302495499999999</v>
      </c>
      <c r="M260" s="324">
        <f>AVERAGE(M258:M259)</f>
        <v>-1.3541750000000001</v>
      </c>
      <c r="N260" s="310"/>
      <c r="O260" s="308"/>
      <c r="P260" s="326"/>
      <c r="Q260" s="325"/>
      <c r="R260" s="311">
        <f>R259+R258</f>
        <v>7.42015052</v>
      </c>
      <c r="S260" s="311">
        <f>S259</f>
        <v>7.42015052</v>
      </c>
      <c r="T260" s="339">
        <f>T258</f>
        <v>83.8</v>
      </c>
      <c r="U260" s="339">
        <f>U259</f>
        <v>78.2</v>
      </c>
      <c r="V260" s="314">
        <f>V258</f>
        <v>-2489</v>
      </c>
      <c r="W260" s="314">
        <f>W259</f>
        <v>-592</v>
      </c>
      <c r="X260" s="314">
        <f>SUM(X258:X259)</f>
        <v>1897</v>
      </c>
      <c r="Y260" s="314">
        <f t="shared" si="106"/>
        <v>255.65519121032602</v>
      </c>
      <c r="Z260" s="314">
        <f>Z258</f>
        <v>2610.4956299999999</v>
      </c>
      <c r="AA260" s="314">
        <f>AA259</f>
        <v>2735.4349379999999</v>
      </c>
      <c r="AB260" s="314">
        <f>SUM(AB258:AB259)</f>
        <v>124.91925300000003</v>
      </c>
      <c r="AC260" s="312">
        <f t="shared" si="107"/>
        <v>16.835137328184555</v>
      </c>
      <c r="AD260" s="314">
        <f>AD258</f>
        <v>15.96</v>
      </c>
      <c r="AE260" s="314">
        <f>AE259</f>
        <v>12.66</v>
      </c>
      <c r="AF260" s="314">
        <f>SUM(AF258:AF259)</f>
        <v>-3.3000000000000007</v>
      </c>
      <c r="AG260" s="312">
        <f t="shared" si="108"/>
        <v>-0.44473491354458411</v>
      </c>
      <c r="AH260" s="314">
        <f>AH258</f>
        <v>7640.75</v>
      </c>
      <c r="AI260" s="314">
        <f>AI259</f>
        <v>7640.75</v>
      </c>
      <c r="AJ260" s="314">
        <f>SUM(AJ258:AJ259)</f>
        <v>0</v>
      </c>
      <c r="AK260" s="312">
        <f t="shared" si="109"/>
        <v>0</v>
      </c>
      <c r="AL260" s="314">
        <f>AL258</f>
        <v>7675.25</v>
      </c>
      <c r="AM260" s="314">
        <f>AM259</f>
        <v>9256.9057190000003</v>
      </c>
      <c r="AN260" s="314">
        <f>SUM(AN258:AN259)</f>
        <v>1581.3780220000008</v>
      </c>
      <c r="AO260" s="312">
        <f t="shared" si="110"/>
        <v>213.11939936226534</v>
      </c>
      <c r="AP260" s="305"/>
      <c r="AQ260" s="305"/>
      <c r="AR260" s="305">
        <f>SUM(AR258:AR259)</f>
        <v>-5.5999999999999943</v>
      </c>
      <c r="AS260" s="314">
        <f>AS258</f>
        <v>82346.600000000006</v>
      </c>
      <c r="AT260" s="314">
        <f>AT259</f>
        <v>82348.600000000006</v>
      </c>
      <c r="AU260" s="342">
        <f>SUM(AU258:AU259)</f>
        <v>2</v>
      </c>
      <c r="AV260" s="305"/>
      <c r="AW260" s="305"/>
      <c r="AX260" s="305"/>
      <c r="AY260" s="305"/>
      <c r="AZ260" s="322" t="s">
        <v>686</v>
      </c>
    </row>
    <row r="261" spans="1:64" ht="15" customHeight="1" x14ac:dyDescent="0.2">
      <c r="A261" s="328">
        <v>62008040</v>
      </c>
      <c r="B261" s="321" t="s">
        <v>633</v>
      </c>
      <c r="C261" s="321" t="s">
        <v>780</v>
      </c>
      <c r="D261" s="352" t="s">
        <v>718</v>
      </c>
      <c r="E261" s="307" t="s">
        <v>934</v>
      </c>
      <c r="F261" s="307" t="str">
        <f t="shared" si="92"/>
        <v>08/17/20</v>
      </c>
      <c r="G261" s="322" t="s">
        <v>935</v>
      </c>
      <c r="H261" s="322" t="s">
        <v>685</v>
      </c>
      <c r="I261" s="330"/>
      <c r="J261" s="323">
        <v>-14.89645</v>
      </c>
      <c r="K261" s="323">
        <v>13.392377</v>
      </c>
      <c r="L261" s="323">
        <v>29.300875000000001</v>
      </c>
      <c r="M261" s="323">
        <v>0.90036400000000005</v>
      </c>
      <c r="N261" s="308">
        <v>4250</v>
      </c>
      <c r="O261" s="308">
        <v>30.36</v>
      </c>
      <c r="P261" s="308">
        <v>0.3201</v>
      </c>
      <c r="Q261" s="308">
        <v>1.9560000000000001E-2</v>
      </c>
      <c r="R261" s="309">
        <v>1.76597023</v>
      </c>
      <c r="S261" s="309">
        <f>R261+R260</f>
        <v>9.1861207500000006</v>
      </c>
      <c r="T261" s="338">
        <v>78.099999999999994</v>
      </c>
      <c r="U261" s="338">
        <v>72</v>
      </c>
      <c r="V261" s="313">
        <v>-584</v>
      </c>
      <c r="W261" s="313">
        <v>2371</v>
      </c>
      <c r="X261" s="313">
        <f>W261-V261-X262</f>
        <v>790.53339800000003</v>
      </c>
      <c r="Y261" s="313">
        <f t="shared" si="106"/>
        <v>447.6482018612511</v>
      </c>
      <c r="Z261" s="332">
        <v>2743.2548900000002</v>
      </c>
      <c r="AA261" s="313">
        <v>2793.24</v>
      </c>
      <c r="AB261" s="313">
        <f>AA261-Z261-AB262</f>
        <v>19.655188999999609</v>
      </c>
      <c r="AC261" s="331">
        <f t="shared" si="107"/>
        <v>11.129966216927457</v>
      </c>
      <c r="AD261" s="332">
        <v>12.55</v>
      </c>
      <c r="AE261" s="313">
        <v>11.92</v>
      </c>
      <c r="AF261" s="313">
        <f>AE261-AD261-AF262</f>
        <v>-0.25</v>
      </c>
      <c r="AG261" s="331">
        <f t="shared" si="108"/>
        <v>-0.14156524031551768</v>
      </c>
      <c r="AH261" s="332">
        <v>7640.75</v>
      </c>
      <c r="AI261" s="313">
        <v>7640.75</v>
      </c>
      <c r="AJ261" s="313">
        <f>AI261-AH261-AJ262</f>
        <v>0</v>
      </c>
      <c r="AK261" s="331">
        <f t="shared" si="109"/>
        <v>0</v>
      </c>
      <c r="AL261" s="332">
        <v>9357.2989300000008</v>
      </c>
      <c r="AM261" s="313">
        <v>9990.5954330000004</v>
      </c>
      <c r="AN261" s="313">
        <f>AM261-AL261-AN262</f>
        <v>242.54722299999958</v>
      </c>
      <c r="AO261" s="331">
        <f t="shared" si="110"/>
        <v>137.34502364742556</v>
      </c>
      <c r="AP261" s="303">
        <v>78.099999999999994</v>
      </c>
      <c r="AQ261" s="303">
        <v>72</v>
      </c>
      <c r="AR261" s="303">
        <f>AQ261-AP261-AR262</f>
        <v>-1.7999999999999829</v>
      </c>
      <c r="AS261" s="332">
        <v>82348.7</v>
      </c>
      <c r="AT261" s="313">
        <v>82349.600000000006</v>
      </c>
      <c r="AU261" s="341">
        <f>AT261-AS261-AU262</f>
        <v>0.30000000000291038</v>
      </c>
      <c r="AV261" s="303"/>
      <c r="AW261" s="303"/>
      <c r="AX261" s="303"/>
      <c r="AY261" s="303"/>
      <c r="AZ261" s="322" t="s">
        <v>686</v>
      </c>
      <c r="BA261" s="461">
        <v>5559.7814631000001</v>
      </c>
      <c r="BB261" s="461">
        <v>-0.73949571000000003</v>
      </c>
      <c r="BC261" s="461">
        <v>2441.0813932299998</v>
      </c>
      <c r="BD261" s="461">
        <v>2459.2675713399999</v>
      </c>
      <c r="BE261" s="461">
        <v>3.16470531</v>
      </c>
      <c r="BF261" s="461">
        <v>3.20769766</v>
      </c>
      <c r="BG261" s="461">
        <v>-0.34862393000000003</v>
      </c>
      <c r="BH261" s="461">
        <v>1.76592675</v>
      </c>
      <c r="BI261" s="461">
        <v>1.7721047299999999</v>
      </c>
      <c r="BJ261" s="461">
        <v>-1.00513477</v>
      </c>
      <c r="BK261" s="461">
        <v>-1.3402870099999999</v>
      </c>
      <c r="BL261" s="461">
        <v>0.81478196000000003</v>
      </c>
    </row>
    <row r="262" spans="1:64" ht="15" customHeight="1" x14ac:dyDescent="0.2">
      <c r="A262" s="328">
        <v>62008040</v>
      </c>
      <c r="B262" s="321" t="s">
        <v>634</v>
      </c>
      <c r="C262" s="321" t="s">
        <v>781</v>
      </c>
      <c r="D262" s="352" t="s">
        <v>718</v>
      </c>
      <c r="E262" s="307" t="s">
        <v>934</v>
      </c>
      <c r="F262" s="307" t="str">
        <f t="shared" si="92"/>
        <v>08/17/20</v>
      </c>
      <c r="G262" s="322" t="s">
        <v>935</v>
      </c>
      <c r="H262" s="322" t="s">
        <v>685</v>
      </c>
      <c r="I262" s="330"/>
      <c r="J262" s="323">
        <v>-10.600028</v>
      </c>
      <c r="K262" s="323">
        <v>9.9088960000000004</v>
      </c>
      <c r="L262" s="323">
        <v>29.299716</v>
      </c>
      <c r="M262" s="323">
        <v>0.21839600000000001</v>
      </c>
      <c r="N262" s="308">
        <v>4250</v>
      </c>
      <c r="O262" s="308">
        <v>30.36</v>
      </c>
      <c r="P262" s="308">
        <v>0.3201</v>
      </c>
      <c r="Q262" s="308">
        <v>1.9560000000000001E-2</v>
      </c>
      <c r="R262" s="309">
        <v>6.2253455600000001</v>
      </c>
      <c r="S262" s="309">
        <f>R262+R261</f>
        <v>7.9913157899999998</v>
      </c>
      <c r="T262" s="338">
        <v>76.900000000000006</v>
      </c>
      <c r="U262" s="338">
        <v>72.599999999999994</v>
      </c>
      <c r="V262" s="313">
        <v>-43</v>
      </c>
      <c r="W262" s="313">
        <v>2121.466602</v>
      </c>
      <c r="X262" s="313">
        <f>W262-V262</f>
        <v>2164.466602</v>
      </c>
      <c r="Y262" s="313">
        <f t="shared" si="106"/>
        <v>347.68617760071777</v>
      </c>
      <c r="Z262" s="332">
        <v>2754.2947450000001</v>
      </c>
      <c r="AA262" s="313">
        <v>2784.6246660000002</v>
      </c>
      <c r="AB262" s="313">
        <f>AA262-Z262</f>
        <v>30.329921000000013</v>
      </c>
      <c r="AC262" s="331">
        <f t="shared" si="107"/>
        <v>4.8720060127875078</v>
      </c>
      <c r="AD262" s="332">
        <v>12.4</v>
      </c>
      <c r="AE262" s="313">
        <v>12.02</v>
      </c>
      <c r="AF262" s="313">
        <f>AE262-AD262</f>
        <v>-0.38000000000000078</v>
      </c>
      <c r="AG262" s="331">
        <f t="shared" si="108"/>
        <v>-6.1040788232163738E-2</v>
      </c>
      <c r="AH262" s="332">
        <v>7640.75</v>
      </c>
      <c r="AI262" s="313">
        <v>7640.75</v>
      </c>
      <c r="AJ262" s="313">
        <f>AI262-AH262</f>
        <v>0</v>
      </c>
      <c r="AK262" s="331">
        <f t="shared" si="109"/>
        <v>0</v>
      </c>
      <c r="AL262" s="332">
        <v>9497.3973970000006</v>
      </c>
      <c r="AM262" s="313">
        <v>9888.1466770000006</v>
      </c>
      <c r="AN262" s="313">
        <f>AM262-AL262</f>
        <v>390.74928</v>
      </c>
      <c r="AO262" s="331">
        <f t="shared" si="110"/>
        <v>62.767484348290537</v>
      </c>
      <c r="AP262" s="303">
        <v>76.900000000000006</v>
      </c>
      <c r="AQ262" s="303">
        <v>72.599999999999994</v>
      </c>
      <c r="AR262" s="303">
        <f>AQ262-AP262</f>
        <v>-4.3000000000000114</v>
      </c>
      <c r="AS262" s="332">
        <v>82348.899999999994</v>
      </c>
      <c r="AT262" s="313">
        <v>82349.5</v>
      </c>
      <c r="AU262" s="341">
        <f>AT262-AS262</f>
        <v>0.60000000000582077</v>
      </c>
      <c r="AV262" s="303"/>
      <c r="AW262" s="303"/>
      <c r="AX262" s="303"/>
      <c r="AY262" s="303"/>
      <c r="AZ262" s="322" t="s">
        <v>686</v>
      </c>
      <c r="BA262" s="461">
        <v>11810.521744670001</v>
      </c>
      <c r="BB262" s="461">
        <v>-9.4684796299999991</v>
      </c>
      <c r="BC262" s="461">
        <v>1030.4833642200001</v>
      </c>
      <c r="BD262" s="461">
        <v>1138.2592051500001</v>
      </c>
      <c r="BE262" s="461">
        <v>6.9260816299999997</v>
      </c>
      <c r="BF262" s="461">
        <v>7.08404554</v>
      </c>
      <c r="BG262" s="461">
        <v>-0.15168998</v>
      </c>
      <c r="BH262" s="461">
        <v>6.2254004099999998</v>
      </c>
      <c r="BI262" s="461">
        <v>6.2348580599999996</v>
      </c>
      <c r="BJ262" s="461">
        <v>-2.1255614500000002</v>
      </c>
      <c r="BK262" s="461">
        <v>-2.2298545000000001</v>
      </c>
      <c r="BL262" s="461">
        <v>0.34891080000000002</v>
      </c>
    </row>
    <row r="263" spans="1:64" ht="15" customHeight="1" x14ac:dyDescent="0.2">
      <c r="A263" s="328">
        <v>62008040</v>
      </c>
      <c r="B263" s="321" t="s">
        <v>635</v>
      </c>
      <c r="C263" s="321" t="s">
        <v>782</v>
      </c>
      <c r="D263" s="352" t="s">
        <v>718</v>
      </c>
      <c r="E263" s="307" t="s">
        <v>934</v>
      </c>
      <c r="F263" s="307" t="str">
        <f t="shared" si="92"/>
        <v>08/17/20</v>
      </c>
      <c r="G263" s="322" t="s">
        <v>935</v>
      </c>
      <c r="H263" s="322" t="s">
        <v>685</v>
      </c>
      <c r="I263" s="330"/>
      <c r="J263" s="324">
        <f>AVERAGE(J261:J262)</f>
        <v>-12.748239</v>
      </c>
      <c r="K263" s="324">
        <f>AVERAGE(K261:K262)</f>
        <v>11.650636500000001</v>
      </c>
      <c r="L263" s="324">
        <f>AVERAGE(L261:L262)</f>
        <v>29.300295500000001</v>
      </c>
      <c r="M263" s="324">
        <f>AVERAGE(M261:M262)</f>
        <v>0.55937999999999999</v>
      </c>
      <c r="N263" s="310"/>
      <c r="O263" s="308"/>
      <c r="P263" s="326"/>
      <c r="Q263" s="325"/>
      <c r="R263" s="311">
        <f>R262+R261</f>
        <v>7.9913157899999998</v>
      </c>
      <c r="S263" s="311">
        <f>S262</f>
        <v>7.9913157899999998</v>
      </c>
      <c r="T263" s="339">
        <f>T261</f>
        <v>78.099999999999994</v>
      </c>
      <c r="U263" s="339">
        <f>U262</f>
        <v>72.599999999999994</v>
      </c>
      <c r="V263" s="314">
        <f>V261</f>
        <v>-584</v>
      </c>
      <c r="W263" s="314">
        <f>W262</f>
        <v>2121.466602</v>
      </c>
      <c r="X263" s="314">
        <f>SUM(X261:X262)</f>
        <v>2955</v>
      </c>
      <c r="Y263" s="314">
        <f t="shared" si="106"/>
        <v>369.77640199099176</v>
      </c>
      <c r="Z263" s="314">
        <f>Z261</f>
        <v>2743.2548900000002</v>
      </c>
      <c r="AA263" s="314">
        <f>AA262</f>
        <v>2784.6246660000002</v>
      </c>
      <c r="AB263" s="314">
        <f>SUM(AB261:AB262)</f>
        <v>49.985109999999622</v>
      </c>
      <c r="AC263" s="312">
        <f t="shared" si="107"/>
        <v>6.2549286392297132</v>
      </c>
      <c r="AD263" s="314">
        <f>AD261</f>
        <v>12.55</v>
      </c>
      <c r="AE263" s="314">
        <f>AE262</f>
        <v>12.02</v>
      </c>
      <c r="AF263" s="314">
        <f>SUM(AF261:AF262)</f>
        <v>-0.63000000000000078</v>
      </c>
      <c r="AG263" s="312">
        <f t="shared" si="108"/>
        <v>-7.8835578089450117E-2</v>
      </c>
      <c r="AH263" s="314">
        <f>AH261</f>
        <v>7640.75</v>
      </c>
      <c r="AI263" s="314">
        <f>AI262</f>
        <v>7640.75</v>
      </c>
      <c r="AJ263" s="314">
        <f>SUM(AJ261:AJ262)</f>
        <v>0</v>
      </c>
      <c r="AK263" s="312">
        <f t="shared" si="109"/>
        <v>0</v>
      </c>
      <c r="AL263" s="314">
        <f>AL261</f>
        <v>9357.2989300000008</v>
      </c>
      <c r="AM263" s="314">
        <f>AM262</f>
        <v>9888.1466770000006</v>
      </c>
      <c r="AN263" s="314">
        <f>SUM(AN261:AN262)</f>
        <v>633.29650299999957</v>
      </c>
      <c r="AO263" s="312">
        <f t="shared" si="110"/>
        <v>79.248088755606489</v>
      </c>
      <c r="AP263" s="305"/>
      <c r="AQ263" s="305"/>
      <c r="AR263" s="305">
        <f>SUM(AR261:AR262)</f>
        <v>-6.0999999999999943</v>
      </c>
      <c r="AS263" s="314">
        <f>AS261</f>
        <v>82348.7</v>
      </c>
      <c r="AT263" s="314">
        <f>AT262</f>
        <v>82349.5</v>
      </c>
      <c r="AU263" s="342">
        <f>SUM(AU261:AU262)</f>
        <v>0.90000000000873115</v>
      </c>
      <c r="AV263" s="305"/>
      <c r="AW263" s="305"/>
      <c r="AX263" s="305"/>
      <c r="AY263" s="305"/>
      <c r="AZ263" s="322" t="s">
        <v>686</v>
      </c>
    </row>
    <row r="264" spans="1:64" ht="15" customHeight="1" x14ac:dyDescent="0.2">
      <c r="A264" s="328">
        <v>62008041</v>
      </c>
      <c r="B264" s="321" t="s">
        <v>896</v>
      </c>
      <c r="C264" s="321" t="s">
        <v>773</v>
      </c>
      <c r="D264" s="352" t="s">
        <v>936</v>
      </c>
      <c r="E264" s="307" t="s">
        <v>937</v>
      </c>
      <c r="F264" s="307" t="str">
        <f t="shared" si="92"/>
        <v>08/17/20</v>
      </c>
      <c r="G264" s="322" t="s">
        <v>938</v>
      </c>
      <c r="H264" s="322" t="s">
        <v>685</v>
      </c>
      <c r="I264" s="330"/>
      <c r="J264" s="323">
        <v>9.0445879999999992</v>
      </c>
      <c r="K264" s="323">
        <v>-13.507462</v>
      </c>
      <c r="L264" s="323">
        <v>-41.156331999999999</v>
      </c>
      <c r="M264" s="323">
        <v>-4.7377310000000001</v>
      </c>
      <c r="N264" s="308">
        <v>4250</v>
      </c>
      <c r="O264" s="308">
        <v>30.36</v>
      </c>
      <c r="P264" s="308">
        <v>0.3201</v>
      </c>
      <c r="Q264" s="308">
        <v>1.9560000000000001E-2</v>
      </c>
      <c r="R264" s="309">
        <v>68.371234180000002</v>
      </c>
      <c r="S264" s="309">
        <f>R264+R263</f>
        <v>76.362549970000003</v>
      </c>
      <c r="T264" s="338">
        <v>72</v>
      </c>
      <c r="U264" s="338">
        <v>29.7</v>
      </c>
      <c r="V264" s="313">
        <v>2372</v>
      </c>
      <c r="W264" s="313">
        <v>25335</v>
      </c>
      <c r="X264" s="313">
        <f>W264-V264</f>
        <v>22963</v>
      </c>
      <c r="Y264" s="313">
        <f t="shared" si="106"/>
        <v>335.85762017320951</v>
      </c>
      <c r="Z264" s="332">
        <v>2794.2044470000001</v>
      </c>
      <c r="AA264" s="313">
        <v>3100.95</v>
      </c>
      <c r="AB264" s="313">
        <f>AA264-Z264</f>
        <v>306.74555299999975</v>
      </c>
      <c r="AC264" s="331">
        <f t="shared" si="107"/>
        <v>4.4864709066452564</v>
      </c>
      <c r="AD264" s="332">
        <v>14.7</v>
      </c>
      <c r="AE264" s="313">
        <v>9.08</v>
      </c>
      <c r="AF264" s="313">
        <f>AE264-AD264</f>
        <v>-5.6199999999999992</v>
      </c>
      <c r="AG264" s="331">
        <f t="shared" si="108"/>
        <v>-8.2198311430276408E-2</v>
      </c>
      <c r="AH264" s="332">
        <v>7640.75</v>
      </c>
      <c r="AI264" s="313">
        <v>9540.7145390000005</v>
      </c>
      <c r="AJ264" s="313">
        <f>AI264-AH264</f>
        <v>1899.9645390000005</v>
      </c>
      <c r="AK264" s="331">
        <f t="shared" si="109"/>
        <v>27.788946064626977</v>
      </c>
      <c r="AL264" s="332">
        <v>9994.25</v>
      </c>
      <c r="AM264" s="313">
        <v>11634.35</v>
      </c>
      <c r="AN264" s="313">
        <f>AM264-AL264</f>
        <v>1640.1000000000004</v>
      </c>
      <c r="AO264" s="331">
        <f t="shared" si="110"/>
        <v>23.988158465622131</v>
      </c>
      <c r="AP264" s="303">
        <v>72</v>
      </c>
      <c r="AQ264" s="303">
        <v>29.7</v>
      </c>
      <c r="AR264" s="303">
        <f>AQ264-AP264</f>
        <v>-42.3</v>
      </c>
      <c r="AS264" s="332">
        <v>82350.5</v>
      </c>
      <c r="AT264" s="313">
        <v>82356.2</v>
      </c>
      <c r="AU264" s="341">
        <f>AT264-AS264</f>
        <v>5.6999999999970896</v>
      </c>
      <c r="AV264" s="303"/>
      <c r="AW264" s="303"/>
      <c r="AX264" s="303"/>
      <c r="AY264" s="303"/>
      <c r="AZ264" s="322" t="s">
        <v>686</v>
      </c>
      <c r="BA264" s="461">
        <v>35.127637180000001</v>
      </c>
      <c r="BB264" s="461">
        <v>30.506714039999999</v>
      </c>
      <c r="BC264" s="461">
        <v>758.44237876</v>
      </c>
      <c r="BD264" s="461">
        <v>581.15200000000004</v>
      </c>
      <c r="BE264" s="461">
        <v>65.909559029999997</v>
      </c>
      <c r="BF264" s="461">
        <v>66.086198199999998</v>
      </c>
      <c r="BG264" s="461">
        <v>-0.11230717</v>
      </c>
      <c r="BH264" s="461">
        <v>68.371800289999996</v>
      </c>
      <c r="BI264" s="461">
        <v>68.448673060000004</v>
      </c>
      <c r="BJ264" s="461">
        <v>-0.15539421</v>
      </c>
      <c r="BK264" s="461">
        <v>-0.26728603000000001</v>
      </c>
      <c r="BL264" s="461">
        <v>1.2499909999999999E-2</v>
      </c>
    </row>
    <row r="265" spans="1:64" ht="15" customHeight="1" x14ac:dyDescent="0.2">
      <c r="A265" s="328">
        <v>62008042</v>
      </c>
      <c r="B265" s="321" t="s">
        <v>633</v>
      </c>
      <c r="C265" s="321" t="s">
        <v>810</v>
      </c>
      <c r="D265" s="352" t="s">
        <v>724</v>
      </c>
      <c r="E265" s="307" t="s">
        <v>939</v>
      </c>
      <c r="F265" s="307" t="str">
        <f t="shared" si="92"/>
        <v>08/17/20</v>
      </c>
      <c r="G265" s="322" t="s">
        <v>940</v>
      </c>
      <c r="H265" s="322" t="s">
        <v>685</v>
      </c>
      <c r="I265" s="330"/>
      <c r="J265" s="323">
        <v>-11.063801</v>
      </c>
      <c r="K265" s="323">
        <v>12.420619</v>
      </c>
      <c r="L265" s="323">
        <v>29.311591</v>
      </c>
      <c r="M265" s="323">
        <v>6.0944940000000001</v>
      </c>
      <c r="N265" s="308">
        <v>4250</v>
      </c>
      <c r="O265" s="308">
        <v>30.36</v>
      </c>
      <c r="P265" s="308">
        <v>0.3201</v>
      </c>
      <c r="Q265" s="308">
        <v>1.9560000000000001E-2</v>
      </c>
      <c r="R265" s="309">
        <v>1.7644522600000001</v>
      </c>
      <c r="S265" s="309">
        <f>R265+R264</f>
        <v>70.135686440000001</v>
      </c>
      <c r="T265" s="338">
        <v>29.6</v>
      </c>
      <c r="U265" s="338">
        <v>24</v>
      </c>
      <c r="V265" s="313">
        <v>25353</v>
      </c>
      <c r="W265" s="313">
        <v>28298</v>
      </c>
      <c r="X265" s="313">
        <f>W265-V265-X266</f>
        <v>717</v>
      </c>
      <c r="Y265" s="313">
        <f t="shared" si="106"/>
        <v>406.35840155856636</v>
      </c>
      <c r="Z265" s="332">
        <v>3116.63</v>
      </c>
      <c r="AA265" s="313">
        <v>3171.4428240000002</v>
      </c>
      <c r="AB265" s="313">
        <f>AA265-Z265-AB266</f>
        <v>24.420247000000018</v>
      </c>
      <c r="AC265" s="331">
        <f t="shared" si="107"/>
        <v>13.84012906078854</v>
      </c>
      <c r="AD265" s="332">
        <v>9.2200000000000006</v>
      </c>
      <c r="AE265" s="313">
        <v>8.44</v>
      </c>
      <c r="AF265" s="313">
        <f>AE265-AD265-AF266</f>
        <v>-0.39000000000000057</v>
      </c>
      <c r="AG265" s="331">
        <f t="shared" si="108"/>
        <v>-0.22103176653813267</v>
      </c>
      <c r="AH265" s="332">
        <v>9541.15</v>
      </c>
      <c r="AI265" s="313">
        <v>9848.8141410000007</v>
      </c>
      <c r="AJ265" s="313">
        <f>AI265-AH265-AJ266</f>
        <v>112.129637</v>
      </c>
      <c r="AK265" s="331">
        <f t="shared" si="109"/>
        <v>63.549260890742374</v>
      </c>
      <c r="AL265" s="332">
        <v>11634.4</v>
      </c>
      <c r="AM265" s="313">
        <v>11785.064141000001</v>
      </c>
      <c r="AN265" s="313">
        <f>AM265-AL265-AN266</f>
        <v>50.399919000001319</v>
      </c>
      <c r="AO265" s="331">
        <f t="shared" si="110"/>
        <v>28.56405930756172</v>
      </c>
      <c r="AP265" s="303">
        <v>29.6</v>
      </c>
      <c r="AQ265" s="303">
        <v>24</v>
      </c>
      <c r="AR265" s="303">
        <f>AQ265-AP265-AR266</f>
        <v>-1.4000000000000021</v>
      </c>
      <c r="AS265" s="332">
        <v>82356.800000000003</v>
      </c>
      <c r="AT265" s="313">
        <v>82357.7</v>
      </c>
      <c r="AU265" s="341">
        <f>AT265-AS265-AU266</f>
        <v>0.29999999998835847</v>
      </c>
      <c r="AV265" s="303"/>
      <c r="AW265" s="303"/>
      <c r="AX265" s="303"/>
      <c r="AY265" s="303"/>
      <c r="AZ265" s="322" t="s">
        <v>686</v>
      </c>
      <c r="BA265" s="461">
        <v>5548.04631832</v>
      </c>
      <c r="BB265" s="461">
        <v>-1.1639662799999999</v>
      </c>
      <c r="BC265" s="461">
        <v>2431.1011419199999</v>
      </c>
      <c r="BD265" s="461">
        <v>2459.7315882600001</v>
      </c>
      <c r="BE265" s="461">
        <v>3.1677266300000002</v>
      </c>
      <c r="BF265" s="461">
        <v>3.20859191</v>
      </c>
      <c r="BG265" s="461">
        <v>-0.43891780000000002</v>
      </c>
      <c r="BH265" s="461">
        <v>1.76442118</v>
      </c>
      <c r="BI265" s="461">
        <v>1.7721996799999999</v>
      </c>
      <c r="BJ265" s="461">
        <v>-0.84547079999999997</v>
      </c>
      <c r="BK265" s="461">
        <v>-1.2736205199999999</v>
      </c>
      <c r="BL265" s="461">
        <v>0.81481439</v>
      </c>
    </row>
    <row r="266" spans="1:64" ht="15" customHeight="1" x14ac:dyDescent="0.2">
      <c r="A266" s="328">
        <f t="shared" ref="A266:A274" si="111">A265</f>
        <v>62008042</v>
      </c>
      <c r="B266" s="321" t="s">
        <v>634</v>
      </c>
      <c r="C266" s="321" t="s">
        <v>774</v>
      </c>
      <c r="D266" s="352" t="s">
        <v>724</v>
      </c>
      <c r="E266" s="307" t="s">
        <v>939</v>
      </c>
      <c r="F266" s="307" t="str">
        <f t="shared" si="92"/>
        <v>08/17/20</v>
      </c>
      <c r="G266" s="322" t="s">
        <v>940</v>
      </c>
      <c r="H266" s="322" t="s">
        <v>685</v>
      </c>
      <c r="I266" s="330"/>
      <c r="J266" s="323">
        <v>-7.3533559999999998</v>
      </c>
      <c r="K266" s="323">
        <v>10.302571</v>
      </c>
      <c r="L266" s="323">
        <v>29.309716000000002</v>
      </c>
      <c r="M266" s="323">
        <v>3.5194009999999998</v>
      </c>
      <c r="N266" s="308">
        <v>4250</v>
      </c>
      <c r="O266" s="308">
        <v>30.36</v>
      </c>
      <c r="P266" s="308">
        <v>0.3201</v>
      </c>
      <c r="Q266" s="308">
        <v>1.9560000000000001E-2</v>
      </c>
      <c r="R266" s="309">
        <v>6.2289323999999997</v>
      </c>
      <c r="S266" s="309">
        <f>R266+R265</f>
        <v>7.9933846600000003</v>
      </c>
      <c r="T266" s="338">
        <v>28.7</v>
      </c>
      <c r="U266" s="338">
        <v>24.5</v>
      </c>
      <c r="V266" s="313">
        <v>25842</v>
      </c>
      <c r="W266" s="313">
        <v>28070</v>
      </c>
      <c r="X266" s="313">
        <f>W266-V266</f>
        <v>2228</v>
      </c>
      <c r="Y266" s="313">
        <f t="shared" si="106"/>
        <v>357.6856926557752</v>
      </c>
      <c r="Z266" s="332">
        <v>3129.603102</v>
      </c>
      <c r="AA266" s="313">
        <v>3159.9956790000001</v>
      </c>
      <c r="AB266" s="313">
        <f>AA266-Z266</f>
        <v>30.392577000000074</v>
      </c>
      <c r="AC266" s="331">
        <f t="shared" si="107"/>
        <v>4.879259405672804</v>
      </c>
      <c r="AD266" s="332">
        <v>8.92</v>
      </c>
      <c r="AE266" s="313">
        <v>8.5299999999999994</v>
      </c>
      <c r="AF266" s="313">
        <f>AE266-AD266</f>
        <v>-0.39000000000000057</v>
      </c>
      <c r="AG266" s="331">
        <f t="shared" si="108"/>
        <v>-6.2611050330230039E-2</v>
      </c>
      <c r="AH266" s="332">
        <v>9604.5654959999993</v>
      </c>
      <c r="AI266" s="313">
        <v>9800.1</v>
      </c>
      <c r="AJ266" s="313">
        <f>AI266-AH266</f>
        <v>195.53450400000111</v>
      </c>
      <c r="AK266" s="331">
        <f t="shared" si="109"/>
        <v>31.391335054463124</v>
      </c>
      <c r="AL266" s="332">
        <v>11661.9</v>
      </c>
      <c r="AM266" s="313">
        <v>11762.164221999999</v>
      </c>
      <c r="AN266" s="313">
        <f>AM266-AL266</f>
        <v>100.26422199999979</v>
      </c>
      <c r="AO266" s="331">
        <f t="shared" si="110"/>
        <v>16.096533974264965</v>
      </c>
      <c r="AP266" s="303">
        <v>28.7</v>
      </c>
      <c r="AQ266" s="303">
        <v>24.5</v>
      </c>
      <c r="AR266" s="303">
        <f>AQ266-AP266</f>
        <v>-4.1999999999999993</v>
      </c>
      <c r="AS266" s="332">
        <v>82356.899999999994</v>
      </c>
      <c r="AT266" s="313">
        <v>82357.5</v>
      </c>
      <c r="AU266" s="341">
        <f>AT266-AS266</f>
        <v>0.60000000000582077</v>
      </c>
      <c r="AV266" s="303"/>
      <c r="AW266" s="303"/>
      <c r="AX266" s="303"/>
      <c r="AY266" s="303"/>
      <c r="AZ266" s="322" t="s">
        <v>686</v>
      </c>
      <c r="BA266" s="461">
        <v>11829.15045005</v>
      </c>
      <c r="BB266" s="461">
        <v>-9.7007690499999999</v>
      </c>
      <c r="BC266" s="461">
        <v>1028.81922022</v>
      </c>
      <c r="BD266" s="461">
        <v>1139.3443879900001</v>
      </c>
      <c r="BE266" s="461">
        <v>6.9213134099999998</v>
      </c>
      <c r="BF266" s="461">
        <v>7.0879527099999997</v>
      </c>
      <c r="BG266" s="461">
        <v>-0.10854088000000001</v>
      </c>
      <c r="BH266" s="461">
        <v>6.2289853900000001</v>
      </c>
      <c r="BI266" s="461">
        <v>6.2357537299999999</v>
      </c>
      <c r="BJ266" s="461">
        <v>-2.29647128</v>
      </c>
      <c r="BK266" s="461">
        <v>-2.35102163</v>
      </c>
      <c r="BL266" s="461">
        <v>0.34918183000000003</v>
      </c>
    </row>
    <row r="267" spans="1:64" ht="15" customHeight="1" x14ac:dyDescent="0.2">
      <c r="A267" s="328">
        <f t="shared" si="111"/>
        <v>62008042</v>
      </c>
      <c r="B267" s="321" t="s">
        <v>635</v>
      </c>
      <c r="C267" s="321" t="s">
        <v>775</v>
      </c>
      <c r="D267" s="352" t="s">
        <v>724</v>
      </c>
      <c r="E267" s="307" t="s">
        <v>939</v>
      </c>
      <c r="F267" s="307" t="str">
        <f t="shared" si="92"/>
        <v>08/17/20</v>
      </c>
      <c r="G267" s="322" t="s">
        <v>940</v>
      </c>
      <c r="H267" s="322" t="s">
        <v>685</v>
      </c>
      <c r="I267" s="330"/>
      <c r="J267" s="324">
        <f>AVERAGE(J265:J266)</f>
        <v>-9.2085784999999998</v>
      </c>
      <c r="K267" s="324">
        <f>AVERAGE(K265:K266)</f>
        <v>11.361595000000001</v>
      </c>
      <c r="L267" s="324">
        <f>AVERAGE(L265:L266)</f>
        <v>29.310653500000001</v>
      </c>
      <c r="M267" s="324">
        <f>AVERAGE(M265:M266)</f>
        <v>4.8069474999999997</v>
      </c>
      <c r="N267" s="310"/>
      <c r="O267" s="308"/>
      <c r="P267" s="326"/>
      <c r="Q267" s="325"/>
      <c r="R267" s="311">
        <f>R266+R265</f>
        <v>7.9933846600000003</v>
      </c>
      <c r="S267" s="311">
        <f>S266</f>
        <v>7.9933846600000003</v>
      </c>
      <c r="T267" s="339">
        <f>T265</f>
        <v>29.6</v>
      </c>
      <c r="U267" s="339">
        <f>U266</f>
        <v>24.5</v>
      </c>
      <c r="V267" s="314">
        <f>V265</f>
        <v>25353</v>
      </c>
      <c r="W267" s="314">
        <f>W266</f>
        <v>28070</v>
      </c>
      <c r="X267" s="314">
        <f>SUM(X265:X266)</f>
        <v>2945</v>
      </c>
      <c r="Y267" s="314">
        <f t="shared" si="106"/>
        <v>368.42966093414549</v>
      </c>
      <c r="Z267" s="314">
        <f>Z265</f>
        <v>3116.63</v>
      </c>
      <c r="AA267" s="314">
        <f>AA266</f>
        <v>3159.9956790000001</v>
      </c>
      <c r="AB267" s="314">
        <f>SUM(AB265:AB266)</f>
        <v>54.812824000000091</v>
      </c>
      <c r="AC267" s="312">
        <f t="shared" si="107"/>
        <v>6.8572733993762398</v>
      </c>
      <c r="AD267" s="314">
        <f>AD265</f>
        <v>9.2200000000000006</v>
      </c>
      <c r="AE267" s="314">
        <f>AE266</f>
        <v>8.5299999999999994</v>
      </c>
      <c r="AF267" s="314">
        <f>SUM(AF265:AF266)</f>
        <v>-0.78000000000000114</v>
      </c>
      <c r="AG267" s="312">
        <f t="shared" si="108"/>
        <v>-9.7580691181199969E-2</v>
      </c>
      <c r="AH267" s="314">
        <f>AH265</f>
        <v>9541.15</v>
      </c>
      <c r="AI267" s="314">
        <f>AI266</f>
        <v>9800.1</v>
      </c>
      <c r="AJ267" s="314">
        <f>SUM(AJ265:AJ266)</f>
        <v>307.66414100000111</v>
      </c>
      <c r="AK267" s="312">
        <f t="shared" si="109"/>
        <v>38.489845551859268</v>
      </c>
      <c r="AL267" s="314">
        <f>AL265</f>
        <v>11634.4</v>
      </c>
      <c r="AM267" s="314">
        <f>AM266</f>
        <v>11762.164221999999</v>
      </c>
      <c r="AN267" s="314">
        <f>SUM(AN265:AN266)</f>
        <v>150.66414100000111</v>
      </c>
      <c r="AO267" s="312">
        <f t="shared" si="110"/>
        <v>18.848603865386995</v>
      </c>
      <c r="AP267" s="305"/>
      <c r="AQ267" s="305"/>
      <c r="AR267" s="305">
        <f>SUM(AR265:AR266)</f>
        <v>-5.6000000000000014</v>
      </c>
      <c r="AS267" s="314">
        <f>AS265</f>
        <v>82356.800000000003</v>
      </c>
      <c r="AT267" s="314">
        <f>AT266</f>
        <v>82357.5</v>
      </c>
      <c r="AU267" s="342">
        <f>SUM(AU265:AU266)</f>
        <v>0.89999999999417923</v>
      </c>
      <c r="AV267" s="305"/>
      <c r="AW267" s="305"/>
      <c r="AX267" s="305"/>
      <c r="AY267" s="305"/>
      <c r="AZ267" s="322" t="s">
        <v>686</v>
      </c>
    </row>
    <row r="268" spans="1:64" ht="15" customHeight="1" x14ac:dyDescent="0.2">
      <c r="A268" s="328">
        <f t="shared" si="111"/>
        <v>62008042</v>
      </c>
      <c r="B268" s="321" t="s">
        <v>627</v>
      </c>
      <c r="C268" s="321" t="s">
        <v>776</v>
      </c>
      <c r="D268" s="352" t="s">
        <v>724</v>
      </c>
      <c r="E268" s="307" t="s">
        <v>939</v>
      </c>
      <c r="F268" s="307" t="str">
        <f t="shared" si="92"/>
        <v>08/17/20</v>
      </c>
      <c r="G268" s="322" t="s">
        <v>940</v>
      </c>
      <c r="H268" s="322" t="s">
        <v>685</v>
      </c>
      <c r="I268" s="330"/>
      <c r="J268" s="323">
        <v>-15.687590999999999</v>
      </c>
      <c r="K268" s="323">
        <v>16.051801999999999</v>
      </c>
      <c r="L268" s="323">
        <v>29.308347999999999</v>
      </c>
      <c r="M268" s="323">
        <v>1.2716130000000001</v>
      </c>
      <c r="N268" s="308">
        <v>4250</v>
      </c>
      <c r="O268" s="308">
        <v>30.36</v>
      </c>
      <c r="P268" s="308">
        <v>0.3201</v>
      </c>
      <c r="Q268" s="308">
        <v>1.9560000000000001E-2</v>
      </c>
      <c r="R268" s="309">
        <v>3.5806278900000001</v>
      </c>
      <c r="S268" s="309">
        <f>R268+R267</f>
        <v>11.574012550000001</v>
      </c>
      <c r="T268" s="338">
        <v>24</v>
      </c>
      <c r="U268" s="338">
        <v>21.7</v>
      </c>
      <c r="V268" s="313">
        <v>28301</v>
      </c>
      <c r="W268" s="313">
        <v>29384</v>
      </c>
      <c r="X268" s="313">
        <f>W268-V268</f>
        <v>1083</v>
      </c>
      <c r="Y268" s="313">
        <f t="shared" si="106"/>
        <v>302.46091838378658</v>
      </c>
      <c r="Z268" s="332">
        <v>3173.49</v>
      </c>
      <c r="AA268" s="313">
        <v>3230.1547169999999</v>
      </c>
      <c r="AB268" s="313">
        <f>AA268-Z268</f>
        <v>56.66471700000011</v>
      </c>
      <c r="AC268" s="331">
        <f t="shared" si="107"/>
        <v>15.825357658150875</v>
      </c>
      <c r="AD268" s="332">
        <v>11.097367999999999</v>
      </c>
      <c r="AE268" s="313">
        <v>9.15</v>
      </c>
      <c r="AF268" s="313">
        <f>AE268-AD268</f>
        <v>-1.9473679999999991</v>
      </c>
      <c r="AG268" s="331">
        <f t="shared" si="108"/>
        <v>-0.54386215485798473</v>
      </c>
      <c r="AH268" s="332">
        <v>9849.6</v>
      </c>
      <c r="AI268" s="313">
        <v>10047.261805</v>
      </c>
      <c r="AJ268" s="313">
        <f>AI268-AH268</f>
        <v>197.66180499999973</v>
      </c>
      <c r="AK268" s="331">
        <f t="shared" si="109"/>
        <v>55.203112714401527</v>
      </c>
      <c r="AL268" s="332">
        <v>11785.65</v>
      </c>
      <c r="AM268" s="313">
        <v>12010.05</v>
      </c>
      <c r="AN268" s="313">
        <f>AM268-AL268</f>
        <v>224.39999999999964</v>
      </c>
      <c r="AO268" s="331">
        <f t="shared" si="110"/>
        <v>62.670572562623825</v>
      </c>
      <c r="AP268" s="303">
        <v>24</v>
      </c>
      <c r="AQ268" s="303">
        <v>21.7</v>
      </c>
      <c r="AR268" s="303">
        <f>AQ268-AP268</f>
        <v>-2.3000000000000007</v>
      </c>
      <c r="AS268" s="332">
        <v>82358.600000000006</v>
      </c>
      <c r="AT268" s="313">
        <v>82359.3</v>
      </c>
      <c r="AU268" s="341">
        <f>AT268-AS268</f>
        <v>0.69999999999708962</v>
      </c>
      <c r="AV268" s="303"/>
      <c r="AW268" s="303"/>
      <c r="AX268" s="303"/>
      <c r="AY268" s="303"/>
      <c r="AZ268" s="322" t="s">
        <v>686</v>
      </c>
      <c r="BA268" s="461">
        <v>2413.6837764500001</v>
      </c>
      <c r="BB268" s="461">
        <v>-1.9818527800000001</v>
      </c>
      <c r="BC268" s="461">
        <v>2008.13395541</v>
      </c>
      <c r="BD268" s="461">
        <v>2048.7369047100001</v>
      </c>
      <c r="BE268" s="461">
        <v>3.2120837799999999</v>
      </c>
      <c r="BF268" s="461">
        <v>3.25840467</v>
      </c>
      <c r="BG268" s="461">
        <v>-0.28992733999999998</v>
      </c>
      <c r="BH268" s="461">
        <v>3.58056872</v>
      </c>
      <c r="BI268" s="461">
        <v>3.5909799499999999</v>
      </c>
      <c r="BJ268" s="461">
        <v>-1.14797386</v>
      </c>
      <c r="BK268" s="461">
        <v>-1.4215818099999999</v>
      </c>
      <c r="BL268" s="461">
        <v>0.59037618999999997</v>
      </c>
    </row>
    <row r="269" spans="1:64" ht="15" customHeight="1" x14ac:dyDescent="0.2">
      <c r="A269" s="328">
        <f t="shared" si="111"/>
        <v>62008042</v>
      </c>
      <c r="B269" s="321" t="s">
        <v>894</v>
      </c>
      <c r="C269" s="321" t="s">
        <v>777</v>
      </c>
      <c r="D269" s="352" t="s">
        <v>724</v>
      </c>
      <c r="E269" s="307" t="s">
        <v>939</v>
      </c>
      <c r="F269" s="307" t="str">
        <f t="shared" si="92"/>
        <v>08/17/20</v>
      </c>
      <c r="G269" s="322" t="s">
        <v>940</v>
      </c>
      <c r="H269" s="322" t="s">
        <v>685</v>
      </c>
      <c r="I269" s="330"/>
      <c r="J269" s="323">
        <v>-17.823533000000001</v>
      </c>
      <c r="K269" s="323">
        <v>17.086516</v>
      </c>
      <c r="L269" s="323">
        <v>29.307880000000001</v>
      </c>
      <c r="M269" s="323">
        <v>0.35101100000000002</v>
      </c>
      <c r="N269" s="308">
        <v>4250</v>
      </c>
      <c r="O269" s="308">
        <v>30.36</v>
      </c>
      <c r="P269" s="308">
        <v>0.3201</v>
      </c>
      <c r="Q269" s="308">
        <v>1.9560000000000001E-2</v>
      </c>
      <c r="R269" s="309">
        <v>3.8405202300000001</v>
      </c>
      <c r="S269" s="309">
        <f>R269+R268</f>
        <v>7.4211481199999998</v>
      </c>
      <c r="T269" s="338">
        <v>21.7</v>
      </c>
      <c r="U269" s="338">
        <v>19.100000000000001</v>
      </c>
      <c r="V269" s="313">
        <v>29384</v>
      </c>
      <c r="W269" s="313">
        <v>30431</v>
      </c>
      <c r="X269" s="313">
        <f>W269-V269</f>
        <v>1047</v>
      </c>
      <c r="Y269" s="313">
        <f t="shared" si="106"/>
        <v>272.61931647213322</v>
      </c>
      <c r="Z269" s="332">
        <v>3230.18</v>
      </c>
      <c r="AA269" s="313">
        <v>3321.9318629999998</v>
      </c>
      <c r="AB269" s="313">
        <f>AA269-Z269</f>
        <v>91.751862999999958</v>
      </c>
      <c r="AC269" s="331">
        <f t="shared" si="107"/>
        <v>23.890477723118245</v>
      </c>
      <c r="AD269" s="332">
        <v>9.15</v>
      </c>
      <c r="AE269" s="313">
        <v>7.91</v>
      </c>
      <c r="AF269" s="313">
        <f>AE269-AD269</f>
        <v>-1.2400000000000002</v>
      </c>
      <c r="AG269" s="331">
        <f t="shared" si="108"/>
        <v>-0.32287292495266978</v>
      </c>
      <c r="AH269" s="332">
        <v>10047.35</v>
      </c>
      <c r="AI269" s="313">
        <v>10281.049999999999</v>
      </c>
      <c r="AJ269" s="313">
        <f>AI269-AH269</f>
        <v>233.69999999999891</v>
      </c>
      <c r="AK269" s="331">
        <f t="shared" si="109"/>
        <v>60.851131097934328</v>
      </c>
      <c r="AL269" s="332">
        <v>12010.15</v>
      </c>
      <c r="AM269" s="313">
        <v>12467.109297000001</v>
      </c>
      <c r="AN269" s="313">
        <f>AM269-AL269</f>
        <v>456.95929700000124</v>
      </c>
      <c r="AO269" s="331">
        <f t="shared" si="110"/>
        <v>118.98369742476301</v>
      </c>
      <c r="AP269" s="303">
        <v>21.7</v>
      </c>
      <c r="AQ269" s="303">
        <v>19.100000000000001</v>
      </c>
      <c r="AR269" s="303">
        <f>AQ269-AP269</f>
        <v>-2.5999999999999979</v>
      </c>
      <c r="AS269" s="332">
        <v>82359.3</v>
      </c>
      <c r="AT269" s="313">
        <v>82360.7</v>
      </c>
      <c r="AU269" s="341">
        <f>AT269-AS269</f>
        <v>1.3999999999941792</v>
      </c>
      <c r="AV269" s="303"/>
      <c r="AW269" s="303"/>
      <c r="AX269" s="303"/>
      <c r="AY269" s="303"/>
      <c r="AZ269" s="322" t="s">
        <v>686</v>
      </c>
      <c r="BA269" s="461">
        <v>1482.2737169</v>
      </c>
      <c r="BB269" s="461">
        <v>-2.0986183</v>
      </c>
      <c r="BC269" s="461">
        <v>3344.3592009499998</v>
      </c>
      <c r="BD269" s="461">
        <v>3416.0490311899998</v>
      </c>
      <c r="BE269" s="461">
        <v>2.9514123799999998</v>
      </c>
      <c r="BF269" s="461">
        <v>3.0185072700000002</v>
      </c>
      <c r="BG269" s="461">
        <v>-0.50382075000000004</v>
      </c>
      <c r="BH269" s="461">
        <v>3.8403832000000002</v>
      </c>
      <c r="BI269" s="461">
        <v>3.8598298199999999</v>
      </c>
      <c r="BJ269" s="461">
        <v>-1.75804026</v>
      </c>
      <c r="BK269" s="461">
        <v>-2.2227835699999998</v>
      </c>
      <c r="BL269" s="461">
        <v>0.71451218999999999</v>
      </c>
    </row>
    <row r="270" spans="1:64" ht="15" customHeight="1" x14ac:dyDescent="0.2">
      <c r="A270" s="328">
        <f t="shared" si="111"/>
        <v>62008042</v>
      </c>
      <c r="B270" s="321" t="s">
        <v>629</v>
      </c>
      <c r="C270" s="321" t="s">
        <v>799</v>
      </c>
      <c r="D270" s="352" t="s">
        <v>724</v>
      </c>
      <c r="E270" s="307" t="s">
        <v>939</v>
      </c>
      <c r="F270" s="307" t="str">
        <f t="shared" ref="F270:F290" si="112">LEFT(E270,8)</f>
        <v>08/17/20</v>
      </c>
      <c r="G270" s="322" t="s">
        <v>940</v>
      </c>
      <c r="H270" s="322" t="s">
        <v>685</v>
      </c>
      <c r="I270" s="330"/>
      <c r="J270" s="324">
        <f>AVERAGE(J268:J269)</f>
        <v>-16.755562000000001</v>
      </c>
      <c r="K270" s="324">
        <f>AVERAGE(K268:K269)</f>
        <v>16.569158999999999</v>
      </c>
      <c r="L270" s="324">
        <f>AVERAGE(L268:L269)</f>
        <v>29.308114</v>
      </c>
      <c r="M270" s="324">
        <f>AVERAGE(M268:M269)</f>
        <v>0.81131200000000003</v>
      </c>
      <c r="N270" s="310"/>
      <c r="O270" s="308"/>
      <c r="P270" s="326"/>
      <c r="Q270" s="325"/>
      <c r="R270" s="311">
        <f>R269+R268</f>
        <v>7.4211481199999998</v>
      </c>
      <c r="S270" s="311">
        <f>S269</f>
        <v>7.4211481199999998</v>
      </c>
      <c r="T270" s="339">
        <f>T268</f>
        <v>24</v>
      </c>
      <c r="U270" s="339">
        <f>U269</f>
        <v>19.100000000000001</v>
      </c>
      <c r="V270" s="314">
        <f>V268</f>
        <v>28301</v>
      </c>
      <c r="W270" s="314">
        <f>W269</f>
        <v>30431</v>
      </c>
      <c r="X270" s="314">
        <f>SUM(X268:X269)</f>
        <v>2130</v>
      </c>
      <c r="Y270" s="314">
        <f t="shared" si="106"/>
        <v>287.01758347332378</v>
      </c>
      <c r="Z270" s="314">
        <f>Z268</f>
        <v>3173.49</v>
      </c>
      <c r="AA270" s="314">
        <f>AA269</f>
        <v>3321.9318629999998</v>
      </c>
      <c r="AB270" s="314">
        <f>SUM(AB268:AB269)</f>
        <v>148.41658000000007</v>
      </c>
      <c r="AC270" s="312">
        <f t="shared" si="107"/>
        <v>19.999139971349887</v>
      </c>
      <c r="AD270" s="314">
        <f>AD268</f>
        <v>11.097367999999999</v>
      </c>
      <c r="AE270" s="314">
        <f>AE269</f>
        <v>7.91</v>
      </c>
      <c r="AF270" s="314">
        <f>SUM(AF268:AF269)</f>
        <v>-3.1873679999999993</v>
      </c>
      <c r="AG270" s="312">
        <f t="shared" si="108"/>
        <v>-0.42949796291089248</v>
      </c>
      <c r="AH270" s="314">
        <f>AH268</f>
        <v>9849.6</v>
      </c>
      <c r="AI270" s="314">
        <f>AI269</f>
        <v>10281.049999999999</v>
      </c>
      <c r="AJ270" s="314">
        <f>SUM(AJ268:AJ269)</f>
        <v>431.36180499999864</v>
      </c>
      <c r="AK270" s="312">
        <f t="shared" si="109"/>
        <v>58.126020128540254</v>
      </c>
      <c r="AL270" s="314">
        <f>AL268</f>
        <v>11785.65</v>
      </c>
      <c r="AM270" s="314">
        <f>AM269</f>
        <v>12467.109297000001</v>
      </c>
      <c r="AN270" s="314">
        <f>SUM(AN268:AN269)</f>
        <v>681.35929700000088</v>
      </c>
      <c r="AO270" s="312">
        <f t="shared" si="110"/>
        <v>91.813191972780743</v>
      </c>
      <c r="AP270" s="305"/>
      <c r="AQ270" s="305"/>
      <c r="AR270" s="305">
        <f>SUM(AR268:AR269)</f>
        <v>-4.8999999999999986</v>
      </c>
      <c r="AS270" s="314">
        <f>AS268</f>
        <v>82358.600000000006</v>
      </c>
      <c r="AT270" s="314">
        <f>AT269</f>
        <v>82360.7</v>
      </c>
      <c r="AU270" s="342">
        <f>SUM(AU268:AU269)</f>
        <v>2.0999999999912689</v>
      </c>
      <c r="AV270" s="305"/>
      <c r="AW270" s="305"/>
      <c r="AX270" s="305"/>
      <c r="AY270" s="305"/>
      <c r="AZ270" s="322" t="s">
        <v>686</v>
      </c>
    </row>
    <row r="271" spans="1:64" ht="15" customHeight="1" x14ac:dyDescent="0.2">
      <c r="A271" s="328">
        <f t="shared" si="111"/>
        <v>62008042</v>
      </c>
      <c r="B271" s="321" t="s">
        <v>630</v>
      </c>
      <c r="C271" s="321" t="s">
        <v>778</v>
      </c>
      <c r="D271" s="352" t="s">
        <v>724</v>
      </c>
      <c r="E271" s="307" t="s">
        <v>939</v>
      </c>
      <c r="F271" s="307" t="str">
        <f t="shared" si="112"/>
        <v>08/17/20</v>
      </c>
      <c r="G271" s="322" t="s">
        <v>940</v>
      </c>
      <c r="H271" s="322" t="s">
        <v>685</v>
      </c>
      <c r="I271" s="330"/>
      <c r="J271" s="323">
        <v>-14.083828</v>
      </c>
      <c r="K271" s="323">
        <v>13.547307</v>
      </c>
      <c r="L271" s="323">
        <v>29.306058</v>
      </c>
      <c r="M271" s="323">
        <v>-0.117003</v>
      </c>
      <c r="N271" s="308">
        <v>4250</v>
      </c>
      <c r="O271" s="308">
        <v>30.36</v>
      </c>
      <c r="P271" s="308">
        <v>0.3201</v>
      </c>
      <c r="Q271" s="308">
        <v>1.9560000000000001E-2</v>
      </c>
      <c r="R271" s="309">
        <v>10.24519667</v>
      </c>
      <c r="S271" s="309">
        <f>R271+R270</f>
        <v>17.66634479</v>
      </c>
      <c r="T271" s="338">
        <v>19</v>
      </c>
      <c r="U271" s="338">
        <v>13.1</v>
      </c>
      <c r="V271" s="313">
        <v>30432</v>
      </c>
      <c r="W271" s="313">
        <v>33034</v>
      </c>
      <c r="X271" s="313">
        <f>W271-V271</f>
        <v>2602</v>
      </c>
      <c r="Y271" s="313">
        <f t="shared" si="106"/>
        <v>253.97267459190707</v>
      </c>
      <c r="Z271" s="332">
        <v>3323.2817409999998</v>
      </c>
      <c r="AA271" s="313">
        <v>3384.7114649999999</v>
      </c>
      <c r="AB271" s="313">
        <f>AA271-Z271</f>
        <v>61.429724000000078</v>
      </c>
      <c r="AC271" s="331">
        <f t="shared" si="107"/>
        <v>5.9959536140363889</v>
      </c>
      <c r="AD271" s="332">
        <v>7.89</v>
      </c>
      <c r="AE271" s="313">
        <v>7.22</v>
      </c>
      <c r="AF271" s="313">
        <f>AE271-AD271</f>
        <v>-0.66999999999999993</v>
      </c>
      <c r="AG271" s="331">
        <f t="shared" si="108"/>
        <v>-6.5396499606678607E-2</v>
      </c>
      <c r="AH271" s="332">
        <v>10281.049999999999</v>
      </c>
      <c r="AI271" s="313">
        <v>10281.049999999999</v>
      </c>
      <c r="AJ271" s="313">
        <f>AI271-AH271</f>
        <v>0</v>
      </c>
      <c r="AK271" s="331">
        <f t="shared" si="109"/>
        <v>0</v>
      </c>
      <c r="AL271" s="332">
        <v>12481.567440999999</v>
      </c>
      <c r="AM271" s="313">
        <v>13188.907309</v>
      </c>
      <c r="AN271" s="313">
        <f>AM271-AL271</f>
        <v>707.33986800000093</v>
      </c>
      <c r="AO271" s="331">
        <f t="shared" si="110"/>
        <v>69.041121491716652</v>
      </c>
      <c r="AP271" s="303">
        <v>19</v>
      </c>
      <c r="AQ271" s="303">
        <v>13.1</v>
      </c>
      <c r="AR271" s="303">
        <f>AQ271-AP271</f>
        <v>-5.9</v>
      </c>
      <c r="AS271" s="332">
        <v>82360.7</v>
      </c>
      <c r="AT271" s="313">
        <v>82361.8</v>
      </c>
      <c r="AU271" s="341">
        <f>AT271-AS271</f>
        <v>1.1000000000058208</v>
      </c>
      <c r="AV271" s="303"/>
      <c r="AW271" s="303"/>
      <c r="AX271" s="303"/>
      <c r="AY271" s="303"/>
      <c r="AZ271" s="322" t="s">
        <v>686</v>
      </c>
      <c r="BA271" s="461">
        <v>1945.1597076200001</v>
      </c>
      <c r="BB271" s="461">
        <v>-0.83459154000000002</v>
      </c>
      <c r="BC271" s="461">
        <v>1295.80049362</v>
      </c>
      <c r="BD271" s="461">
        <v>1306.70615264</v>
      </c>
      <c r="BE271" s="461">
        <v>7.9702685000000004</v>
      </c>
      <c r="BF271" s="461">
        <v>8.0200118099999997</v>
      </c>
      <c r="BG271" s="461">
        <v>-0.11105458</v>
      </c>
      <c r="BH271" s="461">
        <v>10.245289809999999</v>
      </c>
      <c r="BI271" s="461">
        <v>10.25668033</v>
      </c>
      <c r="BJ271" s="461">
        <v>-0.51236316999999998</v>
      </c>
      <c r="BK271" s="461">
        <v>-0.62023987000000003</v>
      </c>
      <c r="BL271" s="461">
        <v>0.28276399000000002</v>
      </c>
    </row>
    <row r="272" spans="1:64" ht="15" customHeight="1" x14ac:dyDescent="0.2">
      <c r="A272" s="328">
        <f t="shared" si="111"/>
        <v>62008042</v>
      </c>
      <c r="B272" s="321" t="s">
        <v>631</v>
      </c>
      <c r="C272" s="321" t="s">
        <v>783</v>
      </c>
      <c r="D272" s="352" t="s">
        <v>724</v>
      </c>
      <c r="E272" s="307" t="s">
        <v>939</v>
      </c>
      <c r="F272" s="307" t="str">
        <f t="shared" si="112"/>
        <v>08/17/20</v>
      </c>
      <c r="G272" s="322" t="s">
        <v>940</v>
      </c>
      <c r="H272" s="322" t="s">
        <v>685</v>
      </c>
      <c r="I272" s="330"/>
      <c r="J272" s="323">
        <v>-17.071024000000001</v>
      </c>
      <c r="K272" s="323">
        <v>17.459275999999999</v>
      </c>
      <c r="L272" s="323">
        <v>29.305804999999999</v>
      </c>
      <c r="M272" s="323">
        <v>3.5438999999999998E-2</v>
      </c>
      <c r="N272" s="308">
        <v>4250</v>
      </c>
      <c r="O272" s="308">
        <v>30.36</v>
      </c>
      <c r="P272" s="308">
        <v>0.3201</v>
      </c>
      <c r="Q272" s="308">
        <v>1.9560000000000001E-2</v>
      </c>
      <c r="R272" s="309">
        <v>3.5794215</v>
      </c>
      <c r="S272" s="309">
        <f>R272+R271</f>
        <v>13.824618170000001</v>
      </c>
      <c r="T272" s="338">
        <v>13.1</v>
      </c>
      <c r="U272" s="338">
        <v>10.6</v>
      </c>
      <c r="V272" s="313">
        <v>33037</v>
      </c>
      <c r="W272" s="313">
        <v>33962</v>
      </c>
      <c r="X272" s="313">
        <f>W272-V272</f>
        <v>925</v>
      </c>
      <c r="Y272" s="313">
        <f t="shared" si="106"/>
        <v>258.42164718516665</v>
      </c>
      <c r="Z272" s="332">
        <v>3387.4112580000001</v>
      </c>
      <c r="AA272" s="313">
        <v>3431.790919</v>
      </c>
      <c r="AB272" s="313">
        <f>AA272-Z272</f>
        <v>44.379660999999942</v>
      </c>
      <c r="AC272" s="331">
        <f t="shared" si="107"/>
        <v>12.3985568617722</v>
      </c>
      <c r="AD272" s="332">
        <v>9.92</v>
      </c>
      <c r="AE272" s="313">
        <v>8.01</v>
      </c>
      <c r="AF272" s="313">
        <f>AE272-AD272</f>
        <v>-1.9100000000000001</v>
      </c>
      <c r="AG272" s="331">
        <f t="shared" si="108"/>
        <v>-0.53360577959315492</v>
      </c>
      <c r="AH272" s="332">
        <v>10281.049999999999</v>
      </c>
      <c r="AI272" s="313">
        <v>10281.049999999999</v>
      </c>
      <c r="AJ272" s="313">
        <f>AI272-AH272</f>
        <v>0</v>
      </c>
      <c r="AK272" s="331">
        <f t="shared" si="109"/>
        <v>0</v>
      </c>
      <c r="AL272" s="332">
        <v>13195.4</v>
      </c>
      <c r="AM272" s="313">
        <v>13682.359162000001</v>
      </c>
      <c r="AN272" s="313">
        <f>AM272-AL272</f>
        <v>486.95916200000102</v>
      </c>
      <c r="AO272" s="331">
        <f t="shared" si="110"/>
        <v>136.04409595237695</v>
      </c>
      <c r="AP272" s="303">
        <v>13.1</v>
      </c>
      <c r="AQ272" s="303">
        <v>10.6</v>
      </c>
      <c r="AR272" s="303">
        <f>AQ272-AP272</f>
        <v>-2.5</v>
      </c>
      <c r="AS272" s="332">
        <v>82362.7</v>
      </c>
      <c r="AT272" s="313">
        <v>82363.5</v>
      </c>
      <c r="AU272" s="341">
        <f>AT272-AS272</f>
        <v>0.80000000000291038</v>
      </c>
      <c r="AV272" s="303"/>
      <c r="AW272" s="303"/>
      <c r="AX272" s="303"/>
      <c r="AY272" s="303"/>
      <c r="AZ272" s="322" t="s">
        <v>686</v>
      </c>
      <c r="BA272" s="461">
        <v>2410.6093567600001</v>
      </c>
      <c r="BB272" s="461">
        <v>-1.5798887100000001</v>
      </c>
      <c r="BC272" s="461">
        <v>2016.28949556</v>
      </c>
      <c r="BD272" s="461">
        <v>2048.65598009</v>
      </c>
      <c r="BE272" s="461">
        <v>3.21780198</v>
      </c>
      <c r="BF272" s="461">
        <v>3.2582830600000001</v>
      </c>
      <c r="BG272" s="461">
        <v>-0.32193079000000002</v>
      </c>
      <c r="BH272" s="461">
        <v>3.5794187599999998</v>
      </c>
      <c r="BI272" s="461">
        <v>3.5909792299999999</v>
      </c>
      <c r="BJ272" s="461">
        <v>-0.93205420999999999</v>
      </c>
      <c r="BK272" s="461">
        <v>-1.24240511</v>
      </c>
      <c r="BL272" s="461">
        <v>0.59036316</v>
      </c>
    </row>
    <row r="273" spans="1:70" ht="15" customHeight="1" x14ac:dyDescent="0.2">
      <c r="A273" s="328">
        <f t="shared" si="111"/>
        <v>62008042</v>
      </c>
      <c r="B273" s="321" t="s">
        <v>895</v>
      </c>
      <c r="C273" s="321" t="s">
        <v>781</v>
      </c>
      <c r="D273" s="352" t="s">
        <v>724</v>
      </c>
      <c r="E273" s="307" t="s">
        <v>939</v>
      </c>
      <c r="F273" s="307" t="str">
        <f t="shared" si="112"/>
        <v>08/17/20</v>
      </c>
      <c r="G273" s="322" t="s">
        <v>940</v>
      </c>
      <c r="H273" s="322" t="s">
        <v>685</v>
      </c>
      <c r="I273" s="330"/>
      <c r="J273" s="323">
        <v>-18.091270000000002</v>
      </c>
      <c r="K273" s="323">
        <v>17.000330000000002</v>
      </c>
      <c r="L273" s="323">
        <v>29.304780999999998</v>
      </c>
      <c r="M273" s="323">
        <v>0.31132799999999999</v>
      </c>
      <c r="N273" s="308">
        <v>4250</v>
      </c>
      <c r="O273" s="308">
        <v>30.36</v>
      </c>
      <c r="P273" s="308">
        <v>0.3201</v>
      </c>
      <c r="Q273" s="308">
        <v>1.9560000000000001E-2</v>
      </c>
      <c r="R273" s="309">
        <v>3.84205898</v>
      </c>
      <c r="S273" s="309">
        <f>R273+R272</f>
        <v>7.4214804799999996</v>
      </c>
      <c r="T273" s="338">
        <v>10.6</v>
      </c>
      <c r="U273" s="338">
        <v>7.7</v>
      </c>
      <c r="V273" s="313">
        <v>33962</v>
      </c>
      <c r="W273" s="313">
        <v>34749</v>
      </c>
      <c r="X273" s="313">
        <f>W273-V273</f>
        <v>787</v>
      </c>
      <c r="Y273" s="313">
        <f t="shared" si="106"/>
        <v>204.83808397964782</v>
      </c>
      <c r="Z273" s="332">
        <v>3431.8110069999998</v>
      </c>
      <c r="AA273" s="313">
        <v>3502.9205780000002</v>
      </c>
      <c r="AB273" s="313">
        <f>AA273-Z273</f>
        <v>71.109571000000415</v>
      </c>
      <c r="AC273" s="331">
        <f t="shared" si="107"/>
        <v>18.508193489523268</v>
      </c>
      <c r="AD273" s="332">
        <v>8.01</v>
      </c>
      <c r="AE273" s="313">
        <v>6.8</v>
      </c>
      <c r="AF273" s="313">
        <f>AE273-AD273</f>
        <v>-1.21</v>
      </c>
      <c r="AG273" s="331">
        <f t="shared" si="108"/>
        <v>-0.31493530065485875</v>
      </c>
      <c r="AH273" s="332">
        <v>10281.049999999999</v>
      </c>
      <c r="AI273" s="313">
        <v>10281.049999999999</v>
      </c>
      <c r="AJ273" s="313">
        <f>AI273-AH273</f>
        <v>0</v>
      </c>
      <c r="AK273" s="331">
        <f t="shared" si="109"/>
        <v>0</v>
      </c>
      <c r="AL273" s="332">
        <v>13682.565063</v>
      </c>
      <c r="AM273" s="313">
        <v>14500.149444000001</v>
      </c>
      <c r="AN273" s="313">
        <f>AM273-AL273</f>
        <v>817.58438100000058</v>
      </c>
      <c r="AO273" s="331">
        <f t="shared" si="110"/>
        <v>212.79849821566262</v>
      </c>
      <c r="AP273" s="303">
        <v>10.6</v>
      </c>
      <c r="AQ273" s="303">
        <v>7.7</v>
      </c>
      <c r="AR273" s="303">
        <f>AQ273-AP273</f>
        <v>-2.8999999999999995</v>
      </c>
      <c r="AS273" s="332">
        <v>82363.5</v>
      </c>
      <c r="AT273" s="313">
        <v>82364.800000000003</v>
      </c>
      <c r="AU273" s="341">
        <f>AT273-AS273</f>
        <v>1.3000000000029104</v>
      </c>
      <c r="AV273" s="303"/>
      <c r="AW273" s="303"/>
      <c r="AX273" s="303"/>
      <c r="AY273" s="303"/>
      <c r="AZ273" s="322" t="s">
        <v>686</v>
      </c>
      <c r="BA273" s="461">
        <v>1482.1146814900001</v>
      </c>
      <c r="BB273" s="461">
        <v>-2.2822300200000001</v>
      </c>
      <c r="BC273" s="461">
        <v>3338.0676212499998</v>
      </c>
      <c r="BD273" s="461">
        <v>3416.0292666099999</v>
      </c>
      <c r="BE273" s="461">
        <v>2.9511710299999998</v>
      </c>
      <c r="BF273" s="461">
        <v>3.0184684499999999</v>
      </c>
      <c r="BG273" s="461">
        <v>-0.46360711999999998</v>
      </c>
      <c r="BH273" s="461">
        <v>3.84193491</v>
      </c>
      <c r="BI273" s="461">
        <v>3.85982936</v>
      </c>
      <c r="BJ273" s="461">
        <v>-1.80618411</v>
      </c>
      <c r="BK273" s="461">
        <v>-2.22952196</v>
      </c>
      <c r="BL273" s="461">
        <v>0.71451708000000003</v>
      </c>
    </row>
    <row r="274" spans="1:70" ht="15" customHeight="1" x14ac:dyDescent="0.2">
      <c r="A274" s="328">
        <f t="shared" si="111"/>
        <v>62008042</v>
      </c>
      <c r="B274" s="321" t="s">
        <v>632</v>
      </c>
      <c r="C274" s="321" t="s">
        <v>782</v>
      </c>
      <c r="D274" s="352" t="s">
        <v>724</v>
      </c>
      <c r="E274" s="307" t="s">
        <v>939</v>
      </c>
      <c r="F274" s="307" t="str">
        <f t="shared" si="112"/>
        <v>08/17/20</v>
      </c>
      <c r="G274" s="322" t="s">
        <v>940</v>
      </c>
      <c r="H274" s="322" t="s">
        <v>685</v>
      </c>
      <c r="I274" s="330"/>
      <c r="J274" s="324">
        <f>AVERAGE(J272:J273)</f>
        <v>-17.581147000000001</v>
      </c>
      <c r="K274" s="324">
        <f>AVERAGE(K272:K273)</f>
        <v>17.229803</v>
      </c>
      <c r="L274" s="324">
        <f>AVERAGE(L272:L273)</f>
        <v>29.305292999999999</v>
      </c>
      <c r="M274" s="324">
        <f>AVERAGE(M272:M273)</f>
        <v>0.1733835</v>
      </c>
      <c r="N274" s="310"/>
      <c r="O274" s="308"/>
      <c r="P274" s="326"/>
      <c r="Q274" s="325"/>
      <c r="R274" s="311">
        <f>R273+R272</f>
        <v>7.4214804799999996</v>
      </c>
      <c r="S274" s="311">
        <f>S273</f>
        <v>7.4214804799999996</v>
      </c>
      <c r="T274" s="339">
        <f>T272</f>
        <v>13.1</v>
      </c>
      <c r="U274" s="339">
        <f>U273</f>
        <v>7.7</v>
      </c>
      <c r="V274" s="314">
        <f>V272</f>
        <v>33037</v>
      </c>
      <c r="W274" s="314">
        <f>W273</f>
        <v>34749</v>
      </c>
      <c r="X274" s="314">
        <f>SUM(X272:X273)</f>
        <v>1712</v>
      </c>
      <c r="Y274" s="314">
        <f t="shared" si="106"/>
        <v>230.68173588997973</v>
      </c>
      <c r="Z274" s="314">
        <f>Z272</f>
        <v>3387.4112580000001</v>
      </c>
      <c r="AA274" s="314">
        <f>AA273</f>
        <v>3502.9205780000002</v>
      </c>
      <c r="AB274" s="314">
        <f>SUM(AB272:AB273)</f>
        <v>115.48923200000036</v>
      </c>
      <c r="AC274" s="312">
        <f t="shared" si="107"/>
        <v>15.561481608855537</v>
      </c>
      <c r="AD274" s="314">
        <f>AD272</f>
        <v>9.92</v>
      </c>
      <c r="AE274" s="314">
        <f>AE273</f>
        <v>6.8</v>
      </c>
      <c r="AF274" s="314">
        <f>SUM(AF272:AF273)</f>
        <v>-3.12</v>
      </c>
      <c r="AG274" s="312">
        <f t="shared" si="108"/>
        <v>-0.42040129437893509</v>
      </c>
      <c r="AH274" s="314">
        <f>AH272</f>
        <v>10281.049999999999</v>
      </c>
      <c r="AI274" s="314">
        <f>AI273</f>
        <v>10281.049999999999</v>
      </c>
      <c r="AJ274" s="314">
        <f>SUM(AJ272:AJ273)</f>
        <v>0</v>
      </c>
      <c r="AK274" s="312">
        <f t="shared" si="109"/>
        <v>0</v>
      </c>
      <c r="AL274" s="314">
        <f>AL272</f>
        <v>13195.4</v>
      </c>
      <c r="AM274" s="314">
        <f>AM273</f>
        <v>14500.149444000001</v>
      </c>
      <c r="AN274" s="314">
        <f>SUM(AN272:AN273)</f>
        <v>1304.5435430000016</v>
      </c>
      <c r="AO274" s="312">
        <f t="shared" si="110"/>
        <v>175.77942117015468</v>
      </c>
      <c r="AP274" s="305"/>
      <c r="AQ274" s="305"/>
      <c r="AR274" s="305">
        <f>SUM(AR272:AR273)</f>
        <v>-5.3999999999999995</v>
      </c>
      <c r="AS274" s="314">
        <f>AS272</f>
        <v>82362.7</v>
      </c>
      <c r="AT274" s="314">
        <f>AT273</f>
        <v>82364.800000000003</v>
      </c>
      <c r="AU274" s="342">
        <f>SUM(AU272:AU273)</f>
        <v>2.1000000000058208</v>
      </c>
      <c r="AV274" s="305"/>
      <c r="AW274" s="305"/>
      <c r="AX274" s="305"/>
      <c r="AY274" s="305"/>
      <c r="AZ274" s="322" t="s">
        <v>686</v>
      </c>
    </row>
    <row r="275" spans="1:70" ht="15" customHeight="1" x14ac:dyDescent="0.2">
      <c r="A275" s="328">
        <v>62008043</v>
      </c>
      <c r="B275" s="321" t="s">
        <v>896</v>
      </c>
      <c r="C275" s="321" t="s">
        <v>773</v>
      </c>
      <c r="D275" s="352" t="s">
        <v>727</v>
      </c>
      <c r="E275" s="307" t="s">
        <v>941</v>
      </c>
      <c r="F275" s="307" t="str">
        <f t="shared" si="112"/>
        <v>08/17/20</v>
      </c>
      <c r="G275" s="322" t="s">
        <v>942</v>
      </c>
      <c r="H275" s="322" t="s">
        <v>943</v>
      </c>
      <c r="I275" s="330"/>
      <c r="J275" s="323">
        <v>-12.960372</v>
      </c>
      <c r="K275" s="323">
        <v>12.551071</v>
      </c>
      <c r="L275" s="323">
        <v>29.299752999999999</v>
      </c>
      <c r="M275" s="323">
        <v>0.79562600000000006</v>
      </c>
      <c r="N275" s="308">
        <v>4250</v>
      </c>
      <c r="O275" s="308">
        <v>30.36</v>
      </c>
      <c r="P275" s="308">
        <v>0.3201</v>
      </c>
      <c r="Q275" s="308">
        <v>1.9560000000000001E-2</v>
      </c>
      <c r="R275" s="309">
        <v>7.843439</v>
      </c>
      <c r="S275" s="309">
        <f>R275+R274</f>
        <v>15.26491948</v>
      </c>
      <c r="T275" s="338">
        <v>7.6</v>
      </c>
      <c r="U275" s="338">
        <v>2.2000000000000002</v>
      </c>
      <c r="V275" s="313">
        <v>34750</v>
      </c>
      <c r="W275" s="313">
        <v>37001</v>
      </c>
      <c r="X275" s="313">
        <f>W275-V275</f>
        <v>2251</v>
      </c>
      <c r="Y275" s="313">
        <f t="shared" si="106"/>
        <v>286.99145872110432</v>
      </c>
      <c r="Z275" s="332">
        <v>3503.940967</v>
      </c>
      <c r="AA275" s="313">
        <v>3548.34</v>
      </c>
      <c r="AB275" s="313">
        <f>AA275-Z275</f>
        <v>44.399033000000145</v>
      </c>
      <c r="AC275" s="331">
        <f t="shared" si="107"/>
        <v>5.6606589277994184</v>
      </c>
      <c r="AD275" s="332">
        <v>9.1</v>
      </c>
      <c r="AE275" s="313">
        <v>8.35</v>
      </c>
      <c r="AF275" s="313">
        <f>AE275-AD275</f>
        <v>-0.75</v>
      </c>
      <c r="AG275" s="331">
        <f t="shared" si="108"/>
        <v>-9.5621321208719801E-2</v>
      </c>
      <c r="AH275" s="332">
        <v>10281.049999999999</v>
      </c>
      <c r="AI275" s="313">
        <v>10281.049999999999</v>
      </c>
      <c r="AJ275" s="313">
        <f>AI275-AH275</f>
        <v>0</v>
      </c>
      <c r="AK275" s="331">
        <f t="shared" si="109"/>
        <v>0</v>
      </c>
      <c r="AL275" s="332">
        <v>14502.2</v>
      </c>
      <c r="AM275" s="313">
        <v>14966.05</v>
      </c>
      <c r="AN275" s="313">
        <f>AM275-AL275</f>
        <v>463.84999999999854</v>
      </c>
      <c r="AO275" s="331">
        <f t="shared" si="110"/>
        <v>59.138599790219388</v>
      </c>
      <c r="AP275" s="303">
        <v>7.6</v>
      </c>
      <c r="AQ275" s="303">
        <v>2.2000000000000002</v>
      </c>
      <c r="AR275" s="303">
        <f>AQ275-AP275</f>
        <v>-5.3999999999999995</v>
      </c>
      <c r="AS275" s="332">
        <v>82365.2</v>
      </c>
      <c r="AT275" s="313">
        <v>82366</v>
      </c>
      <c r="AU275" s="341">
        <f>AT275-AS275</f>
        <v>0.80000000000291038</v>
      </c>
      <c r="AV275" s="303"/>
      <c r="AW275" s="303"/>
      <c r="AX275" s="303"/>
      <c r="AY275" s="303"/>
      <c r="AZ275" s="322" t="s">
        <v>686</v>
      </c>
      <c r="BA275" s="461">
        <v>239.59066648999999</v>
      </c>
      <c r="BB275" s="461">
        <v>2.2215612600000001</v>
      </c>
      <c r="BC275" s="461">
        <v>594.06264770999996</v>
      </c>
      <c r="BD275" s="461">
        <v>581.15200000000004</v>
      </c>
      <c r="BE275" s="461">
        <v>6.4830099199999998</v>
      </c>
      <c r="BF275" s="461">
        <v>10.0691211</v>
      </c>
      <c r="BG275" s="461">
        <v>-19.36459292</v>
      </c>
      <c r="BH275" s="461">
        <v>7.8714139300000001</v>
      </c>
      <c r="BI275" s="461">
        <v>9.7617339800000007</v>
      </c>
      <c r="BJ275" s="461">
        <v>-25.239308380000001</v>
      </c>
      <c r="BK275" s="461">
        <v>-35.614937419999997</v>
      </c>
      <c r="BL275" s="461">
        <v>8.2040050000000003E-2</v>
      </c>
    </row>
    <row r="276" spans="1:70" ht="15" customHeight="1" x14ac:dyDescent="0.2">
      <c r="A276" s="328">
        <v>62008044</v>
      </c>
      <c r="B276" s="367" t="s">
        <v>645</v>
      </c>
      <c r="C276" s="462" t="s">
        <v>773</v>
      </c>
      <c r="D276" s="352" t="s">
        <v>923</v>
      </c>
      <c r="E276" s="307" t="s">
        <v>945</v>
      </c>
      <c r="F276" s="307" t="str">
        <f t="shared" si="112"/>
        <v>08/17/20</v>
      </c>
      <c r="G276" s="322" t="s">
        <v>946</v>
      </c>
      <c r="H276" s="322" t="s">
        <v>685</v>
      </c>
      <c r="I276" s="330"/>
      <c r="J276" s="323">
        <v>1566.1384869999999</v>
      </c>
      <c r="K276" s="323">
        <v>-1283.2289780000001</v>
      </c>
      <c r="L276" s="323">
        <v>-2573.5553650000002</v>
      </c>
      <c r="M276" s="323">
        <v>1550.590502</v>
      </c>
      <c r="N276" s="308">
        <v>4250</v>
      </c>
      <c r="O276" s="308">
        <v>30.36</v>
      </c>
      <c r="P276" s="308">
        <v>0.3201</v>
      </c>
      <c r="Q276" s="308">
        <v>1.9560000000000001E-2</v>
      </c>
      <c r="R276" s="309">
        <v>3.7488519999999997E-2</v>
      </c>
      <c r="S276" s="309">
        <f>R276+R275</f>
        <v>7.8809275200000002</v>
      </c>
      <c r="T276" s="338">
        <v>0</v>
      </c>
      <c r="U276" s="338">
        <v>0</v>
      </c>
      <c r="V276" s="313">
        <v>0</v>
      </c>
      <c r="W276" s="313">
        <v>-58270</v>
      </c>
      <c r="X276" s="313">
        <f>W276-V276</f>
        <v>-58270</v>
      </c>
      <c r="Y276" s="313">
        <f t="shared" si="106"/>
        <v>-1554342.5027181655</v>
      </c>
      <c r="Z276" s="332">
        <v>0.01</v>
      </c>
      <c r="AA276" s="313">
        <v>493.91</v>
      </c>
      <c r="AB276" s="313">
        <f>AA276-Z276</f>
        <v>493.90000000000003</v>
      </c>
      <c r="AC276" s="331">
        <f t="shared" si="107"/>
        <v>13174.699881457045</v>
      </c>
      <c r="AD276" s="332">
        <v>0.04</v>
      </c>
      <c r="AE276" s="313">
        <v>-18.98</v>
      </c>
      <c r="AF276" s="313">
        <f>AE276-AD276</f>
        <v>-19.02</v>
      </c>
      <c r="AG276" s="331">
        <f t="shared" si="108"/>
        <v>-507.35531837479851</v>
      </c>
      <c r="AH276" s="332">
        <v>0</v>
      </c>
      <c r="AI276" s="313">
        <v>0</v>
      </c>
      <c r="AJ276" s="313">
        <f>AI276-AH276</f>
        <v>0</v>
      </c>
      <c r="AK276" s="331">
        <f t="shared" si="109"/>
        <v>0</v>
      </c>
      <c r="AL276" s="332">
        <v>0</v>
      </c>
      <c r="AM276" s="313">
        <v>0</v>
      </c>
      <c r="AN276" s="313">
        <f>AM276-AL276</f>
        <v>0</v>
      </c>
      <c r="AO276" s="331">
        <f t="shared" si="110"/>
        <v>0</v>
      </c>
      <c r="AP276" s="303">
        <v>0</v>
      </c>
      <c r="AQ276" s="303">
        <v>0</v>
      </c>
      <c r="AR276" s="303">
        <f>AQ276-AP276</f>
        <v>0</v>
      </c>
      <c r="AS276" s="332">
        <v>0.1</v>
      </c>
      <c r="AT276" s="313">
        <v>64309.7</v>
      </c>
      <c r="AU276" s="341">
        <f>AT276-AS276</f>
        <v>64309.599999999999</v>
      </c>
      <c r="AV276" s="303"/>
      <c r="AW276" s="303"/>
      <c r="AX276" s="303"/>
      <c r="AY276" s="303"/>
      <c r="AZ276" s="322" t="s">
        <v>888</v>
      </c>
      <c r="BA276" s="461">
        <v>0</v>
      </c>
      <c r="BB276" s="461" t="s">
        <v>691</v>
      </c>
      <c r="BC276" s="461">
        <v>0</v>
      </c>
      <c r="BD276" s="461">
        <v>0</v>
      </c>
      <c r="BE276" s="461">
        <v>0</v>
      </c>
      <c r="BF276" s="461">
        <v>0</v>
      </c>
      <c r="BG276" s="461" t="s">
        <v>691</v>
      </c>
      <c r="BH276" s="461">
        <v>0</v>
      </c>
      <c r="BI276" s="461">
        <v>0</v>
      </c>
      <c r="BJ276" s="461" t="s">
        <v>691</v>
      </c>
      <c r="BK276" s="461" t="s">
        <v>691</v>
      </c>
      <c r="BL276" s="461" t="s">
        <v>691</v>
      </c>
    </row>
    <row r="277" spans="1:70" s="461" customFormat="1" ht="15" customHeight="1" x14ac:dyDescent="0.2">
      <c r="A277" s="485" t="s">
        <v>954</v>
      </c>
      <c r="B277" s="362"/>
      <c r="C277" s="363"/>
      <c r="D277" s="363"/>
      <c r="E277" s="363"/>
      <c r="F277" s="363"/>
      <c r="G277" s="363"/>
      <c r="H277" s="362"/>
      <c r="I277" s="362"/>
      <c r="J277" s="373"/>
      <c r="K277" s="374"/>
      <c r="L277" s="362"/>
      <c r="M277" s="362"/>
      <c r="N277" s="362"/>
      <c r="O277" s="362"/>
      <c r="P277" s="362"/>
      <c r="Q277" s="362"/>
      <c r="R277" s="362"/>
      <c r="S277" s="362"/>
      <c r="T277" s="362"/>
      <c r="U277" s="362"/>
      <c r="V277" s="362"/>
      <c r="W277" s="362"/>
      <c r="X277" s="362"/>
      <c r="Y277" s="362"/>
      <c r="Z277" s="362"/>
      <c r="AA277" s="362"/>
      <c r="AB277" s="362"/>
      <c r="AC277" s="362"/>
      <c r="AD277" s="362"/>
      <c r="AE277" s="362"/>
      <c r="AF277" s="362"/>
      <c r="AG277" s="362"/>
      <c r="AH277" s="362"/>
      <c r="AI277" s="362"/>
      <c r="AJ277" s="362"/>
      <c r="AK277" s="362"/>
      <c r="AL277" s="362"/>
      <c r="AM277" s="362"/>
      <c r="AN277" s="362"/>
      <c r="AO277" s="362"/>
      <c r="AP277" s="362"/>
      <c r="AQ277" s="362"/>
      <c r="AR277" s="362"/>
      <c r="AS277" s="362"/>
      <c r="AT277" s="362"/>
      <c r="AU277" s="362"/>
      <c r="AV277" s="362"/>
      <c r="AW277" s="362"/>
      <c r="AX277" s="362"/>
      <c r="AY277" s="362"/>
      <c r="AZ277" s="362"/>
      <c r="BA277" s="362"/>
      <c r="BB277" s="362"/>
      <c r="BC277" s="362"/>
      <c r="BD277" s="362"/>
      <c r="BE277" s="362"/>
      <c r="BF277" s="375"/>
      <c r="BG277" s="362"/>
      <c r="BH277" s="362"/>
      <c r="BI277" s="362"/>
      <c r="BJ277" s="362"/>
      <c r="BK277" s="362"/>
      <c r="BL277" s="362"/>
      <c r="BM277" s="362"/>
      <c r="BN277" s="362"/>
      <c r="BO277" s="362"/>
      <c r="BP277" s="362"/>
      <c r="BQ277" s="362"/>
      <c r="BR277" s="366"/>
    </row>
    <row r="278" spans="1:70" s="461" customFormat="1" ht="15" customHeight="1" x14ac:dyDescent="0.2">
      <c r="A278" s="321">
        <v>62008045</v>
      </c>
      <c r="B278" s="321" t="s">
        <v>627</v>
      </c>
      <c r="C278" s="321" t="s">
        <v>773</v>
      </c>
      <c r="D278" s="352" t="s">
        <v>718</v>
      </c>
      <c r="E278" s="307" t="s">
        <v>983</v>
      </c>
      <c r="F278" s="307" t="str">
        <f t="shared" si="112"/>
        <v>08/19/20</v>
      </c>
      <c r="G278" s="322"/>
      <c r="H278" s="322" t="s">
        <v>685</v>
      </c>
      <c r="I278" s="330"/>
      <c r="J278" s="323">
        <v>23.30359</v>
      </c>
      <c r="K278" s="323">
        <v>42.401127000000002</v>
      </c>
      <c r="L278" s="323">
        <v>29.385119</v>
      </c>
      <c r="M278" s="323">
        <v>24.402097000000001</v>
      </c>
      <c r="N278" s="308">
        <v>4250</v>
      </c>
      <c r="O278" s="308">
        <v>30.36</v>
      </c>
      <c r="P278" s="308">
        <v>0.3201</v>
      </c>
      <c r="Q278" s="308">
        <v>1.9560000000000001E-2</v>
      </c>
      <c r="R278" s="309">
        <v>3.5791004599999998</v>
      </c>
      <c r="S278" s="309">
        <f>R278+R277</f>
        <v>3.5791004599999998</v>
      </c>
      <c r="T278" s="338">
        <v>95.2</v>
      </c>
      <c r="U278" s="338">
        <v>94.1</v>
      </c>
      <c r="V278" s="313">
        <v>5</v>
      </c>
      <c r="W278" s="313">
        <v>807</v>
      </c>
      <c r="X278" s="313">
        <f>W278-V278</f>
        <v>802</v>
      </c>
      <c r="Y278" s="313">
        <f t="shared" ref="Y278:Y290" si="113">X278/$R278</f>
        <v>224.07865019804447</v>
      </c>
      <c r="Z278" s="332">
        <v>4.0579669999999997</v>
      </c>
      <c r="AA278" s="313">
        <v>29.02</v>
      </c>
      <c r="AB278" s="313">
        <f>AA278-Z278</f>
        <v>24.962032999999998</v>
      </c>
      <c r="AC278" s="331">
        <f t="shared" ref="AC278:AC290" si="114">AB278/$R278</f>
        <v>6.974387357654666</v>
      </c>
      <c r="AD278" s="332">
        <v>3.6920329999999999</v>
      </c>
      <c r="AE278" s="313">
        <v>0.72</v>
      </c>
      <c r="AF278" s="313">
        <f>AE278-AD278</f>
        <v>-2.9720329999999997</v>
      </c>
      <c r="AG278" s="331">
        <f t="shared" ref="AG278:AG290" si="115">AF278/$R278</f>
        <v>-0.83038546506738731</v>
      </c>
      <c r="AH278" s="332">
        <v>0</v>
      </c>
      <c r="AI278" s="313">
        <v>0</v>
      </c>
      <c r="AJ278" s="313">
        <f>AI278-AH278</f>
        <v>0</v>
      </c>
      <c r="AK278" s="331">
        <f t="shared" ref="AK278:AK290" si="116">AJ278/$R278</f>
        <v>0</v>
      </c>
      <c r="AL278" s="332">
        <v>0</v>
      </c>
      <c r="AM278" s="313">
        <v>0</v>
      </c>
      <c r="AN278" s="313">
        <f>AM278-AL278</f>
        <v>0</v>
      </c>
      <c r="AO278" s="331">
        <f t="shared" ref="AO278:AO290" si="117">AN278/$R278</f>
        <v>0</v>
      </c>
      <c r="AP278" s="303">
        <v>95.2</v>
      </c>
      <c r="AQ278" s="303">
        <v>94.1</v>
      </c>
      <c r="AR278" s="303">
        <f>AQ278-AP278</f>
        <v>-1.1000000000000085</v>
      </c>
      <c r="AS278" s="332">
        <v>2.2999999999999998</v>
      </c>
      <c r="AT278" s="313">
        <v>3</v>
      </c>
      <c r="AU278" s="341">
        <f>AT278-AS278</f>
        <v>0.70000000000000018</v>
      </c>
      <c r="AV278" s="303"/>
      <c r="AW278" s="303"/>
      <c r="AX278" s="303"/>
      <c r="AY278" s="303"/>
      <c r="AZ278" s="322" t="s">
        <v>686</v>
      </c>
      <c r="BA278" s="461">
        <v>2419.8130004499999</v>
      </c>
      <c r="BB278" s="461">
        <v>-2.1629607000000002</v>
      </c>
      <c r="BC278" s="461">
        <v>2004.52792995</v>
      </c>
      <c r="BD278" s="461">
        <v>2048.8436120000001</v>
      </c>
      <c r="BE278" s="461">
        <v>3.2097126600000001</v>
      </c>
      <c r="BF278" s="461">
        <v>3.2585519600000001</v>
      </c>
      <c r="BG278" s="461">
        <v>-0.33179986</v>
      </c>
      <c r="BH278" s="461">
        <v>3.5790653300000002</v>
      </c>
      <c r="BI278" s="461">
        <v>3.5909802000000002</v>
      </c>
      <c r="BJ278" s="461">
        <v>-1.18476107</v>
      </c>
      <c r="BK278" s="461">
        <v>-1.4988036899999999</v>
      </c>
      <c r="BL278" s="461">
        <v>0.59039366000000004</v>
      </c>
    </row>
    <row r="279" spans="1:70" s="461" customFormat="1" ht="15" customHeight="1" x14ac:dyDescent="0.2">
      <c r="A279" s="321">
        <f>A278</f>
        <v>62008045</v>
      </c>
      <c r="B279" s="321" t="s">
        <v>628</v>
      </c>
      <c r="C279" s="321" t="s">
        <v>774</v>
      </c>
      <c r="D279" s="352" t="s">
        <v>718</v>
      </c>
      <c r="E279" s="307" t="s">
        <v>983</v>
      </c>
      <c r="F279" s="307" t="str">
        <f t="shared" si="112"/>
        <v>08/19/20</v>
      </c>
      <c r="G279" s="322"/>
      <c r="H279" s="322" t="s">
        <v>685</v>
      </c>
      <c r="I279" s="330"/>
      <c r="J279" s="323">
        <v>20.302488</v>
      </c>
      <c r="K279" s="323">
        <v>50.730953</v>
      </c>
      <c r="L279" s="323">
        <v>29.378250999999999</v>
      </c>
      <c r="M279" s="323">
        <v>26.171475999999998</v>
      </c>
      <c r="N279" s="308">
        <v>4250</v>
      </c>
      <c r="O279" s="308">
        <v>30.36</v>
      </c>
      <c r="P279" s="308">
        <v>0.3201</v>
      </c>
      <c r="Q279" s="308">
        <v>1.9560000000000001E-2</v>
      </c>
      <c r="R279" s="309">
        <v>3.8394098900000002</v>
      </c>
      <c r="S279" s="309">
        <f>R279+R278</f>
        <v>7.41851035</v>
      </c>
      <c r="T279" s="338">
        <v>94.1</v>
      </c>
      <c r="U279" s="338">
        <v>93.1</v>
      </c>
      <c r="V279" s="313">
        <v>807</v>
      </c>
      <c r="W279" s="313">
        <v>1464</v>
      </c>
      <c r="X279" s="313">
        <f>W279-V279</f>
        <v>657</v>
      </c>
      <c r="Y279" s="313">
        <f t="shared" si="113"/>
        <v>171.1200467840645</v>
      </c>
      <c r="Z279" s="332">
        <v>29.03</v>
      </c>
      <c r="AA279" s="313">
        <v>65.87</v>
      </c>
      <c r="AB279" s="313">
        <f>AA279-Z279</f>
        <v>36.840000000000003</v>
      </c>
      <c r="AC279" s="331">
        <f t="shared" si="114"/>
        <v>9.595224541133847</v>
      </c>
      <c r="AD279" s="332">
        <v>0.72</v>
      </c>
      <c r="AE279" s="313">
        <v>-0.39</v>
      </c>
      <c r="AF279" s="313">
        <f>AE279-AD279</f>
        <v>-1.1099999999999999</v>
      </c>
      <c r="AG279" s="331">
        <f t="shared" si="115"/>
        <v>-0.28910692835663865</v>
      </c>
      <c r="AH279" s="332">
        <v>0</v>
      </c>
      <c r="AI279" s="313">
        <v>0</v>
      </c>
      <c r="AJ279" s="313">
        <f>AI279-AH279</f>
        <v>0</v>
      </c>
      <c r="AK279" s="331">
        <f t="shared" si="116"/>
        <v>0</v>
      </c>
      <c r="AL279" s="332">
        <v>0</v>
      </c>
      <c r="AM279" s="313">
        <v>0</v>
      </c>
      <c r="AN279" s="313">
        <f>AM279-AL279</f>
        <v>0</v>
      </c>
      <c r="AO279" s="331">
        <f t="shared" si="117"/>
        <v>0</v>
      </c>
      <c r="AP279" s="303">
        <v>94.1</v>
      </c>
      <c r="AQ279" s="303">
        <v>93.1</v>
      </c>
      <c r="AR279" s="303">
        <f>AQ279-AP279</f>
        <v>-1</v>
      </c>
      <c r="AS279" s="332">
        <v>3</v>
      </c>
      <c r="AT279" s="313">
        <v>4.2</v>
      </c>
      <c r="AU279" s="341">
        <f>AT279-AS279</f>
        <v>1.2000000000000002</v>
      </c>
      <c r="AV279" s="303"/>
      <c r="AW279" s="303"/>
      <c r="AX279" s="303"/>
      <c r="AY279" s="303"/>
      <c r="AZ279" s="322" t="s">
        <v>686</v>
      </c>
      <c r="BA279" s="461">
        <v>1482.63712255</v>
      </c>
      <c r="BB279" s="461">
        <v>-2.04304402</v>
      </c>
      <c r="BC279" s="461">
        <v>3346.3540986500002</v>
      </c>
      <c r="BD279" s="461">
        <v>3416.14749562</v>
      </c>
      <c r="BE279" s="461">
        <v>2.9537422699999998</v>
      </c>
      <c r="BF279" s="461">
        <v>3.01865644</v>
      </c>
      <c r="BG279" s="461">
        <v>-0.53180295</v>
      </c>
      <c r="BH279" s="461">
        <v>3.8393043200000001</v>
      </c>
      <c r="BI279" s="461">
        <v>3.8598310200000001</v>
      </c>
      <c r="BJ279" s="461">
        <v>-1.6542020200000001</v>
      </c>
      <c r="BK279" s="461">
        <v>-2.1504324700000002</v>
      </c>
      <c r="BL279" s="461">
        <v>0.71450621000000003</v>
      </c>
    </row>
    <row r="280" spans="1:70" s="461" customFormat="1" ht="15" customHeight="1" x14ac:dyDescent="0.2">
      <c r="A280" s="321">
        <f>A279</f>
        <v>62008045</v>
      </c>
      <c r="B280" s="321" t="s">
        <v>629</v>
      </c>
      <c r="C280" s="321" t="s">
        <v>775</v>
      </c>
      <c r="D280" s="352" t="s">
        <v>718</v>
      </c>
      <c r="E280" s="307" t="s">
        <v>983</v>
      </c>
      <c r="F280" s="307" t="str">
        <f t="shared" si="112"/>
        <v>08/19/20</v>
      </c>
      <c r="G280" s="322"/>
      <c r="H280" s="322" t="s">
        <v>685</v>
      </c>
      <c r="I280" s="330"/>
      <c r="J280" s="324">
        <f>AVERAGE(J278:J279)</f>
        <v>21.803038999999998</v>
      </c>
      <c r="K280" s="324">
        <f>AVERAGE(K278:K279)</f>
        <v>46.566040000000001</v>
      </c>
      <c r="L280" s="324">
        <f>AVERAGE(L278:L279)</f>
        <v>29.381684999999997</v>
      </c>
      <c r="M280" s="324">
        <f>AVERAGE(M278:M279)</f>
        <v>25.286786499999998</v>
      </c>
      <c r="N280" s="310"/>
      <c r="O280" s="308"/>
      <c r="P280" s="326"/>
      <c r="Q280" s="325"/>
      <c r="R280" s="311">
        <f>R279+R278</f>
        <v>7.41851035</v>
      </c>
      <c r="S280" s="311">
        <f>S279</f>
        <v>7.41851035</v>
      </c>
      <c r="T280" s="339">
        <f>T278</f>
        <v>95.2</v>
      </c>
      <c r="U280" s="339">
        <f>U279</f>
        <v>93.1</v>
      </c>
      <c r="V280" s="314">
        <f>V278</f>
        <v>5</v>
      </c>
      <c r="W280" s="314">
        <f>W279</f>
        <v>1464</v>
      </c>
      <c r="X280" s="314">
        <f>SUM(X278:X279)</f>
        <v>1459</v>
      </c>
      <c r="Y280" s="314">
        <f t="shared" si="113"/>
        <v>196.67021156073469</v>
      </c>
      <c r="Z280" s="314">
        <f>Z278</f>
        <v>4.0579669999999997</v>
      </c>
      <c r="AA280" s="314">
        <f>AA279</f>
        <v>65.87</v>
      </c>
      <c r="AB280" s="314">
        <f>SUM(AB278:AB279)</f>
        <v>61.802033000000002</v>
      </c>
      <c r="AC280" s="312">
        <f t="shared" si="114"/>
        <v>8.330787460584995</v>
      </c>
      <c r="AD280" s="314">
        <f>AD278</f>
        <v>3.6920329999999999</v>
      </c>
      <c r="AE280" s="314">
        <f>AE279</f>
        <v>-0.39</v>
      </c>
      <c r="AF280" s="314">
        <f>SUM(AF278:AF279)</f>
        <v>-4.0820329999999991</v>
      </c>
      <c r="AG280" s="312">
        <f t="shared" si="115"/>
        <v>-0.55024968725695711</v>
      </c>
      <c r="AH280" s="314">
        <f>AH278</f>
        <v>0</v>
      </c>
      <c r="AI280" s="314">
        <f>AI279</f>
        <v>0</v>
      </c>
      <c r="AJ280" s="314">
        <f>SUM(AJ278:AJ279)</f>
        <v>0</v>
      </c>
      <c r="AK280" s="312">
        <f t="shared" si="116"/>
        <v>0</v>
      </c>
      <c r="AL280" s="314">
        <f>AL278</f>
        <v>0</v>
      </c>
      <c r="AM280" s="314">
        <f>AM279</f>
        <v>0</v>
      </c>
      <c r="AN280" s="314">
        <f>SUM(AN278:AN279)</f>
        <v>0</v>
      </c>
      <c r="AO280" s="312">
        <f t="shared" si="117"/>
        <v>0</v>
      </c>
      <c r="AP280" s="305"/>
      <c r="AQ280" s="305"/>
      <c r="AR280" s="305">
        <f>SUM(AR278:AR279)</f>
        <v>-2.1000000000000085</v>
      </c>
      <c r="AS280" s="314">
        <f>AS278</f>
        <v>2.2999999999999998</v>
      </c>
      <c r="AT280" s="314">
        <f>AT279</f>
        <v>4.2</v>
      </c>
      <c r="AU280" s="342">
        <f>SUM(AU278:AU279)</f>
        <v>1.9000000000000004</v>
      </c>
      <c r="AV280" s="305"/>
      <c r="AW280" s="305"/>
      <c r="AX280" s="305"/>
      <c r="AY280" s="305"/>
      <c r="AZ280" s="322" t="s">
        <v>686</v>
      </c>
    </row>
    <row r="281" spans="1:70" s="461" customFormat="1" ht="15" customHeight="1" x14ac:dyDescent="0.2">
      <c r="A281" s="321">
        <f t="shared" ref="A281:A287" si="118">A280</f>
        <v>62008045</v>
      </c>
      <c r="B281" s="321" t="s">
        <v>630</v>
      </c>
      <c r="C281" s="321" t="s">
        <v>776</v>
      </c>
      <c r="D281" s="352" t="s">
        <v>718</v>
      </c>
      <c r="E281" s="307" t="s">
        <v>983</v>
      </c>
      <c r="F281" s="307" t="str">
        <f t="shared" si="112"/>
        <v>08/19/20</v>
      </c>
      <c r="G281" s="322"/>
      <c r="H281" s="322" t="s">
        <v>685</v>
      </c>
      <c r="I281" s="330"/>
      <c r="J281" s="323">
        <v>24.739173999999998</v>
      </c>
      <c r="K281" s="323">
        <v>39.838622999999998</v>
      </c>
      <c r="L281" s="323">
        <v>29.390377000000001</v>
      </c>
      <c r="M281" s="323">
        <v>27.769884000000001</v>
      </c>
      <c r="N281" s="308">
        <v>4250</v>
      </c>
      <c r="O281" s="308">
        <v>30.36</v>
      </c>
      <c r="P281" s="308">
        <v>0.3201</v>
      </c>
      <c r="Q281" s="308">
        <v>1.9560000000000001E-2</v>
      </c>
      <c r="R281" s="309">
        <v>10.24515727</v>
      </c>
      <c r="S281" s="309">
        <f>R281+R280</f>
        <v>17.663667619999998</v>
      </c>
      <c r="T281" s="338">
        <v>93.1</v>
      </c>
      <c r="U281" s="338">
        <v>89.8</v>
      </c>
      <c r="V281" s="313">
        <v>1464</v>
      </c>
      <c r="W281" s="313">
        <v>3708</v>
      </c>
      <c r="X281" s="313">
        <f>W281-V281</f>
        <v>2244</v>
      </c>
      <c r="Y281" s="313">
        <f t="shared" si="113"/>
        <v>219.03031265033962</v>
      </c>
      <c r="Z281" s="332">
        <v>66.56</v>
      </c>
      <c r="AA281" s="313">
        <v>98.441261999999995</v>
      </c>
      <c r="AB281" s="313">
        <f>AA281-Z281</f>
        <v>31.881261999999992</v>
      </c>
      <c r="AC281" s="331">
        <f t="shared" si="114"/>
        <v>3.1118372475701381</v>
      </c>
      <c r="AD281" s="332">
        <v>-0.4</v>
      </c>
      <c r="AE281" s="313">
        <v>-1.22</v>
      </c>
      <c r="AF281" s="313">
        <f>AE281-AD281</f>
        <v>-0.82</v>
      </c>
      <c r="AG281" s="331">
        <f t="shared" si="115"/>
        <v>-8.003781478310093E-2</v>
      </c>
      <c r="AH281" s="332">
        <v>0</v>
      </c>
      <c r="AI281" s="313">
        <v>0</v>
      </c>
      <c r="AJ281" s="313">
        <f>AI281-AH281</f>
        <v>0</v>
      </c>
      <c r="AK281" s="331">
        <f t="shared" si="116"/>
        <v>0</v>
      </c>
      <c r="AL281" s="332">
        <v>0</v>
      </c>
      <c r="AM281" s="313">
        <v>0</v>
      </c>
      <c r="AN281" s="313">
        <f>AM281-AL281</f>
        <v>0</v>
      </c>
      <c r="AO281" s="331">
        <f t="shared" si="117"/>
        <v>0</v>
      </c>
      <c r="AP281" s="303">
        <v>93.1</v>
      </c>
      <c r="AQ281" s="303">
        <v>89.8</v>
      </c>
      <c r="AR281" s="303">
        <f>AQ281-AP281</f>
        <v>-3.2999999999999972</v>
      </c>
      <c r="AS281" s="332">
        <v>4.2</v>
      </c>
      <c r="AT281" s="313">
        <v>5.2</v>
      </c>
      <c r="AU281" s="341">
        <f>AT281-AS281</f>
        <v>1</v>
      </c>
      <c r="AV281" s="303"/>
      <c r="AW281" s="303"/>
      <c r="AX281" s="303"/>
      <c r="AY281" s="303"/>
      <c r="AZ281" s="322" t="s">
        <v>686</v>
      </c>
      <c r="BA281" s="461">
        <v>1945.3449062300001</v>
      </c>
      <c r="BB281" s="461">
        <v>-0.68006911000000003</v>
      </c>
      <c r="BC281" s="461">
        <v>1297.83854286</v>
      </c>
      <c r="BD281" s="461">
        <v>1306.7251771900001</v>
      </c>
      <c r="BE281" s="461">
        <v>7.9726337300000001</v>
      </c>
      <c r="BF281" s="461">
        <v>8.0200686399999999</v>
      </c>
      <c r="BG281" s="461">
        <v>-0.11167848</v>
      </c>
      <c r="BH281" s="461">
        <v>10.24522591</v>
      </c>
      <c r="BI281" s="461">
        <v>10.25668042</v>
      </c>
      <c r="BJ281" s="461">
        <v>-0.48262864</v>
      </c>
      <c r="BK281" s="461">
        <v>-0.5914526</v>
      </c>
      <c r="BL281" s="461">
        <v>0.28276665000000001</v>
      </c>
    </row>
    <row r="282" spans="1:70" s="461" customFormat="1" ht="15" customHeight="1" x14ac:dyDescent="0.2">
      <c r="A282" s="321">
        <f t="shared" si="118"/>
        <v>62008045</v>
      </c>
      <c r="B282" s="321" t="s">
        <v>631</v>
      </c>
      <c r="C282" s="321" t="s">
        <v>777</v>
      </c>
      <c r="D282" s="352" t="s">
        <v>718</v>
      </c>
      <c r="E282" s="307" t="s">
        <v>983</v>
      </c>
      <c r="F282" s="307" t="str">
        <f t="shared" si="112"/>
        <v>08/19/20</v>
      </c>
      <c r="G282" s="322"/>
      <c r="H282" s="322" t="s">
        <v>685</v>
      </c>
      <c r="I282" s="330"/>
      <c r="J282" s="323">
        <v>21.190607</v>
      </c>
      <c r="K282" s="323">
        <v>50.028081999999998</v>
      </c>
      <c r="L282" s="323">
        <v>29.372858000000001</v>
      </c>
      <c r="M282" s="323">
        <v>27.834071000000002</v>
      </c>
      <c r="N282" s="308">
        <v>4250</v>
      </c>
      <c r="O282" s="308">
        <v>30.36</v>
      </c>
      <c r="P282" s="308">
        <v>0.3201</v>
      </c>
      <c r="Q282" s="308">
        <v>1.9560000000000001E-2</v>
      </c>
      <c r="R282" s="309">
        <v>3.5799333500000001</v>
      </c>
      <c r="S282" s="309">
        <f>R282+R281</f>
        <v>13.825090620000001</v>
      </c>
      <c r="T282" s="338">
        <v>89.8</v>
      </c>
      <c r="U282" s="338">
        <v>88.7</v>
      </c>
      <c r="V282" s="313">
        <v>3712</v>
      </c>
      <c r="W282" s="313">
        <v>4438</v>
      </c>
      <c r="X282" s="313">
        <f>W282-V282</f>
        <v>726</v>
      </c>
      <c r="Y282" s="313">
        <f t="shared" si="113"/>
        <v>202.7970716270458</v>
      </c>
      <c r="Z282" s="332">
        <v>101.61703</v>
      </c>
      <c r="AA282" s="313">
        <v>123.626868</v>
      </c>
      <c r="AB282" s="313">
        <f>AA282-Z282</f>
        <v>22.009838000000002</v>
      </c>
      <c r="AC282" s="331">
        <f t="shared" si="114"/>
        <v>6.1481139027350888</v>
      </c>
      <c r="AD282" s="332">
        <v>-0.28999999999999998</v>
      </c>
      <c r="AE282" s="313">
        <v>-1.34</v>
      </c>
      <c r="AF282" s="313">
        <f>AE282-AD282</f>
        <v>-1.05</v>
      </c>
      <c r="AG282" s="331">
        <f t="shared" si="115"/>
        <v>-0.29330154987382656</v>
      </c>
      <c r="AH282" s="332">
        <v>0</v>
      </c>
      <c r="AI282" s="313">
        <v>0</v>
      </c>
      <c r="AJ282" s="313">
        <f>AI282-AH282</f>
        <v>0</v>
      </c>
      <c r="AK282" s="331">
        <f t="shared" si="116"/>
        <v>0</v>
      </c>
      <c r="AL282" s="332">
        <v>0</v>
      </c>
      <c r="AM282" s="313">
        <v>0</v>
      </c>
      <c r="AN282" s="313">
        <f>AM282-AL282</f>
        <v>0</v>
      </c>
      <c r="AO282" s="331">
        <f t="shared" si="117"/>
        <v>0</v>
      </c>
      <c r="AP282" s="303">
        <v>89.8</v>
      </c>
      <c r="AQ282" s="303">
        <v>88.7</v>
      </c>
      <c r="AR282" s="303">
        <f>AQ282-AP282</f>
        <v>-1.0999999999999943</v>
      </c>
      <c r="AS282" s="332">
        <v>6.1</v>
      </c>
      <c r="AT282" s="313">
        <v>6.8</v>
      </c>
      <c r="AU282" s="341">
        <f>AT282-AS282</f>
        <v>0.70000000000000018</v>
      </c>
      <c r="AV282" s="303"/>
      <c r="AW282" s="303"/>
      <c r="AX282" s="303"/>
      <c r="AY282" s="303"/>
      <c r="AZ282" s="322" t="s">
        <v>686</v>
      </c>
      <c r="BA282" s="461">
        <v>2410.5855604600001</v>
      </c>
      <c r="BB282" s="461">
        <v>-2.1508129399999998</v>
      </c>
      <c r="BC282" s="461">
        <v>2004.5897519</v>
      </c>
      <c r="BD282" s="461">
        <v>2048.6524334300002</v>
      </c>
      <c r="BE282" s="461">
        <v>3.21015301</v>
      </c>
      <c r="BF282" s="461">
        <v>3.2582846700000001</v>
      </c>
      <c r="BG282" s="461">
        <v>-0.30755698999999997</v>
      </c>
      <c r="BH282" s="461">
        <v>3.5799352099999999</v>
      </c>
      <c r="BI282" s="461">
        <v>3.5909795199999999</v>
      </c>
      <c r="BJ282" s="461">
        <v>-1.18718905</v>
      </c>
      <c r="BK282" s="461">
        <v>-1.47720878</v>
      </c>
      <c r="BL282" s="461">
        <v>0.59036175000000002</v>
      </c>
    </row>
    <row r="283" spans="1:70" s="461" customFormat="1" ht="15" customHeight="1" x14ac:dyDescent="0.2">
      <c r="A283" s="321">
        <f t="shared" si="118"/>
        <v>62008045</v>
      </c>
      <c r="B283" s="321" t="s">
        <v>225</v>
      </c>
      <c r="C283" s="321" t="s">
        <v>778</v>
      </c>
      <c r="D283" s="352" t="s">
        <v>718</v>
      </c>
      <c r="E283" s="307" t="s">
        <v>983</v>
      </c>
      <c r="F283" s="307" t="str">
        <f t="shared" si="112"/>
        <v>08/19/20</v>
      </c>
      <c r="G283" s="322"/>
      <c r="H283" s="322" t="s">
        <v>685</v>
      </c>
      <c r="I283" s="330"/>
      <c r="J283" s="323">
        <v>19.452938</v>
      </c>
      <c r="K283" s="323">
        <v>55.699120999999998</v>
      </c>
      <c r="L283" s="323">
        <v>29.370123</v>
      </c>
      <c r="M283" s="323">
        <v>26.914760000000001</v>
      </c>
      <c r="N283" s="308">
        <v>4250</v>
      </c>
      <c r="O283" s="308">
        <v>30.36</v>
      </c>
      <c r="P283" s="308">
        <v>0.3201</v>
      </c>
      <c r="Q283" s="308">
        <v>1.9560000000000001E-2</v>
      </c>
      <c r="R283" s="309">
        <v>3.8394667099999999</v>
      </c>
      <c r="S283" s="309">
        <f>R283+R282</f>
        <v>7.4194000600000001</v>
      </c>
      <c r="T283" s="338">
        <v>88.7</v>
      </c>
      <c r="U283" s="338">
        <v>87.7</v>
      </c>
      <c r="V283" s="313">
        <v>4438</v>
      </c>
      <c r="W283" s="313">
        <v>5075</v>
      </c>
      <c r="X283" s="313">
        <f>W283-V283</f>
        <v>637</v>
      </c>
      <c r="Y283" s="313">
        <f t="shared" si="113"/>
        <v>165.90845763577411</v>
      </c>
      <c r="Z283" s="332">
        <v>123.636909</v>
      </c>
      <c r="AA283" s="313">
        <v>160.18</v>
      </c>
      <c r="AB283" s="313">
        <f>AA283-Z283</f>
        <v>36.543091000000004</v>
      </c>
      <c r="AC283" s="331">
        <f t="shared" si="114"/>
        <v>9.5177517504768279</v>
      </c>
      <c r="AD283" s="332">
        <v>-1.34</v>
      </c>
      <c r="AE283" s="313">
        <v>-2.23</v>
      </c>
      <c r="AF283" s="313">
        <f>AE283-AD283</f>
        <v>-0.8899999999999999</v>
      </c>
      <c r="AG283" s="331">
        <f t="shared" si="115"/>
        <v>-0.23180302558216476</v>
      </c>
      <c r="AH283" s="332">
        <v>0</v>
      </c>
      <c r="AI283" s="313">
        <v>0</v>
      </c>
      <c r="AJ283" s="313">
        <f>AI283-AH283</f>
        <v>0</v>
      </c>
      <c r="AK283" s="331">
        <f t="shared" si="116"/>
        <v>0</v>
      </c>
      <c r="AL283" s="332">
        <v>0</v>
      </c>
      <c r="AM283" s="313">
        <v>0</v>
      </c>
      <c r="AN283" s="313">
        <f>AM283-AL283</f>
        <v>0</v>
      </c>
      <c r="AO283" s="331">
        <f t="shared" si="117"/>
        <v>0</v>
      </c>
      <c r="AP283" s="303">
        <v>88.7</v>
      </c>
      <c r="AQ283" s="303">
        <v>87.7</v>
      </c>
      <c r="AR283" s="303">
        <f>AQ283-AP283</f>
        <v>-1</v>
      </c>
      <c r="AS283" s="332">
        <v>6.8</v>
      </c>
      <c r="AT283" s="313">
        <v>8</v>
      </c>
      <c r="AU283" s="341">
        <f>AT283-AS283</f>
        <v>1.2000000000000002</v>
      </c>
      <c r="AV283" s="303"/>
      <c r="AW283" s="303"/>
      <c r="AX283" s="303"/>
      <c r="AY283" s="303"/>
      <c r="AZ283" s="322" t="s">
        <v>686</v>
      </c>
      <c r="BA283" s="461">
        <v>1481.6617625700001</v>
      </c>
      <c r="BB283" s="461">
        <v>-2.01920944</v>
      </c>
      <c r="BC283" s="461">
        <v>3347.0161163299999</v>
      </c>
      <c r="BD283" s="461">
        <v>3415.9921523100002</v>
      </c>
      <c r="BE283" s="461">
        <v>2.9543292299999999</v>
      </c>
      <c r="BF283" s="461">
        <v>3.0184207600000001</v>
      </c>
      <c r="BG283" s="461">
        <v>-0.52912669999999995</v>
      </c>
      <c r="BH283" s="461">
        <v>3.8394058900000001</v>
      </c>
      <c r="BI283" s="461">
        <v>3.85982928</v>
      </c>
      <c r="BJ283" s="461">
        <v>-1.6288048399999999</v>
      </c>
      <c r="BK283" s="461">
        <v>-2.1233463700000001</v>
      </c>
      <c r="BL283" s="461">
        <v>0.71451739000000003</v>
      </c>
    </row>
    <row r="284" spans="1:70" s="461" customFormat="1" ht="15" customHeight="1" x14ac:dyDescent="0.2">
      <c r="A284" s="321">
        <f t="shared" si="118"/>
        <v>62008045</v>
      </c>
      <c r="B284" s="321" t="s">
        <v>632</v>
      </c>
      <c r="C284" s="321" t="s">
        <v>779</v>
      </c>
      <c r="D284" s="352" t="s">
        <v>718</v>
      </c>
      <c r="E284" s="307" t="s">
        <v>983</v>
      </c>
      <c r="F284" s="307" t="str">
        <f t="shared" si="112"/>
        <v>08/19/20</v>
      </c>
      <c r="G284" s="322"/>
      <c r="H284" s="322" t="s">
        <v>685</v>
      </c>
      <c r="I284" s="330"/>
      <c r="J284" s="324">
        <f>AVERAGE(J282:J283)</f>
        <v>20.321772500000002</v>
      </c>
      <c r="K284" s="324">
        <f>AVERAGE(K282:K283)</f>
        <v>52.863601500000001</v>
      </c>
      <c r="L284" s="324">
        <f>AVERAGE(L282:L283)</f>
        <v>29.3714905</v>
      </c>
      <c r="M284" s="324">
        <f>AVERAGE(M282:M283)</f>
        <v>27.374415500000001</v>
      </c>
      <c r="N284" s="310"/>
      <c r="O284" s="308"/>
      <c r="P284" s="326"/>
      <c r="Q284" s="325"/>
      <c r="R284" s="311">
        <f>R283+R282</f>
        <v>7.4194000600000001</v>
      </c>
      <c r="S284" s="311">
        <f>S283</f>
        <v>7.4194000600000001</v>
      </c>
      <c r="T284" s="339">
        <f>T282</f>
        <v>89.8</v>
      </c>
      <c r="U284" s="339">
        <f>U283</f>
        <v>87.7</v>
      </c>
      <c r="V284" s="314">
        <f>V282</f>
        <v>3712</v>
      </c>
      <c r="W284" s="314">
        <f>W283</f>
        <v>5075</v>
      </c>
      <c r="X284" s="314">
        <f>SUM(X282:X283)</f>
        <v>1363</v>
      </c>
      <c r="Y284" s="314">
        <f t="shared" si="113"/>
        <v>183.70757594651124</v>
      </c>
      <c r="Z284" s="314">
        <f>Z282</f>
        <v>101.61703</v>
      </c>
      <c r="AA284" s="314">
        <f>AA283</f>
        <v>160.18</v>
      </c>
      <c r="AB284" s="314">
        <f>SUM(AB282:AB283)</f>
        <v>58.552929000000006</v>
      </c>
      <c r="AC284" s="312">
        <f t="shared" si="114"/>
        <v>7.8918684161101842</v>
      </c>
      <c r="AD284" s="314">
        <f>AD282</f>
        <v>-0.28999999999999998</v>
      </c>
      <c r="AE284" s="314">
        <f>AE283</f>
        <v>-2.23</v>
      </c>
      <c r="AF284" s="314">
        <f>SUM(AF282:AF283)</f>
        <v>-1.94</v>
      </c>
      <c r="AG284" s="312">
        <f t="shared" si="115"/>
        <v>-0.26147666715791035</v>
      </c>
      <c r="AH284" s="314">
        <f>AH282</f>
        <v>0</v>
      </c>
      <c r="AI284" s="314">
        <f>AI283</f>
        <v>0</v>
      </c>
      <c r="AJ284" s="314">
        <f>SUM(AJ282:AJ283)</f>
        <v>0</v>
      </c>
      <c r="AK284" s="312">
        <f t="shared" si="116"/>
        <v>0</v>
      </c>
      <c r="AL284" s="314">
        <f>AL282</f>
        <v>0</v>
      </c>
      <c r="AM284" s="314">
        <f>AM283</f>
        <v>0</v>
      </c>
      <c r="AN284" s="314">
        <f>SUM(AN282:AN283)</f>
        <v>0</v>
      </c>
      <c r="AO284" s="312">
        <f t="shared" si="117"/>
        <v>0</v>
      </c>
      <c r="AP284" s="305"/>
      <c r="AQ284" s="305"/>
      <c r="AR284" s="305">
        <f>SUM(AR282:AR283)</f>
        <v>-2.0999999999999943</v>
      </c>
      <c r="AS284" s="314">
        <f>AS282</f>
        <v>6.1</v>
      </c>
      <c r="AT284" s="314">
        <f>AT283</f>
        <v>8</v>
      </c>
      <c r="AU284" s="342">
        <f>SUM(AU282:AU283)</f>
        <v>1.9000000000000004</v>
      </c>
      <c r="AV284" s="305"/>
      <c r="AW284" s="305"/>
      <c r="AX284" s="305"/>
      <c r="AY284" s="305"/>
      <c r="AZ284" s="322" t="s">
        <v>686</v>
      </c>
    </row>
    <row r="285" spans="1:70" s="461" customFormat="1" ht="15" customHeight="1" x14ac:dyDescent="0.2">
      <c r="A285" s="321">
        <f t="shared" si="118"/>
        <v>62008045</v>
      </c>
      <c r="B285" s="321" t="s">
        <v>633</v>
      </c>
      <c r="C285" s="321" t="s">
        <v>780</v>
      </c>
      <c r="D285" s="352" t="s">
        <v>718</v>
      </c>
      <c r="E285" s="307" t="s">
        <v>983</v>
      </c>
      <c r="F285" s="307" t="str">
        <f t="shared" si="112"/>
        <v>08/19/20</v>
      </c>
      <c r="G285" s="322"/>
      <c r="H285" s="322" t="s">
        <v>685</v>
      </c>
      <c r="I285" s="330"/>
      <c r="J285" s="323">
        <v>23.309612999999999</v>
      </c>
      <c r="K285" s="323">
        <v>43.502445000000002</v>
      </c>
      <c r="L285" s="323">
        <v>29.371283999999999</v>
      </c>
      <c r="M285" s="323">
        <v>29.343288000000001</v>
      </c>
      <c r="N285" s="308">
        <v>4250</v>
      </c>
      <c r="O285" s="308">
        <v>30.36</v>
      </c>
      <c r="P285" s="308">
        <v>0.3201</v>
      </c>
      <c r="Q285" s="308">
        <v>1.9560000000000001E-2</v>
      </c>
      <c r="R285" s="309">
        <v>1.76635159</v>
      </c>
      <c r="S285" s="309">
        <f>R285+R284</f>
        <v>9.1857516500000003</v>
      </c>
      <c r="T285" s="338">
        <v>87.7</v>
      </c>
      <c r="U285" s="338">
        <v>84</v>
      </c>
      <c r="V285" s="313">
        <v>5081</v>
      </c>
      <c r="W285" s="313">
        <v>7457</v>
      </c>
      <c r="X285" s="313">
        <f>W285-V285-X286</f>
        <v>540</v>
      </c>
      <c r="Y285" s="313">
        <f t="shared" si="113"/>
        <v>305.7149001688843</v>
      </c>
      <c r="Z285" s="332">
        <v>164.18</v>
      </c>
      <c r="AA285" s="313">
        <v>189.17632</v>
      </c>
      <c r="AB285" s="313">
        <f>AA285-Z285-AB286</f>
        <v>9.9298890000000029</v>
      </c>
      <c r="AC285" s="331">
        <f t="shared" si="114"/>
        <v>5.6216944894872274</v>
      </c>
      <c r="AD285" s="332">
        <v>-2.3199999999999998</v>
      </c>
      <c r="AE285" s="313">
        <v>-2.84</v>
      </c>
      <c r="AF285" s="313">
        <f>AE285-AD285-AF286</f>
        <v>-0.20000000000000018</v>
      </c>
      <c r="AG285" s="331">
        <f t="shared" si="115"/>
        <v>-0.11322774080329057</v>
      </c>
      <c r="AH285" s="332">
        <v>0</v>
      </c>
      <c r="AI285" s="313">
        <v>0</v>
      </c>
      <c r="AJ285" s="313">
        <f>AI285-AH285-AJ286</f>
        <v>0</v>
      </c>
      <c r="AK285" s="331">
        <f t="shared" si="116"/>
        <v>0</v>
      </c>
      <c r="AL285" s="332">
        <v>0</v>
      </c>
      <c r="AM285" s="313">
        <v>0</v>
      </c>
      <c r="AN285" s="313">
        <f>AM285-AL285-AN286</f>
        <v>0</v>
      </c>
      <c r="AO285" s="331">
        <f t="shared" si="117"/>
        <v>0</v>
      </c>
      <c r="AP285" s="303">
        <v>87.7</v>
      </c>
      <c r="AQ285" s="303">
        <v>84</v>
      </c>
      <c r="AR285" s="303">
        <f>AQ285-AP285-AR286</f>
        <v>-0.90000000000000568</v>
      </c>
      <c r="AS285" s="332">
        <v>8.1</v>
      </c>
      <c r="AT285" s="313">
        <v>8.9</v>
      </c>
      <c r="AU285" s="341">
        <f>AT285-AS285-AU286</f>
        <v>0.30000000000000071</v>
      </c>
      <c r="AV285" s="303"/>
      <c r="AW285" s="303"/>
      <c r="AX285" s="303"/>
      <c r="AY285" s="303"/>
      <c r="AZ285" s="322" t="s">
        <v>686</v>
      </c>
      <c r="BA285" s="461">
        <v>5560.2062733299999</v>
      </c>
      <c r="BB285" s="461">
        <v>-1.07079543</v>
      </c>
      <c r="BC285" s="461">
        <v>2432.9490718000002</v>
      </c>
      <c r="BD285" s="461">
        <v>2459.2829613200001</v>
      </c>
      <c r="BE285" s="461">
        <v>3.1686036400000002</v>
      </c>
      <c r="BF285" s="461">
        <v>3.2077227399999999</v>
      </c>
      <c r="BG285" s="461">
        <v>-0.32646965</v>
      </c>
      <c r="BH285" s="461">
        <v>1.76631939</v>
      </c>
      <c r="BI285" s="461">
        <v>1.77210478</v>
      </c>
      <c r="BJ285" s="461">
        <v>-0.90408474000000005</v>
      </c>
      <c r="BK285" s="461">
        <v>-1.2195288200000001</v>
      </c>
      <c r="BL285" s="461">
        <v>0.81478229999999996</v>
      </c>
    </row>
    <row r="286" spans="1:70" s="461" customFormat="1" ht="15" customHeight="1" x14ac:dyDescent="0.2">
      <c r="A286" s="321">
        <f t="shared" si="118"/>
        <v>62008045</v>
      </c>
      <c r="B286" s="321" t="s">
        <v>634</v>
      </c>
      <c r="C286" s="321" t="s">
        <v>781</v>
      </c>
      <c r="D286" s="352" t="s">
        <v>718</v>
      </c>
      <c r="E286" s="307" t="s">
        <v>983</v>
      </c>
      <c r="F286" s="307" t="str">
        <f t="shared" si="112"/>
        <v>08/19/20</v>
      </c>
      <c r="G286" s="322"/>
      <c r="H286" s="322" t="s">
        <v>685</v>
      </c>
      <c r="I286" s="330"/>
      <c r="J286" s="323">
        <v>27.547806999999999</v>
      </c>
      <c r="K286" s="323">
        <v>34.108272999999997</v>
      </c>
      <c r="L286" s="323">
        <v>29.400653999999999</v>
      </c>
      <c r="M286" s="323">
        <v>29.604623</v>
      </c>
      <c r="N286" s="308">
        <v>4250</v>
      </c>
      <c r="O286" s="308">
        <v>30.36</v>
      </c>
      <c r="P286" s="308">
        <v>0.3201</v>
      </c>
      <c r="Q286" s="308">
        <v>1.9560000000000001E-2</v>
      </c>
      <c r="R286" s="309">
        <v>6.2273526099999996</v>
      </c>
      <c r="S286" s="309">
        <f>R286+R285</f>
        <v>7.9937041999999998</v>
      </c>
      <c r="T286" s="338">
        <v>87.1</v>
      </c>
      <c r="U286" s="338">
        <v>84.3</v>
      </c>
      <c r="V286" s="313">
        <v>5445</v>
      </c>
      <c r="W286" s="313">
        <v>7281</v>
      </c>
      <c r="X286" s="313">
        <f>W286-V286</f>
        <v>1836</v>
      </c>
      <c r="Y286" s="313">
        <f t="shared" si="113"/>
        <v>294.82833476487531</v>
      </c>
      <c r="Z286" s="332">
        <v>169.69</v>
      </c>
      <c r="AA286" s="313">
        <v>184.75643099999999</v>
      </c>
      <c r="AB286" s="313">
        <f>AA286-Z286</f>
        <v>15.066430999999994</v>
      </c>
      <c r="AC286" s="331">
        <f t="shared" si="114"/>
        <v>2.4193958401851274</v>
      </c>
      <c r="AD286" s="332">
        <v>-2.4300000000000002</v>
      </c>
      <c r="AE286" s="313">
        <v>-2.75</v>
      </c>
      <c r="AF286" s="313">
        <f>AE286-AD286</f>
        <v>-0.31999999999999984</v>
      </c>
      <c r="AG286" s="331">
        <f t="shared" si="115"/>
        <v>-5.1386202137668875E-2</v>
      </c>
      <c r="AH286" s="332">
        <v>0</v>
      </c>
      <c r="AI286" s="313">
        <v>0</v>
      </c>
      <c r="AJ286" s="313">
        <f>AI286-AH286</f>
        <v>0</v>
      </c>
      <c r="AK286" s="331">
        <f t="shared" si="116"/>
        <v>0</v>
      </c>
      <c r="AL286" s="332">
        <v>0</v>
      </c>
      <c r="AM286" s="313">
        <v>0</v>
      </c>
      <c r="AN286" s="313">
        <f>AM286-AL286</f>
        <v>0</v>
      </c>
      <c r="AO286" s="331">
        <f t="shared" si="117"/>
        <v>0</v>
      </c>
      <c r="AP286" s="303">
        <v>87.1</v>
      </c>
      <c r="AQ286" s="303">
        <v>84.3</v>
      </c>
      <c r="AR286" s="303">
        <f>AQ286-AP286</f>
        <v>-2.7999999999999972</v>
      </c>
      <c r="AS286" s="332">
        <v>8.3000000000000007</v>
      </c>
      <c r="AT286" s="313">
        <v>8.8000000000000007</v>
      </c>
      <c r="AU286" s="341">
        <f>AT286-AS286</f>
        <v>0.5</v>
      </c>
      <c r="AV286" s="303"/>
      <c r="AW286" s="303"/>
      <c r="AX286" s="303"/>
      <c r="AY286" s="303"/>
      <c r="AZ286" s="322" t="s">
        <v>686</v>
      </c>
      <c r="BA286" s="461">
        <v>11811.94560184</v>
      </c>
      <c r="BB286" s="461">
        <v>-9.6381374199999996</v>
      </c>
      <c r="BC286" s="461">
        <v>1028.57060374</v>
      </c>
      <c r="BD286" s="461">
        <v>1138.27955114</v>
      </c>
      <c r="BE286" s="461">
        <v>6.9203888400000002</v>
      </c>
      <c r="BF286" s="461">
        <v>7.0840900400000004</v>
      </c>
      <c r="BG286" s="461">
        <v>-0.11910658</v>
      </c>
      <c r="BH286" s="461">
        <v>6.2274322199999999</v>
      </c>
      <c r="BI286" s="461">
        <v>6.2348583499999997</v>
      </c>
      <c r="BJ286" s="461">
        <v>-2.2435673399999998</v>
      </c>
      <c r="BK286" s="461">
        <v>-2.3108289100000001</v>
      </c>
      <c r="BL286" s="461">
        <v>0.34891735000000001</v>
      </c>
    </row>
    <row r="287" spans="1:70" s="461" customFormat="1" ht="15" customHeight="1" x14ac:dyDescent="0.2">
      <c r="A287" s="321">
        <f t="shared" si="118"/>
        <v>62008045</v>
      </c>
      <c r="B287" s="321" t="s">
        <v>635</v>
      </c>
      <c r="C287" s="321" t="s">
        <v>782</v>
      </c>
      <c r="D287" s="352" t="s">
        <v>718</v>
      </c>
      <c r="E287" s="307" t="s">
        <v>983</v>
      </c>
      <c r="F287" s="307" t="str">
        <f t="shared" si="112"/>
        <v>08/19/20</v>
      </c>
      <c r="G287" s="322"/>
      <c r="H287" s="322" t="s">
        <v>685</v>
      </c>
      <c r="I287" s="330"/>
      <c r="J287" s="324">
        <f>AVERAGE(J285:J286)</f>
        <v>25.428709999999999</v>
      </c>
      <c r="K287" s="324">
        <f>AVERAGE(K285:K286)</f>
        <v>38.805358999999996</v>
      </c>
      <c r="L287" s="324">
        <f>AVERAGE(L285:L286)</f>
        <v>29.385968999999999</v>
      </c>
      <c r="M287" s="324">
        <f>AVERAGE(M285:M286)</f>
        <v>29.473955500000002</v>
      </c>
      <c r="N287" s="310"/>
      <c r="O287" s="308"/>
      <c r="P287" s="326"/>
      <c r="Q287" s="325"/>
      <c r="R287" s="311">
        <f>R286+R285</f>
        <v>7.9937041999999998</v>
      </c>
      <c r="S287" s="311">
        <f>S286</f>
        <v>7.9937041999999998</v>
      </c>
      <c r="T287" s="339">
        <f>T285</f>
        <v>87.7</v>
      </c>
      <c r="U287" s="339">
        <f>U286</f>
        <v>84.3</v>
      </c>
      <c r="V287" s="314">
        <f>V285</f>
        <v>5081</v>
      </c>
      <c r="W287" s="314">
        <f>W286</f>
        <v>7281</v>
      </c>
      <c r="X287" s="314">
        <f>SUM(X285:X286)</f>
        <v>2376</v>
      </c>
      <c r="Y287" s="314">
        <f t="shared" si="113"/>
        <v>297.23391566077714</v>
      </c>
      <c r="Z287" s="314">
        <f>Z285</f>
        <v>164.18</v>
      </c>
      <c r="AA287" s="314">
        <f>AA286</f>
        <v>184.75643099999999</v>
      </c>
      <c r="AB287" s="314">
        <f>SUM(AB285:AB286)</f>
        <v>24.996319999999997</v>
      </c>
      <c r="AC287" s="312">
        <f t="shared" si="114"/>
        <v>3.127000871510857</v>
      </c>
      <c r="AD287" s="314">
        <f>AD285</f>
        <v>-2.3199999999999998</v>
      </c>
      <c r="AE287" s="314">
        <f>AE286</f>
        <v>-2.75</v>
      </c>
      <c r="AF287" s="314">
        <f>SUM(AF285:AF286)</f>
        <v>-0.52</v>
      </c>
      <c r="AG287" s="312">
        <f t="shared" si="115"/>
        <v>-6.5051193663133042E-2</v>
      </c>
      <c r="AH287" s="314">
        <f>AH285</f>
        <v>0</v>
      </c>
      <c r="AI287" s="314">
        <f>AI286</f>
        <v>0</v>
      </c>
      <c r="AJ287" s="314">
        <f>SUM(AJ285:AJ286)</f>
        <v>0</v>
      </c>
      <c r="AK287" s="312">
        <f t="shared" si="116"/>
        <v>0</v>
      </c>
      <c r="AL287" s="314">
        <f>AL285</f>
        <v>0</v>
      </c>
      <c r="AM287" s="314">
        <f>AM286</f>
        <v>0</v>
      </c>
      <c r="AN287" s="314">
        <f>SUM(AN285:AN286)</f>
        <v>0</v>
      </c>
      <c r="AO287" s="312">
        <f t="shared" si="117"/>
        <v>0</v>
      </c>
      <c r="AP287" s="305"/>
      <c r="AQ287" s="305"/>
      <c r="AR287" s="305">
        <f>SUM(AR285:AR286)</f>
        <v>-3.7000000000000028</v>
      </c>
      <c r="AS287" s="314">
        <f>AS285</f>
        <v>8.1</v>
      </c>
      <c r="AT287" s="314">
        <f>AT286</f>
        <v>8.8000000000000007</v>
      </c>
      <c r="AU287" s="342">
        <f>SUM(AU285:AU286)</f>
        <v>0.80000000000000071</v>
      </c>
      <c r="AV287" s="305"/>
      <c r="AW287" s="305"/>
      <c r="AX287" s="305"/>
      <c r="AY287" s="305"/>
      <c r="AZ287" s="322" t="s">
        <v>686</v>
      </c>
    </row>
    <row r="288" spans="1:70" s="461" customFormat="1" ht="15" customHeight="1" x14ac:dyDescent="0.2">
      <c r="A288" s="321">
        <v>62008046</v>
      </c>
      <c r="B288" s="321" t="s">
        <v>646</v>
      </c>
      <c r="C288" s="321" t="s">
        <v>773</v>
      </c>
      <c r="D288" s="352" t="s">
        <v>682</v>
      </c>
      <c r="E288" s="307" t="s">
        <v>984</v>
      </c>
      <c r="F288" s="307" t="str">
        <f t="shared" si="112"/>
        <v>08/19/20</v>
      </c>
      <c r="G288" s="322" t="s">
        <v>985</v>
      </c>
      <c r="H288" s="322" t="s">
        <v>685</v>
      </c>
      <c r="I288" s="330"/>
      <c r="J288" s="323">
        <v>24.963356000000001</v>
      </c>
      <c r="K288" s="323">
        <v>39.257254000000003</v>
      </c>
      <c r="L288" s="323">
        <v>29.374860000000002</v>
      </c>
      <c r="M288" s="323">
        <v>29.76108</v>
      </c>
      <c r="N288" s="308">
        <v>4250</v>
      </c>
      <c r="O288" s="308">
        <v>30.36</v>
      </c>
      <c r="P288" s="308">
        <v>0.3201</v>
      </c>
      <c r="Q288" s="308">
        <v>1.9560000000000001E-2</v>
      </c>
      <c r="R288" s="309">
        <v>10.245597419999999</v>
      </c>
      <c r="S288" s="309">
        <f>R288+R287</f>
        <v>18.239301619999999</v>
      </c>
      <c r="T288" s="338">
        <v>84</v>
      </c>
      <c r="U288" s="338">
        <v>80.599999999999994</v>
      </c>
      <c r="V288" s="313">
        <v>7460</v>
      </c>
      <c r="W288" s="313">
        <v>9654</v>
      </c>
      <c r="X288" s="313">
        <f>W288-V288</f>
        <v>2194</v>
      </c>
      <c r="Y288" s="313">
        <f t="shared" si="113"/>
        <v>214.14075822627825</v>
      </c>
      <c r="Z288" s="332">
        <v>192.08694</v>
      </c>
      <c r="AA288" s="313">
        <v>224.41</v>
      </c>
      <c r="AB288" s="313">
        <f>AA288-Z288</f>
        <v>32.323059999999998</v>
      </c>
      <c r="AC288" s="331">
        <f t="shared" si="114"/>
        <v>3.1548243284382336</v>
      </c>
      <c r="AD288" s="332">
        <v>-2.2200000000000002</v>
      </c>
      <c r="AE288" s="313">
        <v>-3.35</v>
      </c>
      <c r="AF288" s="313">
        <f>AE288-AD288</f>
        <v>-1.1299999999999999</v>
      </c>
      <c r="AG288" s="331">
        <f t="shared" si="115"/>
        <v>-0.11029127474735387</v>
      </c>
      <c r="AH288" s="332">
        <v>0</v>
      </c>
      <c r="AI288" s="313">
        <v>0</v>
      </c>
      <c r="AJ288" s="313">
        <f>AI288-AH288</f>
        <v>0</v>
      </c>
      <c r="AK288" s="331">
        <f t="shared" si="116"/>
        <v>0</v>
      </c>
      <c r="AL288" s="332">
        <v>0</v>
      </c>
      <c r="AM288" s="313">
        <v>0</v>
      </c>
      <c r="AN288" s="313">
        <f>AM288-AL288</f>
        <v>0</v>
      </c>
      <c r="AO288" s="331">
        <f t="shared" si="117"/>
        <v>0</v>
      </c>
      <c r="AP288" s="303">
        <v>84</v>
      </c>
      <c r="AQ288" s="303">
        <v>80.599999999999994</v>
      </c>
      <c r="AR288" s="303">
        <f>AQ288-AP288</f>
        <v>-3.4000000000000057</v>
      </c>
      <c r="AS288" s="332">
        <v>9.1999999999999993</v>
      </c>
      <c r="AT288" s="313">
        <v>10.3</v>
      </c>
      <c r="AU288" s="341">
        <f>AT288-AS288</f>
        <v>1.1000000000000014</v>
      </c>
      <c r="AV288" s="303"/>
      <c r="AW288" s="303"/>
      <c r="AX288" s="303"/>
      <c r="AY288" s="303"/>
      <c r="AZ288" s="322" t="s">
        <v>686</v>
      </c>
      <c r="BA288" s="461">
        <v>1945.66078874</v>
      </c>
      <c r="BB288" s="461">
        <v>-0.69616993999999999</v>
      </c>
      <c r="BC288" s="461">
        <v>1297.69420739</v>
      </c>
      <c r="BD288" s="461">
        <v>1306.79169832</v>
      </c>
      <c r="BE288" s="461">
        <v>7.9711489000000002</v>
      </c>
      <c r="BF288" s="461">
        <v>8.0202390599999998</v>
      </c>
      <c r="BG288" s="461">
        <v>-0.10733563</v>
      </c>
      <c r="BH288" s="461">
        <v>10.24567158</v>
      </c>
      <c r="BI288" s="461">
        <v>10.25668065</v>
      </c>
      <c r="BJ288" s="461">
        <v>-0.50785126999999997</v>
      </c>
      <c r="BK288" s="461">
        <v>-0.61207845999999999</v>
      </c>
      <c r="BL288" s="461">
        <v>0.28277702999999998</v>
      </c>
    </row>
    <row r="289" spans="1:70" s="461" customFormat="1" ht="15" customHeight="1" x14ac:dyDescent="0.2">
      <c r="A289" s="321">
        <v>62008046</v>
      </c>
      <c r="B289" s="321" t="s">
        <v>646</v>
      </c>
      <c r="C289" s="321" t="s">
        <v>774</v>
      </c>
      <c r="D289" s="352" t="s">
        <v>682</v>
      </c>
      <c r="E289" s="307" t="s">
        <v>984</v>
      </c>
      <c r="F289" s="307" t="str">
        <f t="shared" si="112"/>
        <v>08/19/20</v>
      </c>
      <c r="G289" s="322" t="s">
        <v>985</v>
      </c>
      <c r="H289" s="322" t="s">
        <v>685</v>
      </c>
      <c r="I289" s="330"/>
      <c r="J289" s="323">
        <v>25.013974999999999</v>
      </c>
      <c r="K289" s="323">
        <v>38.724017000000003</v>
      </c>
      <c r="L289" s="323">
        <v>29.370013</v>
      </c>
      <c r="M289" s="323">
        <v>29.760051000000001</v>
      </c>
      <c r="N289" s="308">
        <v>4250</v>
      </c>
      <c r="O289" s="308">
        <v>30.36</v>
      </c>
      <c r="P289" s="308">
        <v>0.3201</v>
      </c>
      <c r="Q289" s="308">
        <v>1.9560000000000001E-2</v>
      </c>
      <c r="R289" s="309">
        <v>10.245029450000001</v>
      </c>
      <c r="S289" s="309">
        <f>R289+R288</f>
        <v>20.49062687</v>
      </c>
      <c r="T289" s="338">
        <v>80.599999999999994</v>
      </c>
      <c r="U289" s="338">
        <v>77.2</v>
      </c>
      <c r="V289" s="313">
        <v>9655</v>
      </c>
      <c r="W289" s="313">
        <v>11839</v>
      </c>
      <c r="X289" s="313">
        <f>W289-V289</f>
        <v>2184</v>
      </c>
      <c r="Y289" s="313">
        <f t="shared" si="113"/>
        <v>213.17654679850625</v>
      </c>
      <c r="Z289" s="332">
        <v>225.016694</v>
      </c>
      <c r="AA289" s="313">
        <v>256.756351</v>
      </c>
      <c r="AB289" s="313">
        <f>AA289-Z289</f>
        <v>31.739656999999994</v>
      </c>
      <c r="AC289" s="331">
        <f t="shared" si="114"/>
        <v>3.098054247174467</v>
      </c>
      <c r="AD289" s="332">
        <v>-3.36</v>
      </c>
      <c r="AE289" s="313">
        <v>-4.04</v>
      </c>
      <c r="AF289" s="313">
        <f>AE289-AD289</f>
        <v>-0.68000000000000016</v>
      </c>
      <c r="AG289" s="331">
        <f t="shared" si="115"/>
        <v>-6.637365010209903E-2</v>
      </c>
      <c r="AH289" s="332">
        <v>0</v>
      </c>
      <c r="AI289" s="313">
        <v>0</v>
      </c>
      <c r="AJ289" s="313">
        <f>AI289-AH289</f>
        <v>0</v>
      </c>
      <c r="AK289" s="331">
        <f t="shared" si="116"/>
        <v>0</v>
      </c>
      <c r="AL289" s="332">
        <v>0</v>
      </c>
      <c r="AM289" s="313">
        <v>0</v>
      </c>
      <c r="AN289" s="313">
        <f>AM289-AL289</f>
        <v>0</v>
      </c>
      <c r="AO289" s="331">
        <f t="shared" si="117"/>
        <v>0</v>
      </c>
      <c r="AP289" s="303">
        <v>80.599999999999994</v>
      </c>
      <c r="AQ289" s="303">
        <v>77.2</v>
      </c>
      <c r="AR289" s="303">
        <f>AQ289-AP289</f>
        <v>-3.3999999999999915</v>
      </c>
      <c r="AS289" s="332">
        <v>10.3</v>
      </c>
      <c r="AT289" s="313">
        <v>11.3</v>
      </c>
      <c r="AU289" s="341">
        <f>AT289-AS289</f>
        <v>1</v>
      </c>
      <c r="AV289" s="303"/>
      <c r="AW289" s="303"/>
      <c r="AX289" s="303"/>
      <c r="AY289" s="303"/>
      <c r="AZ289" s="322" t="s">
        <v>686</v>
      </c>
      <c r="BA289" s="461">
        <v>1941.80954569</v>
      </c>
      <c r="BB289" s="461">
        <v>-0.68344353000000002</v>
      </c>
      <c r="BC289" s="461">
        <v>1297.8217217700001</v>
      </c>
      <c r="BD289" s="461">
        <v>1306.7526380899999</v>
      </c>
      <c r="BE289" s="461">
        <v>7.9711247299999997</v>
      </c>
      <c r="BF289" s="461">
        <v>8.0201361999999996</v>
      </c>
      <c r="BG289" s="461">
        <v>-0.11287187999999999</v>
      </c>
      <c r="BH289" s="461">
        <v>10.24510343</v>
      </c>
      <c r="BI289" s="461">
        <v>10.256680340000001</v>
      </c>
      <c r="BJ289" s="461">
        <v>-0.50129672999999997</v>
      </c>
      <c r="BK289" s="461">
        <v>-0.61110514999999999</v>
      </c>
      <c r="BL289" s="461">
        <v>0.28277098000000001</v>
      </c>
    </row>
    <row r="290" spans="1:70" s="461" customFormat="1" ht="15" customHeight="1" x14ac:dyDescent="0.2">
      <c r="A290" s="321">
        <v>62008046</v>
      </c>
      <c r="B290" s="321" t="s">
        <v>646</v>
      </c>
      <c r="C290" s="321" t="s">
        <v>776</v>
      </c>
      <c r="D290" s="352" t="s">
        <v>682</v>
      </c>
      <c r="E290" s="307" t="s">
        <v>984</v>
      </c>
      <c r="F290" s="307" t="str">
        <f t="shared" si="112"/>
        <v>08/19/20</v>
      </c>
      <c r="G290" s="322" t="s">
        <v>985</v>
      </c>
      <c r="H290" s="322" t="s">
        <v>685</v>
      </c>
      <c r="I290" s="330"/>
      <c r="J290" s="323" t="s">
        <v>691</v>
      </c>
      <c r="K290" s="323" t="s">
        <v>691</v>
      </c>
      <c r="L290" s="323" t="s">
        <v>691</v>
      </c>
      <c r="M290" s="323" t="s">
        <v>691</v>
      </c>
      <c r="N290" s="308">
        <v>4250</v>
      </c>
      <c r="O290" s="308">
        <v>30.36</v>
      </c>
      <c r="P290" s="308">
        <v>0.3201</v>
      </c>
      <c r="Q290" s="308">
        <v>1.9560000000000001E-2</v>
      </c>
      <c r="R290" s="309" t="s">
        <v>1015</v>
      </c>
      <c r="S290" s="309" t="e">
        <f>R290+R289</f>
        <v>#VALUE!</v>
      </c>
      <c r="T290" s="338">
        <v>77.2</v>
      </c>
      <c r="U290" s="338">
        <v>0</v>
      </c>
      <c r="V290" s="313">
        <v>11839</v>
      </c>
      <c r="W290" s="313">
        <v>7459</v>
      </c>
      <c r="X290" s="313">
        <f>W290-V290</f>
        <v>-4380</v>
      </c>
      <c r="Y290" s="313" t="e">
        <f t="shared" si="113"/>
        <v>#VALUE!</v>
      </c>
      <c r="Z290" s="332">
        <v>257.05</v>
      </c>
      <c r="AA290" s="313">
        <v>190.716846</v>
      </c>
      <c r="AB290" s="313">
        <f>AA290-Z290</f>
        <v>-66.333154000000007</v>
      </c>
      <c r="AC290" s="331" t="e">
        <f t="shared" si="114"/>
        <v>#VALUE!</v>
      </c>
      <c r="AD290" s="332">
        <v>16.78</v>
      </c>
      <c r="AE290" s="313">
        <v>-1.8</v>
      </c>
      <c r="AF290" s="313">
        <f>AE290-AD290</f>
        <v>-18.580000000000002</v>
      </c>
      <c r="AG290" s="331" t="e">
        <f t="shared" si="115"/>
        <v>#VALUE!</v>
      </c>
      <c r="AH290" s="332">
        <v>0</v>
      </c>
      <c r="AI290" s="313">
        <v>0</v>
      </c>
      <c r="AJ290" s="313">
        <f>AI290-AH290</f>
        <v>0</v>
      </c>
      <c r="AK290" s="331" t="e">
        <f t="shared" si="116"/>
        <v>#VALUE!</v>
      </c>
      <c r="AL290" s="332">
        <v>0</v>
      </c>
      <c r="AM290" s="313">
        <v>0</v>
      </c>
      <c r="AN290" s="313">
        <f>AM290-AL290</f>
        <v>0</v>
      </c>
      <c r="AO290" s="331" t="e">
        <f t="shared" si="117"/>
        <v>#VALUE!</v>
      </c>
      <c r="AP290" s="303">
        <v>77.2</v>
      </c>
      <c r="AQ290" s="303">
        <v>0</v>
      </c>
      <c r="AR290" s="303">
        <f>AQ290-AP290</f>
        <v>-77.2</v>
      </c>
      <c r="AS290" s="332">
        <v>12.5</v>
      </c>
      <c r="AT290" s="313">
        <v>9.1999999999999993</v>
      </c>
      <c r="AU290" s="341">
        <f>AT290-AS290</f>
        <v>-3.3000000000000007</v>
      </c>
      <c r="AV290" s="303"/>
      <c r="AW290" s="303"/>
      <c r="AX290" s="303"/>
      <c r="AY290" s="303"/>
      <c r="AZ290" s="322" t="s">
        <v>686</v>
      </c>
    </row>
    <row r="291" spans="1:70" s="461" customFormat="1" ht="15" customHeight="1" x14ac:dyDescent="0.2">
      <c r="A291" s="485" t="s">
        <v>955</v>
      </c>
      <c r="B291" s="362"/>
      <c r="C291" s="363"/>
      <c r="D291" s="363"/>
      <c r="E291" s="363"/>
      <c r="F291" s="363"/>
      <c r="G291" s="363"/>
      <c r="H291" s="362"/>
      <c r="I291" s="362"/>
      <c r="J291" s="373"/>
      <c r="K291" s="374"/>
      <c r="L291" s="362"/>
      <c r="M291" s="362"/>
      <c r="N291" s="362"/>
      <c r="O291" s="362"/>
      <c r="P291" s="362"/>
      <c r="Q291" s="362"/>
      <c r="R291" s="362"/>
      <c r="S291" s="362"/>
      <c r="T291" s="362"/>
      <c r="U291" s="362"/>
      <c r="V291" s="362"/>
      <c r="W291" s="362"/>
      <c r="X291" s="362"/>
      <c r="Y291" s="362"/>
      <c r="Z291" s="362"/>
      <c r="AA291" s="362"/>
      <c r="AB291" s="362"/>
      <c r="AC291" s="362"/>
      <c r="AD291" s="362"/>
      <c r="AE291" s="362"/>
      <c r="AF291" s="362"/>
      <c r="AG291" s="362"/>
      <c r="AH291" s="362"/>
      <c r="AI291" s="362"/>
      <c r="AJ291" s="362"/>
      <c r="AK291" s="362"/>
      <c r="AL291" s="362"/>
      <c r="AM291" s="362"/>
      <c r="AN291" s="362"/>
      <c r="AO291" s="362"/>
      <c r="AP291" s="362"/>
      <c r="AQ291" s="362"/>
      <c r="AR291" s="362"/>
      <c r="AS291" s="362"/>
      <c r="AT291" s="362"/>
      <c r="AU291" s="362"/>
      <c r="AV291" s="362"/>
      <c r="AW291" s="362"/>
      <c r="AX291" s="362"/>
      <c r="AY291" s="362"/>
      <c r="AZ291" s="362"/>
      <c r="BA291" s="362"/>
      <c r="BB291" s="362"/>
      <c r="BC291" s="362"/>
      <c r="BD291" s="362"/>
      <c r="BE291" s="362"/>
      <c r="BF291" s="375"/>
      <c r="BG291" s="362"/>
      <c r="BH291" s="362"/>
      <c r="BI291" s="362"/>
      <c r="BJ291" s="362"/>
      <c r="BK291" s="362"/>
      <c r="BL291" s="362"/>
      <c r="BM291" s="362"/>
      <c r="BN291" s="362"/>
      <c r="BO291" s="362"/>
      <c r="BP291" s="362"/>
      <c r="BQ291" s="362"/>
      <c r="BR291" s="366"/>
    </row>
    <row r="292" spans="1:70" s="461" customFormat="1" ht="15" customHeight="1" x14ac:dyDescent="0.2">
      <c r="A292" s="321">
        <v>62008047</v>
      </c>
      <c r="B292" s="321" t="s">
        <v>613</v>
      </c>
      <c r="C292" s="321" t="s">
        <v>773</v>
      </c>
      <c r="D292" s="352" t="s">
        <v>743</v>
      </c>
      <c r="E292" s="307" t="s">
        <v>986</v>
      </c>
      <c r="F292" s="334" t="s">
        <v>1014</v>
      </c>
      <c r="G292" s="322" t="s">
        <v>987</v>
      </c>
      <c r="H292" s="322" t="s">
        <v>685</v>
      </c>
      <c r="I292" s="330"/>
      <c r="J292" s="323">
        <v>21.730094000000001</v>
      </c>
      <c r="K292" s="323">
        <v>47.308360999999998</v>
      </c>
      <c r="L292" s="323">
        <v>29.348237999999998</v>
      </c>
      <c r="M292" s="323">
        <v>21.335429999999999</v>
      </c>
      <c r="N292" s="308">
        <v>4250</v>
      </c>
      <c r="O292" s="308">
        <v>30.36</v>
      </c>
      <c r="P292" s="308">
        <v>0.3201</v>
      </c>
      <c r="Q292" s="308">
        <v>1.9560000000000001E-2</v>
      </c>
      <c r="R292" s="309">
        <v>2.9262899999999998E-3</v>
      </c>
      <c r="S292" s="309">
        <f>R292+R291</f>
        <v>2.9262899999999998E-3</v>
      </c>
      <c r="T292" s="338">
        <v>77.2</v>
      </c>
      <c r="U292" s="338">
        <v>76.900000000000006</v>
      </c>
      <c r="V292" s="313">
        <v>0</v>
      </c>
      <c r="W292" s="313">
        <v>352</v>
      </c>
      <c r="X292" s="313">
        <f>W292-V292</f>
        <v>352</v>
      </c>
      <c r="Y292" s="313">
        <f>X292/$R292</f>
        <v>120288.82988357272</v>
      </c>
      <c r="Z292" s="332">
        <v>0.02</v>
      </c>
      <c r="AA292" s="313">
        <v>205.66</v>
      </c>
      <c r="AB292" s="313">
        <f>AA292-Z292</f>
        <v>205.64</v>
      </c>
      <c r="AC292" s="331">
        <f>AB292/$R292</f>
        <v>70273.281185391737</v>
      </c>
      <c r="AD292" s="332">
        <v>0.03</v>
      </c>
      <c r="AE292" s="313">
        <v>-26.93</v>
      </c>
      <c r="AF292" s="313">
        <f>AE292-AD292</f>
        <v>-26.96</v>
      </c>
      <c r="AG292" s="331">
        <f>AF292/$R292</f>
        <v>-9213.0308342645476</v>
      </c>
      <c r="AH292" s="332">
        <v>0</v>
      </c>
      <c r="AI292" s="313">
        <v>112.6</v>
      </c>
      <c r="AJ292" s="313">
        <f>AI292-AH292</f>
        <v>112.6</v>
      </c>
      <c r="AK292" s="331">
        <f>AJ292/$R292</f>
        <v>38478.756377529229</v>
      </c>
      <c r="AL292" s="332">
        <v>0</v>
      </c>
      <c r="AM292" s="313">
        <v>92.85</v>
      </c>
      <c r="AN292" s="313">
        <f>AM292-AL292</f>
        <v>92.85</v>
      </c>
      <c r="AO292" s="331">
        <f>AN292/$R292</f>
        <v>31729.596178095813</v>
      </c>
      <c r="AP292" s="303">
        <v>77.2</v>
      </c>
      <c r="AQ292" s="303">
        <v>76.900000000000006</v>
      </c>
      <c r="AR292" s="303">
        <f>AQ292-AP292</f>
        <v>-0.29999999999999716</v>
      </c>
      <c r="AS292" s="332">
        <v>1.9</v>
      </c>
      <c r="AT292" s="313">
        <v>5.8</v>
      </c>
      <c r="AU292" s="341">
        <f>AT292-AS292</f>
        <v>3.9</v>
      </c>
      <c r="AV292" s="303"/>
      <c r="AW292" s="303"/>
      <c r="AX292" s="303"/>
      <c r="AY292" s="303"/>
      <c r="AZ292" s="322" t="s">
        <v>888</v>
      </c>
      <c r="BA292" s="461">
        <v>0</v>
      </c>
      <c r="BB292" s="461" t="s">
        <v>691</v>
      </c>
      <c r="BC292" s="461">
        <v>0</v>
      </c>
      <c r="BD292" s="461">
        <v>0</v>
      </c>
      <c r="BE292" s="461">
        <v>0</v>
      </c>
      <c r="BF292" s="461">
        <v>0</v>
      </c>
      <c r="BG292" s="461" t="s">
        <v>691</v>
      </c>
      <c r="BH292" s="461">
        <v>0</v>
      </c>
      <c r="BI292" s="461">
        <v>0</v>
      </c>
      <c r="BJ292" s="461" t="s">
        <v>691</v>
      </c>
      <c r="BK292" s="461" t="s">
        <v>691</v>
      </c>
      <c r="BL292" s="461" t="s">
        <v>691</v>
      </c>
    </row>
    <row r="306" spans="1:65" x14ac:dyDescent="0.2">
      <c r="W306" s="495"/>
    </row>
    <row r="309" spans="1:65" x14ac:dyDescent="0.2">
      <c r="A309" s="501" t="s">
        <v>168</v>
      </c>
      <c r="B309" s="501"/>
      <c r="C309" s="486"/>
      <c r="D309" s="487" t="str">
        <f>REPT(A309, 20)</f>
        <v xml:space="preserv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Do Not Delete Below This Line       </v>
      </c>
      <c r="E309" s="488"/>
      <c r="F309" s="486"/>
      <c r="G309" s="488"/>
      <c r="H309" s="489"/>
      <c r="I309" s="488"/>
      <c r="J309" s="488"/>
      <c r="K309" s="488"/>
      <c r="L309" s="488"/>
      <c r="M309" s="488"/>
      <c r="N309" s="488"/>
      <c r="O309" s="488"/>
      <c r="P309" s="488"/>
      <c r="Q309" s="488"/>
      <c r="R309" s="488"/>
      <c r="S309" s="488"/>
      <c r="T309" s="488"/>
      <c r="U309" s="488"/>
      <c r="V309" s="490"/>
      <c r="W309" s="490"/>
      <c r="X309" s="488"/>
      <c r="Y309" s="488"/>
      <c r="Z309" s="490"/>
      <c r="AA309" s="490"/>
      <c r="AB309" s="488"/>
      <c r="AC309" s="488"/>
      <c r="AD309" s="490"/>
      <c r="AE309" s="490"/>
      <c r="AF309" s="488"/>
      <c r="AG309" s="488"/>
      <c r="AH309" s="488"/>
      <c r="AI309" s="488"/>
      <c r="AJ309" s="488"/>
      <c r="AK309" s="488"/>
      <c r="AL309" s="490"/>
      <c r="AM309" s="490"/>
      <c r="AN309" s="488"/>
      <c r="AO309" s="488"/>
      <c r="AP309" s="488"/>
      <c r="AQ309" s="488"/>
      <c r="AR309" s="488"/>
      <c r="AS309" s="491"/>
      <c r="AT309" s="491"/>
      <c r="AU309" s="488"/>
      <c r="AV309" s="488"/>
      <c r="AW309" s="488"/>
      <c r="AX309" s="488"/>
      <c r="AY309" s="488"/>
      <c r="AZ309" s="488"/>
      <c r="BA309" s="488"/>
      <c r="BB309" s="488"/>
      <c r="BC309" s="488"/>
      <c r="BD309" s="488"/>
      <c r="BE309" s="488"/>
      <c r="BF309" s="488"/>
      <c r="BG309" s="488"/>
      <c r="BH309" s="488"/>
      <c r="BI309" s="488"/>
      <c r="BJ309" s="488"/>
      <c r="BK309" s="488"/>
      <c r="BL309" s="490"/>
      <c r="BM309" s="490"/>
    </row>
    <row r="310" spans="1:65" ht="22.5" x14ac:dyDescent="0.2">
      <c r="A310" s="321">
        <v>-1</v>
      </c>
      <c r="B310" s="321" t="s">
        <v>468</v>
      </c>
      <c r="C310" s="329"/>
      <c r="D310" s="352" t="s">
        <v>469</v>
      </c>
      <c r="E310" s="307" t="s">
        <v>470</v>
      </c>
      <c r="F310" s="334" t="str">
        <f>LEFT(E310,8)</f>
        <v>##INFO(T</v>
      </c>
      <c r="G310" s="322" t="s">
        <v>471</v>
      </c>
      <c r="H310" s="322" t="s">
        <v>472</v>
      </c>
      <c r="I310" s="330"/>
      <c r="J310" s="323" t="s">
        <v>473</v>
      </c>
      <c r="K310" s="323" t="s">
        <v>474</v>
      </c>
      <c r="L310" s="323" t="s">
        <v>475</v>
      </c>
      <c r="M310" s="323" t="s">
        <v>476</v>
      </c>
      <c r="N310" s="308" t="s">
        <v>477</v>
      </c>
      <c r="O310" s="308" t="s">
        <v>478</v>
      </c>
      <c r="P310" s="308" t="s">
        <v>479</v>
      </c>
      <c r="Q310" s="308" t="s">
        <v>480</v>
      </c>
      <c r="R310" s="309" t="s">
        <v>481</v>
      </c>
      <c r="S310" s="309" t="e">
        <f>R310+R309</f>
        <v>#VALUE!</v>
      </c>
      <c r="T310" s="338" t="s">
        <v>673</v>
      </c>
      <c r="U310" s="338" t="s">
        <v>697</v>
      </c>
      <c r="V310" s="313" t="s">
        <v>482</v>
      </c>
      <c r="W310" s="313" t="s">
        <v>483</v>
      </c>
      <c r="X310" s="313" t="e">
        <f>W310-V310</f>
        <v>#VALUE!</v>
      </c>
      <c r="Y310" s="313" t="e">
        <f>X310/$R310</f>
        <v>#VALUE!</v>
      </c>
      <c r="Z310" s="332" t="s">
        <v>484</v>
      </c>
      <c r="AA310" s="313" t="s">
        <v>485</v>
      </c>
      <c r="AB310" s="313" t="e">
        <f>AA310-Z310</f>
        <v>#VALUE!</v>
      </c>
      <c r="AC310" s="331" t="e">
        <f>AB310/$R310</f>
        <v>#VALUE!</v>
      </c>
      <c r="AD310" s="332" t="s">
        <v>488</v>
      </c>
      <c r="AE310" s="313" t="s">
        <v>489</v>
      </c>
      <c r="AF310" s="313" t="e">
        <f>AE310-AD310</f>
        <v>#VALUE!</v>
      </c>
      <c r="AG310" s="331" t="e">
        <f>AF310/$R310</f>
        <v>#VALUE!</v>
      </c>
      <c r="AH310" s="332" t="s">
        <v>660</v>
      </c>
      <c r="AI310" s="313" t="s">
        <v>661</v>
      </c>
      <c r="AJ310" s="313" t="e">
        <f>AI310-AH310</f>
        <v>#VALUE!</v>
      </c>
      <c r="AK310" s="331" t="e">
        <f>AJ310/$R310</f>
        <v>#VALUE!</v>
      </c>
      <c r="AL310" s="332" t="s">
        <v>654</v>
      </c>
      <c r="AM310" s="313" t="s">
        <v>655</v>
      </c>
      <c r="AN310" s="313" t="e">
        <f>AM310-AL310</f>
        <v>#VALUE!</v>
      </c>
      <c r="AO310" s="331" t="e">
        <f>AN310/$R310</f>
        <v>#VALUE!</v>
      </c>
      <c r="AP310" s="303" t="s">
        <v>673</v>
      </c>
      <c r="AQ310" s="303" t="s">
        <v>672</v>
      </c>
      <c r="AR310" s="303" t="e">
        <f>AQ310-AP310</f>
        <v>#VALUE!</v>
      </c>
      <c r="AS310" s="332" t="s">
        <v>486</v>
      </c>
      <c r="AT310" s="313" t="s">
        <v>487</v>
      </c>
      <c r="AU310" s="341" t="e">
        <f>AT310-AS310</f>
        <v>#VALUE!</v>
      </c>
      <c r="AV310" s="303"/>
      <c r="AW310" s="303"/>
      <c r="AX310" s="303"/>
      <c r="AY310" s="303"/>
      <c r="AZ310" s="322" t="s">
        <v>490</v>
      </c>
      <c r="BA310" s="461" t="s">
        <v>491</v>
      </c>
      <c r="BB310" s="461" t="s">
        <v>492</v>
      </c>
      <c r="BC310" s="461" t="s">
        <v>493</v>
      </c>
      <c r="BD310" s="461" t="s">
        <v>494</v>
      </c>
      <c r="BE310" s="461" t="s">
        <v>495</v>
      </c>
      <c r="BF310" s="461" t="s">
        <v>496</v>
      </c>
      <c r="BG310" s="461" t="s">
        <v>497</v>
      </c>
      <c r="BH310" s="461" t="s">
        <v>498</v>
      </c>
      <c r="BI310" s="461" t="s">
        <v>499</v>
      </c>
      <c r="BJ310" s="461" t="s">
        <v>500</v>
      </c>
      <c r="BK310" s="461" t="s">
        <v>501</v>
      </c>
      <c r="BL310" s="461" t="s">
        <v>502</v>
      </c>
    </row>
    <row r="311" spans="1:65" ht="22.5" x14ac:dyDescent="0.2">
      <c r="A311" s="321">
        <v>-1</v>
      </c>
      <c r="B311" s="321" t="s">
        <v>503</v>
      </c>
      <c r="C311" s="321"/>
      <c r="D311" s="352" t="s">
        <v>469</v>
      </c>
      <c r="E311" s="307" t="s">
        <v>470</v>
      </c>
      <c r="F311" s="334" t="str">
        <f>LEFT(E311,8)</f>
        <v>##INFO(T</v>
      </c>
      <c r="G311" s="322" t="s">
        <v>471</v>
      </c>
      <c r="H311" s="322" t="s">
        <v>472</v>
      </c>
      <c r="I311" s="330"/>
      <c r="J311" s="323" t="s">
        <v>473</v>
      </c>
      <c r="K311" s="323" t="s">
        <v>474</v>
      </c>
      <c r="L311" s="323" t="s">
        <v>475</v>
      </c>
      <c r="M311" s="323" t="s">
        <v>476</v>
      </c>
      <c r="N311" s="308" t="s">
        <v>477</v>
      </c>
      <c r="O311" s="308" t="s">
        <v>478</v>
      </c>
      <c r="P311" s="308" t="s">
        <v>479</v>
      </c>
      <c r="Q311" s="308" t="s">
        <v>480</v>
      </c>
      <c r="R311" s="309" t="s">
        <v>481</v>
      </c>
      <c r="S311" s="309" t="e">
        <f>R311+R310</f>
        <v>#VALUE!</v>
      </c>
      <c r="T311" s="338" t="s">
        <v>696</v>
      </c>
      <c r="U311" s="338" t="s">
        <v>697</v>
      </c>
      <c r="V311" s="313" t="s">
        <v>482</v>
      </c>
      <c r="W311" s="313" t="s">
        <v>483</v>
      </c>
      <c r="X311" s="313" t="e">
        <f>W311-V311-X312</f>
        <v>#VALUE!</v>
      </c>
      <c r="Y311" s="313" t="e">
        <f>X311/$R311</f>
        <v>#VALUE!</v>
      </c>
      <c r="Z311" s="332" t="s">
        <v>484</v>
      </c>
      <c r="AA311" s="313" t="s">
        <v>485</v>
      </c>
      <c r="AB311" s="313" t="e">
        <f>AA311-Z311-AB312</f>
        <v>#VALUE!</v>
      </c>
      <c r="AC311" s="331" t="e">
        <f>AB311/$R311</f>
        <v>#VALUE!</v>
      </c>
      <c r="AD311" s="332" t="s">
        <v>488</v>
      </c>
      <c r="AE311" s="313" t="s">
        <v>489</v>
      </c>
      <c r="AF311" s="313" t="e">
        <f>AE311-AD311-AF312</f>
        <v>#VALUE!</v>
      </c>
      <c r="AG311" s="331" t="e">
        <f>AF311/$R311</f>
        <v>#VALUE!</v>
      </c>
      <c r="AH311" s="332" t="s">
        <v>660</v>
      </c>
      <c r="AI311" s="313" t="s">
        <v>661</v>
      </c>
      <c r="AJ311" s="313" t="e">
        <f>AI311-AH311-AJ312</f>
        <v>#VALUE!</v>
      </c>
      <c r="AK311" s="331" t="e">
        <f>AJ311/$R311</f>
        <v>#VALUE!</v>
      </c>
      <c r="AL311" s="332" t="s">
        <v>654</v>
      </c>
      <c r="AM311" s="313" t="s">
        <v>655</v>
      </c>
      <c r="AN311" s="313" t="e">
        <f>AM311-AL311-AN312</f>
        <v>#VALUE!</v>
      </c>
      <c r="AO311" s="331" t="e">
        <f>AN311/$R311</f>
        <v>#VALUE!</v>
      </c>
      <c r="AP311" s="303" t="s">
        <v>673</v>
      </c>
      <c r="AQ311" s="303" t="s">
        <v>672</v>
      </c>
      <c r="AR311" s="303" t="e">
        <f>AQ311-AP311-AR312</f>
        <v>#VALUE!</v>
      </c>
      <c r="AS311" s="332" t="s">
        <v>486</v>
      </c>
      <c r="AT311" s="313" t="s">
        <v>487</v>
      </c>
      <c r="AU311" s="341" t="e">
        <f>AT311-AS311-AU312</f>
        <v>#VALUE!</v>
      </c>
      <c r="AV311" s="303"/>
      <c r="AW311" s="303"/>
      <c r="AX311" s="303"/>
      <c r="AY311" s="303"/>
      <c r="AZ311" s="322" t="s">
        <v>490</v>
      </c>
      <c r="BA311" s="461" t="s">
        <v>491</v>
      </c>
      <c r="BB311" s="461" t="s">
        <v>492</v>
      </c>
      <c r="BC311" s="461" t="s">
        <v>493</v>
      </c>
      <c r="BD311" s="461" t="s">
        <v>494</v>
      </c>
      <c r="BE311" s="461" t="s">
        <v>495</v>
      </c>
      <c r="BF311" s="461" t="s">
        <v>496</v>
      </c>
      <c r="BG311" s="461" t="s">
        <v>497</v>
      </c>
      <c r="BH311" s="461" t="s">
        <v>498</v>
      </c>
      <c r="BI311" s="461" t="s">
        <v>499</v>
      </c>
      <c r="BJ311" s="461" t="s">
        <v>500</v>
      </c>
      <c r="BK311" s="461" t="s">
        <v>501</v>
      </c>
      <c r="BL311" s="461" t="s">
        <v>502</v>
      </c>
    </row>
    <row r="312" spans="1:65" ht="22.5" x14ac:dyDescent="0.2">
      <c r="A312" s="321">
        <v>-1</v>
      </c>
      <c r="B312" s="321" t="s">
        <v>504</v>
      </c>
      <c r="C312" s="321"/>
      <c r="D312" s="352" t="s">
        <v>469</v>
      </c>
      <c r="E312" s="307" t="s">
        <v>470</v>
      </c>
      <c r="F312" s="334" t="str">
        <f>LEFT(E312,8)</f>
        <v>##INFO(T</v>
      </c>
      <c r="G312" s="322" t="s">
        <v>471</v>
      </c>
      <c r="H312" s="322" t="s">
        <v>472</v>
      </c>
      <c r="I312" s="330"/>
      <c r="J312" s="324" t="e">
        <f>AVERAGE(J310:J311)</f>
        <v>#DIV/0!</v>
      </c>
      <c r="K312" s="324" t="e">
        <f>AVERAGE(K310:K311)</f>
        <v>#DIV/0!</v>
      </c>
      <c r="L312" s="324" t="e">
        <f>AVERAGE(L310:L311)</f>
        <v>#DIV/0!</v>
      </c>
      <c r="M312" s="324" t="e">
        <f>AVERAGE(M310:M311)</f>
        <v>#DIV/0!</v>
      </c>
      <c r="N312" s="310"/>
      <c r="O312" s="308"/>
      <c r="P312" s="326"/>
      <c r="Q312" s="325"/>
      <c r="R312" s="311" t="e">
        <f>R311+R310</f>
        <v>#VALUE!</v>
      </c>
      <c r="S312" s="311" t="e">
        <f>S311</f>
        <v>#VALUE!</v>
      </c>
      <c r="T312" s="339" t="str">
        <f>T310</f>
        <v>##DATA(Exhaust_Bag, =$$, HVBatt_SOC_HEV__per)</v>
      </c>
      <c r="U312" s="339" t="str">
        <f>U311</f>
        <v>##DATA(Exhaust_Bag, =$$-,HVBatt_SOC_HEV__per)</v>
      </c>
      <c r="V312" s="314" t="str">
        <f>V310</f>
        <v>##DATA(Exhaust_Bag, =$$, WP1)</v>
      </c>
      <c r="W312" s="314" t="str">
        <f>W311</f>
        <v>##DATA(Exhaust_Bag, =$$-, WP1)</v>
      </c>
      <c r="X312" s="314" t="e">
        <f>SUM(X310:X311)</f>
        <v>#VALUE!</v>
      </c>
      <c r="Y312" s="314" t="e">
        <f>X312/$R312</f>
        <v>#VALUE!</v>
      </c>
      <c r="Z312" s="314" t="str">
        <f>Z310</f>
        <v>##DATA(Exhaust_Bag, =$$, WP2)</v>
      </c>
      <c r="AA312" s="314" t="str">
        <f>AA311</f>
        <v>##DATA(Exhaust_Bag, =$$-, WP2)</v>
      </c>
      <c r="AB312" s="314" t="e">
        <f>SUM(AB310:AB311)</f>
        <v>#VALUE!</v>
      </c>
      <c r="AC312" s="312" t="e">
        <f>AB312/$R312</f>
        <v>#VALUE!</v>
      </c>
      <c r="AD312" s="314" t="str">
        <f>AD310</f>
        <v>##DATA(Exhaust_Bag, =$$, WP4)</v>
      </c>
      <c r="AE312" s="314" t="str">
        <f>AE311</f>
        <v>##DATA(Exhaust_Bag, =$$-, WP4)</v>
      </c>
      <c r="AF312" s="314" t="e">
        <f>SUM(AF310:AF311)</f>
        <v>#VALUE!</v>
      </c>
      <c r="AG312" s="312" t="e">
        <f>AF312/$R312</f>
        <v>#VALUE!</v>
      </c>
      <c r="AH312" s="314" t="str">
        <f>AH310</f>
        <v>##DATA(Exhaust_Bag, =$$, AC_Comp_WP_CALC__Wh)</v>
      </c>
      <c r="AI312" s="314" t="str">
        <f>AI311</f>
        <v>##DATA(Exhaust_Bag, =$$-, AC_Comp_WP_CALC__Wh)</v>
      </c>
      <c r="AJ312" s="314" t="e">
        <f>SUM(AJ310:AJ311)</f>
        <v>#VALUE!</v>
      </c>
      <c r="AK312" s="312" t="e">
        <f>AJ312/$R312</f>
        <v>#VALUE!</v>
      </c>
      <c r="AL312" s="314" t="str">
        <f>AL310</f>
        <v>##DATA(Exhaust_Bag, =$$, PTC_WP_CALC__Wh)</v>
      </c>
      <c r="AM312" s="314" t="str">
        <f>AM311</f>
        <v>##DATA(Exhaust_Bag, =$$-, PTC_WP_CALC__Wh)</v>
      </c>
      <c r="AN312" s="314" t="e">
        <f>SUM(AN310:AN311)</f>
        <v>#VALUE!</v>
      </c>
      <c r="AO312" s="312" t="e">
        <f>AN312/$R312</f>
        <v>#VALUE!</v>
      </c>
      <c r="AP312" s="305"/>
      <c r="AQ312" s="305"/>
      <c r="AR312" s="305" t="e">
        <f>SUM(AR310:AR311)</f>
        <v>#VALUE!</v>
      </c>
      <c r="AS312" s="314" t="str">
        <f>AS310</f>
        <v>##DATA(Exhaust_Bag, =$$, WP3)</v>
      </c>
      <c r="AT312" s="314" t="str">
        <f>AT311</f>
        <v>##DATA(Exhaust_Bag, =$$-, WP3)</v>
      </c>
      <c r="AU312" s="342" t="e">
        <f>SUM(AU310:AU311)</f>
        <v>#VALUE!</v>
      </c>
      <c r="AV312" s="305"/>
      <c r="AW312" s="305"/>
      <c r="AX312" s="305"/>
      <c r="AY312" s="305"/>
      <c r="AZ312" s="322" t="s">
        <v>490</v>
      </c>
      <c r="BA312" s="461" t="s">
        <v>491</v>
      </c>
      <c r="BB312" s="461" t="s">
        <v>492</v>
      </c>
      <c r="BC312" s="461" t="s">
        <v>493</v>
      </c>
      <c r="BD312" s="461" t="s">
        <v>494</v>
      </c>
      <c r="BE312" s="461" t="s">
        <v>495</v>
      </c>
      <c r="BF312" s="461" t="s">
        <v>496</v>
      </c>
      <c r="BG312" s="461" t="s">
        <v>497</v>
      </c>
      <c r="BH312" s="461" t="s">
        <v>498</v>
      </c>
      <c r="BI312" s="461" t="s">
        <v>499</v>
      </c>
      <c r="BJ312" s="461" t="s">
        <v>500</v>
      </c>
      <c r="BK312" s="461" t="s">
        <v>501</v>
      </c>
      <c r="BL312" s="461" t="s">
        <v>502</v>
      </c>
    </row>
  </sheetData>
  <mergeCells count="5">
    <mergeCell ref="A309:B309"/>
    <mergeCell ref="T3:U3"/>
    <mergeCell ref="Y3:Z3"/>
    <mergeCell ref="AV6:AY6"/>
    <mergeCell ref="AP6:AR6"/>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G76"/>
  <sheetViews>
    <sheetView tabSelected="1" topLeftCell="R3" zoomScale="85" zoomScaleNormal="85" workbookViewId="0">
      <selection activeCell="AU11" sqref="AU11"/>
    </sheetView>
  </sheetViews>
  <sheetFormatPr defaultColWidth="9.140625" defaultRowHeight="15" x14ac:dyDescent="0.25"/>
  <cols>
    <col min="2" max="2" width="9" customWidth="1"/>
    <col min="3" max="3" width="22.42578125" bestFit="1" customWidth="1"/>
    <col min="4" max="4" width="37.5703125" customWidth="1"/>
    <col min="5" max="5" width="21" customWidth="1"/>
    <col min="6" max="6" width="27" customWidth="1"/>
    <col min="7" max="7" width="9.140625" bestFit="1" customWidth="1"/>
    <col min="8" max="10" width="9" customWidth="1"/>
    <col min="11" max="12" width="19.28515625" customWidth="1"/>
    <col min="13" max="13" width="9" customWidth="1"/>
    <col min="14" max="14" width="27.42578125" customWidth="1"/>
    <col min="15" max="15" width="11.42578125" style="17" customWidth="1"/>
    <col min="16" max="16" width="11.5703125" customWidth="1"/>
    <col min="17" max="17" width="10" customWidth="1"/>
    <col min="18" max="18" width="9.140625" customWidth="1"/>
    <col min="19" max="19" width="13.42578125" bestFit="1" customWidth="1"/>
    <col min="20" max="20" width="16.42578125" bestFit="1" customWidth="1"/>
    <col min="21" max="22" width="12.28515625" bestFit="1" customWidth="1"/>
    <col min="23" max="23" width="9.140625" customWidth="1"/>
    <col min="24" max="24" width="12.85546875" customWidth="1"/>
    <col min="25" max="28" width="9.140625" customWidth="1"/>
    <col min="29" max="29" width="16.85546875" customWidth="1"/>
    <col min="30" max="35" width="9.140625" customWidth="1"/>
    <col min="36" max="36" width="11.7109375" customWidth="1"/>
    <col min="37" max="37" width="11.140625" customWidth="1"/>
    <col min="41" max="41" width="10.85546875" customWidth="1"/>
    <col min="42" max="42" width="11.7109375" bestFit="1" customWidth="1"/>
    <col min="55" max="55" width="9.85546875" bestFit="1" customWidth="1"/>
  </cols>
  <sheetData>
    <row r="1" spans="1:44" x14ac:dyDescent="0.25">
      <c r="B1" s="27"/>
      <c r="C1" s="27"/>
      <c r="D1" s="27"/>
      <c r="E1" s="27"/>
      <c r="F1" s="27"/>
      <c r="G1" s="27"/>
      <c r="O1" s="17" t="s">
        <v>949</v>
      </c>
      <c r="P1" t="s">
        <v>950</v>
      </c>
    </row>
    <row r="2" spans="1:44" x14ac:dyDescent="0.25">
      <c r="B2" s="27"/>
      <c r="C2" s="27"/>
      <c r="D2" s="27"/>
      <c r="E2" s="27"/>
      <c r="O2" s="17" t="s">
        <v>286</v>
      </c>
      <c r="P2" t="s">
        <v>948</v>
      </c>
    </row>
    <row r="5" spans="1:44" ht="15.75" thickBot="1" x14ac:dyDescent="0.3">
      <c r="B5">
        <v>1</v>
      </c>
      <c r="C5">
        <v>2</v>
      </c>
      <c r="D5">
        <v>7</v>
      </c>
      <c r="E5">
        <v>9</v>
      </c>
      <c r="F5">
        <v>10</v>
      </c>
      <c r="G5">
        <v>25</v>
      </c>
      <c r="H5">
        <v>22</v>
      </c>
      <c r="I5">
        <v>23</v>
      </c>
      <c r="J5">
        <v>21</v>
      </c>
      <c r="K5">
        <v>25</v>
      </c>
      <c r="L5">
        <v>41</v>
      </c>
    </row>
    <row r="6" spans="1:44" ht="96" customHeight="1" x14ac:dyDescent="0.25">
      <c r="A6">
        <v>7</v>
      </c>
      <c r="B6" s="104" t="str">
        <f>INDEX(TestSummary!$A$1:$BL$366,'J1634 Calcs'!$A6,'J1634 Calcs'!B$5)</f>
        <v>Test ID [#]</v>
      </c>
      <c r="C6" s="105" t="str">
        <f>INDEX(TestSummary!$A$1:$BL$366,'J1634 Calcs'!$A6,'J1634 Calcs'!C$5)</f>
        <v>Cycle</v>
      </c>
      <c r="D6" s="105" t="str">
        <f>INDEX(TestSummary!$A$1:$BL$366,'J1634 Calcs'!$A6,'J1634 Calcs'!D$5)</f>
        <v>Start Comments</v>
      </c>
      <c r="E6" s="106" t="str">
        <f>INDEX(TestSummary!$A$1:$BL$366,'J1634 Calcs'!$A6,'J1634 Calcs'!E$5)</f>
        <v>SPECIAL COMMENTS</v>
      </c>
      <c r="F6" s="106" t="str">
        <f>INDEX(TestSummary!$A$1:$BL$366,'J1634 Calcs'!$A6,'J1634 Calcs'!F$5)</f>
        <v>Test Cell Temp [C]</v>
      </c>
      <c r="G6" s="107" t="str">
        <f>INDEX(TestSummary!$A$1:$BL$366,'J1634 Calcs'!$A6,'J1634 Calcs'!G$5)</f>
        <v>HV Batt (500A) Energy consumption ΔWP1
[Wh/mi]</v>
      </c>
      <c r="H6" s="107" t="str">
        <f>INDEX(TestSummary!$A$1:$BL$366,'J1634 Calcs'!$A6,'J1634 Calcs'!H$5)</f>
        <v xml:space="preserve">HV Batt (500A)
Start 
WP1 [Wh]
</v>
      </c>
      <c r="I6" s="107" t="str">
        <f>INDEX(TestSummary!$A$1:$BL$366,'J1634 Calcs'!$A6,'J1634 Calcs'!I$5)</f>
        <v>HV Batt Out (500A) End
WP1 [Wh]</v>
      </c>
      <c r="J6" s="108" t="str">
        <f>INDEX(TestSummary!$A$1:$BL$366,'J1634 Calcs'!$A6,'J1634 Calcs'!J$5)</f>
        <v>End SOC</v>
      </c>
      <c r="K6" s="109" t="str">
        <f>INDEX(TestSummary!$A$1:$BL$366,'J1634 Calcs'!$A6,'J1634 Calcs'!K$5)</f>
        <v>HV Batt (500A) Energy consumption ΔWP1
[Wh/mi]</v>
      </c>
      <c r="L6" s="109" t="str">
        <f>INDEX(TestSummary!$A$1:$BL$366,'J1634 Calcs'!$A6,'J1634 Calcs'!L$5)</f>
        <v>PTC Heater Δ WP7&amp;8 [Wh/mi]</v>
      </c>
      <c r="N6" t="s">
        <v>273</v>
      </c>
      <c r="Q6" t="s">
        <v>389</v>
      </c>
      <c r="AC6" s="27" t="s">
        <v>274</v>
      </c>
      <c r="AD6" s="500" t="s">
        <v>1019</v>
      </c>
      <c r="AE6" s="500" t="s">
        <v>1020</v>
      </c>
      <c r="AF6" s="500" t="s">
        <v>1021</v>
      </c>
      <c r="AG6" s="500" t="s">
        <v>1018</v>
      </c>
      <c r="AH6" s="500" t="s">
        <v>1022</v>
      </c>
      <c r="AI6" s="500" t="s">
        <v>1023</v>
      </c>
    </row>
    <row r="7" spans="1:44" x14ac:dyDescent="0.25">
      <c r="C7" s="102"/>
      <c r="D7" s="15"/>
      <c r="E7" s="102"/>
      <c r="F7" s="102"/>
      <c r="G7" s="335"/>
      <c r="H7" s="335"/>
      <c r="I7" s="335"/>
      <c r="J7" s="336"/>
      <c r="K7" s="335"/>
      <c r="L7" s="335"/>
      <c r="AC7" t="s">
        <v>208</v>
      </c>
      <c r="AD7" s="94">
        <f>SUM(K10:L10)</f>
        <v>539.57030404629222</v>
      </c>
      <c r="AE7" s="94">
        <f>SUM(K17:L17)</f>
        <v>454.22105247703433</v>
      </c>
      <c r="AF7" s="94">
        <f>SUM(K24:L24)</f>
        <v>362.12279082035781</v>
      </c>
      <c r="AG7" s="94">
        <f>K42</f>
        <v>209.4282460330657</v>
      </c>
      <c r="AH7" s="94">
        <f>K53</f>
        <v>310.37308558405277</v>
      </c>
      <c r="AI7" s="94">
        <f>K61</f>
        <v>255.36671523792654</v>
      </c>
    </row>
    <row r="8" spans="1:44" ht="17.25" customHeight="1" thickBot="1" x14ac:dyDescent="0.3">
      <c r="AC8" t="s">
        <v>280</v>
      </c>
      <c r="AD8" s="94">
        <f>SUM(K11:L11)</f>
        <v>359.09103531634133</v>
      </c>
      <c r="AE8" s="94">
        <f>SUM(K18:L18)</f>
        <v>303.34532435039824</v>
      </c>
      <c r="AF8" s="94">
        <f>SUM(K25:L25)</f>
        <v>286.97784376953621</v>
      </c>
      <c r="AG8" s="94">
        <f t="shared" ref="AG8:AG9" si="0">K43</f>
        <v>219.60358492135728</v>
      </c>
      <c r="AH8" s="94">
        <f>K54</f>
        <v>232.78653137069216</v>
      </c>
      <c r="AI8" s="94">
        <f>K62</f>
        <v>223.50638166254637</v>
      </c>
      <c r="AO8" s="85"/>
    </row>
    <row r="9" spans="1:44" ht="16.5" thickBot="1" x14ac:dyDescent="0.3">
      <c r="B9" s="77" t="s">
        <v>385</v>
      </c>
      <c r="C9" s="110"/>
      <c r="D9" s="110"/>
      <c r="E9" s="103"/>
      <c r="F9" s="103"/>
      <c r="G9" s="110"/>
      <c r="H9" s="110"/>
      <c r="I9" s="110"/>
      <c r="J9" s="110"/>
      <c r="K9" s="110"/>
      <c r="L9" s="492"/>
      <c r="N9" s="111" t="s">
        <v>278</v>
      </c>
      <c r="O9" s="17" t="s">
        <v>293</v>
      </c>
      <c r="P9" t="s">
        <v>294</v>
      </c>
      <c r="Q9" s="112" t="s">
        <v>279</v>
      </c>
      <c r="R9" s="113"/>
      <c r="S9" s="113"/>
      <c r="T9" s="113"/>
      <c r="U9" s="113"/>
      <c r="V9" s="113"/>
      <c r="W9" s="113"/>
      <c r="X9" s="113"/>
      <c r="Y9" s="113"/>
      <c r="Z9" s="114"/>
      <c r="AC9" t="s">
        <v>209</v>
      </c>
      <c r="AD9" s="94">
        <f>SUM(K12:L12)</f>
        <v>468.77459057259136</v>
      </c>
      <c r="AE9" s="94">
        <f>SUM(K19:L19)</f>
        <v>355.65285258307136</v>
      </c>
      <c r="AF9" s="94">
        <f>SUM(K26:L26)</f>
        <v>333.17954577589052</v>
      </c>
      <c r="AG9" s="94">
        <f t="shared" si="0"/>
        <v>184.48504647904815</v>
      </c>
      <c r="AH9" s="94">
        <f>K55</f>
        <v>247.11909501717622</v>
      </c>
      <c r="AI9" s="94">
        <f>K63</f>
        <v>209.91474861171858</v>
      </c>
      <c r="AK9" s="94"/>
      <c r="AL9" s="94"/>
      <c r="AM9" s="94"/>
      <c r="AO9" s="85"/>
      <c r="AP9" s="26"/>
      <c r="AQ9" s="26"/>
      <c r="AR9" s="26"/>
    </row>
    <row r="10" spans="1:44" s="4" customFormat="1" ht="27" customHeight="1" x14ac:dyDescent="0.25">
      <c r="A10" s="446">
        <v>256</v>
      </c>
      <c r="B10" s="231">
        <f>INDEX(TestSummary!$A$1:$BL$366,'J1634 Calcs'!$A10,'J1634 Calcs'!B$5)</f>
        <v>62008040</v>
      </c>
      <c r="C10" s="231" t="str">
        <f>INDEX(TestSummary!$A$1:$BL$366,'J1634 Calcs'!$A10,'J1634 Calcs'!C$5)</f>
        <v>UDDS 1 , Combined</v>
      </c>
      <c r="D10" s="232" t="str">
        <f>INDEX(TestSummary!$A$1:$BL$366,'J1634 Calcs'!$A10,'J1634 Calcs'!D$5)</f>
        <v>J1634 MCT in super cold test cell (0°F) after long soak over weekend, E-Pedal ON, HVAC AUTO 72°F, UDDS-HWY-UDDS-US06</v>
      </c>
      <c r="E10" s="322">
        <f>INDEX(TestSummary!$A$1:$BL$366,'J1634 Calcs'!$A10,'J1634 Calcs'!E$5)</f>
        <v>0</v>
      </c>
      <c r="F10" s="322">
        <f>INDEX(TestSummary!$A$1:$BL$366,'J1634 Calcs'!$A10,'J1634 Calcs'!F$5)</f>
        <v>-17.308002500000001</v>
      </c>
      <c r="G10" s="233">
        <f>INDEX(TestSummary!$A$1:$BL$366,'J1634 Calcs'!$A10,'J1634 Calcs'!G$5)</f>
        <v>314.90832525470631</v>
      </c>
      <c r="H10" s="233">
        <f>INDEX(TestSummary!$A$1:$BL$366,'J1634 Calcs'!$A10,'J1634 Calcs'!H$5)</f>
        <v>-7576</v>
      </c>
      <c r="I10" s="233">
        <f>INDEX(TestSummary!$A$1:$BL$366,'J1634 Calcs'!$A10,'J1634 Calcs'!I$5)</f>
        <v>-5239</v>
      </c>
      <c r="J10" s="234">
        <f>INDEX(TestSummary!$A$1:$BL$366,'J1634 Calcs'!$A10,'J1634 Calcs'!J$5)</f>
        <v>89.6</v>
      </c>
      <c r="K10" s="235">
        <f>INDEX(TestSummary!$A$1:$BL$366,'J1634 Calcs'!$A10,'J1634 Calcs'!K$5)</f>
        <v>314.90832525470631</v>
      </c>
      <c r="L10" s="235">
        <f>INDEX(TestSummary!$A$1:$BL$366,'J1634 Calcs'!$A10,'J1634 Calcs'!L$5)</f>
        <v>224.66197879158597</v>
      </c>
      <c r="N10" s="118" t="s">
        <v>846</v>
      </c>
      <c r="O10" s="236">
        <f>TestSummary!AU276</f>
        <v>64309.599999999999</v>
      </c>
      <c r="P10" s="236">
        <f>$O$32</f>
        <v>68019.200000000012</v>
      </c>
      <c r="Q10" s="237" t="s">
        <v>16</v>
      </c>
      <c r="R10" s="238" t="s">
        <v>1</v>
      </c>
      <c r="S10" s="238" t="s">
        <v>392</v>
      </c>
      <c r="T10" s="239" t="s">
        <v>281</v>
      </c>
      <c r="U10" s="238" t="s">
        <v>282</v>
      </c>
      <c r="V10" s="239" t="s">
        <v>283</v>
      </c>
      <c r="W10" s="240" t="s">
        <v>947</v>
      </c>
      <c r="X10" s="241" t="s">
        <v>284</v>
      </c>
      <c r="Y10" s="240" t="s">
        <v>285</v>
      </c>
      <c r="Z10" s="242"/>
      <c r="AC10" s="4" t="s">
        <v>288</v>
      </c>
      <c r="AD10" s="94">
        <f>SUM(K13:L13)</f>
        <v>449.02449074659825</v>
      </c>
      <c r="AE10" s="94">
        <f>SUM(K20:L20)</f>
        <v>375.3819379986947</v>
      </c>
      <c r="AF10" s="94">
        <f>SUM(K27:L27)</f>
        <v>364.80216254486703</v>
      </c>
      <c r="AG10" s="243">
        <f>K35</f>
        <v>301.41035271617523</v>
      </c>
      <c r="AH10" s="243">
        <f>K56</f>
        <v>311.83267705480091</v>
      </c>
      <c r="AI10" s="94">
        <f>K64</f>
        <v>302.11556291577176</v>
      </c>
      <c r="AK10" s="243"/>
      <c r="AL10" s="243"/>
      <c r="AM10" s="243"/>
      <c r="AO10" s="244"/>
    </row>
    <row r="11" spans="1:44" x14ac:dyDescent="0.25">
      <c r="A11" s="446">
        <f>A10+1</f>
        <v>257</v>
      </c>
      <c r="B11" s="321">
        <f>INDEX(TestSummary!$A$1:$BL$366,'J1634 Calcs'!$A11,'J1634 Calcs'!B$5)</f>
        <v>62008040</v>
      </c>
      <c r="C11" s="321" t="str">
        <f>INDEX(TestSummary!$A$1:$BL$366,'J1634 Calcs'!$A11,'J1634 Calcs'!C$5)</f>
        <v>HWY 1</v>
      </c>
      <c r="D11" s="307" t="str">
        <f>INDEX(TestSummary!$A$1:$BL$366,'J1634 Calcs'!$A11,'J1634 Calcs'!D$5)</f>
        <v>J1634 MCT in super cold test cell (0°F) after long soak over weekend, E-Pedal ON, HVAC AUTO 72°F, UDDS-HWY-UDDS-US06</v>
      </c>
      <c r="E11" s="352">
        <f>INDEX(TestSummary!$A$1:$BL$366,'J1634 Calcs'!$A11,'J1634 Calcs'!E$5)</f>
        <v>0</v>
      </c>
      <c r="F11" s="352">
        <f>INDEX(TestSummary!$A$1:$BL$366,'J1634 Calcs'!$A11,'J1634 Calcs'!F$5)</f>
        <v>-13.954682</v>
      </c>
      <c r="G11" s="115">
        <f>INDEX(TestSummary!$A$1:$BL$366,'J1634 Calcs'!$A11,'J1634 Calcs'!G$5)</f>
        <v>268.07040749568125</v>
      </c>
      <c r="H11" s="115">
        <f>INDEX(TestSummary!$A$1:$BL$366,'J1634 Calcs'!$A11,'J1634 Calcs'!H$5)</f>
        <v>-5238</v>
      </c>
      <c r="I11" s="115">
        <f>INDEX(TestSummary!$A$1:$BL$366,'J1634 Calcs'!$A11,'J1634 Calcs'!I$5)</f>
        <v>-2492</v>
      </c>
      <c r="J11" s="116">
        <f>INDEX(TestSummary!$A$1:$BL$366,'J1634 Calcs'!$A11,'J1634 Calcs'!J$5)</f>
        <v>83.8</v>
      </c>
      <c r="K11" s="117">
        <f>INDEX(TestSummary!$A$1:$BL$366,'J1634 Calcs'!$A11,'J1634 Calcs'!K$5)</f>
        <v>268.07040749568125</v>
      </c>
      <c r="L11" s="117">
        <f>INDEX(TestSummary!$A$1:$BL$366,'J1634 Calcs'!$A11,'J1634 Calcs'!L$5)</f>
        <v>91.020627820660081</v>
      </c>
      <c r="N11" s="125" t="s">
        <v>286</v>
      </c>
      <c r="O11" s="126">
        <f>(TestSummary!W275-TestSummary!V254)+(TestSummary!AM275-TestSummary!AL254)</f>
        <v>54494.1</v>
      </c>
      <c r="P11" s="126">
        <f>$O$33</f>
        <v>59240</v>
      </c>
      <c r="Q11" s="119" t="s">
        <v>287</v>
      </c>
      <c r="R11" s="120" t="s">
        <v>57</v>
      </c>
      <c r="S11" s="120">
        <v>3</v>
      </c>
      <c r="T11" s="121"/>
      <c r="U11" s="121">
        <f>(I10-H10)/O11</f>
        <v>4.2885376582052E-2</v>
      </c>
      <c r="V11" s="121">
        <f>(1-U11)/S11</f>
        <v>0.31903820780598263</v>
      </c>
      <c r="W11" s="127">
        <f>U11*(K10+L10)+V11*(K12+L12)*3</f>
        <v>471.81069140530604</v>
      </c>
      <c r="X11" s="127">
        <f>P11/W11</f>
        <v>125.55883340318425</v>
      </c>
      <c r="Y11" s="128">
        <f>W11/T14</f>
        <v>556.7934297474161</v>
      </c>
      <c r="Z11" s="124"/>
      <c r="AD11" s="33"/>
      <c r="AE11" s="33"/>
      <c r="AF11" s="33"/>
      <c r="AG11" s="33"/>
      <c r="AH11" s="33"/>
      <c r="AK11" s="94"/>
      <c r="AL11" s="94"/>
      <c r="AM11" s="94"/>
      <c r="AO11" s="85"/>
    </row>
    <row r="12" spans="1:44" x14ac:dyDescent="0.25">
      <c r="A12" s="446">
        <f>A11+3</f>
        <v>260</v>
      </c>
      <c r="B12" s="321">
        <f>INDEX(TestSummary!$A$1:$BL$366,'J1634 Calcs'!$A12,'J1634 Calcs'!B$5)</f>
        <v>62008040</v>
      </c>
      <c r="C12" s="321" t="str">
        <f>INDEX(TestSummary!$A$1:$BL$366,'J1634 Calcs'!$A12,'J1634 Calcs'!C$5)</f>
        <v>UDDS 2, combined</v>
      </c>
      <c r="D12" s="307" t="str">
        <f>INDEX(TestSummary!$A$1:$BL$366,'J1634 Calcs'!$A12,'J1634 Calcs'!D$5)</f>
        <v>J1634 MCT in super cold test cell (0°F) after long soak over weekend, E-Pedal ON, HVAC AUTO 72°F, UDDS-HWY-UDDS-US06</v>
      </c>
      <c r="E12" s="352">
        <f>INDEX(TestSummary!$A$1:$BL$366,'J1634 Calcs'!$A12,'J1634 Calcs'!E$5)</f>
        <v>0</v>
      </c>
      <c r="F12" s="352">
        <f>INDEX(TestSummary!$A$1:$BL$366,'J1634 Calcs'!$A12,'J1634 Calcs'!F$5)</f>
        <v>-18.004924500000001</v>
      </c>
      <c r="G12" s="115">
        <f>INDEX(TestSummary!$A$1:$BL$366,'J1634 Calcs'!$A12,'J1634 Calcs'!G$5)</f>
        <v>255.65519121032602</v>
      </c>
      <c r="H12" s="115">
        <f>INDEX(TestSummary!$A$1:$BL$366,'J1634 Calcs'!$A12,'J1634 Calcs'!H$5)</f>
        <v>-2489</v>
      </c>
      <c r="I12" s="115">
        <f>INDEX(TestSummary!$A$1:$BL$366,'J1634 Calcs'!$A12,'J1634 Calcs'!I$5)</f>
        <v>-592</v>
      </c>
      <c r="J12" s="116">
        <f>INDEX(TestSummary!$A$1:$BL$366,'J1634 Calcs'!$A12,'J1634 Calcs'!J$5)</f>
        <v>78.2</v>
      </c>
      <c r="K12" s="117">
        <f>INDEX(TestSummary!$A$1:$BL$366,'J1634 Calcs'!$A12,'J1634 Calcs'!K$5)</f>
        <v>255.65519121032602</v>
      </c>
      <c r="L12" s="117">
        <f>INDEX(TestSummary!$A$1:$BL$366,'J1634 Calcs'!$A12,'J1634 Calcs'!L$5)</f>
        <v>213.11939936226534</v>
      </c>
      <c r="Q12" s="119" t="s">
        <v>287</v>
      </c>
      <c r="R12" s="120" t="s">
        <v>55</v>
      </c>
      <c r="S12" s="120">
        <v>2</v>
      </c>
      <c r="T12" s="121">
        <f>1/S12</f>
        <v>0.5</v>
      </c>
      <c r="U12" s="121"/>
      <c r="V12" s="121"/>
      <c r="W12" s="127">
        <f>T12*(K11+L11)*2</f>
        <v>359.09103531634133</v>
      </c>
      <c r="X12" s="127">
        <f>P11/W12</f>
        <v>164.97209390875634</v>
      </c>
      <c r="Y12" s="128">
        <f>W12/T14</f>
        <v>423.7706622327882</v>
      </c>
      <c r="Z12" s="124"/>
      <c r="AC12" s="27" t="s">
        <v>289</v>
      </c>
      <c r="AD12" s="33"/>
      <c r="AE12" s="33"/>
      <c r="AF12" s="33"/>
      <c r="AG12" s="33"/>
      <c r="AH12" s="33"/>
    </row>
    <row r="13" spans="1:44" x14ac:dyDescent="0.25">
      <c r="A13" s="446">
        <f>A12+3</f>
        <v>263</v>
      </c>
      <c r="B13" s="321">
        <f>INDEX(TestSummary!$A$1:$BL$366,'J1634 Calcs'!$A13,'J1634 Calcs'!B$5)</f>
        <v>62008040</v>
      </c>
      <c r="C13" s="321" t="str">
        <f>INDEX(TestSummary!$A$1:$BL$366,'J1634 Calcs'!$A13,'J1634 Calcs'!C$5)</f>
        <v>US06 1, combined</v>
      </c>
      <c r="D13" s="307" t="str">
        <f>INDEX(TestSummary!$A$1:$BL$366,'J1634 Calcs'!$A13,'J1634 Calcs'!D$5)</f>
        <v>J1634 MCT in super cold test cell (0°F) after long soak over weekend, E-Pedal ON, HVAC AUTO 72°F, UDDS-HWY-UDDS-US06</v>
      </c>
      <c r="E13" s="352">
        <f>INDEX(TestSummary!$A$1:$BL$366,'J1634 Calcs'!$A13,'J1634 Calcs'!E$5)</f>
        <v>0</v>
      </c>
      <c r="F13" s="352">
        <f>INDEX(TestSummary!$A$1:$BL$366,'J1634 Calcs'!$A13,'J1634 Calcs'!F$5)</f>
        <v>-12.748239</v>
      </c>
      <c r="G13" s="115">
        <f>INDEX(TestSummary!$A$1:$BL$366,'J1634 Calcs'!$A13,'J1634 Calcs'!G$5)</f>
        <v>369.77640199099176</v>
      </c>
      <c r="H13" s="115">
        <f>INDEX(TestSummary!$A$1:$BL$366,'J1634 Calcs'!$A13,'J1634 Calcs'!H$5)</f>
        <v>-584</v>
      </c>
      <c r="I13" s="115">
        <f>INDEX(TestSummary!$A$1:$BL$366,'J1634 Calcs'!$A13,'J1634 Calcs'!I$5)</f>
        <v>2121.466602</v>
      </c>
      <c r="J13" s="116">
        <f>INDEX(TestSummary!$A$1:$BL$366,'J1634 Calcs'!$A13,'J1634 Calcs'!J$5)</f>
        <v>72.599999999999994</v>
      </c>
      <c r="K13" s="117">
        <f>INDEX(TestSummary!$A$1:$BL$366,'J1634 Calcs'!$A13,'J1634 Calcs'!K$5)</f>
        <v>369.77640199099176</v>
      </c>
      <c r="L13" s="117">
        <f>INDEX(TestSummary!$A$1:$BL$366,'J1634 Calcs'!$A13,'J1634 Calcs'!L$5)</f>
        <v>79.248088755606489</v>
      </c>
      <c r="N13" s="33"/>
      <c r="Q13" s="119" t="s">
        <v>287</v>
      </c>
      <c r="R13" s="120" t="s">
        <v>210</v>
      </c>
      <c r="S13" s="120">
        <v>2</v>
      </c>
      <c r="T13" s="121">
        <f>1/S13</f>
        <v>0.5</v>
      </c>
      <c r="U13" s="121"/>
      <c r="V13" s="121"/>
      <c r="W13" s="127">
        <f>T13*(K13+L13)*2</f>
        <v>449.02449074659825</v>
      </c>
      <c r="X13" s="127">
        <f>P11/W13</f>
        <v>131.93044303997976</v>
      </c>
      <c r="Y13" s="128">
        <f>W13/T14</f>
        <v>529.90296913092311</v>
      </c>
      <c r="Z13" s="124"/>
      <c r="AC13" t="s">
        <v>57</v>
      </c>
      <c r="AD13" s="94">
        <f>Y11</f>
        <v>556.7934297474161</v>
      </c>
      <c r="AE13" s="94">
        <f>Y18</f>
        <v>428.12528840674207</v>
      </c>
      <c r="AF13" s="94">
        <f>Y26</f>
        <v>397.3951693217457</v>
      </c>
      <c r="AG13" s="94">
        <f>Y43</f>
        <v>211.31564960585933</v>
      </c>
      <c r="AH13" s="94">
        <f>Y55</f>
        <v>282.06883181782172</v>
      </c>
      <c r="AI13" s="94">
        <f>Y63</f>
        <v>238.88661062261102</v>
      </c>
      <c r="AP13" s="26"/>
    </row>
    <row r="14" spans="1:44" ht="15.75" thickBot="1" x14ac:dyDescent="0.3">
      <c r="B14" s="328"/>
      <c r="C14" s="328"/>
      <c r="D14" s="15"/>
      <c r="E14" s="102"/>
      <c r="F14" s="102"/>
      <c r="G14" s="136"/>
      <c r="H14" s="136"/>
      <c r="I14" s="136"/>
      <c r="J14" s="137"/>
      <c r="K14" s="138"/>
      <c r="L14" s="138"/>
      <c r="Q14" s="129" t="s">
        <v>287</v>
      </c>
      <c r="R14" s="130" t="s">
        <v>290</v>
      </c>
      <c r="S14" s="130"/>
      <c r="T14" s="245">
        <f>O11/O10</f>
        <v>0.84737115453991319</v>
      </c>
      <c r="U14" s="131"/>
      <c r="V14" s="131"/>
      <c r="W14" s="132" t="s">
        <v>274</v>
      </c>
      <c r="X14" s="132" t="s">
        <v>291</v>
      </c>
      <c r="Y14" s="133" t="s">
        <v>289</v>
      </c>
      <c r="Z14" s="134"/>
      <c r="AC14" t="s">
        <v>55</v>
      </c>
      <c r="AD14" s="94">
        <f>Y12</f>
        <v>423.7706622327882</v>
      </c>
      <c r="AE14" s="94">
        <f>Y19</f>
        <v>360.39112052801261</v>
      </c>
      <c r="AF14" s="94">
        <f>Y27</f>
        <v>340.94564306964344</v>
      </c>
      <c r="AG14" s="94">
        <f t="shared" ref="AG14:AG15" si="1">Y44</f>
        <v>254.22899515125798</v>
      </c>
      <c r="AH14" s="94">
        <f>Y56</f>
        <v>263.09274687639231</v>
      </c>
      <c r="AI14" s="94">
        <f>Y64</f>
        <v>252.60442496290372</v>
      </c>
    </row>
    <row r="15" spans="1:44" ht="15.75" thickBot="1" x14ac:dyDescent="0.3">
      <c r="AC15" t="s">
        <v>210</v>
      </c>
      <c r="AD15" s="94">
        <f>Y13</f>
        <v>529.90296913092311</v>
      </c>
      <c r="AE15" s="94">
        <f>Y20</f>
        <v>445.97462496259811</v>
      </c>
      <c r="AF15" s="94">
        <f>Y28</f>
        <v>433.40526316707746</v>
      </c>
      <c r="AG15" s="94">
        <f t="shared" si="1"/>
        <v>347.15814678052328</v>
      </c>
      <c r="AH15" s="94">
        <f>Y57</f>
        <v>352.42982095696743</v>
      </c>
      <c r="AI15" s="94">
        <f>Y65</f>
        <v>341.44764670704228</v>
      </c>
    </row>
    <row r="16" spans="1:44" ht="16.5" thickBot="1" x14ac:dyDescent="0.3">
      <c r="B16" s="77" t="s">
        <v>919</v>
      </c>
      <c r="C16" s="110"/>
      <c r="D16" s="110"/>
      <c r="E16" s="103"/>
      <c r="F16" s="103"/>
      <c r="G16" s="110"/>
      <c r="H16" s="110"/>
      <c r="I16" s="110"/>
      <c r="J16" s="110"/>
      <c r="K16" s="110"/>
      <c r="L16" s="492"/>
      <c r="N16" s="111" t="s">
        <v>278</v>
      </c>
      <c r="O16" s="17" t="s">
        <v>293</v>
      </c>
      <c r="P16" t="s">
        <v>294</v>
      </c>
      <c r="Q16" s="112" t="s">
        <v>279</v>
      </c>
      <c r="R16" s="113"/>
      <c r="S16" s="113"/>
      <c r="T16" s="113"/>
      <c r="U16" s="113"/>
      <c r="V16" s="113"/>
      <c r="W16" s="113"/>
      <c r="X16" s="113"/>
      <c r="Y16" s="113"/>
      <c r="Z16" s="114"/>
      <c r="AD16" s="33"/>
      <c r="AE16" s="33"/>
      <c r="AF16" s="33"/>
      <c r="AG16" s="33"/>
      <c r="AH16" s="33"/>
    </row>
    <row r="17" spans="1:41" x14ac:dyDescent="0.25">
      <c r="A17" s="446">
        <v>199</v>
      </c>
      <c r="B17" s="321">
        <f>INDEX(TestSummary!$A$1:$BL$366,'J1634 Calcs'!$A17,'J1634 Calcs'!B$5)</f>
        <v>62008029</v>
      </c>
      <c r="C17" s="321" t="str">
        <f>INDEX(TestSummary!$A$1:$BL$366,'J1634 Calcs'!$A17,'J1634 Calcs'!C$5)</f>
        <v>UDDS 1 , Combined</v>
      </c>
      <c r="D17" s="307" t="str">
        <f>INDEX(TestSummary!$A$1:$BL$366,'J1634 Calcs'!$A17,'J1634 Calcs'!D$5)</f>
        <v>J1634MCT in cold test cell (20°F), HVAC AUTO 72°F, Use Calc EV Phases 2019 Leaf to combine PTC Power</v>
      </c>
      <c r="E17" s="352">
        <f>INDEX(TestSummary!$A$1:$BL$366,'J1634 Calcs'!$A17,'J1634 Calcs'!E$5)</f>
        <v>0</v>
      </c>
      <c r="F17" s="352">
        <f>INDEX(TestSummary!$A$1:$BL$366,'J1634 Calcs'!$A17,'J1634 Calcs'!F$5)</f>
        <v>-6.4680374999999994</v>
      </c>
      <c r="G17" s="115">
        <f>INDEX(TestSummary!$A$1:$BL$366,'J1634 Calcs'!$A17,'J1634 Calcs'!G$5)</f>
        <v>358.02556320826375</v>
      </c>
      <c r="H17" s="115">
        <f>INDEX(TestSummary!$A$1:$BL$366,'J1634 Calcs'!$A17,'J1634 Calcs'!H$5)</f>
        <v>-906</v>
      </c>
      <c r="I17" s="115">
        <f>INDEX(TestSummary!$A$1:$BL$366,'J1634 Calcs'!$A17,'J1634 Calcs'!I$5)</f>
        <v>1754</v>
      </c>
      <c r="J17" s="116">
        <f>INDEX(TestSummary!$A$1:$BL$366,'J1634 Calcs'!$A17,'J1634 Calcs'!J$5)</f>
        <v>92</v>
      </c>
      <c r="K17" s="117">
        <f>INDEX(TestSummary!$A$1:$BL$366,'J1634 Calcs'!$A17,'J1634 Calcs'!K$5)</f>
        <v>358.02556320826375</v>
      </c>
      <c r="L17" s="117">
        <f>INDEX(TestSummary!$A$1:$BL$366,'J1634 Calcs'!$A17,'J1634 Calcs'!L$5)</f>
        <v>96.195489268770586</v>
      </c>
      <c r="M17" s="33"/>
      <c r="N17" s="118" t="s">
        <v>846</v>
      </c>
      <c r="O17" s="493">
        <f>TestSummary!AU239</f>
        <v>66204.399999999994</v>
      </c>
      <c r="P17" s="236">
        <f>$O$32</f>
        <v>68019.200000000012</v>
      </c>
      <c r="Q17" s="119" t="s">
        <v>16</v>
      </c>
      <c r="R17" s="120" t="s">
        <v>1</v>
      </c>
      <c r="S17" s="120" t="s">
        <v>392</v>
      </c>
      <c r="T17" s="121" t="s">
        <v>281</v>
      </c>
      <c r="U17" s="120" t="s">
        <v>282</v>
      </c>
      <c r="V17" s="121" t="s">
        <v>283</v>
      </c>
      <c r="W17" s="122" t="s">
        <v>947</v>
      </c>
      <c r="X17" s="123" t="s">
        <v>284</v>
      </c>
      <c r="Y17" s="122" t="s">
        <v>285</v>
      </c>
      <c r="Z17" s="124"/>
      <c r="AC17" s="27" t="s">
        <v>390</v>
      </c>
    </row>
    <row r="18" spans="1:41" x14ac:dyDescent="0.25">
      <c r="A18" s="446">
        <f>A17+1</f>
        <v>200</v>
      </c>
      <c r="B18" s="321">
        <f>INDEX(TestSummary!$A$1:$BL$366,'J1634 Calcs'!$A18,'J1634 Calcs'!B$5)</f>
        <v>62008029</v>
      </c>
      <c r="C18" s="321" t="str">
        <f>INDEX(TestSummary!$A$1:$BL$366,'J1634 Calcs'!$A18,'J1634 Calcs'!C$5)</f>
        <v>HWY 1</v>
      </c>
      <c r="D18" s="307" t="str">
        <f>INDEX(TestSummary!$A$1:$BL$366,'J1634 Calcs'!$A18,'J1634 Calcs'!D$5)</f>
        <v>J1634MCT in cold test cell (20°F), HVAC AUTO 72°F, Use Calc EV Phases 2019 Leaf to combine PTC Power</v>
      </c>
      <c r="E18" s="352">
        <f>INDEX(TestSummary!$A$1:$BL$366,'J1634 Calcs'!$A18,'J1634 Calcs'!E$5)</f>
        <v>0</v>
      </c>
      <c r="F18" s="352">
        <f>INDEX(TestSummary!$A$1:$BL$366,'J1634 Calcs'!$A18,'J1634 Calcs'!F$5)</f>
        <v>-3.2424309999999998</v>
      </c>
      <c r="G18" s="115">
        <f>INDEX(TestSummary!$A$1:$BL$366,'J1634 Calcs'!$A18,'J1634 Calcs'!G$5)</f>
        <v>289.89964228804854</v>
      </c>
      <c r="H18" s="115">
        <f>INDEX(TestSummary!$A$1:$BL$366,'J1634 Calcs'!$A18,'J1634 Calcs'!H$5)</f>
        <v>1761</v>
      </c>
      <c r="I18" s="115">
        <f>INDEX(TestSummary!$A$1:$BL$366,'J1634 Calcs'!$A18,'J1634 Calcs'!I$5)</f>
        <v>4731</v>
      </c>
      <c r="J18" s="116">
        <f>INDEX(TestSummary!$A$1:$BL$366,'J1634 Calcs'!$A18,'J1634 Calcs'!J$5)</f>
        <v>87.3</v>
      </c>
      <c r="K18" s="117">
        <f>INDEX(TestSummary!$A$1:$BL$366,'J1634 Calcs'!$A18,'J1634 Calcs'!K$5)</f>
        <v>289.89964228804854</v>
      </c>
      <c r="L18" s="117">
        <f>INDEX(TestSummary!$A$1:$BL$366,'J1634 Calcs'!$A18,'J1634 Calcs'!L$5)</f>
        <v>13.445682062349725</v>
      </c>
      <c r="M18" s="33"/>
      <c r="N18" s="125" t="s">
        <v>286</v>
      </c>
      <c r="O18" s="494">
        <f>TestSummary!W238-TestSummary!V220</f>
        <v>55725</v>
      </c>
      <c r="P18" s="126">
        <f>$O$33</f>
        <v>59240</v>
      </c>
      <c r="Q18" s="119" t="s">
        <v>287</v>
      </c>
      <c r="R18" s="120" t="s">
        <v>57</v>
      </c>
      <c r="S18" s="120">
        <v>3</v>
      </c>
      <c r="T18" s="121"/>
      <c r="U18" s="121">
        <f>(I17-H17)/O18</f>
        <v>4.7734410049349481E-2</v>
      </c>
      <c r="V18" s="121">
        <f>(1-U18)/S18</f>
        <v>0.31742186331688349</v>
      </c>
      <c r="W18" s="127">
        <f>U18*(K17+L17)+V18*(K19+L19)*3</f>
        <v>360.35794745463602</v>
      </c>
      <c r="X18" s="127">
        <f>P18/W18</f>
        <v>164.39210073882853</v>
      </c>
      <c r="Y18" s="128">
        <f>W18/T21</f>
        <v>428.12528840674207</v>
      </c>
      <c r="Z18" s="124"/>
      <c r="AC18" t="s">
        <v>57</v>
      </c>
      <c r="AD18" s="135">
        <f t="shared" ref="AD18:AI20" si="2">AD13/$AG13-1</f>
        <v>1.6348897054521672</v>
      </c>
      <c r="AE18" s="135">
        <f t="shared" si="2"/>
        <v>1.025998969812556</v>
      </c>
      <c r="AF18" s="135">
        <f t="shared" si="2"/>
        <v>0.88057614314395183</v>
      </c>
      <c r="AG18" s="135">
        <f t="shared" si="2"/>
        <v>0</v>
      </c>
      <c r="AH18" s="135">
        <f t="shared" si="2"/>
        <v>0.33482225449903713</v>
      </c>
      <c r="AI18" s="135">
        <f t="shared" si="2"/>
        <v>0.13047287821879894</v>
      </c>
    </row>
    <row r="19" spans="1:41" x14ac:dyDescent="0.25">
      <c r="A19" s="446">
        <f>A18+3</f>
        <v>203</v>
      </c>
      <c r="B19" s="321">
        <f>INDEX(TestSummary!$A$1:$BL$366,'J1634 Calcs'!$A19,'J1634 Calcs'!B$5)</f>
        <v>62008029</v>
      </c>
      <c r="C19" s="321" t="str">
        <f>INDEX(TestSummary!$A$1:$BL$366,'J1634 Calcs'!$A19,'J1634 Calcs'!C$5)</f>
        <v>UDDS 2, combined</v>
      </c>
      <c r="D19" s="307" t="str">
        <f>INDEX(TestSummary!$A$1:$BL$366,'J1634 Calcs'!$A19,'J1634 Calcs'!D$5)</f>
        <v>J1634MCT in cold test cell (20°F), HVAC AUTO 72°F, Use Calc EV Phases 2019 Leaf to combine PTC Power</v>
      </c>
      <c r="E19" s="352">
        <f>INDEX(TestSummary!$A$1:$BL$366,'J1634 Calcs'!$A19,'J1634 Calcs'!E$5)</f>
        <v>0</v>
      </c>
      <c r="F19" s="352">
        <f>INDEX(TestSummary!$A$1:$BL$366,'J1634 Calcs'!$A19,'J1634 Calcs'!F$5)</f>
        <v>-7.0921249999999993</v>
      </c>
      <c r="G19" s="115">
        <f>INDEX(TestSummary!$A$1:$BL$366,'J1634 Calcs'!$A19,'J1634 Calcs'!G$5)</f>
        <v>322.33740525679667</v>
      </c>
      <c r="H19" s="115">
        <f>INDEX(TestSummary!$A$1:$BL$366,'J1634 Calcs'!$A19,'J1634 Calcs'!H$5)</f>
        <v>4737</v>
      </c>
      <c r="I19" s="115">
        <f>INDEX(TestSummary!$A$1:$BL$366,'J1634 Calcs'!$A19,'J1634 Calcs'!I$5)</f>
        <v>7135</v>
      </c>
      <c r="J19" s="116">
        <f>INDEX(TestSummary!$A$1:$BL$366,'J1634 Calcs'!$A19,'J1634 Calcs'!J$5)</f>
        <v>83.2</v>
      </c>
      <c r="K19" s="117">
        <f>INDEX(TestSummary!$A$1:$BL$366,'J1634 Calcs'!$A19,'J1634 Calcs'!K$5)</f>
        <v>322.33740525679667</v>
      </c>
      <c r="L19" s="117">
        <f>INDEX(TestSummary!$A$1:$BL$366,'J1634 Calcs'!$A19,'J1634 Calcs'!L$5)</f>
        <v>33.315447326274686</v>
      </c>
      <c r="M19" s="33"/>
      <c r="Q19" s="119" t="s">
        <v>287</v>
      </c>
      <c r="R19" s="120" t="s">
        <v>55</v>
      </c>
      <c r="S19" s="120">
        <v>2</v>
      </c>
      <c r="T19" s="121">
        <f>1/S19</f>
        <v>0.5</v>
      </c>
      <c r="U19" s="121"/>
      <c r="V19" s="121"/>
      <c r="W19" s="127">
        <f>T19*(K18+L18)*2</f>
        <v>303.34532435039824</v>
      </c>
      <c r="X19" s="127">
        <f>P18/W19</f>
        <v>195.28898336198213</v>
      </c>
      <c r="Y19" s="128">
        <f>W19/T21</f>
        <v>360.39112052801261</v>
      </c>
      <c r="Z19" s="124"/>
      <c r="AC19" t="s">
        <v>55</v>
      </c>
      <c r="AD19" s="135">
        <f t="shared" si="2"/>
        <v>0.66688564371132597</v>
      </c>
      <c r="AE19" s="135">
        <f t="shared" si="2"/>
        <v>0.41758464770547365</v>
      </c>
      <c r="AF19" s="135">
        <f t="shared" si="2"/>
        <v>0.34109660806703768</v>
      </c>
      <c r="AG19" s="135">
        <f>AG14/$AG14-1</f>
        <v>0</v>
      </c>
      <c r="AH19" s="135">
        <f t="shared" si="2"/>
        <v>3.4865227390214359E-2</v>
      </c>
      <c r="AI19" s="135">
        <f t="shared" si="2"/>
        <v>-6.3901845160804216E-3</v>
      </c>
    </row>
    <row r="20" spans="1:41" x14ac:dyDescent="0.25">
      <c r="A20" s="446">
        <f>A19+3</f>
        <v>206</v>
      </c>
      <c r="B20" s="321">
        <f>INDEX(TestSummary!$A$1:$BL$366,'J1634 Calcs'!$A20,'J1634 Calcs'!B$5)</f>
        <v>62008029</v>
      </c>
      <c r="C20" s="321" t="str">
        <f>INDEX(TestSummary!$A$1:$BL$366,'J1634 Calcs'!$A20,'J1634 Calcs'!C$5)</f>
        <v>US06 1, combined</v>
      </c>
      <c r="D20" s="307" t="str">
        <f>INDEX(TestSummary!$A$1:$BL$366,'J1634 Calcs'!$A20,'J1634 Calcs'!D$5)</f>
        <v>J1634MCT in cold test cell (20°F), HVAC AUTO 72°F, Use Calc EV Phases 2019 Leaf to combine PTC Power</v>
      </c>
      <c r="E20" s="352">
        <f>INDEX(TestSummary!$A$1:$BL$366,'J1634 Calcs'!$A20,'J1634 Calcs'!E$5)</f>
        <v>0</v>
      </c>
      <c r="F20" s="352">
        <f>INDEX(TestSummary!$A$1:$BL$366,'J1634 Calcs'!$A20,'J1634 Calcs'!F$5)</f>
        <v>-2.9472040000000002</v>
      </c>
      <c r="G20" s="115">
        <f>INDEX(TestSummary!$A$1:$BL$366,'J1634 Calcs'!$A20,'J1634 Calcs'!G$5)</f>
        <v>372.47412013965283</v>
      </c>
      <c r="H20" s="115">
        <f>INDEX(TestSummary!$A$1:$BL$366,'J1634 Calcs'!$A20,'J1634 Calcs'!H$5)</f>
        <v>7178.8137059999999</v>
      </c>
      <c r="I20" s="115">
        <f>INDEX(TestSummary!$A$1:$BL$366,'J1634 Calcs'!$A20,'J1634 Calcs'!I$5)</f>
        <v>9905</v>
      </c>
      <c r="J20" s="116">
        <f>INDEX(TestSummary!$A$1:$BL$366,'J1634 Calcs'!$A20,'J1634 Calcs'!J$5)</f>
        <v>78.8</v>
      </c>
      <c r="K20" s="117">
        <f>INDEX(TestSummary!$A$1:$BL$366,'J1634 Calcs'!$A20,'J1634 Calcs'!K$5)</f>
        <v>372.47412013965283</v>
      </c>
      <c r="L20" s="117">
        <f>INDEX(TestSummary!$A$1:$BL$366,'J1634 Calcs'!$A20,'J1634 Calcs'!L$5)</f>
        <v>2.9078178590418724</v>
      </c>
      <c r="M20" s="33"/>
      <c r="Q20" s="119" t="s">
        <v>287</v>
      </c>
      <c r="R20" s="120" t="s">
        <v>210</v>
      </c>
      <c r="S20" s="120">
        <v>2</v>
      </c>
      <c r="T20" s="121">
        <f>1/S20</f>
        <v>0.5</v>
      </c>
      <c r="U20" s="121"/>
      <c r="V20" s="121"/>
      <c r="W20" s="127">
        <f>T20*(K20+L20)*2</f>
        <v>375.3819379986947</v>
      </c>
      <c r="X20" s="127">
        <f>P18/W20</f>
        <v>157.81260098935817</v>
      </c>
      <c r="Y20" s="128">
        <f>W20/T21</f>
        <v>445.97462496259811</v>
      </c>
      <c r="Z20" s="124"/>
      <c r="AC20" t="s">
        <v>210</v>
      </c>
      <c r="AD20" s="135">
        <f t="shared" si="2"/>
        <v>0.52640222920055191</v>
      </c>
      <c r="AE20" s="135">
        <f t="shared" si="2"/>
        <v>0.28464398458880913</v>
      </c>
      <c r="AF20" s="135">
        <f t="shared" si="2"/>
        <v>0.24843754117941086</v>
      </c>
      <c r="AG20" s="135">
        <f t="shared" si="2"/>
        <v>0</v>
      </c>
      <c r="AH20" s="135">
        <f t="shared" si="2"/>
        <v>1.5185223867947961E-2</v>
      </c>
      <c r="AI20" s="135">
        <f t="shared" si="2"/>
        <v>-1.6449275716093781E-2</v>
      </c>
    </row>
    <row r="21" spans="1:41" ht="18" customHeight="1" thickBot="1" x14ac:dyDescent="0.3">
      <c r="B21" s="328"/>
      <c r="C21" s="328"/>
      <c r="D21" s="15"/>
      <c r="E21" s="102"/>
      <c r="F21" s="102"/>
      <c r="G21" s="448"/>
      <c r="H21" s="448"/>
      <c r="I21" s="448"/>
      <c r="J21" s="336"/>
      <c r="K21" s="448"/>
      <c r="L21" s="448"/>
      <c r="Q21" s="129" t="s">
        <v>287</v>
      </c>
      <c r="R21" s="130" t="s">
        <v>290</v>
      </c>
      <c r="S21" s="130"/>
      <c r="T21" s="245">
        <f>O18/O17</f>
        <v>0.84171142703506119</v>
      </c>
      <c r="U21" s="131"/>
      <c r="V21" s="131"/>
      <c r="W21" s="132" t="s">
        <v>274</v>
      </c>
      <c r="X21" s="132" t="s">
        <v>291</v>
      </c>
      <c r="Y21" s="133" t="s">
        <v>289</v>
      </c>
      <c r="Z21" s="134"/>
      <c r="AD21" s="135"/>
      <c r="AE21" s="135"/>
      <c r="AF21" s="135"/>
      <c r="AG21" s="135"/>
      <c r="AH21" s="135"/>
      <c r="AI21" s="135"/>
    </row>
    <row r="22" spans="1:41" ht="18" customHeight="1" x14ac:dyDescent="0.25">
      <c r="B22" s="328"/>
      <c r="C22" s="328"/>
      <c r="D22" s="15"/>
      <c r="E22" s="102"/>
      <c r="F22" s="102"/>
      <c r="G22" s="448"/>
      <c r="H22" s="448"/>
      <c r="I22" s="448"/>
      <c r="J22" s="336"/>
      <c r="K22" s="448"/>
      <c r="L22" s="448"/>
      <c r="R22" s="33"/>
      <c r="S22" s="33"/>
      <c r="T22" s="454"/>
      <c r="W22" s="455"/>
      <c r="X22" s="455"/>
      <c r="Y22" s="18"/>
      <c r="AD22" s="135"/>
      <c r="AE22" s="135"/>
      <c r="AF22" s="135"/>
      <c r="AG22" s="135"/>
      <c r="AH22" s="135"/>
      <c r="AI22" s="135"/>
    </row>
    <row r="23" spans="1:41" ht="18" customHeight="1" thickBot="1" x14ac:dyDescent="0.3">
      <c r="B23" s="77" t="s">
        <v>844</v>
      </c>
      <c r="C23" s="110"/>
      <c r="D23" s="110"/>
      <c r="E23" s="103"/>
      <c r="F23" s="103"/>
      <c r="G23" s="110"/>
      <c r="H23" s="110"/>
      <c r="I23" s="110"/>
      <c r="J23" s="110"/>
      <c r="K23" s="110"/>
      <c r="L23" s="492"/>
      <c r="AD23" s="135"/>
      <c r="AE23" s="135"/>
      <c r="AF23" s="135"/>
      <c r="AG23" s="135"/>
      <c r="AH23" s="135"/>
      <c r="AI23" s="135"/>
    </row>
    <row r="24" spans="1:41" ht="18" customHeight="1" thickBot="1" x14ac:dyDescent="0.3">
      <c r="A24" s="446">
        <v>245</v>
      </c>
      <c r="B24" s="321">
        <f>INDEX(TestSummary!$A$1:$BL$366,'J1634 Calcs'!$A24,'J1634 Calcs'!B$5)</f>
        <v>62008039</v>
      </c>
      <c r="C24" s="321" t="str">
        <f>INDEX(TestSummary!$A$1:$BL$366,'J1634 Calcs'!$A24,'J1634 Calcs'!C$5)</f>
        <v>UDDS 1 , Combined</v>
      </c>
      <c r="D24" s="307" t="str">
        <f>INDEX(TestSummary!$A$1:$BL$366,'J1634 Calcs'!$A24,'J1634 Calcs'!D$5)</f>
        <v>J1634 MCT first half with Climate pre-conditioning. 1 hour log of vehicle prior to cycle start</v>
      </c>
      <c r="E24" s="352">
        <f>INDEX(TestSummary!$A$1:$BL$366,'J1634 Calcs'!$A24,'J1634 Calcs'!E$5)</f>
        <v>0</v>
      </c>
      <c r="F24" s="352">
        <f>INDEX(TestSummary!$A$1:$BL$366,'J1634 Calcs'!$A24,'J1634 Calcs'!F$5)</f>
        <v>-5.9922194999999991</v>
      </c>
      <c r="G24" s="115">
        <f>INDEX(TestSummary!$A$1:$BL$366,'J1634 Calcs'!$A24,'J1634 Calcs'!G$5)</f>
        <v>340.55350380642119</v>
      </c>
      <c r="H24" s="115">
        <f>INDEX(TestSummary!$A$1:$BL$366,'J1634 Calcs'!$A24,'J1634 Calcs'!H$5)</f>
        <v>-7048</v>
      </c>
      <c r="I24" s="115">
        <f>INDEX(TestSummary!$A$1:$BL$366,'J1634 Calcs'!$A24,'J1634 Calcs'!I$5)</f>
        <v>-4521</v>
      </c>
      <c r="J24" s="116">
        <f>INDEX(TestSummary!$A$1:$BL$366,'J1634 Calcs'!$A24,'J1634 Calcs'!J$5)</f>
        <v>92</v>
      </c>
      <c r="K24" s="117">
        <f>INDEX(TestSummary!$A$1:$BL$366,'J1634 Calcs'!$A24,'J1634 Calcs'!K$5)</f>
        <v>340.55350380642119</v>
      </c>
      <c r="L24" s="117">
        <f>INDEX(TestSummary!$A$1:$BL$366,'J1634 Calcs'!$A24,'J1634 Calcs'!L$5)</f>
        <v>21.569287013936595</v>
      </c>
      <c r="N24" s="111" t="s">
        <v>278</v>
      </c>
      <c r="O24" s="17" t="s">
        <v>293</v>
      </c>
      <c r="P24" t="s">
        <v>294</v>
      </c>
      <c r="Q24" s="112" t="s">
        <v>279</v>
      </c>
      <c r="R24" s="113"/>
      <c r="S24" s="113"/>
      <c r="T24" s="113"/>
      <c r="U24" s="113"/>
      <c r="V24" s="113"/>
      <c r="W24" s="113"/>
      <c r="X24" s="113"/>
      <c r="Y24" s="113"/>
      <c r="Z24" s="114"/>
      <c r="AD24" s="135"/>
      <c r="AE24" s="135"/>
      <c r="AF24" s="135"/>
      <c r="AG24" s="135"/>
      <c r="AH24" s="135"/>
      <c r="AI24" s="135"/>
    </row>
    <row r="25" spans="1:41" ht="18" customHeight="1" x14ac:dyDescent="0.25">
      <c r="A25" s="446">
        <f>A24+1</f>
        <v>246</v>
      </c>
      <c r="B25" s="321">
        <f>INDEX(TestSummary!$A$1:$BL$366,'J1634 Calcs'!$A25,'J1634 Calcs'!B$5)</f>
        <v>62008039</v>
      </c>
      <c r="C25" s="321" t="str">
        <f>INDEX(TestSummary!$A$1:$BL$366,'J1634 Calcs'!$A25,'J1634 Calcs'!C$5)</f>
        <v>HWY 1</v>
      </c>
      <c r="D25" s="307" t="str">
        <f>INDEX(TestSummary!$A$1:$BL$366,'J1634 Calcs'!$A25,'J1634 Calcs'!D$5)</f>
        <v>J1634 MCT first half with Climate pre-conditioning. 1 hour log of vehicle prior to cycle start</v>
      </c>
      <c r="E25" s="352">
        <f>INDEX(TestSummary!$A$1:$BL$366,'J1634 Calcs'!$A25,'J1634 Calcs'!E$5)</f>
        <v>0</v>
      </c>
      <c r="F25" s="352">
        <f>INDEX(TestSummary!$A$1:$BL$366,'J1634 Calcs'!$A25,'J1634 Calcs'!F$5)</f>
        <v>-3.3024640000000001</v>
      </c>
      <c r="G25" s="115">
        <f>INDEX(TestSummary!$A$1:$BL$366,'J1634 Calcs'!$A25,'J1634 Calcs'!G$5)</f>
        <v>285.20677160054333</v>
      </c>
      <c r="H25" s="115">
        <f>INDEX(TestSummary!$A$1:$BL$366,'J1634 Calcs'!$A25,'J1634 Calcs'!H$5)</f>
        <v>-4514</v>
      </c>
      <c r="I25" s="115">
        <f>INDEX(TestSummary!$A$1:$BL$366,'J1634 Calcs'!$A25,'J1634 Calcs'!I$5)</f>
        <v>-1592</v>
      </c>
      <c r="J25" s="116">
        <f>INDEX(TestSummary!$A$1:$BL$366,'J1634 Calcs'!$A25,'J1634 Calcs'!J$5)</f>
        <v>87.6</v>
      </c>
      <c r="K25" s="117">
        <f>INDEX(TestSummary!$A$1:$BL$366,'J1634 Calcs'!$A25,'J1634 Calcs'!K$5)</f>
        <v>285.20677160054333</v>
      </c>
      <c r="L25" s="117">
        <f>INDEX(TestSummary!$A$1:$BL$366,'J1634 Calcs'!$A25,'J1634 Calcs'!L$5)</f>
        <v>1.7710721689928561</v>
      </c>
      <c r="N25" s="118" t="s">
        <v>846</v>
      </c>
      <c r="O25" s="459">
        <f>O17</f>
        <v>66204.399999999994</v>
      </c>
      <c r="P25" s="236">
        <f>$O$32</f>
        <v>68019.200000000012</v>
      </c>
      <c r="Q25" s="119" t="s">
        <v>16</v>
      </c>
      <c r="R25" s="120" t="s">
        <v>1</v>
      </c>
      <c r="S25" s="120" t="s">
        <v>392</v>
      </c>
      <c r="T25" s="121" t="s">
        <v>281</v>
      </c>
      <c r="U25" s="120" t="s">
        <v>282</v>
      </c>
      <c r="V25" s="121" t="s">
        <v>283</v>
      </c>
      <c r="W25" s="122" t="s">
        <v>947</v>
      </c>
      <c r="X25" s="123" t="s">
        <v>284</v>
      </c>
      <c r="Y25" s="122" t="s">
        <v>285</v>
      </c>
      <c r="Z25" s="124"/>
      <c r="AD25" s="135"/>
      <c r="AE25" s="135"/>
      <c r="AF25" s="135"/>
      <c r="AG25" s="135"/>
      <c r="AH25" s="135"/>
      <c r="AI25" s="135"/>
    </row>
    <row r="26" spans="1:41" ht="18" customHeight="1" x14ac:dyDescent="0.25">
      <c r="A26" s="446">
        <f>A25+3</f>
        <v>249</v>
      </c>
      <c r="B26" s="321">
        <f>INDEX(TestSummary!$A$1:$BL$366,'J1634 Calcs'!$A26,'J1634 Calcs'!B$5)</f>
        <v>62008039</v>
      </c>
      <c r="C26" s="321" t="str">
        <f>INDEX(TestSummary!$A$1:$BL$366,'J1634 Calcs'!$A26,'J1634 Calcs'!C$5)</f>
        <v>UDDS 2, combined</v>
      </c>
      <c r="D26" s="307" t="str">
        <f>INDEX(TestSummary!$A$1:$BL$366,'J1634 Calcs'!$A26,'J1634 Calcs'!D$5)</f>
        <v>J1634 MCT first half with Climate pre-conditioning. 1 hour log of vehicle prior to cycle start</v>
      </c>
      <c r="E26" s="352">
        <f>INDEX(TestSummary!$A$1:$BL$366,'J1634 Calcs'!$A26,'J1634 Calcs'!E$5)</f>
        <v>0</v>
      </c>
      <c r="F26" s="352">
        <f>INDEX(TestSummary!$A$1:$BL$366,'J1634 Calcs'!$A26,'J1634 Calcs'!F$5)</f>
        <v>-6.8879440000000001</v>
      </c>
      <c r="G26" s="115">
        <f>INDEX(TestSummary!$A$1:$BL$366,'J1634 Calcs'!$A26,'J1634 Calcs'!G$5)</f>
        <v>319.26822956295126</v>
      </c>
      <c r="H26" s="115">
        <f>INDEX(TestSummary!$A$1:$BL$366,'J1634 Calcs'!$A26,'J1634 Calcs'!H$5)</f>
        <v>-1587</v>
      </c>
      <c r="I26" s="115">
        <f>INDEX(TestSummary!$A$1:$BL$366,'J1634 Calcs'!$A26,'J1634 Calcs'!I$5)</f>
        <v>782</v>
      </c>
      <c r="J26" s="116">
        <f>INDEX(TestSummary!$A$1:$BL$366,'J1634 Calcs'!$A26,'J1634 Calcs'!J$5)</f>
        <v>83.8</v>
      </c>
      <c r="K26" s="117">
        <f>INDEX(TestSummary!$A$1:$BL$366,'J1634 Calcs'!$A26,'J1634 Calcs'!K$5)</f>
        <v>319.26822956295126</v>
      </c>
      <c r="L26" s="117">
        <f>INDEX(TestSummary!$A$1:$BL$366,'J1634 Calcs'!$A26,'J1634 Calcs'!L$5)</f>
        <v>13.911316212939253</v>
      </c>
      <c r="N26" s="125" t="s">
        <v>286</v>
      </c>
      <c r="O26" s="460">
        <f>O18</f>
        <v>55725</v>
      </c>
      <c r="P26" s="126">
        <f>$O$33</f>
        <v>59240</v>
      </c>
      <c r="Q26" s="119" t="s">
        <v>287</v>
      </c>
      <c r="R26" s="120" t="s">
        <v>57</v>
      </c>
      <c r="S26" s="120">
        <v>3</v>
      </c>
      <c r="T26" s="121"/>
      <c r="U26" s="121">
        <f>(I24-H24)/O26</f>
        <v>4.5347689546882008E-2</v>
      </c>
      <c r="V26" s="121">
        <f>(1-U26)/S26</f>
        <v>0.31821743681770598</v>
      </c>
      <c r="W26" s="127">
        <f>U26*(K24+L24)+V26*(K26+L26)*3</f>
        <v>334.49205506664634</v>
      </c>
      <c r="X26" s="127">
        <f>P26/W26</f>
        <v>177.10435600091202</v>
      </c>
      <c r="Y26" s="128">
        <f>W26/T29</f>
        <v>397.3951693217457</v>
      </c>
      <c r="Z26" s="124"/>
      <c r="AD26" s="135"/>
      <c r="AE26" s="135"/>
      <c r="AF26" s="135"/>
      <c r="AG26" s="135"/>
      <c r="AH26" s="135"/>
      <c r="AI26" s="135"/>
    </row>
    <row r="27" spans="1:41" ht="18" customHeight="1" x14ac:dyDescent="0.25">
      <c r="A27" s="446">
        <f>A26+3</f>
        <v>252</v>
      </c>
      <c r="B27" s="321">
        <f>INDEX(TestSummary!$A$1:$BL$366,'J1634 Calcs'!$A27,'J1634 Calcs'!B$5)</f>
        <v>62008039</v>
      </c>
      <c r="C27" s="321" t="str">
        <f>INDEX(TestSummary!$A$1:$BL$366,'J1634 Calcs'!$A27,'J1634 Calcs'!C$5)</f>
        <v>US06 1, combined</v>
      </c>
      <c r="D27" s="307" t="str">
        <f>INDEX(TestSummary!$A$1:$BL$366,'J1634 Calcs'!$A27,'J1634 Calcs'!D$5)</f>
        <v>J1634 MCT first half with Climate pre-conditioning. 1 hour log of vehicle prior to cycle start</v>
      </c>
      <c r="E27" s="352">
        <f>INDEX(TestSummary!$A$1:$BL$366,'J1634 Calcs'!$A27,'J1634 Calcs'!E$5)</f>
        <v>0</v>
      </c>
      <c r="F27" s="352">
        <f>INDEX(TestSummary!$A$1:$BL$366,'J1634 Calcs'!$A27,'J1634 Calcs'!F$5)</f>
        <v>-2.6521970000000001</v>
      </c>
      <c r="G27" s="115">
        <f>INDEX(TestSummary!$A$1:$BL$366,'J1634 Calcs'!$A27,'J1634 Calcs'!G$5)</f>
        <v>363.38191984848959</v>
      </c>
      <c r="H27" s="115">
        <f>INDEX(TestSummary!$A$1:$BL$366,'J1634 Calcs'!$A27,'J1634 Calcs'!H$5)</f>
        <v>824</v>
      </c>
      <c r="I27" s="115">
        <f>INDEX(TestSummary!$A$1:$BL$366,'J1634 Calcs'!$A27,'J1634 Calcs'!I$5)</f>
        <v>3482</v>
      </c>
      <c r="J27" s="116">
        <f>INDEX(TestSummary!$A$1:$BL$366,'J1634 Calcs'!$A27,'J1634 Calcs'!J$5)</f>
        <v>79.5</v>
      </c>
      <c r="K27" s="117">
        <f>INDEX(TestSummary!$A$1:$BL$366,'J1634 Calcs'!$A27,'J1634 Calcs'!K$5)</f>
        <v>363.38191984848959</v>
      </c>
      <c r="L27" s="117">
        <f>INDEX(TestSummary!$A$1:$BL$366,'J1634 Calcs'!$A27,'J1634 Calcs'!L$5)</f>
        <v>1.420242696377465</v>
      </c>
      <c r="N27" s="496" t="s">
        <v>952</v>
      </c>
      <c r="Q27" s="119" t="s">
        <v>287</v>
      </c>
      <c r="R27" s="120" t="s">
        <v>55</v>
      </c>
      <c r="S27" s="120">
        <v>2</v>
      </c>
      <c r="T27" s="121">
        <f>1/S27</f>
        <v>0.5</v>
      </c>
      <c r="U27" s="121"/>
      <c r="V27" s="121"/>
      <c r="W27" s="127">
        <f>T27*(K25+L25)*2</f>
        <v>286.97784376953621</v>
      </c>
      <c r="X27" s="127">
        <f>P26/W27</f>
        <v>206.42708587487323</v>
      </c>
      <c r="Y27" s="128">
        <f>W27/T29</f>
        <v>340.94564306964344</v>
      </c>
      <c r="Z27" s="124"/>
      <c r="AD27" s="135"/>
      <c r="AE27" s="135"/>
      <c r="AF27" s="135"/>
      <c r="AG27" s="135"/>
      <c r="AH27" s="135"/>
      <c r="AI27" s="135"/>
    </row>
    <row r="28" spans="1:41" ht="18" customHeight="1" x14ac:dyDescent="0.25">
      <c r="B28" s="328"/>
      <c r="C28" s="328"/>
      <c r="D28" s="15"/>
      <c r="E28" s="102"/>
      <c r="F28" s="102"/>
      <c r="G28" s="136"/>
      <c r="H28" s="136"/>
      <c r="I28" s="136"/>
      <c r="J28" s="137"/>
      <c r="K28" s="138"/>
      <c r="L28" s="138"/>
      <c r="Q28" s="119" t="s">
        <v>287</v>
      </c>
      <c r="R28" s="120" t="s">
        <v>210</v>
      </c>
      <c r="S28" s="120">
        <v>2</v>
      </c>
      <c r="T28" s="121">
        <f>1/S28</f>
        <v>0.5</v>
      </c>
      <c r="U28" s="121"/>
      <c r="V28" s="121"/>
      <c r="W28" s="127">
        <f>T28*(K27+L27)*2</f>
        <v>364.80216254486703</v>
      </c>
      <c r="X28" s="127">
        <f>P26/W28</f>
        <v>162.38938822824019</v>
      </c>
      <c r="Y28" s="128">
        <f>W28/T29</f>
        <v>433.40526316707746</v>
      </c>
      <c r="Z28" s="124"/>
      <c r="AD28" s="135"/>
      <c r="AE28" s="135"/>
      <c r="AF28" s="135"/>
      <c r="AG28" s="135"/>
      <c r="AH28" s="135"/>
      <c r="AI28" s="135"/>
    </row>
    <row r="29" spans="1:41" ht="18" customHeight="1" thickBot="1" x14ac:dyDescent="0.3">
      <c r="Q29" s="129" t="s">
        <v>287</v>
      </c>
      <c r="R29" s="130" t="s">
        <v>290</v>
      </c>
      <c r="S29" s="130"/>
      <c r="T29" s="245">
        <f>O26/O25</f>
        <v>0.84171142703506119</v>
      </c>
      <c r="U29" s="131"/>
      <c r="V29" s="131"/>
      <c r="W29" s="132" t="s">
        <v>274</v>
      </c>
      <c r="X29" s="132" t="s">
        <v>291</v>
      </c>
      <c r="Y29" s="133" t="s">
        <v>289</v>
      </c>
      <c r="Z29" s="134"/>
      <c r="AD29" s="135"/>
      <c r="AE29" s="135"/>
      <c r="AF29" s="135"/>
      <c r="AG29" s="135"/>
      <c r="AH29" s="135"/>
      <c r="AI29" s="135"/>
    </row>
    <row r="30" spans="1:41" ht="15.75" thickBot="1" x14ac:dyDescent="0.3">
      <c r="AC30" s="27" t="s">
        <v>817</v>
      </c>
    </row>
    <row r="31" spans="1:41" ht="16.5" thickBot="1" x14ac:dyDescent="0.3">
      <c r="B31" s="77" t="s">
        <v>847</v>
      </c>
      <c r="C31" s="110"/>
      <c r="D31" s="110"/>
      <c r="E31" s="103"/>
      <c r="F31" s="103"/>
      <c r="G31" s="110"/>
      <c r="H31" s="110"/>
      <c r="I31" s="110"/>
      <c r="J31" s="110"/>
      <c r="K31" s="110"/>
      <c r="L31" s="492"/>
      <c r="N31" s="111" t="s">
        <v>278</v>
      </c>
      <c r="O31" s="449" t="s">
        <v>293</v>
      </c>
      <c r="P31" s="450" t="s">
        <v>294</v>
      </c>
      <c r="Q31" s="112" t="s">
        <v>279</v>
      </c>
      <c r="R31" s="113"/>
      <c r="S31" s="113"/>
      <c r="T31" s="113"/>
      <c r="U31" s="113"/>
      <c r="V31" s="113"/>
      <c r="W31" s="113"/>
      <c r="X31" s="113"/>
      <c r="Y31" s="113"/>
      <c r="Z31" s="114"/>
      <c r="AC31" t="s">
        <v>57</v>
      </c>
      <c r="AD31" s="135">
        <f t="shared" ref="AD31:AE34" si="3">AD7/$AG7-1</f>
        <v>1.5763969964256961</v>
      </c>
      <c r="AE31" s="135">
        <f t="shared" si="3"/>
        <v>1.168862419853907</v>
      </c>
      <c r="AF31" s="135">
        <f>AF7/$AG7-1</f>
        <v>0.72910196059792165</v>
      </c>
      <c r="AG31" s="135">
        <f>AG7/$AG7-1</f>
        <v>0</v>
      </c>
      <c r="AH31" s="135">
        <f>AH7/$AG7-1</f>
        <v>0.48200202915823165</v>
      </c>
      <c r="AI31" s="135">
        <f>AI7/$AG7-1</f>
        <v>0.21935183087771182</v>
      </c>
    </row>
    <row r="32" spans="1:41" ht="17.25" customHeight="1" x14ac:dyDescent="0.25">
      <c r="A32" s="446">
        <v>41</v>
      </c>
      <c r="B32" s="321">
        <f>INDEX(TestSummary!$A$1:$BL$366,'J1634 Calcs'!$A32,'J1634 Calcs'!B$5)</f>
        <v>62007023</v>
      </c>
      <c r="C32" s="321" t="str">
        <f>INDEX(TestSummary!$A$1:$BL$366,'J1634 Calcs'!$A32,'J1634 Calcs'!C$5)</f>
        <v>UDDS 1 , Combined</v>
      </c>
      <c r="D32" s="307" t="str">
        <f>INDEX(TestSummary!$A$1:$BL$366,'J1634 Calcs'!$A32,'J1634 Calcs'!D$5)</f>
        <v>J1634 MCT, FWD (2WD) mode, using MAINTENANCE MODE, E-PEDAL ON, Robot Driver, UDDS-HWY-UDDS-US06</v>
      </c>
      <c r="E32" s="352">
        <f>INDEX(TestSummary!$A$1:$BL$366,'J1634 Calcs'!$A32,'J1634 Calcs'!E$5)</f>
        <v>0</v>
      </c>
      <c r="F32" s="352">
        <f>INDEX(TestSummary!$A$1:$BL$366,'J1634 Calcs'!$A32,'J1634 Calcs'!F$5)</f>
        <v>23.087074000000001</v>
      </c>
      <c r="G32" s="115">
        <f>INDEX(TestSummary!$A$1:$BL$366,'J1634 Calcs'!$A32,'J1634 Calcs'!G$5)</f>
        <v>215.64891551608372</v>
      </c>
      <c r="H32" s="115">
        <f>INDEX(TestSummary!$A$1:$BL$366,'J1634 Calcs'!$A32,'J1634 Calcs'!H$5)</f>
        <v>-378</v>
      </c>
      <c r="I32" s="115">
        <f>INDEX(TestSummary!$A$1:$BL$366,'J1634 Calcs'!$A32,'J1634 Calcs'!I$5)</f>
        <v>1223</v>
      </c>
      <c r="J32" s="116">
        <f>INDEX(TestSummary!$A$1:$BL$366,'J1634 Calcs'!$A32,'J1634 Calcs'!J$5)</f>
        <v>95.9</v>
      </c>
      <c r="K32" s="117">
        <f>INDEX(TestSummary!$A$1:$BL$366,'J1634 Calcs'!$A32,'J1634 Calcs'!K$5)</f>
        <v>215.64891551608372</v>
      </c>
      <c r="L32" s="138"/>
      <c r="N32" s="118" t="s">
        <v>846</v>
      </c>
      <c r="O32" s="139">
        <f>TestSummary!AU61</f>
        <v>68019.200000000012</v>
      </c>
      <c r="P32" s="236">
        <f>$O$32</f>
        <v>68019.200000000012</v>
      </c>
      <c r="Q32" s="119" t="s">
        <v>16</v>
      </c>
      <c r="R32" s="120" t="s">
        <v>1</v>
      </c>
      <c r="S32" s="120" t="s">
        <v>392</v>
      </c>
      <c r="T32" s="121" t="s">
        <v>281</v>
      </c>
      <c r="U32" s="120" t="s">
        <v>282</v>
      </c>
      <c r="V32" s="121" t="s">
        <v>283</v>
      </c>
      <c r="W32" s="122" t="s">
        <v>947</v>
      </c>
      <c r="X32" s="123" t="s">
        <v>284</v>
      </c>
      <c r="Y32" s="122" t="s">
        <v>285</v>
      </c>
      <c r="Z32" s="124"/>
      <c r="AC32" t="s">
        <v>55</v>
      </c>
      <c r="AD32" s="135">
        <f t="shared" si="3"/>
        <v>0.6351783849290813</v>
      </c>
      <c r="AE32" s="135">
        <f t="shared" si="3"/>
        <v>0.38133138609294526</v>
      </c>
      <c r="AF32" s="135">
        <f t="shared" ref="AF32:AI34" si="4">AF8/$AG8-1</f>
        <v>0.30679944898124711</v>
      </c>
      <c r="AG32" s="135">
        <f t="shared" si="4"/>
        <v>0</v>
      </c>
      <c r="AH32" s="135">
        <f t="shared" si="4"/>
        <v>6.0030652295844034E-2</v>
      </c>
      <c r="AI32" s="135">
        <f t="shared" si="4"/>
        <v>1.7772008333045708E-2</v>
      </c>
      <c r="AO32" s="85"/>
    </row>
    <row r="33" spans="1:51" x14ac:dyDescent="0.25">
      <c r="A33" s="446">
        <f>A32+1</f>
        <v>42</v>
      </c>
      <c r="B33" s="321">
        <f>INDEX(TestSummary!$A$1:$BL$366,'J1634 Calcs'!$A33,'J1634 Calcs'!B$5)</f>
        <v>62007023</v>
      </c>
      <c r="C33" s="321" t="str">
        <f>INDEX(TestSummary!$A$1:$BL$366,'J1634 Calcs'!$A33,'J1634 Calcs'!C$5)</f>
        <v>HWY 1</v>
      </c>
      <c r="D33" s="307" t="str">
        <f>INDEX(TestSummary!$A$1:$BL$366,'J1634 Calcs'!$A33,'J1634 Calcs'!D$5)</f>
        <v>J1634 MCT, FWD (2WD) mode, using MAINTENANCE MODE, E-PEDAL ON, Robot Driver, UDDS-HWY-UDDS-US06</v>
      </c>
      <c r="E33" s="352">
        <f>INDEX(TestSummary!$A$1:$BL$366,'J1634 Calcs'!$A33,'J1634 Calcs'!E$5)</f>
        <v>0</v>
      </c>
      <c r="F33" s="352">
        <f>INDEX(TestSummary!$A$1:$BL$366,'J1634 Calcs'!$A33,'J1634 Calcs'!F$5)</f>
        <v>25.021509000000002</v>
      </c>
      <c r="G33" s="115">
        <f>INDEX(TestSummary!$A$1:$BL$366,'J1634 Calcs'!$A33,'J1634 Calcs'!G$5)</f>
        <v>222.04513333886877</v>
      </c>
      <c r="H33" s="115">
        <f>INDEX(TestSummary!$A$1:$BL$366,'J1634 Calcs'!$A33,'J1634 Calcs'!H$5)</f>
        <v>1224</v>
      </c>
      <c r="I33" s="115">
        <f>INDEX(TestSummary!$A$1:$BL$366,'J1634 Calcs'!$A33,'J1634 Calcs'!I$5)</f>
        <v>3499</v>
      </c>
      <c r="J33" s="116">
        <f>INDEX(TestSummary!$A$1:$BL$366,'J1634 Calcs'!$A33,'J1634 Calcs'!J$5)</f>
        <v>92.6</v>
      </c>
      <c r="K33" s="117">
        <f>INDEX(TestSummary!$A$1:$BL$366,'J1634 Calcs'!$A33,'J1634 Calcs'!K$5)</f>
        <v>222.04513333886877</v>
      </c>
      <c r="L33" s="138"/>
      <c r="N33" s="125" t="s">
        <v>286</v>
      </c>
      <c r="O33" s="126">
        <f>TestSummary!W60-TestSummary!V39</f>
        <v>59240</v>
      </c>
      <c r="P33" s="126">
        <f>$O$33</f>
        <v>59240</v>
      </c>
      <c r="Q33" s="119" t="s">
        <v>287</v>
      </c>
      <c r="R33" s="120" t="s">
        <v>57</v>
      </c>
      <c r="S33" s="120">
        <v>3</v>
      </c>
      <c r="T33" s="121"/>
      <c r="U33" s="121">
        <f>(I32-H32)/O33</f>
        <v>2.7025658338960163E-2</v>
      </c>
      <c r="V33" s="121">
        <f>(1-U33)/S33</f>
        <v>0.32432478055367991</v>
      </c>
      <c r="W33" s="127">
        <f>U33*K32+(V33*K34)+(V33*K37)+(V33*K39)</f>
        <v>184.14565020910837</v>
      </c>
      <c r="X33" s="127">
        <f>P33/W33</f>
        <v>321.70186986621434</v>
      </c>
      <c r="Y33" s="128">
        <f>W33/T36</f>
        <v>211.43551334745757</v>
      </c>
      <c r="Z33" s="124"/>
      <c r="AC33" t="s">
        <v>818</v>
      </c>
      <c r="AD33" s="135">
        <f t="shared" si="3"/>
        <v>1.540989633139886</v>
      </c>
      <c r="AE33" s="135">
        <f t="shared" si="3"/>
        <v>0.92781398476901833</v>
      </c>
      <c r="AF33" s="135">
        <f t="shared" si="4"/>
        <v>0.80599757072305311</v>
      </c>
      <c r="AG33" s="135">
        <f t="shared" si="4"/>
        <v>0</v>
      </c>
      <c r="AH33" s="135">
        <f t="shared" si="4"/>
        <v>0.33950745457974763</v>
      </c>
      <c r="AI33" s="135">
        <f t="shared" si="4"/>
        <v>0.13784153576674019</v>
      </c>
      <c r="AK33" s="94"/>
      <c r="AL33" s="94"/>
      <c r="AM33" s="94"/>
      <c r="AO33" s="85"/>
      <c r="AP33" s="26"/>
      <c r="AQ33" s="26"/>
      <c r="AR33" s="26"/>
    </row>
    <row r="34" spans="1:51" x14ac:dyDescent="0.25">
      <c r="A34" s="446">
        <f>A33+3</f>
        <v>45</v>
      </c>
      <c r="B34" s="321">
        <f>INDEX(TestSummary!$A$1:$BL$366,'J1634 Calcs'!$A34,'J1634 Calcs'!B$5)</f>
        <v>62007023</v>
      </c>
      <c r="C34" s="321" t="str">
        <f>INDEX(TestSummary!$A$1:$BL$366,'J1634 Calcs'!$A34,'J1634 Calcs'!C$5)</f>
        <v>UDDS 2, combined</v>
      </c>
      <c r="D34" s="307" t="str">
        <f>INDEX(TestSummary!$A$1:$BL$366,'J1634 Calcs'!$A34,'J1634 Calcs'!D$5)</f>
        <v>J1634 MCT, FWD (2WD) mode, using MAINTENANCE MODE, E-PEDAL ON, Robot Driver, UDDS-HWY-UDDS-US06</v>
      </c>
      <c r="E34" s="352">
        <f>INDEX(TestSummary!$A$1:$BL$366,'J1634 Calcs'!$A34,'J1634 Calcs'!E$5)</f>
        <v>0</v>
      </c>
      <c r="F34" s="352">
        <f>INDEX(TestSummary!$A$1:$BL$366,'J1634 Calcs'!$A34,'J1634 Calcs'!F$5)</f>
        <v>20.3349665</v>
      </c>
      <c r="G34" s="115">
        <f>INDEX(TestSummary!$A$1:$BL$366,'J1634 Calcs'!$A34,'J1634 Calcs'!G$5)</f>
        <v>186.92043361807578</v>
      </c>
      <c r="H34" s="115">
        <f>INDEX(TestSummary!$A$1:$BL$366,'J1634 Calcs'!$A34,'J1634 Calcs'!H$5)</f>
        <v>3504</v>
      </c>
      <c r="I34" s="115">
        <f>INDEX(TestSummary!$A$1:$BL$366,'J1634 Calcs'!$A34,'J1634 Calcs'!I$5)</f>
        <v>4892</v>
      </c>
      <c r="J34" s="116">
        <f>INDEX(TestSummary!$A$1:$BL$366,'J1634 Calcs'!$A34,'J1634 Calcs'!J$5)</f>
        <v>90.5</v>
      </c>
      <c r="K34" s="117">
        <f>INDEX(TestSummary!$A$1:$BL$366,'J1634 Calcs'!$A34,'J1634 Calcs'!K$5)</f>
        <v>186.92043361807578</v>
      </c>
      <c r="L34" s="138"/>
      <c r="N34" s="450"/>
      <c r="O34" s="449"/>
      <c r="P34" s="450"/>
      <c r="Q34" s="119" t="s">
        <v>287</v>
      </c>
      <c r="R34" s="120" t="s">
        <v>55</v>
      </c>
      <c r="S34" s="120">
        <v>2</v>
      </c>
      <c r="T34" s="121">
        <f>1/S34</f>
        <v>0.5</v>
      </c>
      <c r="U34" s="121"/>
      <c r="V34" s="121"/>
      <c r="W34" s="127">
        <f>T34*K33*2</f>
        <v>222.04513333886877</v>
      </c>
      <c r="X34" s="127">
        <f>P33/W34</f>
        <v>266.79260702189009</v>
      </c>
      <c r="Y34" s="128">
        <f>W34/T36</f>
        <v>254.95159239708281</v>
      </c>
      <c r="Z34" s="124"/>
      <c r="AC34" t="s">
        <v>210</v>
      </c>
      <c r="AD34" s="135">
        <f t="shared" si="3"/>
        <v>0.48974475063709821</v>
      </c>
      <c r="AE34" s="135">
        <f t="shared" si="3"/>
        <v>0.24541819687320165</v>
      </c>
      <c r="AF34" s="135">
        <f t="shared" si="4"/>
        <v>0.21031729420516965</v>
      </c>
      <c r="AG34" s="135">
        <f t="shared" si="4"/>
        <v>0</v>
      </c>
      <c r="AH34" s="135">
        <f t="shared" si="4"/>
        <v>3.4578521423382913E-2</v>
      </c>
      <c r="AI34" s="135">
        <f t="shared" si="4"/>
        <v>2.3397013182908655E-3</v>
      </c>
      <c r="AK34" s="94"/>
      <c r="AL34" s="94"/>
      <c r="AM34" s="94"/>
      <c r="AO34" s="85"/>
    </row>
    <row r="35" spans="1:51" x14ac:dyDescent="0.25">
      <c r="A35" s="446">
        <f>A34+3</f>
        <v>48</v>
      </c>
      <c r="B35" s="321">
        <f>INDEX(TestSummary!$A$1:$BL$366,'J1634 Calcs'!$A35,'J1634 Calcs'!B$5)</f>
        <v>62007023</v>
      </c>
      <c r="C35" s="321" t="str">
        <f>INDEX(TestSummary!$A$1:$BL$366,'J1634 Calcs'!$A35,'J1634 Calcs'!C$5)</f>
        <v>US06 1, combined</v>
      </c>
      <c r="D35" s="307" t="str">
        <f>INDEX(TestSummary!$A$1:$BL$366,'J1634 Calcs'!$A35,'J1634 Calcs'!D$5)</f>
        <v>J1634 MCT, FWD (2WD) mode, using MAINTENANCE MODE, E-PEDAL ON, Robot Driver, UDDS-HWY-UDDS-US06</v>
      </c>
      <c r="E35" s="352">
        <f>INDEX(TestSummary!$A$1:$BL$366,'J1634 Calcs'!$A35,'J1634 Calcs'!E$5)</f>
        <v>0</v>
      </c>
      <c r="F35" s="352">
        <f>INDEX(TestSummary!$A$1:$BL$366,'J1634 Calcs'!$A35,'J1634 Calcs'!F$5)</f>
        <v>25.146729999999998</v>
      </c>
      <c r="G35" s="115">
        <f>INDEX(TestSummary!$A$1:$BL$366,'J1634 Calcs'!$A35,'J1634 Calcs'!G$5)</f>
        <v>301.41035271617523</v>
      </c>
      <c r="H35" s="115">
        <f>INDEX(TestSummary!$A$1:$BL$366,'J1634 Calcs'!$A35,'J1634 Calcs'!H$5)</f>
        <v>4897</v>
      </c>
      <c r="I35" s="115">
        <f>INDEX(TestSummary!$A$1:$BL$366,'J1634 Calcs'!$A35,'J1634 Calcs'!I$5)</f>
        <v>7124</v>
      </c>
      <c r="J35" s="116">
        <f>INDEX(TestSummary!$A$1:$BL$366,'J1634 Calcs'!$A35,'J1634 Calcs'!J$5)</f>
        <v>87.1</v>
      </c>
      <c r="K35" s="117">
        <f>INDEX(TestSummary!$A$1:$BL$366,'J1634 Calcs'!$A35,'J1634 Calcs'!K$5)</f>
        <v>301.41035271617523</v>
      </c>
      <c r="L35" s="138"/>
      <c r="N35" s="125" t="s">
        <v>819</v>
      </c>
      <c r="O35" s="126">
        <f>TestSummary!W60-TestSummary!V39</f>
        <v>59240</v>
      </c>
      <c r="P35" s="126">
        <f>$O$35</f>
        <v>59240</v>
      </c>
      <c r="Q35" s="119" t="s">
        <v>287</v>
      </c>
      <c r="R35" s="120" t="s">
        <v>210</v>
      </c>
      <c r="S35" s="120">
        <v>2</v>
      </c>
      <c r="T35" s="121">
        <f>1/S35</f>
        <v>0.5</v>
      </c>
      <c r="U35" s="121"/>
      <c r="V35" s="121"/>
      <c r="W35" s="127">
        <f>T35*K35*2</f>
        <v>301.41035271617523</v>
      </c>
      <c r="X35" s="127">
        <f>P33/W35</f>
        <v>196.54268496803653</v>
      </c>
      <c r="Y35" s="128">
        <f>W35/T36</f>
        <v>346.07851221256027</v>
      </c>
      <c r="Z35" s="124"/>
      <c r="AD35" s="135"/>
      <c r="AE35" s="135"/>
      <c r="AF35" s="135"/>
      <c r="AG35" s="135"/>
      <c r="AH35" s="135"/>
      <c r="AI35" s="135"/>
      <c r="AK35" s="94"/>
      <c r="AL35" s="94"/>
      <c r="AM35" s="94"/>
      <c r="AO35" s="85"/>
    </row>
    <row r="36" spans="1:51" ht="15.75" thickBot="1" x14ac:dyDescent="0.3">
      <c r="A36" s="446">
        <f>A35+4</f>
        <v>52</v>
      </c>
      <c r="B36" s="321">
        <f>INDEX(TestSummary!$A$1:$BL$366,'J1634 Calcs'!$A36,'J1634 Calcs'!B$5)</f>
        <v>62007025</v>
      </c>
      <c r="C36" s="321" t="str">
        <f>INDEX(TestSummary!$A$1:$BL$366,'J1634 Calcs'!$A36,'J1634 Calcs'!C$5)</f>
        <v>US06 2, combined</v>
      </c>
      <c r="D36" s="307" t="str">
        <f>INDEX(TestSummary!$A$1:$BL$366,'J1634 Calcs'!$A36,'J1634 Calcs'!D$5)</f>
        <v>J1634 MCT, FWD (2WD) mode, using MAINTENANCE MODE, E-PEDAL ON, Robot Driver, US06-UDDS-HWY-UDDS</v>
      </c>
      <c r="E36" s="352">
        <f>INDEX(TestSummary!$A$1:$BL$366,'J1634 Calcs'!$A36,'J1634 Calcs'!E$5)</f>
        <v>0</v>
      </c>
      <c r="F36" s="352">
        <f>INDEX(TestSummary!$A$1:$BL$366,'J1634 Calcs'!$A36,'J1634 Calcs'!F$5)</f>
        <v>24.259021000000001</v>
      </c>
      <c r="G36" s="115">
        <f>INDEX(TestSummary!$A$1:$BL$366,'J1634 Calcs'!$A36,'J1634 Calcs'!G$5)</f>
        <v>296.12242842644901</v>
      </c>
      <c r="H36" s="115">
        <f>INDEX(TestSummary!$A$1:$BL$366,'J1634 Calcs'!$A36,'J1634 Calcs'!H$5)</f>
        <v>46583</v>
      </c>
      <c r="I36" s="115">
        <f>INDEX(TestSummary!$A$1:$BL$366,'J1634 Calcs'!$A36,'J1634 Calcs'!I$5)</f>
        <v>48776</v>
      </c>
      <c r="J36" s="116">
        <f>INDEX(TestSummary!$A$1:$BL$366,'J1634 Calcs'!$A36,'J1634 Calcs'!J$5)</f>
        <v>18.399999999999999</v>
      </c>
      <c r="K36" s="117">
        <f>INDEX(TestSummary!$A$1:$BL$366,'J1634 Calcs'!$A36,'J1634 Calcs'!K$5)</f>
        <v>296.12242842644901</v>
      </c>
      <c r="L36" s="138"/>
      <c r="Q36" s="129" t="s">
        <v>287</v>
      </c>
      <c r="R36" s="130" t="s">
        <v>290</v>
      </c>
      <c r="S36" s="130"/>
      <c r="T36" s="245">
        <f>O33/O32</f>
        <v>0.87093056078283759</v>
      </c>
      <c r="U36" s="131"/>
      <c r="V36" s="131"/>
      <c r="W36" s="132" t="s">
        <v>274</v>
      </c>
      <c r="X36" s="132" t="s">
        <v>291</v>
      </c>
      <c r="Y36" s="133" t="s">
        <v>289</v>
      </c>
      <c r="Z36" s="134"/>
      <c r="AC36" s="27" t="s">
        <v>292</v>
      </c>
      <c r="AD36" s="33"/>
      <c r="AE36" s="33"/>
      <c r="AF36" s="33"/>
      <c r="AG36" s="33"/>
      <c r="AH36" s="33"/>
    </row>
    <row r="37" spans="1:51" x14ac:dyDescent="0.25">
      <c r="A37" s="446">
        <f>A36+3</f>
        <v>55</v>
      </c>
      <c r="B37" s="321">
        <f>INDEX(TestSummary!$A$1:$BL$366,'J1634 Calcs'!$A37,'J1634 Calcs'!B$5)</f>
        <v>62007025</v>
      </c>
      <c r="C37" s="321" t="str">
        <f>INDEX(TestSummary!$A$1:$BL$366,'J1634 Calcs'!$A37,'J1634 Calcs'!C$5)</f>
        <v>UDDS 3, combined</v>
      </c>
      <c r="D37" s="307" t="str">
        <f>INDEX(TestSummary!$A$1:$BL$366,'J1634 Calcs'!$A37,'J1634 Calcs'!D$5)</f>
        <v>J1634 MCT, FWD (2WD) mode, using MAINTENANCE MODE, E-PEDAL ON, Robot Driver, US06-UDDS-HWY-UDDS</v>
      </c>
      <c r="E37" s="352">
        <f>INDEX(TestSummary!$A$1:$BL$366,'J1634 Calcs'!$A37,'J1634 Calcs'!E$5)</f>
        <v>0</v>
      </c>
      <c r="F37" s="352">
        <f>INDEX(TestSummary!$A$1:$BL$366,'J1634 Calcs'!$A37,'J1634 Calcs'!F$5)</f>
        <v>20.935992499999998</v>
      </c>
      <c r="G37" s="115">
        <f>INDEX(TestSummary!$A$1:$BL$366,'J1634 Calcs'!$A37,'J1634 Calcs'!G$5)</f>
        <v>181.70035662459648</v>
      </c>
      <c r="H37" s="115">
        <f>INDEX(TestSummary!$A$1:$BL$366,'J1634 Calcs'!$A37,'J1634 Calcs'!H$5)</f>
        <v>48956</v>
      </c>
      <c r="I37" s="115">
        <f>INDEX(TestSummary!$A$1:$BL$366,'J1634 Calcs'!$A37,'J1634 Calcs'!I$5)</f>
        <v>50305</v>
      </c>
      <c r="J37" s="116">
        <f>INDEX(TestSummary!$A$1:$BL$366,'J1634 Calcs'!$A37,'J1634 Calcs'!J$5)</f>
        <v>15.7</v>
      </c>
      <c r="K37" s="117">
        <f>INDEX(TestSummary!$A$1:$BL$366,'J1634 Calcs'!$A37,'J1634 Calcs'!K$5)</f>
        <v>181.70035662459648</v>
      </c>
      <c r="L37" s="138"/>
      <c r="AC37" t="s">
        <v>57</v>
      </c>
      <c r="AD37" s="94">
        <f>X11</f>
        <v>125.55883340318425</v>
      </c>
      <c r="AE37" s="94">
        <f>X18</f>
        <v>164.39210073882853</v>
      </c>
      <c r="AF37" s="94">
        <f>X26</f>
        <v>177.10435600091202</v>
      </c>
      <c r="AG37" s="94">
        <f>X33</f>
        <v>321.70186986621434</v>
      </c>
      <c r="AH37" s="94">
        <f>X55</f>
        <v>237.36188162410329</v>
      </c>
      <c r="AI37" s="94">
        <f>X63</f>
        <v>280.26848592850246</v>
      </c>
      <c r="AK37" s="135">
        <f>(AK54-AK53)/AK53</f>
        <v>-0.10964146636229366</v>
      </c>
      <c r="AO37" s="135">
        <f>(AO54-AO53)/AO53</f>
        <v>-6.2084257206208429E-2</v>
      </c>
      <c r="AP37" s="26"/>
      <c r="AS37" s="135">
        <f>(AS54-AS53)/AS53</f>
        <v>3</v>
      </c>
      <c r="AW37" s="135">
        <f>(AW54-AW53)/AW53</f>
        <v>2.315252074026803</v>
      </c>
    </row>
    <row r="38" spans="1:51" x14ac:dyDescent="0.25">
      <c r="A38" s="446">
        <f>A37+1</f>
        <v>56</v>
      </c>
      <c r="B38" s="321">
        <f>INDEX(TestSummary!$A$1:$BL$366,'J1634 Calcs'!$A38,'J1634 Calcs'!B$5)</f>
        <v>62007025</v>
      </c>
      <c r="C38" s="321" t="str">
        <f>INDEX(TestSummary!$A$1:$BL$366,'J1634 Calcs'!$A38,'J1634 Calcs'!C$5)</f>
        <v>HWY</v>
      </c>
      <c r="D38" s="307" t="str">
        <f>INDEX(TestSummary!$A$1:$BL$366,'J1634 Calcs'!$A38,'J1634 Calcs'!D$5)</f>
        <v>J1634 MCT, FWD (2WD) mode, using MAINTENANCE MODE, E-PEDAL ON, Robot Driver, US06-UDDS-HWY-UDDS</v>
      </c>
      <c r="E38" s="352">
        <f>INDEX(TestSummary!$A$1:$BL$366,'J1634 Calcs'!$A38,'J1634 Calcs'!E$5)</f>
        <v>0</v>
      </c>
      <c r="F38" s="352">
        <f>INDEX(TestSummary!$A$1:$BL$366,'J1634 Calcs'!$A38,'J1634 Calcs'!F$5)</f>
        <v>25.654754000000001</v>
      </c>
      <c r="G38" s="115">
        <f>INDEX(TestSummary!$A$1:$BL$366,'J1634 Calcs'!$A38,'J1634 Calcs'!G$5)</f>
        <v>214.8255250820435</v>
      </c>
      <c r="H38" s="115">
        <f>INDEX(TestSummary!$A$1:$BL$366,'J1634 Calcs'!$A38,'J1634 Calcs'!H$5)</f>
        <v>50305</v>
      </c>
      <c r="I38" s="115">
        <f>INDEX(TestSummary!$A$1:$BL$366,'J1634 Calcs'!$A38,'J1634 Calcs'!I$5)</f>
        <v>52506</v>
      </c>
      <c r="J38" s="116">
        <f>INDEX(TestSummary!$A$1:$BL$366,'J1634 Calcs'!$A38,'J1634 Calcs'!J$5)</f>
        <v>11.8</v>
      </c>
      <c r="K38" s="117">
        <f>INDEX(TestSummary!$A$1:$BL$366,'J1634 Calcs'!$A38,'J1634 Calcs'!K$5)</f>
        <v>214.8255250820435</v>
      </c>
      <c r="L38" s="138"/>
      <c r="AC38" t="s">
        <v>55</v>
      </c>
      <c r="AD38" s="94">
        <f>X12</f>
        <v>164.97209390875634</v>
      </c>
      <c r="AE38" s="94">
        <f>X19</f>
        <v>195.28898336198213</v>
      </c>
      <c r="AF38" s="94">
        <f>X27</f>
        <v>206.42708587487323</v>
      </c>
      <c r="AG38" s="94">
        <f>X34</f>
        <v>266.79260702189009</v>
      </c>
      <c r="AH38" s="94">
        <f>X56</f>
        <v>254.48207699639414</v>
      </c>
      <c r="AI38" s="94">
        <f>X64</f>
        <v>265.04836040628823</v>
      </c>
    </row>
    <row r="39" spans="1:51" x14ac:dyDescent="0.25">
      <c r="A39" s="446">
        <f>A38+3</f>
        <v>59</v>
      </c>
      <c r="B39" s="321">
        <f>INDEX(TestSummary!$A$1:$BL$366,'J1634 Calcs'!$A39,'J1634 Calcs'!B$5)</f>
        <v>62007025</v>
      </c>
      <c r="C39" s="321" t="str">
        <f>INDEX(TestSummary!$A$1:$BL$366,'J1634 Calcs'!$A39,'J1634 Calcs'!C$5)</f>
        <v>UDDS 4, combined</v>
      </c>
      <c r="D39" s="307" t="str">
        <f>INDEX(TestSummary!$A$1:$BL$366,'J1634 Calcs'!$A39,'J1634 Calcs'!D$5)</f>
        <v>J1634 MCT, FWD (2WD) mode, using MAINTENANCE MODE, E-PEDAL ON, Robot Driver, US06-UDDS-HWY-UDDS</v>
      </c>
      <c r="E39" s="352">
        <f>INDEX(TestSummary!$A$1:$BL$366,'J1634 Calcs'!$A39,'J1634 Calcs'!E$5)</f>
        <v>0</v>
      </c>
      <c r="F39" s="352">
        <f>INDEX(TestSummary!$A$1:$BL$366,'J1634 Calcs'!$A39,'J1634 Calcs'!F$5)</f>
        <v>20.149991</v>
      </c>
      <c r="G39" s="115">
        <f>INDEX(TestSummary!$A$1:$BL$366,'J1634 Calcs'!$A39,'J1634 Calcs'!G$5)</f>
        <v>181.1910249161437</v>
      </c>
      <c r="H39" s="115">
        <f>INDEX(TestSummary!$A$1:$BL$366,'J1634 Calcs'!$A39,'J1634 Calcs'!H$5)</f>
        <v>52513</v>
      </c>
      <c r="I39" s="115">
        <f>INDEX(TestSummary!$A$1:$BL$366,'J1634 Calcs'!$A39,'J1634 Calcs'!I$5)</f>
        <v>53859</v>
      </c>
      <c r="J39" s="116">
        <f>INDEX(TestSummary!$A$1:$BL$366,'J1634 Calcs'!$A39,'J1634 Calcs'!J$5)</f>
        <v>9.4</v>
      </c>
      <c r="K39" s="117">
        <f>INDEX(TestSummary!$A$1:$BL$366,'J1634 Calcs'!$A39,'J1634 Calcs'!K$5)</f>
        <v>181.1910249161437</v>
      </c>
      <c r="L39" s="138"/>
      <c r="AC39" t="s">
        <v>210</v>
      </c>
      <c r="AD39" s="94">
        <f>X13</f>
        <v>131.93044303997976</v>
      </c>
      <c r="AE39" s="94">
        <f>X20</f>
        <v>157.81260098935817</v>
      </c>
      <c r="AF39" s="94">
        <f>X28</f>
        <v>162.38938822824019</v>
      </c>
      <c r="AG39" s="94">
        <f>X35</f>
        <v>196.54268496803653</v>
      </c>
      <c r="AH39" s="94">
        <f>X57</f>
        <v>189.97367613782589</v>
      </c>
      <c r="AI39" s="94">
        <f>X65</f>
        <v>196.08390719188407</v>
      </c>
    </row>
    <row r="40" spans="1:51" ht="15.75" thickBot="1" x14ac:dyDescent="0.3">
      <c r="AK40" s="507" t="s">
        <v>820</v>
      </c>
      <c r="AL40" s="507"/>
      <c r="AM40" s="507"/>
      <c r="AO40" s="507" t="s">
        <v>821</v>
      </c>
      <c r="AP40" s="507"/>
      <c r="AQ40" s="507"/>
      <c r="AS40" s="507" t="s">
        <v>822</v>
      </c>
      <c r="AT40" s="507"/>
      <c r="AU40" s="507"/>
      <c r="AW40" s="507" t="s">
        <v>823</v>
      </c>
      <c r="AX40" s="507"/>
      <c r="AY40" s="507"/>
    </row>
    <row r="41" spans="1:51" ht="16.5" thickBot="1" x14ac:dyDescent="0.3">
      <c r="B41" s="77" t="s">
        <v>848</v>
      </c>
      <c r="C41" s="110"/>
      <c r="D41" s="110"/>
      <c r="E41" s="103"/>
      <c r="F41" s="103"/>
      <c r="G41" s="110"/>
      <c r="H41" s="110"/>
      <c r="I41" s="110"/>
      <c r="J41" s="110"/>
      <c r="K41" s="110"/>
      <c r="L41" s="492"/>
      <c r="N41" s="111" t="s">
        <v>278</v>
      </c>
      <c r="O41" s="17" t="s">
        <v>293</v>
      </c>
      <c r="P41" t="s">
        <v>294</v>
      </c>
      <c r="Q41" s="112" t="s">
        <v>279</v>
      </c>
      <c r="R41" s="113"/>
      <c r="S41" s="113"/>
      <c r="T41" s="113"/>
      <c r="U41" s="113"/>
      <c r="V41" s="113"/>
      <c r="W41" s="113"/>
      <c r="X41" s="113"/>
      <c r="Y41" s="113"/>
      <c r="Z41" s="114"/>
      <c r="AC41" t="s">
        <v>842</v>
      </c>
      <c r="AD41">
        <v>79218.399999999994</v>
      </c>
      <c r="AE41">
        <v>89577</v>
      </c>
      <c r="AF41" s="445">
        <f>AD41/AE41</f>
        <v>0.88436094086651706</v>
      </c>
    </row>
    <row r="42" spans="1:51" x14ac:dyDescent="0.25">
      <c r="A42" s="446">
        <v>65</v>
      </c>
      <c r="B42" s="321">
        <f>INDEX(TestSummary!$A$1:$BL$366,'J1634 Calcs'!$A42,'J1634 Calcs'!B$5)</f>
        <v>62008001</v>
      </c>
      <c r="C42" s="321" t="str">
        <f>INDEX(TestSummary!$A$1:$BL$366,'J1634 Calcs'!$A42,'J1634 Calcs'!C$5)</f>
        <v>UDDS 1 , Combined</v>
      </c>
      <c r="D42" s="307" t="str">
        <f>INDEX(TestSummary!$A$1:$BL$366,'J1634 Calcs'!$A42,'J1634 Calcs'!D$5)</f>
        <v>J1634 MCT, Repeat #1, using Maintenance Mode, E-Pedal ON, UDDS-HWY-UDDS-US06</v>
      </c>
      <c r="E42" s="352">
        <f>INDEX(TestSummary!$A$1:$BL$366,'J1634 Calcs'!$A42,'J1634 Calcs'!E$5)</f>
        <v>0</v>
      </c>
      <c r="F42" s="352">
        <f>INDEX(TestSummary!$A$1:$BL$366,'J1634 Calcs'!$A42,'J1634 Calcs'!F$5)</f>
        <v>21.840674</v>
      </c>
      <c r="G42" s="115">
        <f>INDEX(TestSummary!$A$1:$BL$366,'J1634 Calcs'!$A42,'J1634 Calcs'!G$5)</f>
        <v>209.4282460330657</v>
      </c>
      <c r="H42" s="115">
        <f>INDEX(TestSummary!$A$1:$BL$366,'J1634 Calcs'!$A42,'J1634 Calcs'!H$5)</f>
        <v>12</v>
      </c>
      <c r="I42" s="115">
        <f>INDEX(TestSummary!$A$1:$BL$366,'J1634 Calcs'!$A42,'J1634 Calcs'!I$5)</f>
        <v>1567</v>
      </c>
      <c r="J42" s="116">
        <f>INDEX(TestSummary!$A$1:$BL$366,'J1634 Calcs'!$A42,'J1634 Calcs'!J$5)</f>
        <v>95.3</v>
      </c>
      <c r="K42" s="117">
        <f>INDEX(TestSummary!$A$1:$BL$366,'J1634 Calcs'!$A42,'J1634 Calcs'!K$5)</f>
        <v>209.4282460330657</v>
      </c>
      <c r="L42" s="138"/>
      <c r="N42" s="118" t="s">
        <v>846</v>
      </c>
      <c r="O42" s="139">
        <f>TestSummary!AU85</f>
        <v>67998.200000000012</v>
      </c>
      <c r="P42" s="236">
        <f>$O$32</f>
        <v>68019.200000000012</v>
      </c>
      <c r="Q42" s="119" t="s">
        <v>16</v>
      </c>
      <c r="R42" s="120" t="s">
        <v>1</v>
      </c>
      <c r="S42" s="120" t="s">
        <v>392</v>
      </c>
      <c r="T42" s="121" t="s">
        <v>281</v>
      </c>
      <c r="U42" s="120" t="s">
        <v>282</v>
      </c>
      <c r="V42" s="121" t="s">
        <v>283</v>
      </c>
      <c r="W42" s="122" t="s">
        <v>947</v>
      </c>
      <c r="X42" s="123" t="s">
        <v>284</v>
      </c>
      <c r="Y42" s="122" t="s">
        <v>285</v>
      </c>
      <c r="Z42" s="124"/>
      <c r="AC42" t="s">
        <v>843</v>
      </c>
      <c r="AD42">
        <v>79764.800000000003</v>
      </c>
      <c r="AE42">
        <v>89907</v>
      </c>
      <c r="AF42" s="445">
        <f>AD42/AE42</f>
        <v>0.88719232095387457</v>
      </c>
    </row>
    <row r="43" spans="1:51" x14ac:dyDescent="0.25">
      <c r="A43" s="446">
        <f>A42+1</f>
        <v>66</v>
      </c>
      <c r="B43" s="321">
        <f>INDEX(TestSummary!$A$1:$BL$366,'J1634 Calcs'!$A43,'J1634 Calcs'!B$5)</f>
        <v>62008001</v>
      </c>
      <c r="C43" s="321" t="str">
        <f>INDEX(TestSummary!$A$1:$BL$366,'J1634 Calcs'!$A43,'J1634 Calcs'!C$5)</f>
        <v>HWY 1</v>
      </c>
      <c r="D43" s="307" t="str">
        <f>INDEX(TestSummary!$A$1:$BL$366,'J1634 Calcs'!$A43,'J1634 Calcs'!D$5)</f>
        <v>J1634 MCT, Repeat #1, using Maintenance Mode, E-Pedal ON, UDDS-HWY-UDDS-US06</v>
      </c>
      <c r="E43" s="352">
        <f>INDEX(TestSummary!$A$1:$BL$366,'J1634 Calcs'!$A43,'J1634 Calcs'!E$5)</f>
        <v>0</v>
      </c>
      <c r="F43" s="352">
        <f>INDEX(TestSummary!$A$1:$BL$366,'J1634 Calcs'!$A43,'J1634 Calcs'!F$5)</f>
        <v>25.001605000000001</v>
      </c>
      <c r="G43" s="115">
        <f>INDEX(TestSummary!$A$1:$BL$366,'J1634 Calcs'!$A43,'J1634 Calcs'!G$5)</f>
        <v>219.60358492135728</v>
      </c>
      <c r="H43" s="115">
        <f>INDEX(TestSummary!$A$1:$BL$366,'J1634 Calcs'!$A43,'J1634 Calcs'!H$5)</f>
        <v>1568</v>
      </c>
      <c r="I43" s="115">
        <f>INDEX(TestSummary!$A$1:$BL$366,'J1634 Calcs'!$A43,'J1634 Calcs'!I$5)</f>
        <v>3818</v>
      </c>
      <c r="J43" s="116">
        <f>INDEX(TestSummary!$A$1:$BL$366,'J1634 Calcs'!$A43,'J1634 Calcs'!J$5)</f>
        <v>92</v>
      </c>
      <c r="K43" s="117">
        <f>INDEX(TestSummary!$A$1:$BL$366,'J1634 Calcs'!$A43,'J1634 Calcs'!K$5)</f>
        <v>219.60358492135728</v>
      </c>
      <c r="L43" s="138"/>
      <c r="N43" s="125" t="s">
        <v>286</v>
      </c>
      <c r="O43" s="126">
        <f>TestSummary!W84-TestSummary!V63</f>
        <v>58737</v>
      </c>
      <c r="P43" s="126">
        <f>$O$33</f>
        <v>59240</v>
      </c>
      <c r="Q43" s="119" t="s">
        <v>287</v>
      </c>
      <c r="R43" s="120" t="s">
        <v>57</v>
      </c>
      <c r="S43" s="120">
        <v>3</v>
      </c>
      <c r="T43" s="121"/>
      <c r="U43" s="121">
        <f>(I42-H42)/O43</f>
        <v>2.6473943170403663E-2</v>
      </c>
      <c r="V43" s="121">
        <f>(1-U43)/S43</f>
        <v>0.32450868560986545</v>
      </c>
      <c r="W43" s="127">
        <f>U43*K42+(V43*K44)+(V43*K47)+(V43*K49)</f>
        <v>182.53493932044316</v>
      </c>
      <c r="X43" s="127">
        <f>P43/W43</f>
        <v>324.54060696841816</v>
      </c>
      <c r="Y43" s="128">
        <f>W43/T46</f>
        <v>211.31564960585933</v>
      </c>
      <c r="Z43" s="124"/>
    </row>
    <row r="44" spans="1:51" x14ac:dyDescent="0.25">
      <c r="A44" s="446">
        <f>A43+3</f>
        <v>69</v>
      </c>
      <c r="B44" s="321">
        <f>INDEX(TestSummary!$A$1:$BL$366,'J1634 Calcs'!$A44,'J1634 Calcs'!B$5)</f>
        <v>62008001</v>
      </c>
      <c r="C44" s="321" t="str">
        <f>INDEX(TestSummary!$A$1:$BL$366,'J1634 Calcs'!$A44,'J1634 Calcs'!C$5)</f>
        <v>UDDS 2, combined</v>
      </c>
      <c r="D44" s="307" t="str">
        <f>INDEX(TestSummary!$A$1:$BL$366,'J1634 Calcs'!$A44,'J1634 Calcs'!D$5)</f>
        <v>J1634 MCT, Repeat #1, using Maintenance Mode, E-Pedal ON, UDDS-HWY-UDDS-US06</v>
      </c>
      <c r="E44" s="352">
        <f>INDEX(TestSummary!$A$1:$BL$366,'J1634 Calcs'!$A44,'J1634 Calcs'!E$5)</f>
        <v>0</v>
      </c>
      <c r="F44" s="352">
        <f>INDEX(TestSummary!$A$1:$BL$366,'J1634 Calcs'!$A44,'J1634 Calcs'!F$5)</f>
        <v>20.207065999999998</v>
      </c>
      <c r="G44" s="115">
        <f>INDEX(TestSummary!$A$1:$BL$366,'J1634 Calcs'!$A44,'J1634 Calcs'!G$5)</f>
        <v>184.48504647904815</v>
      </c>
      <c r="H44" s="115">
        <f>INDEX(TestSummary!$A$1:$BL$366,'J1634 Calcs'!$A44,'J1634 Calcs'!H$5)</f>
        <v>3825</v>
      </c>
      <c r="I44" s="115">
        <f>INDEX(TestSummary!$A$1:$BL$366,'J1634 Calcs'!$A44,'J1634 Calcs'!I$5)</f>
        <v>5195</v>
      </c>
      <c r="J44" s="116">
        <f>INDEX(TestSummary!$A$1:$BL$366,'J1634 Calcs'!$A44,'J1634 Calcs'!J$5)</f>
        <v>89.9</v>
      </c>
      <c r="K44" s="117">
        <f>INDEX(TestSummary!$A$1:$BL$366,'J1634 Calcs'!$A44,'J1634 Calcs'!K$5)</f>
        <v>184.48504647904815</v>
      </c>
      <c r="L44" s="138"/>
      <c r="Q44" s="119" t="s">
        <v>287</v>
      </c>
      <c r="R44" s="120" t="s">
        <v>55</v>
      </c>
      <c r="S44" s="120">
        <v>2</v>
      </c>
      <c r="T44" s="121">
        <f>1/S44</f>
        <v>0.5</v>
      </c>
      <c r="U44" s="121"/>
      <c r="V44" s="121"/>
      <c r="W44" s="127">
        <f>T44*K43*2</f>
        <v>219.60358492135728</v>
      </c>
      <c r="X44" s="127">
        <f>P43/W44</f>
        <v>269.7588020760889</v>
      </c>
      <c r="Y44" s="128">
        <f>W44/T46</f>
        <v>254.22899515125798</v>
      </c>
      <c r="Z44" s="124"/>
    </row>
    <row r="45" spans="1:51" x14ac:dyDescent="0.25">
      <c r="A45" s="446">
        <f>A44+3</f>
        <v>72</v>
      </c>
      <c r="B45" s="321">
        <f>INDEX(TestSummary!$A$1:$BL$366,'J1634 Calcs'!$A45,'J1634 Calcs'!B$5)</f>
        <v>62008001</v>
      </c>
      <c r="C45" s="321" t="str">
        <f>INDEX(TestSummary!$A$1:$BL$366,'J1634 Calcs'!$A45,'J1634 Calcs'!C$5)</f>
        <v>US06 1, combined</v>
      </c>
      <c r="D45" s="307" t="str">
        <f>INDEX(TestSummary!$A$1:$BL$366,'J1634 Calcs'!$A45,'J1634 Calcs'!D$5)</f>
        <v>J1634 MCT, Repeat #1, using Maintenance Mode, E-Pedal ON, UDDS-HWY-UDDS-US06</v>
      </c>
      <c r="E45" s="352">
        <f>INDEX(TestSummary!$A$1:$BL$366,'J1634 Calcs'!$A45,'J1634 Calcs'!E$5)</f>
        <v>0</v>
      </c>
      <c r="F45" s="352">
        <f>INDEX(TestSummary!$A$1:$BL$366,'J1634 Calcs'!$A45,'J1634 Calcs'!F$5)</f>
        <v>25.043946999999999</v>
      </c>
      <c r="G45" s="115">
        <f>INDEX(TestSummary!$A$1:$BL$366,'J1634 Calcs'!$A45,'J1634 Calcs'!G$5)</f>
        <v>299.87599770946281</v>
      </c>
      <c r="H45" s="115">
        <f>INDEX(TestSummary!$A$1:$BL$366,'J1634 Calcs'!$A45,'J1634 Calcs'!H$5)</f>
        <v>5199</v>
      </c>
      <c r="I45" s="115">
        <f>INDEX(TestSummary!$A$1:$BL$366,'J1634 Calcs'!$A45,'J1634 Calcs'!I$5)</f>
        <v>7415</v>
      </c>
      <c r="J45" s="116">
        <f>INDEX(TestSummary!$A$1:$BL$366,'J1634 Calcs'!$A45,'J1634 Calcs'!J$5)</f>
        <v>86.5</v>
      </c>
      <c r="K45" s="117">
        <f>INDEX(TestSummary!$A$1:$BL$366,'J1634 Calcs'!$A45,'J1634 Calcs'!K$5)</f>
        <v>299.87599770946281</v>
      </c>
      <c r="L45" s="138"/>
      <c r="N45" s="125" t="s">
        <v>819</v>
      </c>
      <c r="O45" s="126">
        <f>TestSummary!W346</f>
        <v>0</v>
      </c>
      <c r="P45" s="126">
        <f>$O$33</f>
        <v>59240</v>
      </c>
      <c r="Q45" s="119" t="s">
        <v>287</v>
      </c>
      <c r="R45" s="120" t="s">
        <v>210</v>
      </c>
      <c r="S45" s="120">
        <v>2</v>
      </c>
      <c r="T45" s="121">
        <f>1/S45</f>
        <v>0.5</v>
      </c>
      <c r="U45" s="121"/>
      <c r="V45" s="121"/>
      <c r="W45" s="127">
        <f>T45*K45*2</f>
        <v>299.87599770946281</v>
      </c>
      <c r="X45" s="127">
        <f>P43/W45</f>
        <v>197.54832148118481</v>
      </c>
      <c r="Y45" s="128">
        <f>W45/T46</f>
        <v>347.15814678052328</v>
      </c>
      <c r="Z45" s="124"/>
    </row>
    <row r="46" spans="1:51" ht="15.75" thickBot="1" x14ac:dyDescent="0.3">
      <c r="A46" s="446">
        <f>A45+4</f>
        <v>76</v>
      </c>
      <c r="B46" s="321">
        <f>INDEX(TestSummary!$A$1:$BL$366,'J1634 Calcs'!$A46,'J1634 Calcs'!B$5)</f>
        <v>62008003</v>
      </c>
      <c r="C46" s="321" t="str">
        <f>INDEX(TestSummary!$A$1:$BL$366,'J1634 Calcs'!$A46,'J1634 Calcs'!C$5)</f>
        <v>US06 2, combined</v>
      </c>
      <c r="D46" s="307" t="str">
        <f>INDEX(TestSummary!$A$1:$BL$366,'J1634 Calcs'!$A46,'J1634 Calcs'!D$5)</f>
        <v>J1634 MCT, Repeat #1, using Maintenance Mode, E-Pedal ON, 65 MPH Middel Deplete</v>
      </c>
      <c r="E46" s="352">
        <f>INDEX(TestSummary!$A$1:$BL$366,'J1634 Calcs'!$A46,'J1634 Calcs'!E$5)</f>
        <v>0</v>
      </c>
      <c r="F46" s="352">
        <f>INDEX(TestSummary!$A$1:$BL$366,'J1634 Calcs'!$A46,'J1634 Calcs'!F$5)</f>
        <v>23.968371000000001</v>
      </c>
      <c r="G46" s="115">
        <f>INDEX(TestSummary!$A$1:$BL$366,'J1634 Calcs'!$A46,'J1634 Calcs'!G$5)</f>
        <v>295.96320819564403</v>
      </c>
      <c r="H46" s="115">
        <f>INDEX(TestSummary!$A$1:$BL$366,'J1634 Calcs'!$A46,'J1634 Calcs'!H$5)</f>
        <v>46638</v>
      </c>
      <c r="I46" s="115">
        <f>INDEX(TestSummary!$A$1:$BL$366,'J1634 Calcs'!$A46,'J1634 Calcs'!I$5)</f>
        <v>48832</v>
      </c>
      <c r="J46" s="116">
        <f>INDEX(TestSummary!$A$1:$BL$366,'J1634 Calcs'!$A46,'J1634 Calcs'!J$5)</f>
        <v>18.100000000000001</v>
      </c>
      <c r="K46" s="117">
        <f>INDEX(TestSummary!$A$1:$BL$366,'J1634 Calcs'!$A46,'J1634 Calcs'!K$5)</f>
        <v>295.96320819564403</v>
      </c>
      <c r="L46" s="138"/>
      <c r="Q46" s="129" t="s">
        <v>287</v>
      </c>
      <c r="R46" s="130" t="s">
        <v>290</v>
      </c>
      <c r="S46" s="130"/>
      <c r="T46" s="245">
        <f>O43/O42</f>
        <v>0.86380227711910007</v>
      </c>
      <c r="U46" s="131"/>
      <c r="V46" s="131"/>
      <c r="W46" s="132" t="s">
        <v>274</v>
      </c>
      <c r="X46" s="132" t="s">
        <v>291</v>
      </c>
      <c r="Y46" s="133" t="s">
        <v>289</v>
      </c>
      <c r="Z46" s="134"/>
    </row>
    <row r="47" spans="1:51" x14ac:dyDescent="0.25">
      <c r="A47" s="446">
        <f>A46+3</f>
        <v>79</v>
      </c>
      <c r="B47" s="321">
        <f>INDEX(TestSummary!$A$1:$BL$366,'J1634 Calcs'!$A47,'J1634 Calcs'!B$5)</f>
        <v>62008003</v>
      </c>
      <c r="C47" s="321" t="str">
        <f>INDEX(TestSummary!$A$1:$BL$366,'J1634 Calcs'!$A47,'J1634 Calcs'!C$5)</f>
        <v>UDDS 3, combined</v>
      </c>
      <c r="D47" s="307" t="str">
        <f>INDEX(TestSummary!$A$1:$BL$366,'J1634 Calcs'!$A47,'J1634 Calcs'!D$5)</f>
        <v>J1634 MCT, Repeat #1, using Maintenance Mode, E-Pedal ON, 65 MPH Middel Deplete</v>
      </c>
      <c r="E47" s="352">
        <f>INDEX(TestSummary!$A$1:$BL$366,'J1634 Calcs'!$A47,'J1634 Calcs'!E$5)</f>
        <v>0</v>
      </c>
      <c r="F47" s="352">
        <f>INDEX(TestSummary!$A$1:$BL$366,'J1634 Calcs'!$A47,'J1634 Calcs'!F$5)</f>
        <v>20.967715500000001</v>
      </c>
      <c r="G47" s="115">
        <f>INDEX(TestSummary!$A$1:$BL$366,'J1634 Calcs'!$A47,'J1634 Calcs'!G$5)</f>
        <v>180.7328469141745</v>
      </c>
      <c r="H47" s="115">
        <f>INDEX(TestSummary!$A$1:$BL$366,'J1634 Calcs'!$A47,'J1634 Calcs'!H$5)</f>
        <v>49010</v>
      </c>
      <c r="I47" s="115">
        <f>INDEX(TestSummary!$A$1:$BL$366,'J1634 Calcs'!$A47,'J1634 Calcs'!I$5)</f>
        <v>50352</v>
      </c>
      <c r="J47" s="116">
        <f>INDEX(TestSummary!$A$1:$BL$366,'J1634 Calcs'!$A47,'J1634 Calcs'!J$5)</f>
        <v>15.3</v>
      </c>
      <c r="K47" s="117">
        <f>INDEX(TestSummary!$A$1:$BL$366,'J1634 Calcs'!$A47,'J1634 Calcs'!K$5)</f>
        <v>180.7328469141745</v>
      </c>
      <c r="L47" s="138"/>
    </row>
    <row r="48" spans="1:51" x14ac:dyDescent="0.25">
      <c r="A48" s="446">
        <f>A47+1</f>
        <v>80</v>
      </c>
      <c r="B48" s="321">
        <f>INDEX(TestSummary!$A$1:$BL$366,'J1634 Calcs'!$A48,'J1634 Calcs'!B$5)</f>
        <v>62008003</v>
      </c>
      <c r="C48" s="321" t="str">
        <f>INDEX(TestSummary!$A$1:$BL$366,'J1634 Calcs'!$A48,'J1634 Calcs'!C$5)</f>
        <v>HWY</v>
      </c>
      <c r="D48" s="307" t="str">
        <f>INDEX(TestSummary!$A$1:$BL$366,'J1634 Calcs'!$A48,'J1634 Calcs'!D$5)</f>
        <v>J1634 MCT, Repeat #1, using Maintenance Mode, E-Pedal ON, 65 MPH Middel Deplete</v>
      </c>
      <c r="E48" s="352">
        <f>INDEX(TestSummary!$A$1:$BL$366,'J1634 Calcs'!$A48,'J1634 Calcs'!E$5)</f>
        <v>0</v>
      </c>
      <c r="F48" s="352">
        <f>INDEX(TestSummary!$A$1:$BL$366,'J1634 Calcs'!$A48,'J1634 Calcs'!F$5)</f>
        <v>25.591560999999999</v>
      </c>
      <c r="G48" s="115">
        <f>INDEX(TestSummary!$A$1:$BL$366,'J1634 Calcs'!$A48,'J1634 Calcs'!G$5)</f>
        <v>213.67563770930357</v>
      </c>
      <c r="H48" s="115">
        <f>INDEX(TestSummary!$A$1:$BL$366,'J1634 Calcs'!$A48,'J1634 Calcs'!H$5)</f>
        <v>50353</v>
      </c>
      <c r="I48" s="115">
        <f>INDEX(TestSummary!$A$1:$BL$366,'J1634 Calcs'!$A48,'J1634 Calcs'!I$5)</f>
        <v>52542</v>
      </c>
      <c r="J48" s="116">
        <f>INDEX(TestSummary!$A$1:$BL$366,'J1634 Calcs'!$A48,'J1634 Calcs'!J$5)</f>
        <v>11.5</v>
      </c>
      <c r="K48" s="117">
        <f>INDEX(TestSummary!$A$1:$BL$366,'J1634 Calcs'!$A48,'J1634 Calcs'!K$5)</f>
        <v>213.67563770930357</v>
      </c>
      <c r="L48" s="138"/>
    </row>
    <row r="49" spans="1:59" x14ac:dyDescent="0.25">
      <c r="A49" s="446">
        <f>A48+3</f>
        <v>83</v>
      </c>
      <c r="B49" s="321">
        <f>INDEX(TestSummary!$A$1:$BL$366,'J1634 Calcs'!$A49,'J1634 Calcs'!B$5)</f>
        <v>62008003</v>
      </c>
      <c r="C49" s="321" t="str">
        <f>INDEX(TestSummary!$A$1:$BL$366,'J1634 Calcs'!$A49,'J1634 Calcs'!C$5)</f>
        <v>UDDS 4, combined</v>
      </c>
      <c r="D49" s="307" t="str">
        <f>INDEX(TestSummary!$A$1:$BL$366,'J1634 Calcs'!$A49,'J1634 Calcs'!D$5)</f>
        <v>J1634 MCT, Repeat #1, using Maintenance Mode, E-Pedal ON, 65 MPH Middel Deplete</v>
      </c>
      <c r="E49" s="352">
        <f>INDEX(TestSummary!$A$1:$BL$366,'J1634 Calcs'!$A49,'J1634 Calcs'!E$5)</f>
        <v>0</v>
      </c>
      <c r="F49" s="352">
        <f>INDEX(TestSummary!$A$1:$BL$366,'J1634 Calcs'!$A49,'J1634 Calcs'!F$5)</f>
        <v>20.01709</v>
      </c>
      <c r="G49" s="115">
        <f>INDEX(TestSummary!$A$1:$BL$366,'J1634 Calcs'!$A49,'J1634 Calcs'!G$5)</f>
        <v>180.19292513096951</v>
      </c>
      <c r="H49" s="115">
        <f>INDEX(TestSummary!$A$1:$BL$366,'J1634 Calcs'!$A49,'J1634 Calcs'!H$5)</f>
        <v>52548</v>
      </c>
      <c r="I49" s="115">
        <f>INDEX(TestSummary!$A$1:$BL$366,'J1634 Calcs'!$A49,'J1634 Calcs'!I$5)</f>
        <v>53886</v>
      </c>
      <c r="J49" s="116">
        <f>INDEX(TestSummary!$A$1:$BL$366,'J1634 Calcs'!$A49,'J1634 Calcs'!J$5)</f>
        <v>9.1</v>
      </c>
      <c r="K49" s="117">
        <f>INDEX(TestSummary!$A$1:$BL$366,'J1634 Calcs'!$A49,'J1634 Calcs'!K$5)</f>
        <v>180.19292513096951</v>
      </c>
      <c r="L49" s="138"/>
    </row>
    <row r="50" spans="1:59" x14ac:dyDescent="0.25">
      <c r="B50" s="328"/>
      <c r="C50" s="328"/>
      <c r="D50" s="15"/>
      <c r="E50" s="102"/>
      <c r="F50" s="102"/>
      <c r="G50" s="448"/>
      <c r="H50" s="448"/>
      <c r="I50" s="448"/>
      <c r="J50" s="336"/>
      <c r="K50" s="448"/>
      <c r="L50" s="448"/>
    </row>
    <row r="51" spans="1:59" x14ac:dyDescent="0.25">
      <c r="B51" s="328"/>
      <c r="C51" s="328"/>
      <c r="D51" s="15"/>
      <c r="E51" s="102"/>
      <c r="F51" s="102"/>
      <c r="G51" s="448"/>
      <c r="H51" s="448"/>
      <c r="I51" s="448"/>
      <c r="J51" s="336"/>
      <c r="K51" s="448"/>
      <c r="L51" s="448"/>
    </row>
    <row r="52" spans="1:59" ht="16.5" thickBot="1" x14ac:dyDescent="0.3">
      <c r="B52" s="77" t="s">
        <v>824</v>
      </c>
      <c r="C52" s="110"/>
      <c r="D52" s="110"/>
      <c r="E52" s="103"/>
      <c r="F52" s="103"/>
      <c r="G52" s="110"/>
      <c r="H52" s="110"/>
      <c r="I52" s="110"/>
      <c r="J52" s="110"/>
      <c r="K52" s="110"/>
      <c r="L52" s="492"/>
      <c r="AC52" t="s">
        <v>391</v>
      </c>
      <c r="AK52" t="s">
        <v>825</v>
      </c>
      <c r="AL52" t="s">
        <v>826</v>
      </c>
      <c r="AM52" t="s">
        <v>827</v>
      </c>
      <c r="AO52" t="s">
        <v>825</v>
      </c>
      <c r="AP52" t="s">
        <v>826</v>
      </c>
      <c r="AQ52" t="s">
        <v>827</v>
      </c>
      <c r="AS52" t="s">
        <v>825</v>
      </c>
      <c r="AT52" t="s">
        <v>826</v>
      </c>
      <c r="AU52" t="s">
        <v>827</v>
      </c>
      <c r="AW52" t="s">
        <v>825</v>
      </c>
      <c r="AX52" t="s">
        <v>826</v>
      </c>
      <c r="AY52" t="s">
        <v>827</v>
      </c>
      <c r="BC52" t="s">
        <v>828</v>
      </c>
      <c r="BD52" t="s">
        <v>829</v>
      </c>
      <c r="BF52" t="s">
        <v>575</v>
      </c>
      <c r="BG52" t="s">
        <v>205</v>
      </c>
    </row>
    <row r="53" spans="1:59" ht="15.75" thickBot="1" x14ac:dyDescent="0.3">
      <c r="A53" s="446">
        <v>164</v>
      </c>
      <c r="B53" s="321">
        <f>INDEX(TestSummary!$A$1:$BL$366,'J1634 Calcs'!$A53,'J1634 Calcs'!B$5)</f>
        <v>62008020</v>
      </c>
      <c r="C53" s="321" t="str">
        <f>INDEX(TestSummary!$A$1:$BL$366,'J1634 Calcs'!$A53,'J1634 Calcs'!C$5)</f>
        <v>UDDS 1 , Combined</v>
      </c>
      <c r="D53" s="307" t="str">
        <f>INDEX(TestSummary!$A$1:$BL$366,'J1634 Calcs'!$A53,'J1634 Calcs'!D$5)</f>
        <v>j1634MCT in hot test cel (95°F) with solar (850W/m^2), HVAC AUTO 72°F, solar lights on 30 minutes prior to first test</v>
      </c>
      <c r="E53" s="352">
        <f>INDEX(TestSummary!$A$1:$BL$366,'J1634 Calcs'!$A53,'J1634 Calcs'!E$5)</f>
        <v>0</v>
      </c>
      <c r="F53" s="352">
        <f>INDEX(TestSummary!$A$1:$BL$366,'J1634 Calcs'!$A53,'J1634 Calcs'!F$5)</f>
        <v>35.171544999999995</v>
      </c>
      <c r="G53" s="115">
        <f>INDEX(TestSummary!$A$1:$BL$366,'J1634 Calcs'!$A53,'J1634 Calcs'!G$5)</f>
        <v>310.37308558405277</v>
      </c>
      <c r="H53" s="115">
        <f>INDEX(TestSummary!$A$1:$BL$366,'J1634 Calcs'!$A53,'J1634 Calcs'!H$5)</f>
        <v>9</v>
      </c>
      <c r="I53" s="115">
        <f>INDEX(TestSummary!$A$1:$BL$366,'J1634 Calcs'!$A53,'J1634 Calcs'!I$5)</f>
        <v>2313</v>
      </c>
      <c r="J53" s="116">
        <f>INDEX(TestSummary!$A$1:$BL$366,'J1634 Calcs'!$A53,'J1634 Calcs'!J$5)</f>
        <v>94.7</v>
      </c>
      <c r="K53" s="117">
        <f>INDEX(TestSummary!$A$1:$BL$366,'J1634 Calcs'!$A53,'J1634 Calcs'!K$5)</f>
        <v>310.37308558405277</v>
      </c>
      <c r="L53" s="138"/>
      <c r="N53" s="111" t="s">
        <v>278</v>
      </c>
      <c r="O53" s="17" t="s">
        <v>293</v>
      </c>
      <c r="P53" t="s">
        <v>294</v>
      </c>
      <c r="Q53" s="112" t="s">
        <v>279</v>
      </c>
      <c r="R53" s="113"/>
      <c r="S53" s="113"/>
      <c r="T53" s="113"/>
      <c r="U53" s="113"/>
      <c r="V53" s="113"/>
      <c r="W53" s="113"/>
      <c r="X53" s="113"/>
      <c r="Y53" s="113"/>
      <c r="Z53" s="114"/>
      <c r="AC53" t="s">
        <v>57</v>
      </c>
      <c r="AD53" s="135">
        <f t="shared" ref="AD53:AE55" si="5">(AD37/$AG37)</f>
        <v>0.39029562823306002</v>
      </c>
      <c r="AE53" s="135">
        <f t="shared" si="5"/>
        <v>0.51100760094180997</v>
      </c>
      <c r="AF53" s="135"/>
      <c r="AG53" s="135">
        <f>(AG37/$AG37)</f>
        <v>1</v>
      </c>
      <c r="AH53" s="135">
        <f>(AH37/$AG37)</f>
        <v>0.73783183704469801</v>
      </c>
      <c r="AJ53" t="s">
        <v>830</v>
      </c>
      <c r="AK53">
        <v>1489.4</v>
      </c>
      <c r="AL53">
        <v>7.4589999999999996</v>
      </c>
      <c r="AM53">
        <f t="shared" ref="AM53:AM58" si="6">AK53/AL53</f>
        <v>199.67824105107925</v>
      </c>
      <c r="AO53">
        <v>1353</v>
      </c>
      <c r="AP53">
        <v>7.4550000000000001</v>
      </c>
      <c r="AQ53">
        <f t="shared" ref="AQ53:AQ58" si="7">AO53/AP53</f>
        <v>181.48893360160966</v>
      </c>
      <c r="AS53" s="33">
        <f>I32</f>
        <v>1223</v>
      </c>
      <c r="AT53" s="443">
        <f>J32</f>
        <v>95.9</v>
      </c>
      <c r="AU53">
        <f t="shared" ref="AU53:AU58" si="8">AS53/AT53</f>
        <v>12.752867570385817</v>
      </c>
      <c r="AW53" s="33">
        <f>I42</f>
        <v>1567</v>
      </c>
      <c r="AX53" s="33">
        <f>J42</f>
        <v>95.3</v>
      </c>
      <c r="AY53">
        <f t="shared" ref="AY53:AY58" si="9">AW53/AX53</f>
        <v>16.442812172088143</v>
      </c>
      <c r="BC53" s="444">
        <f t="shared" ref="BC53:BC58" si="10">(AU53-AM53)/AM53</f>
        <v>-0.93613291311433622</v>
      </c>
      <c r="BD53" s="444">
        <f t="shared" ref="BD53:BD58" si="11">(AU53-AQ53)/AQ53</f>
        <v>-0.92973198245585653</v>
      </c>
      <c r="BE53" t="s">
        <v>57</v>
      </c>
      <c r="BF53">
        <v>455.32</v>
      </c>
    </row>
    <row r="54" spans="1:59" x14ac:dyDescent="0.25">
      <c r="A54" s="446">
        <v>165</v>
      </c>
      <c r="B54" s="321">
        <f>INDEX(TestSummary!$A$1:$BL$366,'J1634 Calcs'!$A54,'J1634 Calcs'!B$5)</f>
        <v>62008020</v>
      </c>
      <c r="C54" s="321" t="str">
        <f>INDEX(TestSummary!$A$1:$BL$366,'J1634 Calcs'!$A54,'J1634 Calcs'!C$5)</f>
        <v>HWY 1</v>
      </c>
      <c r="D54" s="307" t="str">
        <f>INDEX(TestSummary!$A$1:$BL$366,'J1634 Calcs'!$A54,'J1634 Calcs'!D$5)</f>
        <v>j1634MCT in hot test cel (95°F) with solar (850W/m^2), HVAC AUTO 72°F, solar lights on 30 minutes prior to first test</v>
      </c>
      <c r="E54" s="352">
        <f>INDEX(TestSummary!$A$1:$BL$366,'J1634 Calcs'!$A54,'J1634 Calcs'!E$5)</f>
        <v>0</v>
      </c>
      <c r="F54" s="352">
        <f>INDEX(TestSummary!$A$1:$BL$366,'J1634 Calcs'!$A54,'J1634 Calcs'!F$5)</f>
        <v>37.879582999999997</v>
      </c>
      <c r="G54" s="115">
        <f>INDEX(TestSummary!$A$1:$BL$366,'J1634 Calcs'!$A54,'J1634 Calcs'!G$5)</f>
        <v>232.78653137069216</v>
      </c>
      <c r="H54" s="115">
        <f>INDEX(TestSummary!$A$1:$BL$366,'J1634 Calcs'!$A54,'J1634 Calcs'!H$5)</f>
        <v>2321</v>
      </c>
      <c r="I54" s="115">
        <f>INDEX(TestSummary!$A$1:$BL$366,'J1634 Calcs'!$A54,'J1634 Calcs'!I$5)</f>
        <v>4706</v>
      </c>
      <c r="J54" s="116">
        <f>INDEX(TestSummary!$A$1:$BL$366,'J1634 Calcs'!$A54,'J1634 Calcs'!J$5)</f>
        <v>91.2</v>
      </c>
      <c r="K54" s="117">
        <f>INDEX(TestSummary!$A$1:$BL$366,'J1634 Calcs'!$A54,'J1634 Calcs'!K$5)</f>
        <v>232.78653137069216</v>
      </c>
      <c r="L54" s="138"/>
      <c r="N54" s="118" t="s">
        <v>846</v>
      </c>
      <c r="O54" s="139">
        <f>TestSummary!AU184</f>
        <v>67020.2</v>
      </c>
      <c r="P54" s="236">
        <f>$O$32</f>
        <v>68019.200000000012</v>
      </c>
      <c r="Q54" s="119" t="s">
        <v>16</v>
      </c>
      <c r="R54" s="120" t="s">
        <v>1</v>
      </c>
      <c r="S54" s="120" t="s">
        <v>392</v>
      </c>
      <c r="T54" s="121" t="s">
        <v>281</v>
      </c>
      <c r="U54" s="120" t="s">
        <v>282</v>
      </c>
      <c r="V54" s="121" t="s">
        <v>283</v>
      </c>
      <c r="W54" s="122" t="s">
        <v>947</v>
      </c>
      <c r="X54" s="123" t="s">
        <v>284</v>
      </c>
      <c r="Y54" s="122" t="s">
        <v>285</v>
      </c>
      <c r="Z54" s="124"/>
      <c r="AC54" t="s">
        <v>55</v>
      </c>
      <c r="AD54" s="135">
        <f t="shared" si="5"/>
        <v>0.61835331852063102</v>
      </c>
      <c r="AE54" s="135">
        <f t="shared" si="5"/>
        <v>0.73198798700579759</v>
      </c>
      <c r="AF54" s="135"/>
      <c r="AG54" s="135">
        <f>(AG38/$AG37)</f>
        <v>0.82931630808624368</v>
      </c>
      <c r="AH54" s="135">
        <f>(AH38/$AG38)</f>
        <v>0.95385730450737005</v>
      </c>
      <c r="AJ54" t="s">
        <v>831</v>
      </c>
      <c r="AK54">
        <v>1326.1</v>
      </c>
      <c r="AL54">
        <v>7.4530000000000003</v>
      </c>
      <c r="AM54">
        <f t="shared" si="6"/>
        <v>177.92835099959746</v>
      </c>
      <c r="AO54">
        <v>1269</v>
      </c>
      <c r="AP54">
        <v>7.4589999999999996</v>
      </c>
      <c r="AQ54">
        <f t="shared" si="7"/>
        <v>170.13004424185547</v>
      </c>
      <c r="AS54" s="26">
        <f>I34</f>
        <v>4892</v>
      </c>
      <c r="AT54" s="443">
        <f>J34</f>
        <v>90.5</v>
      </c>
      <c r="AU54">
        <f t="shared" si="8"/>
        <v>54.055248618784532</v>
      </c>
      <c r="AW54" s="26">
        <f>I44</f>
        <v>5195</v>
      </c>
      <c r="AX54" s="26">
        <f>J44</f>
        <v>89.9</v>
      </c>
      <c r="AY54">
        <f t="shared" si="9"/>
        <v>57.786429365962178</v>
      </c>
      <c r="BC54" s="444">
        <f t="shared" si="10"/>
        <v>-0.69619654026408173</v>
      </c>
      <c r="BD54" s="444">
        <f t="shared" si="11"/>
        <v>-0.68227100122339335</v>
      </c>
      <c r="BF54">
        <v>422.7</v>
      </c>
    </row>
    <row r="55" spans="1:59" x14ac:dyDescent="0.25">
      <c r="A55" s="446">
        <v>168</v>
      </c>
      <c r="B55" s="321">
        <f>INDEX(TestSummary!$A$1:$BL$366,'J1634 Calcs'!$A55,'J1634 Calcs'!B$5)</f>
        <v>62008020</v>
      </c>
      <c r="C55" s="321" t="str">
        <f>INDEX(TestSummary!$A$1:$BL$366,'J1634 Calcs'!$A55,'J1634 Calcs'!C$5)</f>
        <v>UDDS 2, combined</v>
      </c>
      <c r="D55" s="307" t="str">
        <f>INDEX(TestSummary!$A$1:$BL$366,'J1634 Calcs'!$A55,'J1634 Calcs'!D$5)</f>
        <v>j1634MCT in hot test cel (95°F) with solar (850W/m^2), HVAC AUTO 72°F, solar lights on 30 minutes prior to first test</v>
      </c>
      <c r="E55" s="352">
        <f>INDEX(TestSummary!$A$1:$BL$366,'J1634 Calcs'!$A55,'J1634 Calcs'!E$5)</f>
        <v>0</v>
      </c>
      <c r="F55" s="352">
        <f>INDEX(TestSummary!$A$1:$BL$366,'J1634 Calcs'!$A55,'J1634 Calcs'!F$5)</f>
        <v>33.952994000000004</v>
      </c>
      <c r="G55" s="115">
        <f>INDEX(TestSummary!$A$1:$BL$366,'J1634 Calcs'!$A55,'J1634 Calcs'!G$5)</f>
        <v>247.11909501717622</v>
      </c>
      <c r="H55" s="115">
        <f>INDEX(TestSummary!$A$1:$BL$366,'J1634 Calcs'!$A55,'J1634 Calcs'!H$5)</f>
        <v>4713</v>
      </c>
      <c r="I55" s="115">
        <f>INDEX(TestSummary!$A$1:$BL$366,'J1634 Calcs'!$A55,'J1634 Calcs'!I$5)</f>
        <v>6548</v>
      </c>
      <c r="J55" s="116">
        <f>INDEX(TestSummary!$A$1:$BL$366,'J1634 Calcs'!$A55,'J1634 Calcs'!J$5)</f>
        <v>88.4</v>
      </c>
      <c r="K55" s="117">
        <f>INDEX(TestSummary!$A$1:$BL$366,'J1634 Calcs'!$A55,'J1634 Calcs'!K$5)</f>
        <v>247.11909501717622</v>
      </c>
      <c r="L55" s="138"/>
      <c r="N55" s="125" t="s">
        <v>286</v>
      </c>
      <c r="O55" s="126">
        <f>TestSummary!W183-TestSummary!V162</f>
        <v>59300</v>
      </c>
      <c r="P55" s="126">
        <f>$O$33</f>
        <v>59240</v>
      </c>
      <c r="Q55" s="119" t="s">
        <v>287</v>
      </c>
      <c r="R55" s="120" t="s">
        <v>57</v>
      </c>
      <c r="S55" s="120">
        <v>3</v>
      </c>
      <c r="T55" s="121"/>
      <c r="U55" s="121">
        <f>(I53-H53)/O55</f>
        <v>3.8853288364249582E-2</v>
      </c>
      <c r="V55" s="121">
        <f>(1-U55)/S55</f>
        <v>0.32038223721191678</v>
      </c>
      <c r="W55" s="127">
        <f>U55*K53+V55*K55*3</f>
        <v>249.57672055286059</v>
      </c>
      <c r="X55" s="127">
        <f>P55/W55</f>
        <v>237.36188162410329</v>
      </c>
      <c r="Y55" s="128">
        <f>W55/T58</f>
        <v>282.06883181782172</v>
      </c>
      <c r="Z55" s="124"/>
      <c r="AC55" t="s">
        <v>210</v>
      </c>
      <c r="AD55" s="135">
        <f t="shared" si="5"/>
        <v>0.67125593130792649</v>
      </c>
      <c r="AE55" s="135">
        <f t="shared" si="5"/>
        <v>0.80294314191862715</v>
      </c>
      <c r="AF55" s="135"/>
      <c r="AG55" s="135">
        <f>(AG39/$AG38)</f>
        <v>0.73668714872564056</v>
      </c>
      <c r="AH55" s="135">
        <f>(AH39/$AG39)</f>
        <v>0.96657718993063035</v>
      </c>
      <c r="AJ55" t="s">
        <v>832</v>
      </c>
      <c r="AK55">
        <v>1271.5</v>
      </c>
      <c r="AL55">
        <v>7.4669999999999996</v>
      </c>
      <c r="AM55">
        <f t="shared" si="6"/>
        <v>170.28257667068436</v>
      </c>
      <c r="AO55">
        <v>1252</v>
      </c>
      <c r="AP55">
        <v>7.4429999999999996</v>
      </c>
      <c r="AQ55">
        <f t="shared" si="7"/>
        <v>168.21174257691791</v>
      </c>
      <c r="AS55" s="33">
        <f>I37</f>
        <v>50305</v>
      </c>
      <c r="AT55" s="443">
        <f>J37</f>
        <v>15.7</v>
      </c>
      <c r="AU55">
        <f t="shared" si="8"/>
        <v>3204.1401273885353</v>
      </c>
      <c r="AW55" s="33">
        <f>I47</f>
        <v>50352</v>
      </c>
      <c r="AX55" s="33">
        <f>J47</f>
        <v>15.3</v>
      </c>
      <c r="AY55">
        <f t="shared" si="9"/>
        <v>3290.9803921568628</v>
      </c>
      <c r="BC55" s="444">
        <f t="shared" si="10"/>
        <v>17.816605844443721</v>
      </c>
      <c r="BD55" s="444">
        <f t="shared" si="11"/>
        <v>18.048254766895262</v>
      </c>
    </row>
    <row r="56" spans="1:59" x14ac:dyDescent="0.25">
      <c r="A56" s="446">
        <v>171</v>
      </c>
      <c r="B56" s="321">
        <f>INDEX(TestSummary!$A$1:$BL$366,'J1634 Calcs'!$A56,'J1634 Calcs'!B$5)</f>
        <v>62008020</v>
      </c>
      <c r="C56" s="321" t="str">
        <f>INDEX(TestSummary!$A$1:$BL$366,'J1634 Calcs'!$A56,'J1634 Calcs'!C$5)</f>
        <v>US06 1, combined</v>
      </c>
      <c r="D56" s="307" t="str">
        <f>INDEX(TestSummary!$A$1:$BL$366,'J1634 Calcs'!$A56,'J1634 Calcs'!D$5)</f>
        <v>j1634MCT in hot test cel (95°F) with solar (850W/m^2), HVAC AUTO 72°F, solar lights on 30 minutes prior to first test</v>
      </c>
      <c r="E56" s="352">
        <f>INDEX(TestSummary!$A$1:$BL$366,'J1634 Calcs'!$A56,'J1634 Calcs'!E$5)</f>
        <v>0</v>
      </c>
      <c r="F56" s="352">
        <f>INDEX(TestSummary!$A$1:$BL$366,'J1634 Calcs'!$A56,'J1634 Calcs'!F$5)</f>
        <v>37.663222000000005</v>
      </c>
      <c r="G56" s="115">
        <f>INDEX(TestSummary!$A$1:$BL$366,'J1634 Calcs'!$A56,'J1634 Calcs'!G$5)</f>
        <v>311.83267705480091</v>
      </c>
      <c r="H56" s="115">
        <f>INDEX(TestSummary!$A$1:$BL$366,'J1634 Calcs'!$A56,'J1634 Calcs'!H$5)</f>
        <v>6588</v>
      </c>
      <c r="I56" s="115">
        <f>INDEX(TestSummary!$A$1:$BL$366,'J1634 Calcs'!$A56,'J1634 Calcs'!I$5)</f>
        <v>8867</v>
      </c>
      <c r="J56" s="116">
        <f>INDEX(TestSummary!$A$1:$BL$366,'J1634 Calcs'!$A56,'J1634 Calcs'!J$5)</f>
        <v>84.9</v>
      </c>
      <c r="K56" s="117">
        <f>INDEX(TestSummary!$A$1:$BL$366,'J1634 Calcs'!$A56,'J1634 Calcs'!K$5)</f>
        <v>311.83267705480091</v>
      </c>
      <c r="L56" s="138"/>
      <c r="Q56" s="119" t="s">
        <v>287</v>
      </c>
      <c r="R56" s="120" t="s">
        <v>55</v>
      </c>
      <c r="S56" s="120">
        <v>2</v>
      </c>
      <c r="T56" s="121">
        <f>1/S56</f>
        <v>0.5</v>
      </c>
      <c r="U56" s="121"/>
      <c r="V56" s="121"/>
      <c r="W56" s="127">
        <f>T56*K54*2</f>
        <v>232.78653137069216</v>
      </c>
      <c r="X56" s="127">
        <f>P55/W56</f>
        <v>254.48207699639414</v>
      </c>
      <c r="Y56" s="128">
        <f>W56/T58</f>
        <v>263.09274687639231</v>
      </c>
      <c r="Z56" s="124"/>
      <c r="AJ56" t="s">
        <v>833</v>
      </c>
      <c r="AK56">
        <v>1285.5999999999999</v>
      </c>
      <c r="AL56">
        <v>7.4630000000000001</v>
      </c>
      <c r="AM56">
        <f t="shared" si="6"/>
        <v>172.2631649470722</v>
      </c>
      <c r="AO56">
        <v>1261</v>
      </c>
      <c r="AP56">
        <v>7.452</v>
      </c>
      <c r="AQ56">
        <f t="shared" si="7"/>
        <v>169.2163177670424</v>
      </c>
      <c r="AS56" s="33">
        <f>I39</f>
        <v>53859</v>
      </c>
      <c r="AT56" s="443">
        <f>J39</f>
        <v>9.4</v>
      </c>
      <c r="AU56">
        <f t="shared" si="8"/>
        <v>5729.6808510638293</v>
      </c>
      <c r="AW56" s="33">
        <f>I49</f>
        <v>53886</v>
      </c>
      <c r="AX56" s="33">
        <f>J49</f>
        <v>9.1</v>
      </c>
      <c r="AY56">
        <f t="shared" si="9"/>
        <v>5921.5384615384619</v>
      </c>
      <c r="BC56" s="444">
        <f t="shared" si="10"/>
        <v>32.261207367368826</v>
      </c>
      <c r="BD56" s="444">
        <f t="shared" si="11"/>
        <v>32.860096512393064</v>
      </c>
    </row>
    <row r="57" spans="1:59" x14ac:dyDescent="0.25">
      <c r="B57" s="328"/>
      <c r="C57" s="328"/>
      <c r="D57" s="15"/>
      <c r="E57" s="102"/>
      <c r="F57" s="102"/>
      <c r="G57" s="136"/>
      <c r="H57" s="136"/>
      <c r="I57" s="136"/>
      <c r="J57" s="137"/>
      <c r="K57" s="138"/>
      <c r="L57" s="138"/>
      <c r="Q57" s="119" t="s">
        <v>287</v>
      </c>
      <c r="R57" s="120" t="s">
        <v>210</v>
      </c>
      <c r="S57" s="120">
        <v>2</v>
      </c>
      <c r="T57" s="121">
        <f>1/S57</f>
        <v>0.5</v>
      </c>
      <c r="U57" s="121"/>
      <c r="V57" s="121"/>
      <c r="W57" s="127">
        <f>T57*K56*2</f>
        <v>311.83267705480091</v>
      </c>
      <c r="X57" s="127">
        <f>P55/W57</f>
        <v>189.97367613782589</v>
      </c>
      <c r="Y57" s="128">
        <f>W57/T58</f>
        <v>352.42982095696743</v>
      </c>
      <c r="Z57" s="124"/>
      <c r="AJ57" t="s">
        <v>834</v>
      </c>
      <c r="AK57">
        <v>1950.9</v>
      </c>
      <c r="AL57">
        <v>10.266</v>
      </c>
      <c r="AM57">
        <f t="shared" si="6"/>
        <v>190.03506721215663</v>
      </c>
      <c r="AO57">
        <v>1844</v>
      </c>
      <c r="AP57">
        <v>10.262</v>
      </c>
      <c r="AQ57">
        <f t="shared" si="7"/>
        <v>179.69206782303644</v>
      </c>
      <c r="AS57" s="33">
        <f>I33</f>
        <v>3499</v>
      </c>
      <c r="AT57" s="443">
        <f>J33</f>
        <v>92.6</v>
      </c>
      <c r="AU57">
        <f t="shared" si="8"/>
        <v>37.786177105831534</v>
      </c>
      <c r="AW57" s="33">
        <f>I43</f>
        <v>3818</v>
      </c>
      <c r="AX57" s="33">
        <f>J43</f>
        <v>92</v>
      </c>
      <c r="AY57">
        <f t="shared" si="9"/>
        <v>41.5</v>
      </c>
      <c r="BC57" s="444">
        <f t="shared" si="10"/>
        <v>-0.80116208202959316</v>
      </c>
      <c r="BD57" s="444">
        <f t="shared" si="11"/>
        <v>-0.78971705560735184</v>
      </c>
    </row>
    <row r="58" spans="1:59" ht="15.75" thickBot="1" x14ac:dyDescent="0.3">
      <c r="Q58" s="129" t="s">
        <v>287</v>
      </c>
      <c r="R58" s="130" t="s">
        <v>290</v>
      </c>
      <c r="S58" s="130"/>
      <c r="T58" s="245">
        <f>O55/O54</f>
        <v>0.88480786389775024</v>
      </c>
      <c r="U58" s="131"/>
      <c r="V58" s="131"/>
      <c r="W58" s="132" t="s">
        <v>274</v>
      </c>
      <c r="X58" s="132" t="s">
        <v>291</v>
      </c>
      <c r="Y58" s="133" t="s">
        <v>289</v>
      </c>
      <c r="Z58" s="134"/>
      <c r="AJ58" t="s">
        <v>835</v>
      </c>
      <c r="AK58">
        <v>1895.5</v>
      </c>
      <c r="AL58">
        <v>10.257999999999999</v>
      </c>
      <c r="AM58">
        <f t="shared" si="6"/>
        <v>184.78260869565219</v>
      </c>
      <c r="AO58">
        <v>1863</v>
      </c>
      <c r="AP58">
        <v>10.266999999999999</v>
      </c>
      <c r="AQ58">
        <f t="shared" si="7"/>
        <v>181.45514756014416</v>
      </c>
      <c r="AS58" s="33">
        <f>I38</f>
        <v>52506</v>
      </c>
      <c r="AT58" s="443">
        <f>J38</f>
        <v>11.8</v>
      </c>
      <c r="AU58">
        <f t="shared" si="8"/>
        <v>4449.6610169491523</v>
      </c>
      <c r="AW58" s="33">
        <f>I47</f>
        <v>50352</v>
      </c>
      <c r="AX58" s="33">
        <f>J47</f>
        <v>15.3</v>
      </c>
      <c r="AY58">
        <f t="shared" si="9"/>
        <v>3290.9803921568628</v>
      </c>
      <c r="BC58" s="444">
        <f t="shared" si="10"/>
        <v>23.080518444666001</v>
      </c>
      <c r="BD58" s="444">
        <f t="shared" si="11"/>
        <v>23.522098583476623</v>
      </c>
    </row>
    <row r="59" spans="1:59" x14ac:dyDescent="0.25">
      <c r="R59" s="33"/>
      <c r="S59" s="33"/>
      <c r="T59" s="454"/>
      <c r="W59" s="455"/>
      <c r="X59" s="455"/>
      <c r="Y59" s="18"/>
      <c r="AS59" s="33"/>
      <c r="AT59" s="443"/>
      <c r="AW59" s="33"/>
      <c r="AX59" s="33"/>
      <c r="BC59" s="456"/>
      <c r="BD59" s="456"/>
    </row>
    <row r="60" spans="1:59" ht="16.5" thickBot="1" x14ac:dyDescent="0.3">
      <c r="B60" s="77" t="s">
        <v>845</v>
      </c>
      <c r="C60" s="110"/>
      <c r="D60" s="110"/>
      <c r="E60" s="103"/>
      <c r="F60" s="103"/>
      <c r="G60" s="110"/>
      <c r="H60" s="110"/>
      <c r="I60" s="110"/>
      <c r="J60" s="110"/>
      <c r="K60" s="110"/>
      <c r="L60" s="492"/>
    </row>
    <row r="61" spans="1:59" ht="15.75" thickBot="1" x14ac:dyDescent="0.3">
      <c r="A61" s="446">
        <v>188</v>
      </c>
      <c r="B61" s="321">
        <f>INDEX(TestSummary!$A$1:$BL$366,'J1634 Calcs'!$A61,'J1634 Calcs'!B$5)</f>
        <v>62008028</v>
      </c>
      <c r="C61" s="321" t="str">
        <f>INDEX(TestSummary!$A$1:$BL$366,'J1634 Calcs'!$A61,'J1634 Calcs'!C$5)</f>
        <v>UDDS 1 , Combined</v>
      </c>
      <c r="D61" s="307" t="str">
        <f>INDEX(TestSummary!$A$1:$BL$366,'J1634 Calcs'!$A61,'J1634 Calcs'!D$5)</f>
        <v>J1634MCT in hot test cell (95°F), first half with NO SOLAR, HVAC AUTO 72°F</v>
      </c>
      <c r="E61" s="352">
        <f>INDEX(TestSummary!$A$1:$BL$366,'J1634 Calcs'!$A61,'J1634 Calcs'!E$5)</f>
        <v>0</v>
      </c>
      <c r="F61" s="352">
        <f>INDEX(TestSummary!$A$1:$BL$366,'J1634 Calcs'!$A61,'J1634 Calcs'!F$5)</f>
        <v>34.273290000000003</v>
      </c>
      <c r="G61" s="115">
        <f>INDEX(TestSummary!$A$1:$BL$366,'J1634 Calcs'!$A61,'J1634 Calcs'!G$5)</f>
        <v>255.36671523792654</v>
      </c>
      <c r="H61" s="115">
        <f>INDEX(TestSummary!$A$1:$BL$366,'J1634 Calcs'!$A61,'J1634 Calcs'!H$5)</f>
        <v>-370</v>
      </c>
      <c r="I61" s="115">
        <f>INDEX(TestSummary!$A$1:$BL$366,'J1634 Calcs'!$A61,'J1634 Calcs'!I$5)</f>
        <v>1527</v>
      </c>
      <c r="J61" s="116">
        <f>INDEX(TestSummary!$A$1:$BL$366,'J1634 Calcs'!$A61,'J1634 Calcs'!J$5)</f>
        <v>93.6</v>
      </c>
      <c r="K61" s="117">
        <f>INDEX(TestSummary!$A$1:$BL$366,'J1634 Calcs'!$A61,'J1634 Calcs'!K$5)</f>
        <v>255.36671523792654</v>
      </c>
      <c r="L61" s="138"/>
      <c r="N61" s="111" t="s">
        <v>278</v>
      </c>
      <c r="O61" s="17" t="s">
        <v>293</v>
      </c>
      <c r="P61" t="s">
        <v>294</v>
      </c>
      <c r="Q61" s="112" t="s">
        <v>279</v>
      </c>
      <c r="R61" s="113"/>
      <c r="S61" s="113"/>
      <c r="T61" s="113"/>
      <c r="U61" s="113"/>
      <c r="V61" s="113"/>
      <c r="W61" s="113"/>
      <c r="X61" s="113"/>
      <c r="Y61" s="113"/>
      <c r="Z61" s="114"/>
    </row>
    <row r="62" spans="1:59" x14ac:dyDescent="0.25">
      <c r="A62" s="446">
        <f>A61+1</f>
        <v>189</v>
      </c>
      <c r="B62" s="321">
        <f>INDEX(TestSummary!$A$1:$BL$366,'J1634 Calcs'!$A62,'J1634 Calcs'!B$5)</f>
        <v>62008028</v>
      </c>
      <c r="C62" s="321" t="str">
        <f>INDEX(TestSummary!$A$1:$BL$366,'J1634 Calcs'!$A62,'J1634 Calcs'!C$5)</f>
        <v>HWY 1</v>
      </c>
      <c r="D62" s="307" t="str">
        <f>INDEX(TestSummary!$A$1:$BL$366,'J1634 Calcs'!$A62,'J1634 Calcs'!D$5)</f>
        <v>J1634MCT in hot test cell (95°F), first half with NO SOLAR, HVAC AUTO 72°F</v>
      </c>
      <c r="E62" s="352">
        <f>INDEX(TestSummary!$A$1:$BL$366,'J1634 Calcs'!$A62,'J1634 Calcs'!E$5)</f>
        <v>0</v>
      </c>
      <c r="F62" s="352">
        <f>INDEX(TestSummary!$A$1:$BL$366,'J1634 Calcs'!$A62,'J1634 Calcs'!F$5)</f>
        <v>37.256883999999999</v>
      </c>
      <c r="G62" s="115">
        <f>INDEX(TestSummary!$A$1:$BL$366,'J1634 Calcs'!$A62,'J1634 Calcs'!G$5)</f>
        <v>223.50638166254637</v>
      </c>
      <c r="H62" s="115">
        <f>INDEX(TestSummary!$A$1:$BL$366,'J1634 Calcs'!$A62,'J1634 Calcs'!H$5)</f>
        <v>1533</v>
      </c>
      <c r="I62" s="115">
        <f>INDEX(TestSummary!$A$1:$BL$366,'J1634 Calcs'!$A62,'J1634 Calcs'!I$5)</f>
        <v>3823</v>
      </c>
      <c r="J62" s="116">
        <f>INDEX(TestSummary!$A$1:$BL$366,'J1634 Calcs'!$A62,'J1634 Calcs'!J$5)</f>
        <v>90.2</v>
      </c>
      <c r="K62" s="117">
        <f>INDEX(TestSummary!$A$1:$BL$366,'J1634 Calcs'!$A62,'J1634 Calcs'!K$5)</f>
        <v>223.50638166254637</v>
      </c>
      <c r="L62" s="138"/>
      <c r="N62" s="118" t="s">
        <v>846</v>
      </c>
      <c r="O62" s="459">
        <f>O54</f>
        <v>67020.2</v>
      </c>
      <c r="P62" s="236">
        <f>$O$32</f>
        <v>68019.200000000012</v>
      </c>
      <c r="Q62" s="119" t="s">
        <v>16</v>
      </c>
      <c r="R62" s="120" t="s">
        <v>1</v>
      </c>
      <c r="S62" s="120" t="s">
        <v>392</v>
      </c>
      <c r="T62" s="121" t="s">
        <v>281</v>
      </c>
      <c r="U62" s="120" t="s">
        <v>282</v>
      </c>
      <c r="V62" s="121" t="s">
        <v>283</v>
      </c>
      <c r="W62" s="122" t="s">
        <v>947</v>
      </c>
      <c r="X62" s="123" t="s">
        <v>284</v>
      </c>
      <c r="Y62" s="122" t="s">
        <v>285</v>
      </c>
      <c r="Z62" s="124"/>
    </row>
    <row r="63" spans="1:59" x14ac:dyDescent="0.25">
      <c r="A63" s="446">
        <f>A62+3</f>
        <v>192</v>
      </c>
      <c r="B63" s="321">
        <f>INDEX(TestSummary!$A$1:$BL$366,'J1634 Calcs'!$A63,'J1634 Calcs'!B$5)</f>
        <v>62008028</v>
      </c>
      <c r="C63" s="321" t="str">
        <f>INDEX(TestSummary!$A$1:$BL$366,'J1634 Calcs'!$A63,'J1634 Calcs'!C$5)</f>
        <v>UDDS 2, combined</v>
      </c>
      <c r="D63" s="307" t="str">
        <f>INDEX(TestSummary!$A$1:$BL$366,'J1634 Calcs'!$A63,'J1634 Calcs'!D$5)</f>
        <v>J1634MCT in hot test cell (95°F), first half with NO SOLAR, HVAC AUTO 72°F</v>
      </c>
      <c r="E63" s="352">
        <f>INDEX(TestSummary!$A$1:$BL$366,'J1634 Calcs'!$A63,'J1634 Calcs'!E$5)</f>
        <v>0</v>
      </c>
      <c r="F63" s="352">
        <f>INDEX(TestSummary!$A$1:$BL$366,'J1634 Calcs'!$A63,'J1634 Calcs'!F$5)</f>
        <v>32.505319499999999</v>
      </c>
      <c r="G63" s="115">
        <f>INDEX(TestSummary!$A$1:$BL$366,'J1634 Calcs'!$A63,'J1634 Calcs'!G$5)</f>
        <v>209.91474861171858</v>
      </c>
      <c r="H63" s="115">
        <f>INDEX(TestSummary!$A$1:$BL$366,'J1634 Calcs'!$A63,'J1634 Calcs'!H$5)</f>
        <v>3829</v>
      </c>
      <c r="I63" s="115">
        <f>INDEX(TestSummary!$A$1:$BL$366,'J1634 Calcs'!$A63,'J1634 Calcs'!I$5)</f>
        <v>5388</v>
      </c>
      <c r="J63" s="116">
        <f>INDEX(TestSummary!$A$1:$BL$366,'J1634 Calcs'!$A63,'J1634 Calcs'!J$5)</f>
        <v>87.8</v>
      </c>
      <c r="K63" s="117">
        <f>INDEX(TestSummary!$A$1:$BL$366,'J1634 Calcs'!$A63,'J1634 Calcs'!K$5)</f>
        <v>209.91474861171858</v>
      </c>
      <c r="L63" s="138"/>
      <c r="N63" s="125" t="s">
        <v>286</v>
      </c>
      <c r="O63" s="460">
        <f>O55</f>
        <v>59300</v>
      </c>
      <c r="P63" s="126">
        <f>$O$33</f>
        <v>59240</v>
      </c>
      <c r="Q63" s="119" t="s">
        <v>287</v>
      </c>
      <c r="R63" s="120" t="s">
        <v>57</v>
      </c>
      <c r="S63" s="120">
        <v>3</v>
      </c>
      <c r="T63" s="121"/>
      <c r="U63" s="121">
        <f>(I61-H61)/O63</f>
        <v>3.1989881956155146E-2</v>
      </c>
      <c r="V63" s="121">
        <f>(1-U63)/S63</f>
        <v>0.3226700393479483</v>
      </c>
      <c r="W63" s="127">
        <f>U63*K61+V63*K63*3</f>
        <v>211.36875165876606</v>
      </c>
      <c r="X63" s="127">
        <f>P63/W63</f>
        <v>280.26848592850246</v>
      </c>
      <c r="Y63" s="128">
        <f>W63/T66</f>
        <v>238.88661062261102</v>
      </c>
      <c r="Z63" s="124"/>
    </row>
    <row r="64" spans="1:59" ht="15.75" customHeight="1" x14ac:dyDescent="0.25">
      <c r="A64" s="446">
        <f>A63+3</f>
        <v>195</v>
      </c>
      <c r="B64" s="321">
        <f>INDEX(TestSummary!$A$1:$BL$366,'J1634 Calcs'!$A64,'J1634 Calcs'!B$5)</f>
        <v>62008028</v>
      </c>
      <c r="C64" s="321" t="str">
        <f>INDEX(TestSummary!$A$1:$BL$366,'J1634 Calcs'!$A64,'J1634 Calcs'!C$5)</f>
        <v>US06 1, combined</v>
      </c>
      <c r="D64" s="307" t="str">
        <f>INDEX(TestSummary!$A$1:$BL$366,'J1634 Calcs'!$A64,'J1634 Calcs'!D$5)</f>
        <v>J1634MCT in hot test cell (95°F), first half with NO SOLAR, HVAC AUTO 72°F</v>
      </c>
      <c r="E64" s="352">
        <f>INDEX(TestSummary!$A$1:$BL$366,'J1634 Calcs'!$A64,'J1634 Calcs'!E$5)</f>
        <v>0</v>
      </c>
      <c r="F64" s="352">
        <f>INDEX(TestSummary!$A$1:$BL$366,'J1634 Calcs'!$A64,'J1634 Calcs'!F$5)</f>
        <v>36.401289000000006</v>
      </c>
      <c r="G64" s="115">
        <f>INDEX(TestSummary!$A$1:$BL$366,'J1634 Calcs'!$A64,'J1634 Calcs'!G$5)</f>
        <v>302.11556291577176</v>
      </c>
      <c r="H64" s="115">
        <f>INDEX(TestSummary!$A$1:$BL$366,'J1634 Calcs'!$A64,'J1634 Calcs'!H$5)</f>
        <v>5411</v>
      </c>
      <c r="I64" s="115">
        <f>INDEX(TestSummary!$A$1:$BL$366,'J1634 Calcs'!$A64,'J1634 Calcs'!I$5)</f>
        <v>7631</v>
      </c>
      <c r="J64" s="116">
        <f>INDEX(TestSummary!$A$1:$BL$366,'J1634 Calcs'!$A64,'J1634 Calcs'!J$5)</f>
        <v>84.4</v>
      </c>
      <c r="K64" s="117">
        <f>INDEX(TestSummary!$A$1:$BL$366,'J1634 Calcs'!$A64,'J1634 Calcs'!K$5)</f>
        <v>302.11556291577176</v>
      </c>
      <c r="L64" s="138"/>
      <c r="N64" s="496" t="s">
        <v>953</v>
      </c>
      <c r="Q64" s="119" t="s">
        <v>287</v>
      </c>
      <c r="R64" s="120" t="s">
        <v>55</v>
      </c>
      <c r="S64" s="120">
        <v>2</v>
      </c>
      <c r="T64" s="121">
        <f>1/S64</f>
        <v>0.5</v>
      </c>
      <c r="U64" s="121"/>
      <c r="V64" s="121"/>
      <c r="W64" s="127">
        <f>T64*K62*2</f>
        <v>223.50638166254637</v>
      </c>
      <c r="X64" s="127">
        <f>P63/W64</f>
        <v>265.04836040628823</v>
      </c>
      <c r="Y64" s="128">
        <f>W64/T66</f>
        <v>252.60442496290372</v>
      </c>
      <c r="Z64" s="124"/>
    </row>
    <row r="65" spans="2:56" x14ac:dyDescent="0.25">
      <c r="B65" s="328"/>
      <c r="C65" s="328"/>
      <c r="D65" s="15"/>
      <c r="E65" s="102"/>
      <c r="F65" s="102"/>
      <c r="G65" s="136"/>
      <c r="H65" s="136"/>
      <c r="I65" s="136"/>
      <c r="J65" s="137"/>
      <c r="K65" s="138"/>
      <c r="L65" s="138"/>
      <c r="Q65" s="119" t="s">
        <v>287</v>
      </c>
      <c r="R65" s="120" t="s">
        <v>210</v>
      </c>
      <c r="S65" s="120">
        <v>2</v>
      </c>
      <c r="T65" s="121">
        <f>1/S65</f>
        <v>0.5</v>
      </c>
      <c r="U65" s="121"/>
      <c r="V65" s="121"/>
      <c r="W65" s="127">
        <f>T65*K64*2</f>
        <v>302.11556291577176</v>
      </c>
      <c r="X65" s="127">
        <f>P63/W65</f>
        <v>196.08390719188407</v>
      </c>
      <c r="Y65" s="128">
        <f>W65/T66</f>
        <v>341.44764670704228</v>
      </c>
      <c r="Z65" s="124"/>
    </row>
    <row r="66" spans="2:56" ht="15.75" thickBot="1" x14ac:dyDescent="0.3">
      <c r="Q66" s="129" t="s">
        <v>287</v>
      </c>
      <c r="R66" s="130" t="s">
        <v>290</v>
      </c>
      <c r="S66" s="130"/>
      <c r="T66" s="245">
        <f>O63/O62</f>
        <v>0.88480786389775024</v>
      </c>
      <c r="U66" s="131"/>
      <c r="V66" s="131"/>
      <c r="W66" s="132" t="s">
        <v>274</v>
      </c>
      <c r="X66" s="132" t="s">
        <v>291</v>
      </c>
      <c r="Y66" s="133" t="s">
        <v>289</v>
      </c>
      <c r="Z66" s="134"/>
    </row>
    <row r="67" spans="2:56" x14ac:dyDescent="0.25">
      <c r="O67"/>
      <c r="AS67" s="33"/>
      <c r="AT67" s="443"/>
      <c r="AW67" s="33"/>
      <c r="AX67" s="33"/>
      <c r="BC67" s="456"/>
      <c r="BD67" s="456"/>
    </row>
    <row r="68" spans="2:56" x14ac:dyDescent="0.25">
      <c r="O68"/>
      <c r="AS68" s="33"/>
      <c r="AT68" s="443"/>
      <c r="AW68" s="33"/>
      <c r="AX68" s="33"/>
      <c r="BC68" s="456"/>
      <c r="BD68" s="456"/>
    </row>
    <row r="69" spans="2:56" x14ac:dyDescent="0.25">
      <c r="O69"/>
      <c r="AS69" s="33"/>
      <c r="AT69" s="443"/>
      <c r="AW69" s="33"/>
      <c r="AX69" s="33"/>
      <c r="BC69" s="456"/>
      <c r="BD69" s="456"/>
    </row>
    <row r="70" spans="2:56" x14ac:dyDescent="0.25">
      <c r="O70"/>
      <c r="AS70" s="33"/>
      <c r="AT70" s="443"/>
      <c r="AW70" s="33"/>
      <c r="AX70" s="33"/>
      <c r="BC70" s="456"/>
      <c r="BD70" s="456"/>
    </row>
    <row r="71" spans="2:56" x14ac:dyDescent="0.25">
      <c r="O71"/>
      <c r="AS71" s="33"/>
      <c r="AT71" s="443"/>
      <c r="AW71" s="33"/>
      <c r="AX71" s="33"/>
      <c r="BC71" s="456"/>
      <c r="BD71" s="456"/>
    </row>
    <row r="72" spans="2:56" x14ac:dyDescent="0.25">
      <c r="O72"/>
      <c r="AS72" s="33"/>
      <c r="AT72" s="443"/>
      <c r="AW72" s="33"/>
      <c r="AX72" s="33"/>
      <c r="BC72" s="456"/>
      <c r="BD72" s="456"/>
    </row>
    <row r="73" spans="2:56" x14ac:dyDescent="0.25">
      <c r="O73"/>
      <c r="AC73" t="s">
        <v>836</v>
      </c>
      <c r="AJ73" t="s">
        <v>837</v>
      </c>
      <c r="AK73">
        <v>64945.5</v>
      </c>
      <c r="AL73">
        <v>344.048</v>
      </c>
      <c r="AM73">
        <f>AK73/AL73</f>
        <v>188.76871831837417</v>
      </c>
      <c r="AO73">
        <v>62943</v>
      </c>
      <c r="AP73">
        <v>287.036</v>
      </c>
      <c r="AQ73">
        <f>AO73/AP73</f>
        <v>219.28608258197579</v>
      </c>
      <c r="AS73">
        <f>TestSummary!X313+TestSummary!X314+TestSummary!X317</f>
        <v>0</v>
      </c>
      <c r="AU73">
        <f>TestSummary!Y313+TestSummary!Y314+TestSummary!Y317</f>
        <v>0</v>
      </c>
      <c r="AY73">
        <f>TestSummary!AC313+TestSummary!AC314+TestSummary!AC317</f>
        <v>0</v>
      </c>
      <c r="BC73" s="135"/>
    </row>
    <row r="74" spans="2:56" x14ac:dyDescent="0.25">
      <c r="O74"/>
      <c r="AD74" s="457">
        <f>T14</f>
        <v>0.84737115453991319</v>
      </c>
      <c r="AE74" s="457">
        <f>T21</f>
        <v>0.84171142703506119</v>
      </c>
      <c r="AF74" s="457">
        <f>T29</f>
        <v>0.84171142703506119</v>
      </c>
      <c r="AG74" s="457">
        <f>T36</f>
        <v>0.87093056078283759</v>
      </c>
      <c r="AH74" s="457">
        <f>T58</f>
        <v>0.88480786389775024</v>
      </c>
      <c r="AI74" s="457">
        <f>T66</f>
        <v>0.88480786389775024</v>
      </c>
      <c r="AJ74" t="s">
        <v>838</v>
      </c>
      <c r="AK74">
        <v>5053.8999999999996</v>
      </c>
      <c r="AL74">
        <v>25.983000000000001</v>
      </c>
      <c r="AM74">
        <f>AK74/AL74</f>
        <v>194.50794750413729</v>
      </c>
      <c r="AO74">
        <v>7980</v>
      </c>
      <c r="AP74">
        <v>36.113999999999997</v>
      </c>
      <c r="AQ74">
        <f>AO74/AP74</f>
        <v>220.96693802957304</v>
      </c>
      <c r="AS74">
        <f>TestSummary!X325</f>
        <v>0</v>
      </c>
      <c r="AU74">
        <f>TestSummary!Y325</f>
        <v>0</v>
      </c>
      <c r="AY74">
        <f>TestSummary!AC325</f>
        <v>0</v>
      </c>
      <c r="BC74" s="458"/>
    </row>
    <row r="75" spans="2:56" x14ac:dyDescent="0.25">
      <c r="AJ75" t="s">
        <v>839</v>
      </c>
      <c r="AK75">
        <v>79218</v>
      </c>
      <c r="AL75">
        <v>420.39699999999999</v>
      </c>
      <c r="AO75" s="443">
        <f>SUM(AO53:AO74)</f>
        <v>79765</v>
      </c>
      <c r="AP75" s="443">
        <f>SUM(AP53:AP74)</f>
        <v>373.488</v>
      </c>
      <c r="AS75" s="33">
        <f>SUM(AS53:AS74)</f>
        <v>166284</v>
      </c>
      <c r="AW75" s="33"/>
      <c r="BC75" s="456">
        <f>(AS75-AK75)/AK75</f>
        <v>1.0990683935469212</v>
      </c>
      <c r="BD75" s="456">
        <f>(AS75-AO75)/AO75</f>
        <v>1.0846737290791701</v>
      </c>
    </row>
    <row r="76" spans="2:56" x14ac:dyDescent="0.25">
      <c r="AD76" t="s">
        <v>213</v>
      </c>
      <c r="AE76" t="s">
        <v>840</v>
      </c>
      <c r="AF76" t="s">
        <v>841</v>
      </c>
    </row>
  </sheetData>
  <mergeCells count="4">
    <mergeCell ref="AK40:AM40"/>
    <mergeCell ref="AO40:AQ40"/>
    <mergeCell ref="AS40:AU40"/>
    <mergeCell ref="AW40:AY40"/>
  </mergeCell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BG76"/>
  <sheetViews>
    <sheetView topLeftCell="D3" zoomScale="85" zoomScaleNormal="85" workbookViewId="0">
      <selection activeCell="O11" sqref="O11"/>
    </sheetView>
  </sheetViews>
  <sheetFormatPr defaultColWidth="9.140625" defaultRowHeight="15" x14ac:dyDescent="0.25"/>
  <cols>
    <col min="2" max="2" width="9" customWidth="1"/>
    <col min="3" max="3" width="22.42578125" bestFit="1" customWidth="1"/>
    <col min="4" max="4" width="37.5703125" customWidth="1"/>
    <col min="5" max="5" width="21" customWidth="1"/>
    <col min="6" max="6" width="27" customWidth="1"/>
    <col min="7" max="7" width="9.140625" bestFit="1" customWidth="1"/>
    <col min="8" max="10" width="9" customWidth="1"/>
    <col min="11" max="12" width="19.28515625" customWidth="1"/>
    <col min="13" max="13" width="9" customWidth="1"/>
    <col min="14" max="14" width="27.42578125" customWidth="1"/>
    <col min="15" max="15" width="11.42578125" style="17" customWidth="1"/>
    <col min="16" max="16" width="11.5703125" customWidth="1"/>
    <col min="17" max="17" width="10" customWidth="1"/>
    <col min="18" max="18" width="9.140625" customWidth="1"/>
    <col min="19" max="19" width="13.42578125" bestFit="1" customWidth="1"/>
    <col min="20" max="20" width="16.42578125" bestFit="1" customWidth="1"/>
    <col min="21" max="22" width="12.28515625" bestFit="1" customWidth="1"/>
    <col min="23" max="23" width="9.140625" customWidth="1"/>
    <col min="24" max="24" width="12.85546875" customWidth="1"/>
    <col min="25" max="28" width="9.140625" customWidth="1"/>
    <col min="29" max="29" width="16.85546875" customWidth="1"/>
    <col min="30" max="35" width="9.140625" customWidth="1"/>
    <col min="36" max="36" width="11.7109375" customWidth="1"/>
    <col min="37" max="37" width="11.140625" customWidth="1"/>
    <col min="41" max="41" width="10.85546875" customWidth="1"/>
    <col min="42" max="42" width="11.7109375" bestFit="1" customWidth="1"/>
    <col min="55" max="55" width="9.85546875" bestFit="1" customWidth="1"/>
  </cols>
  <sheetData>
    <row r="1" spans="1:44" x14ac:dyDescent="0.25">
      <c r="B1" s="27"/>
      <c r="C1" s="27"/>
      <c r="D1" s="27"/>
      <c r="E1" s="27"/>
      <c r="F1" s="27"/>
      <c r="G1" s="27"/>
      <c r="O1" s="17" t="s">
        <v>949</v>
      </c>
      <c r="P1" t="s">
        <v>950</v>
      </c>
    </row>
    <row r="2" spans="1:44" x14ac:dyDescent="0.25">
      <c r="B2" s="27"/>
      <c r="C2" s="27"/>
      <c r="D2" s="27"/>
      <c r="E2" s="27"/>
      <c r="O2" s="17" t="s">
        <v>286</v>
      </c>
      <c r="P2" t="s">
        <v>948</v>
      </c>
    </row>
    <row r="5" spans="1:44" ht="15.75" thickBot="1" x14ac:dyDescent="0.3">
      <c r="B5">
        <v>1</v>
      </c>
      <c r="C5">
        <v>2</v>
      </c>
      <c r="D5">
        <v>7</v>
      </c>
      <c r="E5">
        <v>9</v>
      </c>
      <c r="F5">
        <v>10</v>
      </c>
      <c r="G5">
        <v>25</v>
      </c>
      <c r="H5">
        <v>22</v>
      </c>
      <c r="I5">
        <v>23</v>
      </c>
      <c r="J5">
        <v>21</v>
      </c>
      <c r="K5">
        <v>25</v>
      </c>
      <c r="L5">
        <v>41</v>
      </c>
    </row>
    <row r="6" spans="1:44" ht="96" customHeight="1" x14ac:dyDescent="0.25">
      <c r="A6">
        <v>7</v>
      </c>
      <c r="B6" s="104" t="str">
        <f>INDEX(TestSummary!$A$1:$BL$366,'J1634 Calcs no precondition'!$A6,'J1634 Calcs no precondition'!B$5)</f>
        <v>Test ID [#]</v>
      </c>
      <c r="C6" s="105" t="str">
        <f>INDEX(TestSummary!$A$1:$BL$366,'J1634 Calcs no precondition'!$A6,'J1634 Calcs no precondition'!C$5)</f>
        <v>Cycle</v>
      </c>
      <c r="D6" s="105" t="str">
        <f>INDEX(TestSummary!$A$1:$BL$366,'J1634 Calcs no precondition'!$A6,'J1634 Calcs no precondition'!D$5)</f>
        <v>Start Comments</v>
      </c>
      <c r="E6" s="106" t="str">
        <f>INDEX(TestSummary!$A$1:$BL$366,'J1634 Calcs no precondition'!$A6,'J1634 Calcs no precondition'!E$5)</f>
        <v>SPECIAL COMMENTS</v>
      </c>
      <c r="F6" s="106" t="str">
        <f>INDEX(TestSummary!$A$1:$BL$366,'J1634 Calcs no precondition'!$A6,'J1634 Calcs no precondition'!F$5)</f>
        <v>Test Cell Temp [C]</v>
      </c>
      <c r="G6" s="107" t="str">
        <f>INDEX(TestSummary!$A$1:$BL$366,'J1634 Calcs no precondition'!$A6,'J1634 Calcs no precondition'!G$5)</f>
        <v>HV Batt (500A) Energy consumption ΔWP1
[Wh/mi]</v>
      </c>
      <c r="H6" s="107" t="str">
        <f>INDEX(TestSummary!$A$1:$BL$366,'J1634 Calcs no precondition'!$A6,'J1634 Calcs no precondition'!H$5)</f>
        <v xml:space="preserve">HV Batt (500A)
Start 
WP1 [Wh]
</v>
      </c>
      <c r="I6" s="107" t="str">
        <f>INDEX(TestSummary!$A$1:$BL$366,'J1634 Calcs no precondition'!$A6,'J1634 Calcs no precondition'!I$5)</f>
        <v>HV Batt Out (500A) End
WP1 [Wh]</v>
      </c>
      <c r="J6" s="108" t="str">
        <f>INDEX(TestSummary!$A$1:$BL$366,'J1634 Calcs no precondition'!$A6,'J1634 Calcs no precondition'!J$5)</f>
        <v>End SOC</v>
      </c>
      <c r="K6" s="109" t="str">
        <f>INDEX(TestSummary!$A$1:$BL$366,'J1634 Calcs no precondition'!$A6,'J1634 Calcs no precondition'!K$5)</f>
        <v>HV Batt (500A) Energy consumption ΔWP1
[Wh/mi]</v>
      </c>
      <c r="L6" s="109" t="str">
        <f>INDEX(TestSummary!$A$1:$BL$366,'J1634 Calcs no precondition'!$A6,'J1634 Calcs no precondition'!L$5)</f>
        <v>PTC Heater Δ WP7&amp;8 [Wh/mi]</v>
      </c>
      <c r="N6" t="s">
        <v>273</v>
      </c>
      <c r="Q6" t="s">
        <v>389</v>
      </c>
      <c r="AC6" s="27" t="s">
        <v>274</v>
      </c>
      <c r="AD6" s="500" t="s">
        <v>1019</v>
      </c>
      <c r="AE6" s="500" t="s">
        <v>1020</v>
      </c>
      <c r="AF6" s="500" t="s">
        <v>1021</v>
      </c>
      <c r="AG6" s="500" t="s">
        <v>1018</v>
      </c>
      <c r="AH6" s="500" t="s">
        <v>1022</v>
      </c>
      <c r="AI6" s="500" t="s">
        <v>1023</v>
      </c>
    </row>
    <row r="7" spans="1:44" x14ac:dyDescent="0.25">
      <c r="C7" s="102"/>
      <c r="D7" s="15"/>
      <c r="E7" s="102"/>
      <c r="F7" s="102"/>
      <c r="G7" s="335"/>
      <c r="H7" s="335"/>
      <c r="I7" s="335"/>
      <c r="J7" s="336"/>
      <c r="K7" s="335"/>
      <c r="L7" s="335"/>
      <c r="AC7" t="s">
        <v>208</v>
      </c>
      <c r="AD7" s="94">
        <f>SUM(K10:L10)</f>
        <v>539.57030404629222</v>
      </c>
      <c r="AE7" s="94">
        <f>SUM(K17:L17)</f>
        <v>454.22105247703433</v>
      </c>
      <c r="AF7" s="94">
        <f>SUM(K24:L24)</f>
        <v>362.12279082035781</v>
      </c>
      <c r="AG7" s="94">
        <f>K42</f>
        <v>209.4282460330657</v>
      </c>
      <c r="AH7" s="94">
        <f>K53</f>
        <v>310.37308558405277</v>
      </c>
      <c r="AI7" s="94">
        <f>K61</f>
        <v>255.36671523792654</v>
      </c>
    </row>
    <row r="8" spans="1:44" ht="17.25" customHeight="1" thickBot="1" x14ac:dyDescent="0.3">
      <c r="AC8" t="s">
        <v>280</v>
      </c>
      <c r="AD8" s="94">
        <f>SUM(K11:L11)</f>
        <v>359.09103531634133</v>
      </c>
      <c r="AE8" s="94">
        <f>SUM(K18:L18)</f>
        <v>303.34532435039824</v>
      </c>
      <c r="AF8" s="94">
        <f>SUM(K25:L25)</f>
        <v>286.97784376953621</v>
      </c>
      <c r="AG8" s="94">
        <f t="shared" ref="AG8:AG9" si="0">K43</f>
        <v>219.60358492135728</v>
      </c>
      <c r="AH8" s="94">
        <f>K54</f>
        <v>232.78653137069216</v>
      </c>
      <c r="AI8" s="94">
        <f>K62</f>
        <v>223.50638166254637</v>
      </c>
      <c r="AO8" s="85"/>
    </row>
    <row r="9" spans="1:44" ht="16.5" thickBot="1" x14ac:dyDescent="0.3">
      <c r="B9" s="77" t="s">
        <v>385</v>
      </c>
      <c r="C9" s="110"/>
      <c r="D9" s="110"/>
      <c r="E9" s="103"/>
      <c r="F9" s="103"/>
      <c r="G9" s="110"/>
      <c r="H9" s="110"/>
      <c r="I9" s="110"/>
      <c r="J9" s="110"/>
      <c r="K9" s="110"/>
      <c r="L9" s="492"/>
      <c r="N9" s="111" t="s">
        <v>278</v>
      </c>
      <c r="O9" s="17" t="s">
        <v>293</v>
      </c>
      <c r="P9" t="s">
        <v>294</v>
      </c>
      <c r="Q9" s="112" t="s">
        <v>279</v>
      </c>
      <c r="R9" s="113"/>
      <c r="S9" s="113"/>
      <c r="T9" s="113"/>
      <c r="U9" s="113"/>
      <c r="V9" s="113"/>
      <c r="W9" s="113"/>
      <c r="X9" s="113"/>
      <c r="Y9" s="113"/>
      <c r="Z9" s="114"/>
      <c r="AC9" t="s">
        <v>209</v>
      </c>
      <c r="AD9" s="94">
        <f>SUM(K12:L12)</f>
        <v>468.77459057259136</v>
      </c>
      <c r="AE9" s="94">
        <f>SUM(K19:L19)</f>
        <v>355.65285258307136</v>
      </c>
      <c r="AF9" s="94">
        <f>SUM(K26:L26)</f>
        <v>333.17954577589052</v>
      </c>
      <c r="AG9" s="94">
        <f t="shared" si="0"/>
        <v>184.48504647904815</v>
      </c>
      <c r="AH9" s="94">
        <f>K55</f>
        <v>247.11909501717622</v>
      </c>
      <c r="AI9" s="94">
        <f>K63</f>
        <v>209.91474861171858</v>
      </c>
      <c r="AK9" s="94"/>
      <c r="AL9" s="94"/>
      <c r="AM9" s="94"/>
      <c r="AO9" s="85"/>
      <c r="AP9" s="26"/>
      <c r="AQ9" s="26"/>
      <c r="AR9" s="26"/>
    </row>
    <row r="10" spans="1:44" s="4" customFormat="1" ht="27" customHeight="1" x14ac:dyDescent="0.25">
      <c r="A10" s="446">
        <v>256</v>
      </c>
      <c r="B10" s="231">
        <f>INDEX(TestSummary!$A$1:$BL$366,'J1634 Calcs no precondition'!$A10,'J1634 Calcs no precondition'!B$5)</f>
        <v>62008040</v>
      </c>
      <c r="C10" s="231" t="str">
        <f>INDEX(TestSummary!$A$1:$BL$366,'J1634 Calcs no precondition'!$A10,'J1634 Calcs no precondition'!C$5)</f>
        <v>UDDS 1 , Combined</v>
      </c>
      <c r="D10" s="232" t="str">
        <f>INDEX(TestSummary!$A$1:$BL$366,'J1634 Calcs no precondition'!$A10,'J1634 Calcs no precondition'!D$5)</f>
        <v>J1634 MCT in super cold test cell (0°F) after long soak over weekend, E-Pedal ON, HVAC AUTO 72°F, UDDS-HWY-UDDS-US06</v>
      </c>
      <c r="E10" s="322">
        <f>INDEX(TestSummary!$A$1:$BL$366,'J1634 Calcs no precondition'!$A10,'J1634 Calcs no precondition'!E$5)</f>
        <v>0</v>
      </c>
      <c r="F10" s="322">
        <f>INDEX(TestSummary!$A$1:$BL$366,'J1634 Calcs no precondition'!$A10,'J1634 Calcs no precondition'!F$5)</f>
        <v>-17.308002500000001</v>
      </c>
      <c r="G10" s="233">
        <f>INDEX(TestSummary!$A$1:$BL$366,'J1634 Calcs no precondition'!$A10,'J1634 Calcs no precondition'!G$5)</f>
        <v>314.90832525470631</v>
      </c>
      <c r="H10" s="233">
        <f>INDEX(TestSummary!$A$1:$BL$366,'J1634 Calcs no precondition'!$A10,'J1634 Calcs no precondition'!H$5)</f>
        <v>-7576</v>
      </c>
      <c r="I10" s="233">
        <f>INDEX(TestSummary!$A$1:$BL$366,'J1634 Calcs no precondition'!$A10,'J1634 Calcs no precondition'!I$5)</f>
        <v>-5239</v>
      </c>
      <c r="J10" s="234">
        <f>INDEX(TestSummary!$A$1:$BL$366,'J1634 Calcs no precondition'!$A10,'J1634 Calcs no precondition'!J$5)</f>
        <v>89.6</v>
      </c>
      <c r="K10" s="235">
        <f>INDEX(TestSummary!$A$1:$BL$366,'J1634 Calcs no precondition'!$A10,'J1634 Calcs no precondition'!K$5)</f>
        <v>314.90832525470631</v>
      </c>
      <c r="L10" s="235">
        <f>INDEX(TestSummary!$A$1:$BL$366,'J1634 Calcs no precondition'!$A10,'J1634 Calcs no precondition'!L$5)</f>
        <v>224.66197879158597</v>
      </c>
      <c r="N10" s="118" t="s">
        <v>846</v>
      </c>
      <c r="O10" s="236">
        <f>TestSummary!AU276</f>
        <v>64309.599999999999</v>
      </c>
      <c r="P10" s="236">
        <f>$O$32</f>
        <v>68019.200000000012</v>
      </c>
      <c r="Q10" s="237" t="s">
        <v>16</v>
      </c>
      <c r="R10" s="238" t="s">
        <v>1</v>
      </c>
      <c r="S10" s="238" t="s">
        <v>392</v>
      </c>
      <c r="T10" s="239" t="s">
        <v>281</v>
      </c>
      <c r="U10" s="238" t="s">
        <v>282</v>
      </c>
      <c r="V10" s="239" t="s">
        <v>283</v>
      </c>
      <c r="W10" s="240" t="s">
        <v>947</v>
      </c>
      <c r="X10" s="241" t="s">
        <v>284</v>
      </c>
      <c r="Y10" s="240" t="s">
        <v>285</v>
      </c>
      <c r="Z10" s="242"/>
      <c r="AC10" s="4" t="s">
        <v>288</v>
      </c>
      <c r="AD10" s="94">
        <f>SUM(K13:L13)</f>
        <v>449.02449074659825</v>
      </c>
      <c r="AE10" s="94">
        <f>SUM(K20:L20)</f>
        <v>375.3819379986947</v>
      </c>
      <c r="AF10" s="94">
        <f>SUM(K27:L27)</f>
        <v>364.80216254486703</v>
      </c>
      <c r="AG10" s="243">
        <f>K35</f>
        <v>301.41035271617523</v>
      </c>
      <c r="AH10" s="243">
        <f>K56</f>
        <v>311.83267705480091</v>
      </c>
      <c r="AI10" s="94">
        <f>K64</f>
        <v>302.11556291577176</v>
      </c>
      <c r="AK10" s="243"/>
      <c r="AL10" s="243"/>
      <c r="AM10" s="243"/>
      <c r="AO10" s="244"/>
    </row>
    <row r="11" spans="1:44" x14ac:dyDescent="0.25">
      <c r="A11" s="446">
        <f>A10+1</f>
        <v>257</v>
      </c>
      <c r="B11" s="321">
        <f>INDEX(TestSummary!$A$1:$BL$366,'J1634 Calcs no precondition'!$A11,'J1634 Calcs no precondition'!B$5)</f>
        <v>62008040</v>
      </c>
      <c r="C11" s="321" t="str">
        <f>INDEX(TestSummary!$A$1:$BL$366,'J1634 Calcs no precondition'!$A11,'J1634 Calcs no precondition'!C$5)</f>
        <v>HWY 1</v>
      </c>
      <c r="D11" s="307" t="str">
        <f>INDEX(TestSummary!$A$1:$BL$366,'J1634 Calcs no precondition'!$A11,'J1634 Calcs no precondition'!D$5)</f>
        <v>J1634 MCT in super cold test cell (0°F) after long soak over weekend, E-Pedal ON, HVAC AUTO 72°F, UDDS-HWY-UDDS-US06</v>
      </c>
      <c r="E11" s="352">
        <f>INDEX(TestSummary!$A$1:$BL$366,'J1634 Calcs no precondition'!$A11,'J1634 Calcs no precondition'!E$5)</f>
        <v>0</v>
      </c>
      <c r="F11" s="352">
        <f>INDEX(TestSummary!$A$1:$BL$366,'J1634 Calcs no precondition'!$A11,'J1634 Calcs no precondition'!F$5)</f>
        <v>-13.954682</v>
      </c>
      <c r="G11" s="115">
        <f>INDEX(TestSummary!$A$1:$BL$366,'J1634 Calcs no precondition'!$A11,'J1634 Calcs no precondition'!G$5)</f>
        <v>268.07040749568125</v>
      </c>
      <c r="H11" s="115">
        <f>INDEX(TestSummary!$A$1:$BL$366,'J1634 Calcs no precondition'!$A11,'J1634 Calcs no precondition'!H$5)</f>
        <v>-5238</v>
      </c>
      <c r="I11" s="115">
        <f>INDEX(TestSummary!$A$1:$BL$366,'J1634 Calcs no precondition'!$A11,'J1634 Calcs no precondition'!I$5)</f>
        <v>-2492</v>
      </c>
      <c r="J11" s="116">
        <f>INDEX(TestSummary!$A$1:$BL$366,'J1634 Calcs no precondition'!$A11,'J1634 Calcs no precondition'!J$5)</f>
        <v>83.8</v>
      </c>
      <c r="K11" s="117">
        <f>INDEX(TestSummary!$A$1:$BL$366,'J1634 Calcs no precondition'!$A11,'J1634 Calcs no precondition'!K$5)</f>
        <v>268.07040749568125</v>
      </c>
      <c r="L11" s="117">
        <f>INDEX(TestSummary!$A$1:$BL$366,'J1634 Calcs no precondition'!$A11,'J1634 Calcs no precondition'!L$5)</f>
        <v>91.020627820660081</v>
      </c>
      <c r="N11" s="125" t="s">
        <v>286</v>
      </c>
      <c r="O11" s="126">
        <f>TestSummary!W275-TestSummary!V254</f>
        <v>44577</v>
      </c>
      <c r="P11" s="126">
        <f>$O$33</f>
        <v>59240</v>
      </c>
      <c r="Q11" s="119" t="s">
        <v>287</v>
      </c>
      <c r="R11" s="120" t="s">
        <v>57</v>
      </c>
      <c r="S11" s="120">
        <v>3</v>
      </c>
      <c r="T11" s="121"/>
      <c r="U11" s="121">
        <f>(I10-H10)/O11</f>
        <v>5.2426139040312271E-2</v>
      </c>
      <c r="V11" s="121">
        <f>(1-U11)/S11</f>
        <v>0.31585795365322927</v>
      </c>
      <c r="W11" s="127">
        <f>U11*(K10+L10)+V11*(K12+L12)*3</f>
        <v>472.48613649062179</v>
      </c>
      <c r="X11" s="127">
        <f>P11/W11</f>
        <v>125.37934010086205</v>
      </c>
      <c r="Y11" s="128">
        <f>W11/T14</f>
        <v>681.63838847964848</v>
      </c>
      <c r="Z11" s="124"/>
      <c r="AD11" s="33"/>
      <c r="AE11" s="33"/>
      <c r="AF11" s="33"/>
      <c r="AG11" s="33"/>
      <c r="AH11" s="33"/>
      <c r="AK11" s="94"/>
      <c r="AL11" s="94"/>
      <c r="AM11" s="94"/>
      <c r="AO11" s="85"/>
    </row>
    <row r="12" spans="1:44" x14ac:dyDescent="0.25">
      <c r="A12" s="446">
        <f>A11+3</f>
        <v>260</v>
      </c>
      <c r="B12" s="321">
        <f>INDEX(TestSummary!$A$1:$BL$366,'J1634 Calcs no precondition'!$A12,'J1634 Calcs no precondition'!B$5)</f>
        <v>62008040</v>
      </c>
      <c r="C12" s="321" t="str">
        <f>INDEX(TestSummary!$A$1:$BL$366,'J1634 Calcs no precondition'!$A12,'J1634 Calcs no precondition'!C$5)</f>
        <v>UDDS 2, combined</v>
      </c>
      <c r="D12" s="307" t="str">
        <f>INDEX(TestSummary!$A$1:$BL$366,'J1634 Calcs no precondition'!$A12,'J1634 Calcs no precondition'!D$5)</f>
        <v>J1634 MCT in super cold test cell (0°F) after long soak over weekend, E-Pedal ON, HVAC AUTO 72°F, UDDS-HWY-UDDS-US06</v>
      </c>
      <c r="E12" s="352">
        <f>INDEX(TestSummary!$A$1:$BL$366,'J1634 Calcs no precondition'!$A12,'J1634 Calcs no precondition'!E$5)</f>
        <v>0</v>
      </c>
      <c r="F12" s="352">
        <f>INDEX(TestSummary!$A$1:$BL$366,'J1634 Calcs no precondition'!$A12,'J1634 Calcs no precondition'!F$5)</f>
        <v>-18.004924500000001</v>
      </c>
      <c r="G12" s="115">
        <f>INDEX(TestSummary!$A$1:$BL$366,'J1634 Calcs no precondition'!$A12,'J1634 Calcs no precondition'!G$5)</f>
        <v>255.65519121032602</v>
      </c>
      <c r="H12" s="115">
        <f>INDEX(TestSummary!$A$1:$BL$366,'J1634 Calcs no precondition'!$A12,'J1634 Calcs no precondition'!H$5)</f>
        <v>-2489</v>
      </c>
      <c r="I12" s="115">
        <f>INDEX(TestSummary!$A$1:$BL$366,'J1634 Calcs no precondition'!$A12,'J1634 Calcs no precondition'!I$5)</f>
        <v>-592</v>
      </c>
      <c r="J12" s="116">
        <f>INDEX(TestSummary!$A$1:$BL$366,'J1634 Calcs no precondition'!$A12,'J1634 Calcs no precondition'!J$5)</f>
        <v>78.2</v>
      </c>
      <c r="K12" s="117">
        <f>INDEX(TestSummary!$A$1:$BL$366,'J1634 Calcs no precondition'!$A12,'J1634 Calcs no precondition'!K$5)</f>
        <v>255.65519121032602</v>
      </c>
      <c r="L12" s="117">
        <f>INDEX(TestSummary!$A$1:$BL$366,'J1634 Calcs no precondition'!$A12,'J1634 Calcs no precondition'!L$5)</f>
        <v>213.11939936226534</v>
      </c>
      <c r="Q12" s="119" t="s">
        <v>287</v>
      </c>
      <c r="R12" s="120" t="s">
        <v>55</v>
      </c>
      <c r="S12" s="120">
        <v>2</v>
      </c>
      <c r="T12" s="121">
        <f>1/S12</f>
        <v>0.5</v>
      </c>
      <c r="U12" s="121"/>
      <c r="V12" s="121"/>
      <c r="W12" s="127">
        <f>T12*(K11+L11)*2</f>
        <v>359.09103531634133</v>
      </c>
      <c r="X12" s="127">
        <f>P11/W12</f>
        <v>164.97209390875634</v>
      </c>
      <c r="Y12" s="128">
        <f>W12/T14</f>
        <v>518.04744251025829</v>
      </c>
      <c r="Z12" s="124"/>
      <c r="AC12" s="27" t="s">
        <v>289</v>
      </c>
      <c r="AD12" s="33"/>
      <c r="AE12" s="33"/>
      <c r="AF12" s="33"/>
      <c r="AG12" s="33"/>
      <c r="AH12" s="33"/>
    </row>
    <row r="13" spans="1:44" x14ac:dyDescent="0.25">
      <c r="A13" s="446">
        <f>A12+3</f>
        <v>263</v>
      </c>
      <c r="B13" s="321">
        <f>INDEX(TestSummary!$A$1:$BL$366,'J1634 Calcs no precondition'!$A13,'J1634 Calcs no precondition'!B$5)</f>
        <v>62008040</v>
      </c>
      <c r="C13" s="321" t="str">
        <f>INDEX(TestSummary!$A$1:$BL$366,'J1634 Calcs no precondition'!$A13,'J1634 Calcs no precondition'!C$5)</f>
        <v>US06 1, combined</v>
      </c>
      <c r="D13" s="307" t="str">
        <f>INDEX(TestSummary!$A$1:$BL$366,'J1634 Calcs no precondition'!$A13,'J1634 Calcs no precondition'!D$5)</f>
        <v>J1634 MCT in super cold test cell (0°F) after long soak over weekend, E-Pedal ON, HVAC AUTO 72°F, UDDS-HWY-UDDS-US06</v>
      </c>
      <c r="E13" s="352">
        <f>INDEX(TestSummary!$A$1:$BL$366,'J1634 Calcs no precondition'!$A13,'J1634 Calcs no precondition'!E$5)</f>
        <v>0</v>
      </c>
      <c r="F13" s="352">
        <f>INDEX(TestSummary!$A$1:$BL$366,'J1634 Calcs no precondition'!$A13,'J1634 Calcs no precondition'!F$5)</f>
        <v>-12.748239</v>
      </c>
      <c r="G13" s="115">
        <f>INDEX(TestSummary!$A$1:$BL$366,'J1634 Calcs no precondition'!$A13,'J1634 Calcs no precondition'!G$5)</f>
        <v>369.77640199099176</v>
      </c>
      <c r="H13" s="115">
        <f>INDEX(TestSummary!$A$1:$BL$366,'J1634 Calcs no precondition'!$A13,'J1634 Calcs no precondition'!H$5)</f>
        <v>-584</v>
      </c>
      <c r="I13" s="115">
        <f>INDEX(TestSummary!$A$1:$BL$366,'J1634 Calcs no precondition'!$A13,'J1634 Calcs no precondition'!I$5)</f>
        <v>2121.466602</v>
      </c>
      <c r="J13" s="116">
        <f>INDEX(TestSummary!$A$1:$BL$366,'J1634 Calcs no precondition'!$A13,'J1634 Calcs no precondition'!J$5)</f>
        <v>72.599999999999994</v>
      </c>
      <c r="K13" s="117">
        <f>INDEX(TestSummary!$A$1:$BL$366,'J1634 Calcs no precondition'!$A13,'J1634 Calcs no precondition'!K$5)</f>
        <v>369.77640199099176</v>
      </c>
      <c r="L13" s="117">
        <f>INDEX(TestSummary!$A$1:$BL$366,'J1634 Calcs no precondition'!$A13,'J1634 Calcs no precondition'!L$5)</f>
        <v>79.248088755606489</v>
      </c>
      <c r="N13" s="33"/>
      <c r="Q13" s="119" t="s">
        <v>287</v>
      </c>
      <c r="R13" s="120" t="s">
        <v>210</v>
      </c>
      <c r="S13" s="120">
        <v>2</v>
      </c>
      <c r="T13" s="121">
        <f>1/S13</f>
        <v>0.5</v>
      </c>
      <c r="U13" s="121"/>
      <c r="V13" s="121"/>
      <c r="W13" s="127">
        <f>T13*(K13+L13)*2</f>
        <v>449.02449074659825</v>
      </c>
      <c r="X13" s="127">
        <f>P11/W13</f>
        <v>131.93044303997976</v>
      </c>
      <c r="Y13" s="128">
        <f>W13/T14</f>
        <v>647.79113421983163</v>
      </c>
      <c r="Z13" s="124"/>
      <c r="AC13" t="s">
        <v>57</v>
      </c>
      <c r="AD13" s="94">
        <f>Y11</f>
        <v>681.63838847964848</v>
      </c>
      <c r="AE13" s="94">
        <f>Y18</f>
        <v>428.12528840674207</v>
      </c>
      <c r="AF13" s="94">
        <f>Y26</f>
        <v>397.3951693217457</v>
      </c>
      <c r="AG13" s="94">
        <f>Y43</f>
        <v>211.31564960585933</v>
      </c>
      <c r="AH13" s="94">
        <f>Y55</f>
        <v>282.06883181782172</v>
      </c>
      <c r="AI13" s="94">
        <f>Y63</f>
        <v>238.88661062261102</v>
      </c>
      <c r="AP13" s="26"/>
    </row>
    <row r="14" spans="1:44" ht="15.75" thickBot="1" x14ac:dyDescent="0.3">
      <c r="B14" s="328"/>
      <c r="C14" s="328"/>
      <c r="D14" s="15"/>
      <c r="E14" s="102"/>
      <c r="F14" s="102"/>
      <c r="G14" s="136"/>
      <c r="H14" s="136"/>
      <c r="I14" s="136"/>
      <c r="J14" s="137"/>
      <c r="K14" s="138"/>
      <c r="L14" s="138"/>
      <c r="Q14" s="129" t="s">
        <v>287</v>
      </c>
      <c r="R14" s="130" t="s">
        <v>290</v>
      </c>
      <c r="S14" s="130"/>
      <c r="T14" s="245">
        <f>O11/O10</f>
        <v>0.69316245164019064</v>
      </c>
      <c r="U14" s="131"/>
      <c r="V14" s="131"/>
      <c r="W14" s="132" t="s">
        <v>274</v>
      </c>
      <c r="X14" s="132" t="s">
        <v>291</v>
      </c>
      <c r="Y14" s="133" t="s">
        <v>289</v>
      </c>
      <c r="Z14" s="134"/>
      <c r="AC14" t="s">
        <v>55</v>
      </c>
      <c r="AD14" s="94">
        <f>Y12</f>
        <v>518.04744251025829</v>
      </c>
      <c r="AE14" s="94">
        <f>Y19</f>
        <v>360.39112052801261</v>
      </c>
      <c r="AF14" s="94">
        <f>Y27</f>
        <v>340.94564306964344</v>
      </c>
      <c r="AG14" s="94">
        <f t="shared" ref="AG14:AG15" si="1">Y44</f>
        <v>254.22899515125798</v>
      </c>
      <c r="AH14" s="94">
        <f>Y56</f>
        <v>263.09274687639231</v>
      </c>
      <c r="AI14" s="94">
        <f>Y64</f>
        <v>252.60442496290372</v>
      </c>
    </row>
    <row r="15" spans="1:44" ht="15.75" thickBot="1" x14ac:dyDescent="0.3">
      <c r="AC15" t="s">
        <v>210</v>
      </c>
      <c r="AD15" s="94">
        <f>Y13</f>
        <v>647.79113421983163</v>
      </c>
      <c r="AE15" s="94">
        <f>Y20</f>
        <v>445.97462496259811</v>
      </c>
      <c r="AF15" s="94">
        <f>Y28</f>
        <v>433.40526316707746</v>
      </c>
      <c r="AG15" s="94">
        <f t="shared" si="1"/>
        <v>347.15814678052328</v>
      </c>
      <c r="AH15" s="94">
        <f>Y57</f>
        <v>352.42982095696743</v>
      </c>
      <c r="AI15" s="94">
        <f>Y65</f>
        <v>341.44764670704228</v>
      </c>
    </row>
    <row r="16" spans="1:44" ht="16.5" thickBot="1" x14ac:dyDescent="0.3">
      <c r="B16" s="77" t="s">
        <v>919</v>
      </c>
      <c r="C16" s="110"/>
      <c r="D16" s="110"/>
      <c r="E16" s="103"/>
      <c r="F16" s="103"/>
      <c r="G16" s="110"/>
      <c r="H16" s="110"/>
      <c r="I16" s="110"/>
      <c r="J16" s="110"/>
      <c r="K16" s="110"/>
      <c r="L16" s="492"/>
      <c r="N16" s="111" t="s">
        <v>278</v>
      </c>
      <c r="O16" s="17" t="s">
        <v>293</v>
      </c>
      <c r="P16" t="s">
        <v>294</v>
      </c>
      <c r="Q16" s="112" t="s">
        <v>279</v>
      </c>
      <c r="R16" s="113"/>
      <c r="S16" s="113"/>
      <c r="T16" s="113"/>
      <c r="U16" s="113"/>
      <c r="V16" s="113"/>
      <c r="W16" s="113"/>
      <c r="X16" s="113"/>
      <c r="Y16" s="113"/>
      <c r="Z16" s="114"/>
      <c r="AD16" s="33"/>
      <c r="AE16" s="33"/>
      <c r="AF16" s="33"/>
      <c r="AG16" s="33"/>
      <c r="AH16" s="33"/>
    </row>
    <row r="17" spans="1:41" x14ac:dyDescent="0.25">
      <c r="A17" s="446">
        <v>199</v>
      </c>
      <c r="B17" s="321">
        <f>INDEX(TestSummary!$A$1:$BL$366,'J1634 Calcs no precondition'!$A17,'J1634 Calcs no precondition'!B$5)</f>
        <v>62008029</v>
      </c>
      <c r="C17" s="321" t="str">
        <f>INDEX(TestSummary!$A$1:$BL$366,'J1634 Calcs no precondition'!$A17,'J1634 Calcs no precondition'!C$5)</f>
        <v>UDDS 1 , Combined</v>
      </c>
      <c r="D17" s="307" t="str">
        <f>INDEX(TestSummary!$A$1:$BL$366,'J1634 Calcs no precondition'!$A17,'J1634 Calcs no precondition'!D$5)</f>
        <v>J1634MCT in cold test cell (20°F), HVAC AUTO 72°F, Use Calc EV Phases 2019 Leaf to combine PTC Power</v>
      </c>
      <c r="E17" s="352">
        <f>INDEX(TestSummary!$A$1:$BL$366,'J1634 Calcs no precondition'!$A17,'J1634 Calcs no precondition'!E$5)</f>
        <v>0</v>
      </c>
      <c r="F17" s="352">
        <f>INDEX(TestSummary!$A$1:$BL$366,'J1634 Calcs no precondition'!$A17,'J1634 Calcs no precondition'!F$5)</f>
        <v>-6.4680374999999994</v>
      </c>
      <c r="G17" s="115">
        <f>INDEX(TestSummary!$A$1:$BL$366,'J1634 Calcs no precondition'!$A17,'J1634 Calcs no precondition'!G$5)</f>
        <v>358.02556320826375</v>
      </c>
      <c r="H17" s="115">
        <f>INDEX(TestSummary!$A$1:$BL$366,'J1634 Calcs no precondition'!$A17,'J1634 Calcs no precondition'!H$5)</f>
        <v>-906</v>
      </c>
      <c r="I17" s="115">
        <f>INDEX(TestSummary!$A$1:$BL$366,'J1634 Calcs no precondition'!$A17,'J1634 Calcs no precondition'!I$5)</f>
        <v>1754</v>
      </c>
      <c r="J17" s="116">
        <f>INDEX(TestSummary!$A$1:$BL$366,'J1634 Calcs no precondition'!$A17,'J1634 Calcs no precondition'!J$5)</f>
        <v>92</v>
      </c>
      <c r="K17" s="117">
        <f>INDEX(TestSummary!$A$1:$BL$366,'J1634 Calcs no precondition'!$A17,'J1634 Calcs no precondition'!K$5)</f>
        <v>358.02556320826375</v>
      </c>
      <c r="L17" s="117">
        <f>INDEX(TestSummary!$A$1:$BL$366,'J1634 Calcs no precondition'!$A17,'J1634 Calcs no precondition'!L$5)</f>
        <v>96.195489268770586</v>
      </c>
      <c r="M17" s="33"/>
      <c r="N17" s="118" t="s">
        <v>846</v>
      </c>
      <c r="O17" s="493">
        <f>TestSummary!AU239</f>
        <v>66204.399999999994</v>
      </c>
      <c r="P17" s="236">
        <f>$O$32</f>
        <v>68019.200000000012</v>
      </c>
      <c r="Q17" s="119" t="s">
        <v>16</v>
      </c>
      <c r="R17" s="120" t="s">
        <v>1</v>
      </c>
      <c r="S17" s="120" t="s">
        <v>392</v>
      </c>
      <c r="T17" s="121" t="s">
        <v>281</v>
      </c>
      <c r="U17" s="120" t="s">
        <v>282</v>
      </c>
      <c r="V17" s="121" t="s">
        <v>283</v>
      </c>
      <c r="W17" s="122" t="s">
        <v>947</v>
      </c>
      <c r="X17" s="123" t="s">
        <v>284</v>
      </c>
      <c r="Y17" s="122" t="s">
        <v>285</v>
      </c>
      <c r="Z17" s="124"/>
      <c r="AC17" s="27" t="s">
        <v>390</v>
      </c>
    </row>
    <row r="18" spans="1:41" x14ac:dyDescent="0.25">
      <c r="A18" s="446">
        <f>A17+1</f>
        <v>200</v>
      </c>
      <c r="B18" s="321">
        <f>INDEX(TestSummary!$A$1:$BL$366,'J1634 Calcs no precondition'!$A18,'J1634 Calcs no precondition'!B$5)</f>
        <v>62008029</v>
      </c>
      <c r="C18" s="321" t="str">
        <f>INDEX(TestSummary!$A$1:$BL$366,'J1634 Calcs no precondition'!$A18,'J1634 Calcs no precondition'!C$5)</f>
        <v>HWY 1</v>
      </c>
      <c r="D18" s="307" t="str">
        <f>INDEX(TestSummary!$A$1:$BL$366,'J1634 Calcs no precondition'!$A18,'J1634 Calcs no precondition'!D$5)</f>
        <v>J1634MCT in cold test cell (20°F), HVAC AUTO 72°F, Use Calc EV Phases 2019 Leaf to combine PTC Power</v>
      </c>
      <c r="E18" s="352">
        <f>INDEX(TestSummary!$A$1:$BL$366,'J1634 Calcs no precondition'!$A18,'J1634 Calcs no precondition'!E$5)</f>
        <v>0</v>
      </c>
      <c r="F18" s="352">
        <f>INDEX(TestSummary!$A$1:$BL$366,'J1634 Calcs no precondition'!$A18,'J1634 Calcs no precondition'!F$5)</f>
        <v>-3.2424309999999998</v>
      </c>
      <c r="G18" s="115">
        <f>INDEX(TestSummary!$A$1:$BL$366,'J1634 Calcs no precondition'!$A18,'J1634 Calcs no precondition'!G$5)</f>
        <v>289.89964228804854</v>
      </c>
      <c r="H18" s="115">
        <f>INDEX(TestSummary!$A$1:$BL$366,'J1634 Calcs no precondition'!$A18,'J1634 Calcs no precondition'!H$5)</f>
        <v>1761</v>
      </c>
      <c r="I18" s="115">
        <f>INDEX(TestSummary!$A$1:$BL$366,'J1634 Calcs no precondition'!$A18,'J1634 Calcs no precondition'!I$5)</f>
        <v>4731</v>
      </c>
      <c r="J18" s="116">
        <f>INDEX(TestSummary!$A$1:$BL$366,'J1634 Calcs no precondition'!$A18,'J1634 Calcs no precondition'!J$5)</f>
        <v>87.3</v>
      </c>
      <c r="K18" s="117">
        <f>INDEX(TestSummary!$A$1:$BL$366,'J1634 Calcs no precondition'!$A18,'J1634 Calcs no precondition'!K$5)</f>
        <v>289.89964228804854</v>
      </c>
      <c r="L18" s="117">
        <f>INDEX(TestSummary!$A$1:$BL$366,'J1634 Calcs no precondition'!$A18,'J1634 Calcs no precondition'!L$5)</f>
        <v>13.445682062349725</v>
      </c>
      <c r="M18" s="33"/>
      <c r="N18" s="125" t="s">
        <v>286</v>
      </c>
      <c r="O18" s="494">
        <f>TestSummary!W238-TestSummary!V220</f>
        <v>55725</v>
      </c>
      <c r="P18" s="126">
        <f>$O$33</f>
        <v>59240</v>
      </c>
      <c r="Q18" s="119" t="s">
        <v>287</v>
      </c>
      <c r="R18" s="120" t="s">
        <v>57</v>
      </c>
      <c r="S18" s="120">
        <v>3</v>
      </c>
      <c r="T18" s="121"/>
      <c r="U18" s="121">
        <f>(I17-H17)/O18</f>
        <v>4.7734410049349481E-2</v>
      </c>
      <c r="V18" s="121">
        <f>(1-U18)/S18</f>
        <v>0.31742186331688349</v>
      </c>
      <c r="W18" s="127">
        <f>U18*(K17+L17)+V18*(K19+L19)*3</f>
        <v>360.35794745463602</v>
      </c>
      <c r="X18" s="127">
        <f>P18/W18</f>
        <v>164.39210073882853</v>
      </c>
      <c r="Y18" s="128">
        <f>W18/T21</f>
        <v>428.12528840674207</v>
      </c>
      <c r="Z18" s="124"/>
      <c r="AC18" t="s">
        <v>57</v>
      </c>
      <c r="AD18" s="135">
        <f t="shared" ref="AD18:AE20" si="2">AD13/$AG13-1</f>
        <v>2.2256881577442247</v>
      </c>
      <c r="AE18" s="135">
        <f t="shared" si="2"/>
        <v>1.025998969812556</v>
      </c>
      <c r="AF18" s="135">
        <f t="shared" ref="AF18:AF20" si="3">AF13/$AG13-1</f>
        <v>0.88057614314395183</v>
      </c>
      <c r="AG18" s="135">
        <f t="shared" ref="AG18:AI20" si="4">AG13/$AG13-1</f>
        <v>0</v>
      </c>
      <c r="AH18" s="135">
        <f t="shared" si="4"/>
        <v>0.33482225449903713</v>
      </c>
      <c r="AI18" s="135">
        <f t="shared" si="4"/>
        <v>0.13047287821879894</v>
      </c>
    </row>
    <row r="19" spans="1:41" x14ac:dyDescent="0.25">
      <c r="A19" s="446">
        <f>A18+3</f>
        <v>203</v>
      </c>
      <c r="B19" s="321">
        <f>INDEX(TestSummary!$A$1:$BL$366,'J1634 Calcs no precondition'!$A19,'J1634 Calcs no precondition'!B$5)</f>
        <v>62008029</v>
      </c>
      <c r="C19" s="321" t="str">
        <f>INDEX(TestSummary!$A$1:$BL$366,'J1634 Calcs no precondition'!$A19,'J1634 Calcs no precondition'!C$5)</f>
        <v>UDDS 2, combined</v>
      </c>
      <c r="D19" s="307" t="str">
        <f>INDEX(TestSummary!$A$1:$BL$366,'J1634 Calcs no precondition'!$A19,'J1634 Calcs no precondition'!D$5)</f>
        <v>J1634MCT in cold test cell (20°F), HVAC AUTO 72°F, Use Calc EV Phases 2019 Leaf to combine PTC Power</v>
      </c>
      <c r="E19" s="352">
        <f>INDEX(TestSummary!$A$1:$BL$366,'J1634 Calcs no precondition'!$A19,'J1634 Calcs no precondition'!E$5)</f>
        <v>0</v>
      </c>
      <c r="F19" s="352">
        <f>INDEX(TestSummary!$A$1:$BL$366,'J1634 Calcs no precondition'!$A19,'J1634 Calcs no precondition'!F$5)</f>
        <v>-7.0921249999999993</v>
      </c>
      <c r="G19" s="115">
        <f>INDEX(TestSummary!$A$1:$BL$366,'J1634 Calcs no precondition'!$A19,'J1634 Calcs no precondition'!G$5)</f>
        <v>322.33740525679667</v>
      </c>
      <c r="H19" s="115">
        <f>INDEX(TestSummary!$A$1:$BL$366,'J1634 Calcs no precondition'!$A19,'J1634 Calcs no precondition'!H$5)</f>
        <v>4737</v>
      </c>
      <c r="I19" s="115">
        <f>INDEX(TestSummary!$A$1:$BL$366,'J1634 Calcs no precondition'!$A19,'J1634 Calcs no precondition'!I$5)</f>
        <v>7135</v>
      </c>
      <c r="J19" s="116">
        <f>INDEX(TestSummary!$A$1:$BL$366,'J1634 Calcs no precondition'!$A19,'J1634 Calcs no precondition'!J$5)</f>
        <v>83.2</v>
      </c>
      <c r="K19" s="117">
        <f>INDEX(TestSummary!$A$1:$BL$366,'J1634 Calcs no precondition'!$A19,'J1634 Calcs no precondition'!K$5)</f>
        <v>322.33740525679667</v>
      </c>
      <c r="L19" s="117">
        <f>INDEX(TestSummary!$A$1:$BL$366,'J1634 Calcs no precondition'!$A19,'J1634 Calcs no precondition'!L$5)</f>
        <v>33.315447326274686</v>
      </c>
      <c r="M19" s="33"/>
      <c r="Q19" s="119" t="s">
        <v>287</v>
      </c>
      <c r="R19" s="120" t="s">
        <v>55</v>
      </c>
      <c r="S19" s="120">
        <v>2</v>
      </c>
      <c r="T19" s="121">
        <f>1/S19</f>
        <v>0.5</v>
      </c>
      <c r="U19" s="121"/>
      <c r="V19" s="121"/>
      <c r="W19" s="127">
        <f>T19*(K18+L18)*2</f>
        <v>303.34532435039824</v>
      </c>
      <c r="X19" s="127">
        <f>P18/W19</f>
        <v>195.28898336198213</v>
      </c>
      <c r="Y19" s="128">
        <f>W19/T21</f>
        <v>360.39112052801261</v>
      </c>
      <c r="Z19" s="124"/>
      <c r="AC19" t="s">
        <v>55</v>
      </c>
      <c r="AD19" s="135">
        <f t="shared" si="2"/>
        <v>1.0377197424001023</v>
      </c>
      <c r="AE19" s="135">
        <f t="shared" si="2"/>
        <v>0.41758464770547365</v>
      </c>
      <c r="AF19" s="135">
        <f t="shared" si="3"/>
        <v>0.34109660806703768</v>
      </c>
      <c r="AG19" s="135">
        <f t="shared" si="4"/>
        <v>0</v>
      </c>
      <c r="AH19" s="135">
        <f t="shared" si="4"/>
        <v>3.4865227390214359E-2</v>
      </c>
      <c r="AI19" s="135">
        <f t="shared" si="4"/>
        <v>-6.3901845160804216E-3</v>
      </c>
    </row>
    <row r="20" spans="1:41" x14ac:dyDescent="0.25">
      <c r="A20" s="446">
        <f>A19+3</f>
        <v>206</v>
      </c>
      <c r="B20" s="321">
        <f>INDEX(TestSummary!$A$1:$BL$366,'J1634 Calcs no precondition'!$A20,'J1634 Calcs no precondition'!B$5)</f>
        <v>62008029</v>
      </c>
      <c r="C20" s="321" t="str">
        <f>INDEX(TestSummary!$A$1:$BL$366,'J1634 Calcs no precondition'!$A20,'J1634 Calcs no precondition'!C$5)</f>
        <v>US06 1, combined</v>
      </c>
      <c r="D20" s="307" t="str">
        <f>INDEX(TestSummary!$A$1:$BL$366,'J1634 Calcs no precondition'!$A20,'J1634 Calcs no precondition'!D$5)</f>
        <v>J1634MCT in cold test cell (20°F), HVAC AUTO 72°F, Use Calc EV Phases 2019 Leaf to combine PTC Power</v>
      </c>
      <c r="E20" s="352">
        <f>INDEX(TestSummary!$A$1:$BL$366,'J1634 Calcs no precondition'!$A20,'J1634 Calcs no precondition'!E$5)</f>
        <v>0</v>
      </c>
      <c r="F20" s="352">
        <f>INDEX(TestSummary!$A$1:$BL$366,'J1634 Calcs no precondition'!$A20,'J1634 Calcs no precondition'!F$5)</f>
        <v>-2.9472040000000002</v>
      </c>
      <c r="G20" s="115">
        <f>INDEX(TestSummary!$A$1:$BL$366,'J1634 Calcs no precondition'!$A20,'J1634 Calcs no precondition'!G$5)</f>
        <v>372.47412013965283</v>
      </c>
      <c r="H20" s="115">
        <f>INDEX(TestSummary!$A$1:$BL$366,'J1634 Calcs no precondition'!$A20,'J1634 Calcs no precondition'!H$5)</f>
        <v>7178.8137059999999</v>
      </c>
      <c r="I20" s="115">
        <f>INDEX(TestSummary!$A$1:$BL$366,'J1634 Calcs no precondition'!$A20,'J1634 Calcs no precondition'!I$5)</f>
        <v>9905</v>
      </c>
      <c r="J20" s="116">
        <f>INDEX(TestSummary!$A$1:$BL$366,'J1634 Calcs no precondition'!$A20,'J1634 Calcs no precondition'!J$5)</f>
        <v>78.8</v>
      </c>
      <c r="K20" s="117">
        <f>INDEX(TestSummary!$A$1:$BL$366,'J1634 Calcs no precondition'!$A20,'J1634 Calcs no precondition'!K$5)</f>
        <v>372.47412013965283</v>
      </c>
      <c r="L20" s="117">
        <f>INDEX(TestSummary!$A$1:$BL$366,'J1634 Calcs no precondition'!$A20,'J1634 Calcs no precondition'!L$5)</f>
        <v>2.9078178590418724</v>
      </c>
      <c r="M20" s="33"/>
      <c r="Q20" s="119" t="s">
        <v>287</v>
      </c>
      <c r="R20" s="120" t="s">
        <v>210</v>
      </c>
      <c r="S20" s="120">
        <v>2</v>
      </c>
      <c r="T20" s="121">
        <f>1/S20</f>
        <v>0.5</v>
      </c>
      <c r="U20" s="121"/>
      <c r="V20" s="121"/>
      <c r="W20" s="127">
        <f>T20*(K20+L20)*2</f>
        <v>375.3819379986947</v>
      </c>
      <c r="X20" s="127">
        <f>P18/W20</f>
        <v>157.81260098935817</v>
      </c>
      <c r="Y20" s="128">
        <f>W20/T21</f>
        <v>445.97462496259811</v>
      </c>
      <c r="Z20" s="124"/>
      <c r="AC20" t="s">
        <v>210</v>
      </c>
      <c r="AD20" s="135">
        <f t="shared" si="2"/>
        <v>0.86598280993063215</v>
      </c>
      <c r="AE20" s="135">
        <f t="shared" si="2"/>
        <v>0.28464398458880913</v>
      </c>
      <c r="AF20" s="135">
        <f t="shared" si="3"/>
        <v>0.24843754117941086</v>
      </c>
      <c r="AG20" s="135">
        <f t="shared" si="4"/>
        <v>0</v>
      </c>
      <c r="AH20" s="135">
        <f t="shared" si="4"/>
        <v>1.5185223867947961E-2</v>
      </c>
      <c r="AI20" s="135">
        <f t="shared" si="4"/>
        <v>-1.6449275716093781E-2</v>
      </c>
    </row>
    <row r="21" spans="1:41" ht="18" customHeight="1" thickBot="1" x14ac:dyDescent="0.3">
      <c r="B21" s="328"/>
      <c r="C21" s="328"/>
      <c r="D21" s="15"/>
      <c r="E21" s="102"/>
      <c r="F21" s="102"/>
      <c r="G21" s="448"/>
      <c r="H21" s="448"/>
      <c r="I21" s="448"/>
      <c r="J21" s="336"/>
      <c r="K21" s="448"/>
      <c r="L21" s="448"/>
      <c r="Q21" s="129" t="s">
        <v>287</v>
      </c>
      <c r="R21" s="130" t="s">
        <v>290</v>
      </c>
      <c r="S21" s="130"/>
      <c r="T21" s="245">
        <f>O18/O17</f>
        <v>0.84171142703506119</v>
      </c>
      <c r="U21" s="131"/>
      <c r="V21" s="131"/>
      <c r="W21" s="132" t="s">
        <v>274</v>
      </c>
      <c r="X21" s="132" t="s">
        <v>291</v>
      </c>
      <c r="Y21" s="133" t="s">
        <v>289</v>
      </c>
      <c r="Z21" s="134"/>
      <c r="AD21" s="135"/>
      <c r="AE21" s="135"/>
      <c r="AF21" s="135"/>
      <c r="AG21" s="135"/>
      <c r="AH21" s="135"/>
      <c r="AI21" s="135"/>
    </row>
    <row r="22" spans="1:41" ht="18" customHeight="1" x14ac:dyDescent="0.25">
      <c r="B22" s="328"/>
      <c r="C22" s="328"/>
      <c r="D22" s="15"/>
      <c r="E22" s="102"/>
      <c r="F22" s="102"/>
      <c r="G22" s="448"/>
      <c r="H22" s="448"/>
      <c r="I22" s="448"/>
      <c r="J22" s="336"/>
      <c r="K22" s="448"/>
      <c r="L22" s="448"/>
      <c r="R22" s="33"/>
      <c r="S22" s="33"/>
      <c r="T22" s="454"/>
      <c r="W22" s="455"/>
      <c r="X22" s="455"/>
      <c r="Y22" s="18"/>
      <c r="AD22" s="135"/>
      <c r="AE22" s="135"/>
      <c r="AF22" s="135"/>
      <c r="AG22" s="135"/>
      <c r="AH22" s="135"/>
      <c r="AI22" s="135"/>
    </row>
    <row r="23" spans="1:41" ht="18" customHeight="1" thickBot="1" x14ac:dyDescent="0.3">
      <c r="B23" s="77" t="s">
        <v>844</v>
      </c>
      <c r="C23" s="110"/>
      <c r="D23" s="110"/>
      <c r="E23" s="103"/>
      <c r="F23" s="103"/>
      <c r="G23" s="110"/>
      <c r="H23" s="110"/>
      <c r="I23" s="110"/>
      <c r="J23" s="110"/>
      <c r="K23" s="110"/>
      <c r="L23" s="492"/>
      <c r="AD23" s="135"/>
      <c r="AE23" s="135"/>
      <c r="AF23" s="135"/>
      <c r="AG23" s="135"/>
      <c r="AH23" s="135"/>
      <c r="AI23" s="135"/>
    </row>
    <row r="24" spans="1:41" ht="18" customHeight="1" thickBot="1" x14ac:dyDescent="0.3">
      <c r="A24" s="446">
        <v>245</v>
      </c>
      <c r="B24" s="321">
        <f>INDEX(TestSummary!$A$1:$BL$366,'J1634 Calcs no precondition'!$A24,'J1634 Calcs no precondition'!B$5)</f>
        <v>62008039</v>
      </c>
      <c r="C24" s="321" t="str">
        <f>INDEX(TestSummary!$A$1:$BL$366,'J1634 Calcs no precondition'!$A24,'J1634 Calcs no precondition'!C$5)</f>
        <v>UDDS 1 , Combined</v>
      </c>
      <c r="D24" s="307" t="str">
        <f>INDEX(TestSummary!$A$1:$BL$366,'J1634 Calcs no precondition'!$A24,'J1634 Calcs no precondition'!D$5)</f>
        <v>J1634 MCT first half with Climate pre-conditioning. 1 hour log of vehicle prior to cycle start</v>
      </c>
      <c r="E24" s="352">
        <f>INDEX(TestSummary!$A$1:$BL$366,'J1634 Calcs no precondition'!$A24,'J1634 Calcs no precondition'!E$5)</f>
        <v>0</v>
      </c>
      <c r="F24" s="352">
        <f>INDEX(TestSummary!$A$1:$BL$366,'J1634 Calcs no precondition'!$A24,'J1634 Calcs no precondition'!F$5)</f>
        <v>-5.9922194999999991</v>
      </c>
      <c r="G24" s="115">
        <f>INDEX(TestSummary!$A$1:$BL$366,'J1634 Calcs no precondition'!$A24,'J1634 Calcs no precondition'!G$5)</f>
        <v>340.55350380642119</v>
      </c>
      <c r="H24" s="115">
        <f>INDEX(TestSummary!$A$1:$BL$366,'J1634 Calcs no precondition'!$A24,'J1634 Calcs no precondition'!H$5)</f>
        <v>-7048</v>
      </c>
      <c r="I24" s="115">
        <f>INDEX(TestSummary!$A$1:$BL$366,'J1634 Calcs no precondition'!$A24,'J1634 Calcs no precondition'!I$5)</f>
        <v>-4521</v>
      </c>
      <c r="J24" s="116">
        <f>INDEX(TestSummary!$A$1:$BL$366,'J1634 Calcs no precondition'!$A24,'J1634 Calcs no precondition'!J$5)</f>
        <v>92</v>
      </c>
      <c r="K24" s="117">
        <f>INDEX(TestSummary!$A$1:$BL$366,'J1634 Calcs no precondition'!$A24,'J1634 Calcs no precondition'!K$5)</f>
        <v>340.55350380642119</v>
      </c>
      <c r="L24" s="117">
        <f>INDEX(TestSummary!$A$1:$BL$366,'J1634 Calcs no precondition'!$A24,'J1634 Calcs no precondition'!L$5)</f>
        <v>21.569287013936595</v>
      </c>
      <c r="N24" s="111" t="s">
        <v>278</v>
      </c>
      <c r="O24" s="17" t="s">
        <v>293</v>
      </c>
      <c r="P24" t="s">
        <v>294</v>
      </c>
      <c r="Q24" s="112" t="s">
        <v>279</v>
      </c>
      <c r="R24" s="113"/>
      <c r="S24" s="113"/>
      <c r="T24" s="113"/>
      <c r="U24" s="113"/>
      <c r="V24" s="113"/>
      <c r="W24" s="113"/>
      <c r="X24" s="113"/>
      <c r="Y24" s="113"/>
      <c r="Z24" s="114"/>
      <c r="AD24" s="135"/>
      <c r="AE24" s="135"/>
      <c r="AF24" s="135"/>
      <c r="AG24" s="135"/>
      <c r="AH24" s="135"/>
      <c r="AI24" s="135"/>
    </row>
    <row r="25" spans="1:41" ht="18" customHeight="1" x14ac:dyDescent="0.25">
      <c r="A25" s="446">
        <f>A24+1</f>
        <v>246</v>
      </c>
      <c r="B25" s="321">
        <f>INDEX(TestSummary!$A$1:$BL$366,'J1634 Calcs no precondition'!$A25,'J1634 Calcs no precondition'!B$5)</f>
        <v>62008039</v>
      </c>
      <c r="C25" s="321" t="str">
        <f>INDEX(TestSummary!$A$1:$BL$366,'J1634 Calcs no precondition'!$A25,'J1634 Calcs no precondition'!C$5)</f>
        <v>HWY 1</v>
      </c>
      <c r="D25" s="307" t="str">
        <f>INDEX(TestSummary!$A$1:$BL$366,'J1634 Calcs no precondition'!$A25,'J1634 Calcs no precondition'!D$5)</f>
        <v>J1634 MCT first half with Climate pre-conditioning. 1 hour log of vehicle prior to cycle start</v>
      </c>
      <c r="E25" s="352">
        <f>INDEX(TestSummary!$A$1:$BL$366,'J1634 Calcs no precondition'!$A25,'J1634 Calcs no precondition'!E$5)</f>
        <v>0</v>
      </c>
      <c r="F25" s="352">
        <f>INDEX(TestSummary!$A$1:$BL$366,'J1634 Calcs no precondition'!$A25,'J1634 Calcs no precondition'!F$5)</f>
        <v>-3.3024640000000001</v>
      </c>
      <c r="G25" s="115">
        <f>INDEX(TestSummary!$A$1:$BL$366,'J1634 Calcs no precondition'!$A25,'J1634 Calcs no precondition'!G$5)</f>
        <v>285.20677160054333</v>
      </c>
      <c r="H25" s="115">
        <f>INDEX(TestSummary!$A$1:$BL$366,'J1634 Calcs no precondition'!$A25,'J1634 Calcs no precondition'!H$5)</f>
        <v>-4514</v>
      </c>
      <c r="I25" s="115">
        <f>INDEX(TestSummary!$A$1:$BL$366,'J1634 Calcs no precondition'!$A25,'J1634 Calcs no precondition'!I$5)</f>
        <v>-1592</v>
      </c>
      <c r="J25" s="116">
        <f>INDEX(TestSummary!$A$1:$BL$366,'J1634 Calcs no precondition'!$A25,'J1634 Calcs no precondition'!J$5)</f>
        <v>87.6</v>
      </c>
      <c r="K25" s="117">
        <f>INDEX(TestSummary!$A$1:$BL$366,'J1634 Calcs no precondition'!$A25,'J1634 Calcs no precondition'!K$5)</f>
        <v>285.20677160054333</v>
      </c>
      <c r="L25" s="117">
        <f>INDEX(TestSummary!$A$1:$BL$366,'J1634 Calcs no precondition'!$A25,'J1634 Calcs no precondition'!L$5)</f>
        <v>1.7710721689928561</v>
      </c>
      <c r="N25" s="118" t="s">
        <v>846</v>
      </c>
      <c r="O25" s="459">
        <f>O17</f>
        <v>66204.399999999994</v>
      </c>
      <c r="P25" s="236">
        <f>$O$32</f>
        <v>68019.200000000012</v>
      </c>
      <c r="Q25" s="119" t="s">
        <v>16</v>
      </c>
      <c r="R25" s="120" t="s">
        <v>1</v>
      </c>
      <c r="S25" s="120" t="s">
        <v>392</v>
      </c>
      <c r="T25" s="121" t="s">
        <v>281</v>
      </c>
      <c r="U25" s="120" t="s">
        <v>282</v>
      </c>
      <c r="V25" s="121" t="s">
        <v>283</v>
      </c>
      <c r="W25" s="122" t="s">
        <v>947</v>
      </c>
      <c r="X25" s="123" t="s">
        <v>284</v>
      </c>
      <c r="Y25" s="122" t="s">
        <v>285</v>
      </c>
      <c r="Z25" s="124"/>
      <c r="AD25" s="135"/>
      <c r="AE25" s="135"/>
      <c r="AF25" s="135"/>
      <c r="AG25" s="135"/>
      <c r="AH25" s="135"/>
      <c r="AI25" s="135"/>
    </row>
    <row r="26" spans="1:41" ht="18" customHeight="1" x14ac:dyDescent="0.25">
      <c r="A26" s="446">
        <f>A25+3</f>
        <v>249</v>
      </c>
      <c r="B26" s="321">
        <f>INDEX(TestSummary!$A$1:$BL$366,'J1634 Calcs no precondition'!$A26,'J1634 Calcs no precondition'!B$5)</f>
        <v>62008039</v>
      </c>
      <c r="C26" s="321" t="str">
        <f>INDEX(TestSummary!$A$1:$BL$366,'J1634 Calcs no precondition'!$A26,'J1634 Calcs no precondition'!C$5)</f>
        <v>UDDS 2, combined</v>
      </c>
      <c r="D26" s="307" t="str">
        <f>INDEX(TestSummary!$A$1:$BL$366,'J1634 Calcs no precondition'!$A26,'J1634 Calcs no precondition'!D$5)</f>
        <v>J1634 MCT first half with Climate pre-conditioning. 1 hour log of vehicle prior to cycle start</v>
      </c>
      <c r="E26" s="352">
        <f>INDEX(TestSummary!$A$1:$BL$366,'J1634 Calcs no precondition'!$A26,'J1634 Calcs no precondition'!E$5)</f>
        <v>0</v>
      </c>
      <c r="F26" s="352">
        <f>INDEX(TestSummary!$A$1:$BL$366,'J1634 Calcs no precondition'!$A26,'J1634 Calcs no precondition'!F$5)</f>
        <v>-6.8879440000000001</v>
      </c>
      <c r="G26" s="115">
        <f>INDEX(TestSummary!$A$1:$BL$366,'J1634 Calcs no precondition'!$A26,'J1634 Calcs no precondition'!G$5)</f>
        <v>319.26822956295126</v>
      </c>
      <c r="H26" s="115">
        <f>INDEX(TestSummary!$A$1:$BL$366,'J1634 Calcs no precondition'!$A26,'J1634 Calcs no precondition'!H$5)</f>
        <v>-1587</v>
      </c>
      <c r="I26" s="115">
        <f>INDEX(TestSummary!$A$1:$BL$366,'J1634 Calcs no precondition'!$A26,'J1634 Calcs no precondition'!I$5)</f>
        <v>782</v>
      </c>
      <c r="J26" s="116">
        <f>INDEX(TestSummary!$A$1:$BL$366,'J1634 Calcs no precondition'!$A26,'J1634 Calcs no precondition'!J$5)</f>
        <v>83.8</v>
      </c>
      <c r="K26" s="117">
        <f>INDEX(TestSummary!$A$1:$BL$366,'J1634 Calcs no precondition'!$A26,'J1634 Calcs no precondition'!K$5)</f>
        <v>319.26822956295126</v>
      </c>
      <c r="L26" s="117">
        <f>INDEX(TestSummary!$A$1:$BL$366,'J1634 Calcs no precondition'!$A26,'J1634 Calcs no precondition'!L$5)</f>
        <v>13.911316212939253</v>
      </c>
      <c r="N26" s="125" t="s">
        <v>286</v>
      </c>
      <c r="O26" s="460">
        <f>O18</f>
        <v>55725</v>
      </c>
      <c r="P26" s="126">
        <f>$O$33</f>
        <v>59240</v>
      </c>
      <c r="Q26" s="119" t="s">
        <v>287</v>
      </c>
      <c r="R26" s="120" t="s">
        <v>57</v>
      </c>
      <c r="S26" s="120">
        <v>3</v>
      </c>
      <c r="T26" s="121"/>
      <c r="U26" s="121">
        <f>(I24-H24)/O26</f>
        <v>4.5347689546882008E-2</v>
      </c>
      <c r="V26" s="121">
        <f>(1-U26)/S26</f>
        <v>0.31821743681770598</v>
      </c>
      <c r="W26" s="127">
        <f>U26*(K24+L24)+V26*(K26+L26)*3</f>
        <v>334.49205506664634</v>
      </c>
      <c r="X26" s="127">
        <f>P26/W26</f>
        <v>177.10435600091202</v>
      </c>
      <c r="Y26" s="128">
        <f>W26/T29</f>
        <v>397.3951693217457</v>
      </c>
      <c r="Z26" s="124"/>
      <c r="AD26" s="135"/>
      <c r="AE26" s="135"/>
      <c r="AF26" s="135"/>
      <c r="AG26" s="135"/>
      <c r="AH26" s="135"/>
      <c r="AI26" s="135"/>
    </row>
    <row r="27" spans="1:41" ht="18" customHeight="1" x14ac:dyDescent="0.25">
      <c r="A27" s="446">
        <f>A26+3</f>
        <v>252</v>
      </c>
      <c r="B27" s="321">
        <f>INDEX(TestSummary!$A$1:$BL$366,'J1634 Calcs no precondition'!$A27,'J1634 Calcs no precondition'!B$5)</f>
        <v>62008039</v>
      </c>
      <c r="C27" s="321" t="str">
        <f>INDEX(TestSummary!$A$1:$BL$366,'J1634 Calcs no precondition'!$A27,'J1634 Calcs no precondition'!C$5)</f>
        <v>US06 1, combined</v>
      </c>
      <c r="D27" s="307" t="str">
        <f>INDEX(TestSummary!$A$1:$BL$366,'J1634 Calcs no precondition'!$A27,'J1634 Calcs no precondition'!D$5)</f>
        <v>J1634 MCT first half with Climate pre-conditioning. 1 hour log of vehicle prior to cycle start</v>
      </c>
      <c r="E27" s="352">
        <f>INDEX(TestSummary!$A$1:$BL$366,'J1634 Calcs no precondition'!$A27,'J1634 Calcs no precondition'!E$5)</f>
        <v>0</v>
      </c>
      <c r="F27" s="352">
        <f>INDEX(TestSummary!$A$1:$BL$366,'J1634 Calcs no precondition'!$A27,'J1634 Calcs no precondition'!F$5)</f>
        <v>-2.6521970000000001</v>
      </c>
      <c r="G27" s="115">
        <f>INDEX(TestSummary!$A$1:$BL$366,'J1634 Calcs no precondition'!$A27,'J1634 Calcs no precondition'!G$5)</f>
        <v>363.38191984848959</v>
      </c>
      <c r="H27" s="115">
        <f>INDEX(TestSummary!$A$1:$BL$366,'J1634 Calcs no precondition'!$A27,'J1634 Calcs no precondition'!H$5)</f>
        <v>824</v>
      </c>
      <c r="I27" s="115">
        <f>INDEX(TestSummary!$A$1:$BL$366,'J1634 Calcs no precondition'!$A27,'J1634 Calcs no precondition'!I$5)</f>
        <v>3482</v>
      </c>
      <c r="J27" s="116">
        <f>INDEX(TestSummary!$A$1:$BL$366,'J1634 Calcs no precondition'!$A27,'J1634 Calcs no precondition'!J$5)</f>
        <v>79.5</v>
      </c>
      <c r="K27" s="117">
        <f>INDEX(TestSummary!$A$1:$BL$366,'J1634 Calcs no precondition'!$A27,'J1634 Calcs no precondition'!K$5)</f>
        <v>363.38191984848959</v>
      </c>
      <c r="L27" s="117">
        <f>INDEX(TestSummary!$A$1:$BL$366,'J1634 Calcs no precondition'!$A27,'J1634 Calcs no precondition'!L$5)</f>
        <v>1.420242696377465</v>
      </c>
      <c r="N27" s="496" t="s">
        <v>952</v>
      </c>
      <c r="Q27" s="119" t="s">
        <v>287</v>
      </c>
      <c r="R27" s="120" t="s">
        <v>55</v>
      </c>
      <c r="S27" s="120">
        <v>2</v>
      </c>
      <c r="T27" s="121">
        <f>1/S27</f>
        <v>0.5</v>
      </c>
      <c r="U27" s="121"/>
      <c r="V27" s="121"/>
      <c r="W27" s="127">
        <f>T27*(K25+L25)*2</f>
        <v>286.97784376953621</v>
      </c>
      <c r="X27" s="127">
        <f>P26/W27</f>
        <v>206.42708587487323</v>
      </c>
      <c r="Y27" s="128">
        <f>W27/T29</f>
        <v>340.94564306964344</v>
      </c>
      <c r="Z27" s="124"/>
      <c r="AD27" s="135"/>
      <c r="AE27" s="135"/>
      <c r="AF27" s="135"/>
      <c r="AG27" s="135"/>
      <c r="AH27" s="135"/>
      <c r="AI27" s="135"/>
    </row>
    <row r="28" spans="1:41" ht="18" customHeight="1" x14ac:dyDescent="0.25">
      <c r="B28" s="328"/>
      <c r="C28" s="328"/>
      <c r="D28" s="15"/>
      <c r="E28" s="102"/>
      <c r="F28" s="102"/>
      <c r="G28" s="136"/>
      <c r="H28" s="136"/>
      <c r="I28" s="136"/>
      <c r="J28" s="137"/>
      <c r="K28" s="138"/>
      <c r="L28" s="138"/>
      <c r="Q28" s="119" t="s">
        <v>287</v>
      </c>
      <c r="R28" s="120" t="s">
        <v>210</v>
      </c>
      <c r="S28" s="120">
        <v>2</v>
      </c>
      <c r="T28" s="121">
        <f>1/S28</f>
        <v>0.5</v>
      </c>
      <c r="U28" s="121"/>
      <c r="V28" s="121"/>
      <c r="W28" s="127">
        <f>T28*(K27+L27)*2</f>
        <v>364.80216254486703</v>
      </c>
      <c r="X28" s="127">
        <f>P26/W28</f>
        <v>162.38938822824019</v>
      </c>
      <c r="Y28" s="128">
        <f>W28/T29</f>
        <v>433.40526316707746</v>
      </c>
      <c r="Z28" s="124"/>
      <c r="AD28" s="135"/>
      <c r="AE28" s="135"/>
      <c r="AF28" s="135"/>
      <c r="AG28" s="135"/>
      <c r="AH28" s="135"/>
      <c r="AI28" s="135"/>
    </row>
    <row r="29" spans="1:41" ht="18" customHeight="1" thickBot="1" x14ac:dyDescent="0.3">
      <c r="Q29" s="129" t="s">
        <v>287</v>
      </c>
      <c r="R29" s="130" t="s">
        <v>290</v>
      </c>
      <c r="S29" s="130"/>
      <c r="T29" s="245">
        <f>O26/O25</f>
        <v>0.84171142703506119</v>
      </c>
      <c r="U29" s="131"/>
      <c r="V29" s="131"/>
      <c r="W29" s="132" t="s">
        <v>274</v>
      </c>
      <c r="X29" s="132" t="s">
        <v>291</v>
      </c>
      <c r="Y29" s="133" t="s">
        <v>289</v>
      </c>
      <c r="Z29" s="134"/>
      <c r="AD29" s="135"/>
      <c r="AE29" s="135"/>
      <c r="AF29" s="135"/>
      <c r="AG29" s="135"/>
      <c r="AH29" s="135"/>
      <c r="AI29" s="135"/>
    </row>
    <row r="30" spans="1:41" ht="15.75" thickBot="1" x14ac:dyDescent="0.3">
      <c r="AC30" s="27" t="s">
        <v>817</v>
      </c>
    </row>
    <row r="31" spans="1:41" ht="16.5" thickBot="1" x14ac:dyDescent="0.3">
      <c r="B31" s="77" t="s">
        <v>847</v>
      </c>
      <c r="C31" s="110"/>
      <c r="D31" s="110"/>
      <c r="E31" s="103"/>
      <c r="F31" s="103"/>
      <c r="G31" s="110"/>
      <c r="H31" s="110"/>
      <c r="I31" s="110"/>
      <c r="J31" s="110"/>
      <c r="K31" s="110"/>
      <c r="L31" s="492"/>
      <c r="N31" s="111" t="s">
        <v>278</v>
      </c>
      <c r="O31" s="449" t="s">
        <v>293</v>
      </c>
      <c r="P31" s="450" t="s">
        <v>294</v>
      </c>
      <c r="Q31" s="112" t="s">
        <v>279</v>
      </c>
      <c r="R31" s="113"/>
      <c r="S31" s="113"/>
      <c r="T31" s="113"/>
      <c r="U31" s="113"/>
      <c r="V31" s="113"/>
      <c r="W31" s="113"/>
      <c r="X31" s="113"/>
      <c r="Y31" s="113"/>
      <c r="Z31" s="114"/>
      <c r="AC31" t="s">
        <v>57</v>
      </c>
      <c r="AD31" s="135">
        <f t="shared" ref="AD31:AI34" si="5">AD7/$AG7-1</f>
        <v>1.5763969964256961</v>
      </c>
      <c r="AE31" s="135">
        <f t="shared" si="5"/>
        <v>1.168862419853907</v>
      </c>
      <c r="AF31" s="135">
        <f>AF7/$AG7-1</f>
        <v>0.72910196059792165</v>
      </c>
      <c r="AG31" s="135">
        <f>AG7/$AG7-1</f>
        <v>0</v>
      </c>
      <c r="AH31" s="135">
        <f>AH7/$AG7-1</f>
        <v>0.48200202915823165</v>
      </c>
      <c r="AI31" s="135">
        <f>AI7/$AG7-1</f>
        <v>0.21935183087771182</v>
      </c>
    </row>
    <row r="32" spans="1:41" ht="17.25" customHeight="1" x14ac:dyDescent="0.25">
      <c r="A32" s="446">
        <v>41</v>
      </c>
      <c r="B32" s="321">
        <f>INDEX(TestSummary!$A$1:$BL$366,'J1634 Calcs no precondition'!$A32,'J1634 Calcs no precondition'!B$5)</f>
        <v>62007023</v>
      </c>
      <c r="C32" s="321" t="str">
        <f>INDEX(TestSummary!$A$1:$BL$366,'J1634 Calcs no precondition'!$A32,'J1634 Calcs no precondition'!C$5)</f>
        <v>UDDS 1 , Combined</v>
      </c>
      <c r="D32" s="307" t="str">
        <f>INDEX(TestSummary!$A$1:$BL$366,'J1634 Calcs no precondition'!$A32,'J1634 Calcs no precondition'!D$5)</f>
        <v>J1634 MCT, FWD (2WD) mode, using MAINTENANCE MODE, E-PEDAL ON, Robot Driver, UDDS-HWY-UDDS-US06</v>
      </c>
      <c r="E32" s="352">
        <f>INDEX(TestSummary!$A$1:$BL$366,'J1634 Calcs no precondition'!$A32,'J1634 Calcs no precondition'!E$5)</f>
        <v>0</v>
      </c>
      <c r="F32" s="352">
        <f>INDEX(TestSummary!$A$1:$BL$366,'J1634 Calcs no precondition'!$A32,'J1634 Calcs no precondition'!F$5)</f>
        <v>23.087074000000001</v>
      </c>
      <c r="G32" s="115">
        <f>INDEX(TestSummary!$A$1:$BL$366,'J1634 Calcs no precondition'!$A32,'J1634 Calcs no precondition'!G$5)</f>
        <v>215.64891551608372</v>
      </c>
      <c r="H32" s="115">
        <f>INDEX(TestSummary!$A$1:$BL$366,'J1634 Calcs no precondition'!$A32,'J1634 Calcs no precondition'!H$5)</f>
        <v>-378</v>
      </c>
      <c r="I32" s="115">
        <f>INDEX(TestSummary!$A$1:$BL$366,'J1634 Calcs no precondition'!$A32,'J1634 Calcs no precondition'!I$5)</f>
        <v>1223</v>
      </c>
      <c r="J32" s="116">
        <f>INDEX(TestSummary!$A$1:$BL$366,'J1634 Calcs no precondition'!$A32,'J1634 Calcs no precondition'!J$5)</f>
        <v>95.9</v>
      </c>
      <c r="K32" s="117">
        <f>INDEX(TestSummary!$A$1:$BL$366,'J1634 Calcs no precondition'!$A32,'J1634 Calcs no precondition'!K$5)</f>
        <v>215.64891551608372</v>
      </c>
      <c r="L32" s="138"/>
      <c r="N32" s="118" t="s">
        <v>846</v>
      </c>
      <c r="O32" s="139">
        <f>TestSummary!AU61</f>
        <v>68019.200000000012</v>
      </c>
      <c r="P32" s="236">
        <f>$O$32</f>
        <v>68019.200000000012</v>
      </c>
      <c r="Q32" s="119" t="s">
        <v>16</v>
      </c>
      <c r="R32" s="120" t="s">
        <v>1</v>
      </c>
      <c r="S32" s="120" t="s">
        <v>392</v>
      </c>
      <c r="T32" s="121" t="s">
        <v>281</v>
      </c>
      <c r="U32" s="120" t="s">
        <v>282</v>
      </c>
      <c r="V32" s="121" t="s">
        <v>283</v>
      </c>
      <c r="W32" s="122" t="s">
        <v>947</v>
      </c>
      <c r="X32" s="123" t="s">
        <v>284</v>
      </c>
      <c r="Y32" s="122" t="s">
        <v>285</v>
      </c>
      <c r="Z32" s="124"/>
      <c r="AC32" t="s">
        <v>55</v>
      </c>
      <c r="AD32" s="135">
        <f t="shared" si="5"/>
        <v>0.6351783849290813</v>
      </c>
      <c r="AE32" s="135">
        <f t="shared" si="5"/>
        <v>0.38133138609294526</v>
      </c>
      <c r="AF32" s="135">
        <f t="shared" si="5"/>
        <v>0.30679944898124711</v>
      </c>
      <c r="AG32" s="135">
        <f t="shared" si="5"/>
        <v>0</v>
      </c>
      <c r="AH32" s="135">
        <f t="shared" si="5"/>
        <v>6.0030652295844034E-2</v>
      </c>
      <c r="AI32" s="135">
        <f t="shared" si="5"/>
        <v>1.7772008333045708E-2</v>
      </c>
      <c r="AO32" s="85"/>
    </row>
    <row r="33" spans="1:51" x14ac:dyDescent="0.25">
      <c r="A33" s="446">
        <f>A32+1</f>
        <v>42</v>
      </c>
      <c r="B33" s="321">
        <f>INDEX(TestSummary!$A$1:$BL$366,'J1634 Calcs no precondition'!$A33,'J1634 Calcs no precondition'!B$5)</f>
        <v>62007023</v>
      </c>
      <c r="C33" s="321" t="str">
        <f>INDEX(TestSummary!$A$1:$BL$366,'J1634 Calcs no precondition'!$A33,'J1634 Calcs no precondition'!C$5)</f>
        <v>HWY 1</v>
      </c>
      <c r="D33" s="307" t="str">
        <f>INDEX(TestSummary!$A$1:$BL$366,'J1634 Calcs no precondition'!$A33,'J1634 Calcs no precondition'!D$5)</f>
        <v>J1634 MCT, FWD (2WD) mode, using MAINTENANCE MODE, E-PEDAL ON, Robot Driver, UDDS-HWY-UDDS-US06</v>
      </c>
      <c r="E33" s="352">
        <f>INDEX(TestSummary!$A$1:$BL$366,'J1634 Calcs no precondition'!$A33,'J1634 Calcs no precondition'!E$5)</f>
        <v>0</v>
      </c>
      <c r="F33" s="352">
        <f>INDEX(TestSummary!$A$1:$BL$366,'J1634 Calcs no precondition'!$A33,'J1634 Calcs no precondition'!F$5)</f>
        <v>25.021509000000002</v>
      </c>
      <c r="G33" s="115">
        <f>INDEX(TestSummary!$A$1:$BL$366,'J1634 Calcs no precondition'!$A33,'J1634 Calcs no precondition'!G$5)</f>
        <v>222.04513333886877</v>
      </c>
      <c r="H33" s="115">
        <f>INDEX(TestSummary!$A$1:$BL$366,'J1634 Calcs no precondition'!$A33,'J1634 Calcs no precondition'!H$5)</f>
        <v>1224</v>
      </c>
      <c r="I33" s="115">
        <f>INDEX(TestSummary!$A$1:$BL$366,'J1634 Calcs no precondition'!$A33,'J1634 Calcs no precondition'!I$5)</f>
        <v>3499</v>
      </c>
      <c r="J33" s="116">
        <f>INDEX(TestSummary!$A$1:$BL$366,'J1634 Calcs no precondition'!$A33,'J1634 Calcs no precondition'!J$5)</f>
        <v>92.6</v>
      </c>
      <c r="K33" s="117">
        <f>INDEX(TestSummary!$A$1:$BL$366,'J1634 Calcs no precondition'!$A33,'J1634 Calcs no precondition'!K$5)</f>
        <v>222.04513333886877</v>
      </c>
      <c r="L33" s="138"/>
      <c r="N33" s="125" t="s">
        <v>286</v>
      </c>
      <c r="O33" s="126">
        <f>TestSummary!W60-TestSummary!V39</f>
        <v>59240</v>
      </c>
      <c r="P33" s="126">
        <f>$O$33</f>
        <v>59240</v>
      </c>
      <c r="Q33" s="119" t="s">
        <v>287</v>
      </c>
      <c r="R33" s="120" t="s">
        <v>57</v>
      </c>
      <c r="S33" s="120">
        <v>3</v>
      </c>
      <c r="T33" s="121"/>
      <c r="U33" s="121">
        <f>(I32-H32)/O33</f>
        <v>2.7025658338960163E-2</v>
      </c>
      <c r="V33" s="121">
        <f>(1-U33)/S33</f>
        <v>0.32432478055367991</v>
      </c>
      <c r="W33" s="127">
        <f>U33*K32+(V33*K34)+(V33*K37)+(V33*K39)</f>
        <v>184.14565020910837</v>
      </c>
      <c r="X33" s="127">
        <f>P33/W33</f>
        <v>321.70186986621434</v>
      </c>
      <c r="Y33" s="128">
        <f>W33/T36</f>
        <v>211.43551334745757</v>
      </c>
      <c r="Z33" s="124"/>
      <c r="AC33" t="s">
        <v>818</v>
      </c>
      <c r="AD33" s="135">
        <f t="shared" si="5"/>
        <v>1.540989633139886</v>
      </c>
      <c r="AE33" s="135">
        <f t="shared" si="5"/>
        <v>0.92781398476901833</v>
      </c>
      <c r="AF33" s="135">
        <f t="shared" si="5"/>
        <v>0.80599757072305311</v>
      </c>
      <c r="AG33" s="135">
        <f t="shared" si="5"/>
        <v>0</v>
      </c>
      <c r="AH33" s="135">
        <f t="shared" si="5"/>
        <v>0.33950745457974763</v>
      </c>
      <c r="AI33" s="135">
        <f t="shared" si="5"/>
        <v>0.13784153576674019</v>
      </c>
      <c r="AK33" s="94"/>
      <c r="AL33" s="94"/>
      <c r="AM33" s="94"/>
      <c r="AO33" s="85"/>
      <c r="AP33" s="26"/>
      <c r="AQ33" s="26"/>
      <c r="AR33" s="26"/>
    </row>
    <row r="34" spans="1:51" x14ac:dyDescent="0.25">
      <c r="A34" s="446">
        <f>A33+3</f>
        <v>45</v>
      </c>
      <c r="B34" s="321">
        <f>INDEX(TestSummary!$A$1:$BL$366,'J1634 Calcs no precondition'!$A34,'J1634 Calcs no precondition'!B$5)</f>
        <v>62007023</v>
      </c>
      <c r="C34" s="321" t="str">
        <f>INDEX(TestSummary!$A$1:$BL$366,'J1634 Calcs no precondition'!$A34,'J1634 Calcs no precondition'!C$5)</f>
        <v>UDDS 2, combined</v>
      </c>
      <c r="D34" s="307" t="str">
        <f>INDEX(TestSummary!$A$1:$BL$366,'J1634 Calcs no precondition'!$A34,'J1634 Calcs no precondition'!D$5)</f>
        <v>J1634 MCT, FWD (2WD) mode, using MAINTENANCE MODE, E-PEDAL ON, Robot Driver, UDDS-HWY-UDDS-US06</v>
      </c>
      <c r="E34" s="352">
        <f>INDEX(TestSummary!$A$1:$BL$366,'J1634 Calcs no precondition'!$A34,'J1634 Calcs no precondition'!E$5)</f>
        <v>0</v>
      </c>
      <c r="F34" s="352">
        <f>INDEX(TestSummary!$A$1:$BL$366,'J1634 Calcs no precondition'!$A34,'J1634 Calcs no precondition'!F$5)</f>
        <v>20.3349665</v>
      </c>
      <c r="G34" s="115">
        <f>INDEX(TestSummary!$A$1:$BL$366,'J1634 Calcs no precondition'!$A34,'J1634 Calcs no precondition'!G$5)</f>
        <v>186.92043361807578</v>
      </c>
      <c r="H34" s="115">
        <f>INDEX(TestSummary!$A$1:$BL$366,'J1634 Calcs no precondition'!$A34,'J1634 Calcs no precondition'!H$5)</f>
        <v>3504</v>
      </c>
      <c r="I34" s="115">
        <f>INDEX(TestSummary!$A$1:$BL$366,'J1634 Calcs no precondition'!$A34,'J1634 Calcs no precondition'!I$5)</f>
        <v>4892</v>
      </c>
      <c r="J34" s="116">
        <f>INDEX(TestSummary!$A$1:$BL$366,'J1634 Calcs no precondition'!$A34,'J1634 Calcs no precondition'!J$5)</f>
        <v>90.5</v>
      </c>
      <c r="K34" s="117">
        <f>INDEX(TestSummary!$A$1:$BL$366,'J1634 Calcs no precondition'!$A34,'J1634 Calcs no precondition'!K$5)</f>
        <v>186.92043361807578</v>
      </c>
      <c r="L34" s="138"/>
      <c r="N34" s="450"/>
      <c r="O34" s="449"/>
      <c r="P34" s="450"/>
      <c r="Q34" s="119" t="s">
        <v>287</v>
      </c>
      <c r="R34" s="120" t="s">
        <v>55</v>
      </c>
      <c r="S34" s="120">
        <v>2</v>
      </c>
      <c r="T34" s="121">
        <f>1/S34</f>
        <v>0.5</v>
      </c>
      <c r="U34" s="121"/>
      <c r="V34" s="121"/>
      <c r="W34" s="127">
        <f>T34*K33*2</f>
        <v>222.04513333886877</v>
      </c>
      <c r="X34" s="127">
        <f>P33/W34</f>
        <v>266.79260702189009</v>
      </c>
      <c r="Y34" s="128">
        <f>W34/T36</f>
        <v>254.95159239708281</v>
      </c>
      <c r="Z34" s="124"/>
      <c r="AC34" t="s">
        <v>210</v>
      </c>
      <c r="AD34" s="135">
        <f t="shared" si="5"/>
        <v>0.48974475063709821</v>
      </c>
      <c r="AE34" s="135">
        <f t="shared" si="5"/>
        <v>0.24541819687320165</v>
      </c>
      <c r="AF34" s="135">
        <f t="shared" si="5"/>
        <v>0.21031729420516965</v>
      </c>
      <c r="AG34" s="135">
        <f t="shared" si="5"/>
        <v>0</v>
      </c>
      <c r="AH34" s="135">
        <f t="shared" si="5"/>
        <v>3.4578521423382913E-2</v>
      </c>
      <c r="AI34" s="135">
        <f t="shared" si="5"/>
        <v>2.3397013182908655E-3</v>
      </c>
      <c r="AK34" s="94"/>
      <c r="AL34" s="94"/>
      <c r="AM34" s="94"/>
      <c r="AO34" s="85"/>
    </row>
    <row r="35" spans="1:51" x14ac:dyDescent="0.25">
      <c r="A35" s="446">
        <f>A34+3</f>
        <v>48</v>
      </c>
      <c r="B35" s="321">
        <f>INDEX(TestSummary!$A$1:$BL$366,'J1634 Calcs no precondition'!$A35,'J1634 Calcs no precondition'!B$5)</f>
        <v>62007023</v>
      </c>
      <c r="C35" s="321" t="str">
        <f>INDEX(TestSummary!$A$1:$BL$366,'J1634 Calcs no precondition'!$A35,'J1634 Calcs no precondition'!C$5)</f>
        <v>US06 1, combined</v>
      </c>
      <c r="D35" s="307" t="str">
        <f>INDEX(TestSummary!$A$1:$BL$366,'J1634 Calcs no precondition'!$A35,'J1634 Calcs no precondition'!D$5)</f>
        <v>J1634 MCT, FWD (2WD) mode, using MAINTENANCE MODE, E-PEDAL ON, Robot Driver, UDDS-HWY-UDDS-US06</v>
      </c>
      <c r="E35" s="352">
        <f>INDEX(TestSummary!$A$1:$BL$366,'J1634 Calcs no precondition'!$A35,'J1634 Calcs no precondition'!E$5)</f>
        <v>0</v>
      </c>
      <c r="F35" s="352">
        <f>INDEX(TestSummary!$A$1:$BL$366,'J1634 Calcs no precondition'!$A35,'J1634 Calcs no precondition'!F$5)</f>
        <v>25.146729999999998</v>
      </c>
      <c r="G35" s="115">
        <f>INDEX(TestSummary!$A$1:$BL$366,'J1634 Calcs no precondition'!$A35,'J1634 Calcs no precondition'!G$5)</f>
        <v>301.41035271617523</v>
      </c>
      <c r="H35" s="115">
        <f>INDEX(TestSummary!$A$1:$BL$366,'J1634 Calcs no precondition'!$A35,'J1634 Calcs no precondition'!H$5)</f>
        <v>4897</v>
      </c>
      <c r="I35" s="115">
        <f>INDEX(TestSummary!$A$1:$BL$366,'J1634 Calcs no precondition'!$A35,'J1634 Calcs no precondition'!I$5)</f>
        <v>7124</v>
      </c>
      <c r="J35" s="116">
        <f>INDEX(TestSummary!$A$1:$BL$366,'J1634 Calcs no precondition'!$A35,'J1634 Calcs no precondition'!J$5)</f>
        <v>87.1</v>
      </c>
      <c r="K35" s="117">
        <f>INDEX(TestSummary!$A$1:$BL$366,'J1634 Calcs no precondition'!$A35,'J1634 Calcs no precondition'!K$5)</f>
        <v>301.41035271617523</v>
      </c>
      <c r="L35" s="138"/>
      <c r="N35" s="125" t="s">
        <v>819</v>
      </c>
      <c r="O35" s="126">
        <f>TestSummary!W60-TestSummary!V39</f>
        <v>59240</v>
      </c>
      <c r="P35" s="126">
        <f>$O$35</f>
        <v>59240</v>
      </c>
      <c r="Q35" s="119" t="s">
        <v>287</v>
      </c>
      <c r="R35" s="120" t="s">
        <v>210</v>
      </c>
      <c r="S35" s="120">
        <v>2</v>
      </c>
      <c r="T35" s="121">
        <f>1/S35</f>
        <v>0.5</v>
      </c>
      <c r="U35" s="121"/>
      <c r="V35" s="121"/>
      <c r="W35" s="127">
        <f>T35*K35*2</f>
        <v>301.41035271617523</v>
      </c>
      <c r="X35" s="127">
        <f>P33/W35</f>
        <v>196.54268496803653</v>
      </c>
      <c r="Y35" s="128">
        <f>W35/T36</f>
        <v>346.07851221256027</v>
      </c>
      <c r="Z35" s="124"/>
      <c r="AD35" s="135"/>
      <c r="AE35" s="135"/>
      <c r="AF35" s="135"/>
      <c r="AG35" s="135"/>
      <c r="AH35" s="135"/>
      <c r="AI35" s="135"/>
      <c r="AK35" s="94"/>
      <c r="AL35" s="94"/>
      <c r="AM35" s="94"/>
      <c r="AO35" s="85"/>
    </row>
    <row r="36" spans="1:51" ht="15.75" thickBot="1" x14ac:dyDescent="0.3">
      <c r="A36" s="446">
        <f>A35+4</f>
        <v>52</v>
      </c>
      <c r="B36" s="321">
        <f>INDEX(TestSummary!$A$1:$BL$366,'J1634 Calcs no precondition'!$A36,'J1634 Calcs no precondition'!B$5)</f>
        <v>62007025</v>
      </c>
      <c r="C36" s="321" t="str">
        <f>INDEX(TestSummary!$A$1:$BL$366,'J1634 Calcs no precondition'!$A36,'J1634 Calcs no precondition'!C$5)</f>
        <v>US06 2, combined</v>
      </c>
      <c r="D36" s="307" t="str">
        <f>INDEX(TestSummary!$A$1:$BL$366,'J1634 Calcs no precondition'!$A36,'J1634 Calcs no precondition'!D$5)</f>
        <v>J1634 MCT, FWD (2WD) mode, using MAINTENANCE MODE, E-PEDAL ON, Robot Driver, US06-UDDS-HWY-UDDS</v>
      </c>
      <c r="E36" s="352">
        <f>INDEX(TestSummary!$A$1:$BL$366,'J1634 Calcs no precondition'!$A36,'J1634 Calcs no precondition'!E$5)</f>
        <v>0</v>
      </c>
      <c r="F36" s="352">
        <f>INDEX(TestSummary!$A$1:$BL$366,'J1634 Calcs no precondition'!$A36,'J1634 Calcs no precondition'!F$5)</f>
        <v>24.259021000000001</v>
      </c>
      <c r="G36" s="115">
        <f>INDEX(TestSummary!$A$1:$BL$366,'J1634 Calcs no precondition'!$A36,'J1634 Calcs no precondition'!G$5)</f>
        <v>296.12242842644901</v>
      </c>
      <c r="H36" s="115">
        <f>INDEX(TestSummary!$A$1:$BL$366,'J1634 Calcs no precondition'!$A36,'J1634 Calcs no precondition'!H$5)</f>
        <v>46583</v>
      </c>
      <c r="I36" s="115">
        <f>INDEX(TestSummary!$A$1:$BL$366,'J1634 Calcs no precondition'!$A36,'J1634 Calcs no precondition'!I$5)</f>
        <v>48776</v>
      </c>
      <c r="J36" s="116">
        <f>INDEX(TestSummary!$A$1:$BL$366,'J1634 Calcs no precondition'!$A36,'J1634 Calcs no precondition'!J$5)</f>
        <v>18.399999999999999</v>
      </c>
      <c r="K36" s="117">
        <f>INDEX(TestSummary!$A$1:$BL$366,'J1634 Calcs no precondition'!$A36,'J1634 Calcs no precondition'!K$5)</f>
        <v>296.12242842644901</v>
      </c>
      <c r="L36" s="138"/>
      <c r="Q36" s="129" t="s">
        <v>287</v>
      </c>
      <c r="R36" s="130" t="s">
        <v>290</v>
      </c>
      <c r="S36" s="130"/>
      <c r="T36" s="245">
        <f>O33/O32</f>
        <v>0.87093056078283759</v>
      </c>
      <c r="U36" s="131"/>
      <c r="V36" s="131"/>
      <c r="W36" s="132" t="s">
        <v>274</v>
      </c>
      <c r="X36" s="132" t="s">
        <v>291</v>
      </c>
      <c r="Y36" s="133" t="s">
        <v>289</v>
      </c>
      <c r="Z36" s="134"/>
      <c r="AC36" s="27" t="s">
        <v>292</v>
      </c>
      <c r="AD36" s="33"/>
      <c r="AE36" s="33"/>
      <c r="AF36" s="33"/>
      <c r="AG36" s="33"/>
      <c r="AH36" s="33"/>
    </row>
    <row r="37" spans="1:51" x14ac:dyDescent="0.25">
      <c r="A37" s="446">
        <f>A36+3</f>
        <v>55</v>
      </c>
      <c r="B37" s="321">
        <f>INDEX(TestSummary!$A$1:$BL$366,'J1634 Calcs no precondition'!$A37,'J1634 Calcs no precondition'!B$5)</f>
        <v>62007025</v>
      </c>
      <c r="C37" s="321" t="str">
        <f>INDEX(TestSummary!$A$1:$BL$366,'J1634 Calcs no precondition'!$A37,'J1634 Calcs no precondition'!C$5)</f>
        <v>UDDS 3, combined</v>
      </c>
      <c r="D37" s="307" t="str">
        <f>INDEX(TestSummary!$A$1:$BL$366,'J1634 Calcs no precondition'!$A37,'J1634 Calcs no precondition'!D$5)</f>
        <v>J1634 MCT, FWD (2WD) mode, using MAINTENANCE MODE, E-PEDAL ON, Robot Driver, US06-UDDS-HWY-UDDS</v>
      </c>
      <c r="E37" s="352">
        <f>INDEX(TestSummary!$A$1:$BL$366,'J1634 Calcs no precondition'!$A37,'J1634 Calcs no precondition'!E$5)</f>
        <v>0</v>
      </c>
      <c r="F37" s="352">
        <f>INDEX(TestSummary!$A$1:$BL$366,'J1634 Calcs no precondition'!$A37,'J1634 Calcs no precondition'!F$5)</f>
        <v>20.935992499999998</v>
      </c>
      <c r="G37" s="115">
        <f>INDEX(TestSummary!$A$1:$BL$366,'J1634 Calcs no precondition'!$A37,'J1634 Calcs no precondition'!G$5)</f>
        <v>181.70035662459648</v>
      </c>
      <c r="H37" s="115">
        <f>INDEX(TestSummary!$A$1:$BL$366,'J1634 Calcs no precondition'!$A37,'J1634 Calcs no precondition'!H$5)</f>
        <v>48956</v>
      </c>
      <c r="I37" s="115">
        <f>INDEX(TestSummary!$A$1:$BL$366,'J1634 Calcs no precondition'!$A37,'J1634 Calcs no precondition'!I$5)</f>
        <v>50305</v>
      </c>
      <c r="J37" s="116">
        <f>INDEX(TestSummary!$A$1:$BL$366,'J1634 Calcs no precondition'!$A37,'J1634 Calcs no precondition'!J$5)</f>
        <v>15.7</v>
      </c>
      <c r="K37" s="117">
        <f>INDEX(TestSummary!$A$1:$BL$366,'J1634 Calcs no precondition'!$A37,'J1634 Calcs no precondition'!K$5)</f>
        <v>181.70035662459648</v>
      </c>
      <c r="L37" s="138"/>
      <c r="AC37" t="s">
        <v>57</v>
      </c>
      <c r="AD37" s="94">
        <f>X11</f>
        <v>125.37934010086205</v>
      </c>
      <c r="AE37" s="94">
        <f>X18</f>
        <v>164.39210073882853</v>
      </c>
      <c r="AF37" s="94">
        <f>X26</f>
        <v>177.10435600091202</v>
      </c>
      <c r="AG37" s="94">
        <f>X33</f>
        <v>321.70186986621434</v>
      </c>
      <c r="AH37" s="94">
        <f>X55</f>
        <v>237.36188162410329</v>
      </c>
      <c r="AI37" s="94">
        <f>X63</f>
        <v>280.26848592850246</v>
      </c>
      <c r="AK37" s="135">
        <f>(AK54-AK53)/AK53</f>
        <v>-0.10964146636229366</v>
      </c>
      <c r="AO37" s="135">
        <f>(AO54-AO53)/AO53</f>
        <v>-6.2084257206208429E-2</v>
      </c>
      <c r="AP37" s="26"/>
      <c r="AS37" s="135">
        <f>(AS54-AS53)/AS53</f>
        <v>3</v>
      </c>
      <c r="AW37" s="135">
        <f>(AW54-AW53)/AW53</f>
        <v>2.315252074026803</v>
      </c>
    </row>
    <row r="38" spans="1:51" x14ac:dyDescent="0.25">
      <c r="A38" s="446">
        <f>A37+1</f>
        <v>56</v>
      </c>
      <c r="B38" s="321">
        <f>INDEX(TestSummary!$A$1:$BL$366,'J1634 Calcs no precondition'!$A38,'J1634 Calcs no precondition'!B$5)</f>
        <v>62007025</v>
      </c>
      <c r="C38" s="321" t="str">
        <f>INDEX(TestSummary!$A$1:$BL$366,'J1634 Calcs no precondition'!$A38,'J1634 Calcs no precondition'!C$5)</f>
        <v>HWY</v>
      </c>
      <c r="D38" s="307" t="str">
        <f>INDEX(TestSummary!$A$1:$BL$366,'J1634 Calcs no precondition'!$A38,'J1634 Calcs no precondition'!D$5)</f>
        <v>J1634 MCT, FWD (2WD) mode, using MAINTENANCE MODE, E-PEDAL ON, Robot Driver, US06-UDDS-HWY-UDDS</v>
      </c>
      <c r="E38" s="352">
        <f>INDEX(TestSummary!$A$1:$BL$366,'J1634 Calcs no precondition'!$A38,'J1634 Calcs no precondition'!E$5)</f>
        <v>0</v>
      </c>
      <c r="F38" s="352">
        <f>INDEX(TestSummary!$A$1:$BL$366,'J1634 Calcs no precondition'!$A38,'J1634 Calcs no precondition'!F$5)</f>
        <v>25.654754000000001</v>
      </c>
      <c r="G38" s="115">
        <f>INDEX(TestSummary!$A$1:$BL$366,'J1634 Calcs no precondition'!$A38,'J1634 Calcs no precondition'!G$5)</f>
        <v>214.8255250820435</v>
      </c>
      <c r="H38" s="115">
        <f>INDEX(TestSummary!$A$1:$BL$366,'J1634 Calcs no precondition'!$A38,'J1634 Calcs no precondition'!H$5)</f>
        <v>50305</v>
      </c>
      <c r="I38" s="115">
        <f>INDEX(TestSummary!$A$1:$BL$366,'J1634 Calcs no precondition'!$A38,'J1634 Calcs no precondition'!I$5)</f>
        <v>52506</v>
      </c>
      <c r="J38" s="116">
        <f>INDEX(TestSummary!$A$1:$BL$366,'J1634 Calcs no precondition'!$A38,'J1634 Calcs no precondition'!J$5)</f>
        <v>11.8</v>
      </c>
      <c r="K38" s="117">
        <f>INDEX(TestSummary!$A$1:$BL$366,'J1634 Calcs no precondition'!$A38,'J1634 Calcs no precondition'!K$5)</f>
        <v>214.8255250820435</v>
      </c>
      <c r="L38" s="138"/>
      <c r="AC38" t="s">
        <v>55</v>
      </c>
      <c r="AD38" s="94">
        <f>X12</f>
        <v>164.97209390875634</v>
      </c>
      <c r="AE38" s="94">
        <f>X19</f>
        <v>195.28898336198213</v>
      </c>
      <c r="AF38" s="94">
        <f>X27</f>
        <v>206.42708587487323</v>
      </c>
      <c r="AG38" s="94">
        <f>X34</f>
        <v>266.79260702189009</v>
      </c>
      <c r="AH38" s="94">
        <f>X56</f>
        <v>254.48207699639414</v>
      </c>
      <c r="AI38" s="94">
        <f>X64</f>
        <v>265.04836040628823</v>
      </c>
    </row>
    <row r="39" spans="1:51" x14ac:dyDescent="0.25">
      <c r="A39" s="446">
        <f>A38+3</f>
        <v>59</v>
      </c>
      <c r="B39" s="321">
        <f>INDEX(TestSummary!$A$1:$BL$366,'J1634 Calcs no precondition'!$A39,'J1634 Calcs no precondition'!B$5)</f>
        <v>62007025</v>
      </c>
      <c r="C39" s="321" t="str">
        <f>INDEX(TestSummary!$A$1:$BL$366,'J1634 Calcs no precondition'!$A39,'J1634 Calcs no precondition'!C$5)</f>
        <v>UDDS 4, combined</v>
      </c>
      <c r="D39" s="307" t="str">
        <f>INDEX(TestSummary!$A$1:$BL$366,'J1634 Calcs no precondition'!$A39,'J1634 Calcs no precondition'!D$5)</f>
        <v>J1634 MCT, FWD (2WD) mode, using MAINTENANCE MODE, E-PEDAL ON, Robot Driver, US06-UDDS-HWY-UDDS</v>
      </c>
      <c r="E39" s="352">
        <f>INDEX(TestSummary!$A$1:$BL$366,'J1634 Calcs no precondition'!$A39,'J1634 Calcs no precondition'!E$5)</f>
        <v>0</v>
      </c>
      <c r="F39" s="352">
        <f>INDEX(TestSummary!$A$1:$BL$366,'J1634 Calcs no precondition'!$A39,'J1634 Calcs no precondition'!F$5)</f>
        <v>20.149991</v>
      </c>
      <c r="G39" s="115">
        <f>INDEX(TestSummary!$A$1:$BL$366,'J1634 Calcs no precondition'!$A39,'J1634 Calcs no precondition'!G$5)</f>
        <v>181.1910249161437</v>
      </c>
      <c r="H39" s="115">
        <f>INDEX(TestSummary!$A$1:$BL$366,'J1634 Calcs no precondition'!$A39,'J1634 Calcs no precondition'!H$5)</f>
        <v>52513</v>
      </c>
      <c r="I39" s="115">
        <f>INDEX(TestSummary!$A$1:$BL$366,'J1634 Calcs no precondition'!$A39,'J1634 Calcs no precondition'!I$5)</f>
        <v>53859</v>
      </c>
      <c r="J39" s="116">
        <f>INDEX(TestSummary!$A$1:$BL$366,'J1634 Calcs no precondition'!$A39,'J1634 Calcs no precondition'!J$5)</f>
        <v>9.4</v>
      </c>
      <c r="K39" s="117">
        <f>INDEX(TestSummary!$A$1:$BL$366,'J1634 Calcs no precondition'!$A39,'J1634 Calcs no precondition'!K$5)</f>
        <v>181.1910249161437</v>
      </c>
      <c r="L39" s="138"/>
      <c r="AC39" t="s">
        <v>210</v>
      </c>
      <c r="AD39" s="94">
        <f>X13</f>
        <v>131.93044303997976</v>
      </c>
      <c r="AE39" s="94">
        <f>X20</f>
        <v>157.81260098935817</v>
      </c>
      <c r="AF39" s="94">
        <f>X28</f>
        <v>162.38938822824019</v>
      </c>
      <c r="AG39" s="94">
        <f>X35</f>
        <v>196.54268496803653</v>
      </c>
      <c r="AH39" s="94">
        <f>X57</f>
        <v>189.97367613782589</v>
      </c>
      <c r="AI39" s="94">
        <f>X65</f>
        <v>196.08390719188407</v>
      </c>
    </row>
    <row r="40" spans="1:51" ht="15.75" thickBot="1" x14ac:dyDescent="0.3">
      <c r="AK40" s="507" t="s">
        <v>820</v>
      </c>
      <c r="AL40" s="507"/>
      <c r="AM40" s="507"/>
      <c r="AO40" s="507" t="s">
        <v>821</v>
      </c>
      <c r="AP40" s="507"/>
      <c r="AQ40" s="507"/>
      <c r="AS40" s="507" t="s">
        <v>822</v>
      </c>
      <c r="AT40" s="507"/>
      <c r="AU40" s="507"/>
      <c r="AW40" s="507" t="s">
        <v>823</v>
      </c>
      <c r="AX40" s="507"/>
      <c r="AY40" s="507"/>
    </row>
    <row r="41" spans="1:51" ht="16.5" thickBot="1" x14ac:dyDescent="0.3">
      <c r="B41" s="77" t="s">
        <v>848</v>
      </c>
      <c r="C41" s="110"/>
      <c r="D41" s="110"/>
      <c r="E41" s="103"/>
      <c r="F41" s="103"/>
      <c r="G41" s="110"/>
      <c r="H41" s="110"/>
      <c r="I41" s="110"/>
      <c r="J41" s="110"/>
      <c r="K41" s="110"/>
      <c r="L41" s="492"/>
      <c r="N41" s="111" t="s">
        <v>278</v>
      </c>
      <c r="O41" s="17" t="s">
        <v>293</v>
      </c>
      <c r="P41" t="s">
        <v>294</v>
      </c>
      <c r="Q41" s="112" t="s">
        <v>279</v>
      </c>
      <c r="R41" s="113"/>
      <c r="S41" s="113"/>
      <c r="T41" s="113"/>
      <c r="U41" s="113"/>
      <c r="V41" s="113"/>
      <c r="W41" s="113"/>
      <c r="X41" s="113"/>
      <c r="Y41" s="113"/>
      <c r="Z41" s="114"/>
      <c r="AC41" t="s">
        <v>842</v>
      </c>
      <c r="AD41">
        <v>79218.399999999994</v>
      </c>
      <c r="AE41">
        <v>89577</v>
      </c>
      <c r="AF41" s="445">
        <f>AD41/AE41</f>
        <v>0.88436094086651706</v>
      </c>
    </row>
    <row r="42" spans="1:51" x14ac:dyDescent="0.25">
      <c r="A42" s="446">
        <v>65</v>
      </c>
      <c r="B42" s="321">
        <f>INDEX(TestSummary!$A$1:$BL$366,'J1634 Calcs no precondition'!$A42,'J1634 Calcs no precondition'!B$5)</f>
        <v>62008001</v>
      </c>
      <c r="C42" s="321" t="str">
        <f>INDEX(TestSummary!$A$1:$BL$366,'J1634 Calcs no precondition'!$A42,'J1634 Calcs no precondition'!C$5)</f>
        <v>UDDS 1 , Combined</v>
      </c>
      <c r="D42" s="307" t="str">
        <f>INDEX(TestSummary!$A$1:$BL$366,'J1634 Calcs no precondition'!$A42,'J1634 Calcs no precondition'!D$5)</f>
        <v>J1634 MCT, Repeat #1, using Maintenance Mode, E-Pedal ON, UDDS-HWY-UDDS-US06</v>
      </c>
      <c r="E42" s="352">
        <f>INDEX(TestSummary!$A$1:$BL$366,'J1634 Calcs no precondition'!$A42,'J1634 Calcs no precondition'!E$5)</f>
        <v>0</v>
      </c>
      <c r="F42" s="352">
        <f>INDEX(TestSummary!$A$1:$BL$366,'J1634 Calcs no precondition'!$A42,'J1634 Calcs no precondition'!F$5)</f>
        <v>21.840674</v>
      </c>
      <c r="G42" s="115">
        <f>INDEX(TestSummary!$A$1:$BL$366,'J1634 Calcs no precondition'!$A42,'J1634 Calcs no precondition'!G$5)</f>
        <v>209.4282460330657</v>
      </c>
      <c r="H42" s="115">
        <f>INDEX(TestSummary!$A$1:$BL$366,'J1634 Calcs no precondition'!$A42,'J1634 Calcs no precondition'!H$5)</f>
        <v>12</v>
      </c>
      <c r="I42" s="115">
        <f>INDEX(TestSummary!$A$1:$BL$366,'J1634 Calcs no precondition'!$A42,'J1634 Calcs no precondition'!I$5)</f>
        <v>1567</v>
      </c>
      <c r="J42" s="116">
        <f>INDEX(TestSummary!$A$1:$BL$366,'J1634 Calcs no precondition'!$A42,'J1634 Calcs no precondition'!J$5)</f>
        <v>95.3</v>
      </c>
      <c r="K42" s="117">
        <f>INDEX(TestSummary!$A$1:$BL$366,'J1634 Calcs no precondition'!$A42,'J1634 Calcs no precondition'!K$5)</f>
        <v>209.4282460330657</v>
      </c>
      <c r="L42" s="138"/>
      <c r="N42" s="118" t="s">
        <v>846</v>
      </c>
      <c r="O42" s="139">
        <f>TestSummary!AU85</f>
        <v>67998.200000000012</v>
      </c>
      <c r="P42" s="236">
        <f>$O$32</f>
        <v>68019.200000000012</v>
      </c>
      <c r="Q42" s="119" t="s">
        <v>16</v>
      </c>
      <c r="R42" s="120" t="s">
        <v>1</v>
      </c>
      <c r="S42" s="120" t="s">
        <v>392</v>
      </c>
      <c r="T42" s="121" t="s">
        <v>281</v>
      </c>
      <c r="U42" s="120" t="s">
        <v>282</v>
      </c>
      <c r="V42" s="121" t="s">
        <v>283</v>
      </c>
      <c r="W42" s="122" t="s">
        <v>947</v>
      </c>
      <c r="X42" s="123" t="s">
        <v>284</v>
      </c>
      <c r="Y42" s="122" t="s">
        <v>285</v>
      </c>
      <c r="Z42" s="124"/>
      <c r="AC42" t="s">
        <v>843</v>
      </c>
      <c r="AD42">
        <v>79764.800000000003</v>
      </c>
      <c r="AE42">
        <v>89907</v>
      </c>
      <c r="AF42" s="445">
        <f>AD42/AE42</f>
        <v>0.88719232095387457</v>
      </c>
    </row>
    <row r="43" spans="1:51" x14ac:dyDescent="0.25">
      <c r="A43" s="446">
        <f>A42+1</f>
        <v>66</v>
      </c>
      <c r="B43" s="321">
        <f>INDEX(TestSummary!$A$1:$BL$366,'J1634 Calcs no precondition'!$A43,'J1634 Calcs no precondition'!B$5)</f>
        <v>62008001</v>
      </c>
      <c r="C43" s="321" t="str">
        <f>INDEX(TestSummary!$A$1:$BL$366,'J1634 Calcs no precondition'!$A43,'J1634 Calcs no precondition'!C$5)</f>
        <v>HWY 1</v>
      </c>
      <c r="D43" s="307" t="str">
        <f>INDEX(TestSummary!$A$1:$BL$366,'J1634 Calcs no precondition'!$A43,'J1634 Calcs no precondition'!D$5)</f>
        <v>J1634 MCT, Repeat #1, using Maintenance Mode, E-Pedal ON, UDDS-HWY-UDDS-US06</v>
      </c>
      <c r="E43" s="352">
        <f>INDEX(TestSummary!$A$1:$BL$366,'J1634 Calcs no precondition'!$A43,'J1634 Calcs no precondition'!E$5)</f>
        <v>0</v>
      </c>
      <c r="F43" s="352">
        <f>INDEX(TestSummary!$A$1:$BL$366,'J1634 Calcs no precondition'!$A43,'J1634 Calcs no precondition'!F$5)</f>
        <v>25.001605000000001</v>
      </c>
      <c r="G43" s="115">
        <f>INDEX(TestSummary!$A$1:$BL$366,'J1634 Calcs no precondition'!$A43,'J1634 Calcs no precondition'!G$5)</f>
        <v>219.60358492135728</v>
      </c>
      <c r="H43" s="115">
        <f>INDEX(TestSummary!$A$1:$BL$366,'J1634 Calcs no precondition'!$A43,'J1634 Calcs no precondition'!H$5)</f>
        <v>1568</v>
      </c>
      <c r="I43" s="115">
        <f>INDEX(TestSummary!$A$1:$BL$366,'J1634 Calcs no precondition'!$A43,'J1634 Calcs no precondition'!I$5)</f>
        <v>3818</v>
      </c>
      <c r="J43" s="116">
        <f>INDEX(TestSummary!$A$1:$BL$366,'J1634 Calcs no precondition'!$A43,'J1634 Calcs no precondition'!J$5)</f>
        <v>92</v>
      </c>
      <c r="K43" s="117">
        <f>INDEX(TestSummary!$A$1:$BL$366,'J1634 Calcs no precondition'!$A43,'J1634 Calcs no precondition'!K$5)</f>
        <v>219.60358492135728</v>
      </c>
      <c r="L43" s="138"/>
      <c r="N43" s="125" t="s">
        <v>286</v>
      </c>
      <c r="O43" s="126">
        <f>TestSummary!W84-TestSummary!V63</f>
        <v>58737</v>
      </c>
      <c r="P43" s="126">
        <f>$O$33</f>
        <v>59240</v>
      </c>
      <c r="Q43" s="119" t="s">
        <v>287</v>
      </c>
      <c r="R43" s="120" t="s">
        <v>57</v>
      </c>
      <c r="S43" s="120">
        <v>3</v>
      </c>
      <c r="T43" s="121"/>
      <c r="U43" s="121">
        <f>(I42-H42)/O43</f>
        <v>2.6473943170403663E-2</v>
      </c>
      <c r="V43" s="121">
        <f>(1-U43)/S43</f>
        <v>0.32450868560986545</v>
      </c>
      <c r="W43" s="127">
        <f>U43*K42+(V43*K44)+(V43*K47)+(V43*K49)</f>
        <v>182.53493932044316</v>
      </c>
      <c r="X43" s="127">
        <f>P43/W43</f>
        <v>324.54060696841816</v>
      </c>
      <c r="Y43" s="128">
        <f>W43/T46</f>
        <v>211.31564960585933</v>
      </c>
      <c r="Z43" s="124"/>
    </row>
    <row r="44" spans="1:51" x14ac:dyDescent="0.25">
      <c r="A44" s="446">
        <f>A43+3</f>
        <v>69</v>
      </c>
      <c r="B44" s="321">
        <f>INDEX(TestSummary!$A$1:$BL$366,'J1634 Calcs no precondition'!$A44,'J1634 Calcs no precondition'!B$5)</f>
        <v>62008001</v>
      </c>
      <c r="C44" s="321" t="str">
        <f>INDEX(TestSummary!$A$1:$BL$366,'J1634 Calcs no precondition'!$A44,'J1634 Calcs no precondition'!C$5)</f>
        <v>UDDS 2, combined</v>
      </c>
      <c r="D44" s="307" t="str">
        <f>INDEX(TestSummary!$A$1:$BL$366,'J1634 Calcs no precondition'!$A44,'J1634 Calcs no precondition'!D$5)</f>
        <v>J1634 MCT, Repeat #1, using Maintenance Mode, E-Pedal ON, UDDS-HWY-UDDS-US06</v>
      </c>
      <c r="E44" s="352">
        <f>INDEX(TestSummary!$A$1:$BL$366,'J1634 Calcs no precondition'!$A44,'J1634 Calcs no precondition'!E$5)</f>
        <v>0</v>
      </c>
      <c r="F44" s="352">
        <f>INDEX(TestSummary!$A$1:$BL$366,'J1634 Calcs no precondition'!$A44,'J1634 Calcs no precondition'!F$5)</f>
        <v>20.207065999999998</v>
      </c>
      <c r="G44" s="115">
        <f>INDEX(TestSummary!$A$1:$BL$366,'J1634 Calcs no precondition'!$A44,'J1634 Calcs no precondition'!G$5)</f>
        <v>184.48504647904815</v>
      </c>
      <c r="H44" s="115">
        <f>INDEX(TestSummary!$A$1:$BL$366,'J1634 Calcs no precondition'!$A44,'J1634 Calcs no precondition'!H$5)</f>
        <v>3825</v>
      </c>
      <c r="I44" s="115">
        <f>INDEX(TestSummary!$A$1:$BL$366,'J1634 Calcs no precondition'!$A44,'J1634 Calcs no precondition'!I$5)</f>
        <v>5195</v>
      </c>
      <c r="J44" s="116">
        <f>INDEX(TestSummary!$A$1:$BL$366,'J1634 Calcs no precondition'!$A44,'J1634 Calcs no precondition'!J$5)</f>
        <v>89.9</v>
      </c>
      <c r="K44" s="117">
        <f>INDEX(TestSummary!$A$1:$BL$366,'J1634 Calcs no precondition'!$A44,'J1634 Calcs no precondition'!K$5)</f>
        <v>184.48504647904815</v>
      </c>
      <c r="L44" s="138"/>
      <c r="Q44" s="119" t="s">
        <v>287</v>
      </c>
      <c r="R44" s="120" t="s">
        <v>55</v>
      </c>
      <c r="S44" s="120">
        <v>2</v>
      </c>
      <c r="T44" s="121">
        <f>1/S44</f>
        <v>0.5</v>
      </c>
      <c r="U44" s="121"/>
      <c r="V44" s="121"/>
      <c r="W44" s="127">
        <f>T44*K43*2</f>
        <v>219.60358492135728</v>
      </c>
      <c r="X44" s="127">
        <f>P43/W44</f>
        <v>269.7588020760889</v>
      </c>
      <c r="Y44" s="128">
        <f>W44/T46</f>
        <v>254.22899515125798</v>
      </c>
      <c r="Z44" s="124"/>
    </row>
    <row r="45" spans="1:51" x14ac:dyDescent="0.25">
      <c r="A45" s="446">
        <f>A44+3</f>
        <v>72</v>
      </c>
      <c r="B45" s="321">
        <f>INDEX(TestSummary!$A$1:$BL$366,'J1634 Calcs no precondition'!$A45,'J1634 Calcs no precondition'!B$5)</f>
        <v>62008001</v>
      </c>
      <c r="C45" s="321" t="str">
        <f>INDEX(TestSummary!$A$1:$BL$366,'J1634 Calcs no precondition'!$A45,'J1634 Calcs no precondition'!C$5)</f>
        <v>US06 1, combined</v>
      </c>
      <c r="D45" s="307" t="str">
        <f>INDEX(TestSummary!$A$1:$BL$366,'J1634 Calcs no precondition'!$A45,'J1634 Calcs no precondition'!D$5)</f>
        <v>J1634 MCT, Repeat #1, using Maintenance Mode, E-Pedal ON, UDDS-HWY-UDDS-US06</v>
      </c>
      <c r="E45" s="352">
        <f>INDEX(TestSummary!$A$1:$BL$366,'J1634 Calcs no precondition'!$A45,'J1634 Calcs no precondition'!E$5)</f>
        <v>0</v>
      </c>
      <c r="F45" s="352">
        <f>INDEX(TestSummary!$A$1:$BL$366,'J1634 Calcs no precondition'!$A45,'J1634 Calcs no precondition'!F$5)</f>
        <v>25.043946999999999</v>
      </c>
      <c r="G45" s="115">
        <f>INDEX(TestSummary!$A$1:$BL$366,'J1634 Calcs no precondition'!$A45,'J1634 Calcs no precondition'!G$5)</f>
        <v>299.87599770946281</v>
      </c>
      <c r="H45" s="115">
        <f>INDEX(TestSummary!$A$1:$BL$366,'J1634 Calcs no precondition'!$A45,'J1634 Calcs no precondition'!H$5)</f>
        <v>5199</v>
      </c>
      <c r="I45" s="115">
        <f>INDEX(TestSummary!$A$1:$BL$366,'J1634 Calcs no precondition'!$A45,'J1634 Calcs no precondition'!I$5)</f>
        <v>7415</v>
      </c>
      <c r="J45" s="116">
        <f>INDEX(TestSummary!$A$1:$BL$366,'J1634 Calcs no precondition'!$A45,'J1634 Calcs no precondition'!J$5)</f>
        <v>86.5</v>
      </c>
      <c r="K45" s="117">
        <f>INDEX(TestSummary!$A$1:$BL$366,'J1634 Calcs no precondition'!$A45,'J1634 Calcs no precondition'!K$5)</f>
        <v>299.87599770946281</v>
      </c>
      <c r="L45" s="138"/>
      <c r="N45" s="125" t="s">
        <v>819</v>
      </c>
      <c r="O45" s="126">
        <f>TestSummary!W346</f>
        <v>0</v>
      </c>
      <c r="P45" s="126">
        <f>$O$33</f>
        <v>59240</v>
      </c>
      <c r="Q45" s="119" t="s">
        <v>287</v>
      </c>
      <c r="R45" s="120" t="s">
        <v>210</v>
      </c>
      <c r="S45" s="120">
        <v>2</v>
      </c>
      <c r="T45" s="121">
        <f>1/S45</f>
        <v>0.5</v>
      </c>
      <c r="U45" s="121"/>
      <c r="V45" s="121"/>
      <c r="W45" s="127">
        <f>T45*K45*2</f>
        <v>299.87599770946281</v>
      </c>
      <c r="X45" s="127">
        <f>P43/W45</f>
        <v>197.54832148118481</v>
      </c>
      <c r="Y45" s="128">
        <f>W45/T46</f>
        <v>347.15814678052328</v>
      </c>
      <c r="Z45" s="124"/>
    </row>
    <row r="46" spans="1:51" ht="15.75" thickBot="1" x14ac:dyDescent="0.3">
      <c r="A46" s="446">
        <f>A45+4</f>
        <v>76</v>
      </c>
      <c r="B46" s="321">
        <f>INDEX(TestSummary!$A$1:$BL$366,'J1634 Calcs no precondition'!$A46,'J1634 Calcs no precondition'!B$5)</f>
        <v>62008003</v>
      </c>
      <c r="C46" s="321" t="str">
        <f>INDEX(TestSummary!$A$1:$BL$366,'J1634 Calcs no precondition'!$A46,'J1634 Calcs no precondition'!C$5)</f>
        <v>US06 2, combined</v>
      </c>
      <c r="D46" s="307" t="str">
        <f>INDEX(TestSummary!$A$1:$BL$366,'J1634 Calcs no precondition'!$A46,'J1634 Calcs no precondition'!D$5)</f>
        <v>J1634 MCT, Repeat #1, using Maintenance Mode, E-Pedal ON, 65 MPH Middel Deplete</v>
      </c>
      <c r="E46" s="352">
        <f>INDEX(TestSummary!$A$1:$BL$366,'J1634 Calcs no precondition'!$A46,'J1634 Calcs no precondition'!E$5)</f>
        <v>0</v>
      </c>
      <c r="F46" s="352">
        <f>INDEX(TestSummary!$A$1:$BL$366,'J1634 Calcs no precondition'!$A46,'J1634 Calcs no precondition'!F$5)</f>
        <v>23.968371000000001</v>
      </c>
      <c r="G46" s="115">
        <f>INDEX(TestSummary!$A$1:$BL$366,'J1634 Calcs no precondition'!$A46,'J1634 Calcs no precondition'!G$5)</f>
        <v>295.96320819564403</v>
      </c>
      <c r="H46" s="115">
        <f>INDEX(TestSummary!$A$1:$BL$366,'J1634 Calcs no precondition'!$A46,'J1634 Calcs no precondition'!H$5)</f>
        <v>46638</v>
      </c>
      <c r="I46" s="115">
        <f>INDEX(TestSummary!$A$1:$BL$366,'J1634 Calcs no precondition'!$A46,'J1634 Calcs no precondition'!I$5)</f>
        <v>48832</v>
      </c>
      <c r="J46" s="116">
        <f>INDEX(TestSummary!$A$1:$BL$366,'J1634 Calcs no precondition'!$A46,'J1634 Calcs no precondition'!J$5)</f>
        <v>18.100000000000001</v>
      </c>
      <c r="K46" s="117">
        <f>INDEX(TestSummary!$A$1:$BL$366,'J1634 Calcs no precondition'!$A46,'J1634 Calcs no precondition'!K$5)</f>
        <v>295.96320819564403</v>
      </c>
      <c r="L46" s="138"/>
      <c r="Q46" s="129" t="s">
        <v>287</v>
      </c>
      <c r="R46" s="130" t="s">
        <v>290</v>
      </c>
      <c r="S46" s="130"/>
      <c r="T46" s="245">
        <f>O43/O42</f>
        <v>0.86380227711910007</v>
      </c>
      <c r="U46" s="131"/>
      <c r="V46" s="131"/>
      <c r="W46" s="132" t="s">
        <v>274</v>
      </c>
      <c r="X46" s="132" t="s">
        <v>291</v>
      </c>
      <c r="Y46" s="133" t="s">
        <v>289</v>
      </c>
      <c r="Z46" s="134"/>
    </row>
    <row r="47" spans="1:51" x14ac:dyDescent="0.25">
      <c r="A47" s="446">
        <f>A46+3</f>
        <v>79</v>
      </c>
      <c r="B47" s="321">
        <f>INDEX(TestSummary!$A$1:$BL$366,'J1634 Calcs no precondition'!$A47,'J1634 Calcs no precondition'!B$5)</f>
        <v>62008003</v>
      </c>
      <c r="C47" s="321" t="str">
        <f>INDEX(TestSummary!$A$1:$BL$366,'J1634 Calcs no precondition'!$A47,'J1634 Calcs no precondition'!C$5)</f>
        <v>UDDS 3, combined</v>
      </c>
      <c r="D47" s="307" t="str">
        <f>INDEX(TestSummary!$A$1:$BL$366,'J1634 Calcs no precondition'!$A47,'J1634 Calcs no precondition'!D$5)</f>
        <v>J1634 MCT, Repeat #1, using Maintenance Mode, E-Pedal ON, 65 MPH Middel Deplete</v>
      </c>
      <c r="E47" s="352">
        <f>INDEX(TestSummary!$A$1:$BL$366,'J1634 Calcs no precondition'!$A47,'J1634 Calcs no precondition'!E$5)</f>
        <v>0</v>
      </c>
      <c r="F47" s="352">
        <f>INDEX(TestSummary!$A$1:$BL$366,'J1634 Calcs no precondition'!$A47,'J1634 Calcs no precondition'!F$5)</f>
        <v>20.967715500000001</v>
      </c>
      <c r="G47" s="115">
        <f>INDEX(TestSummary!$A$1:$BL$366,'J1634 Calcs no precondition'!$A47,'J1634 Calcs no precondition'!G$5)</f>
        <v>180.7328469141745</v>
      </c>
      <c r="H47" s="115">
        <f>INDEX(TestSummary!$A$1:$BL$366,'J1634 Calcs no precondition'!$A47,'J1634 Calcs no precondition'!H$5)</f>
        <v>49010</v>
      </c>
      <c r="I47" s="115">
        <f>INDEX(TestSummary!$A$1:$BL$366,'J1634 Calcs no precondition'!$A47,'J1634 Calcs no precondition'!I$5)</f>
        <v>50352</v>
      </c>
      <c r="J47" s="116">
        <f>INDEX(TestSummary!$A$1:$BL$366,'J1634 Calcs no precondition'!$A47,'J1634 Calcs no precondition'!J$5)</f>
        <v>15.3</v>
      </c>
      <c r="K47" s="117">
        <f>INDEX(TestSummary!$A$1:$BL$366,'J1634 Calcs no precondition'!$A47,'J1634 Calcs no precondition'!K$5)</f>
        <v>180.7328469141745</v>
      </c>
      <c r="L47" s="138"/>
    </row>
    <row r="48" spans="1:51" x14ac:dyDescent="0.25">
      <c r="A48" s="446">
        <f>A47+1</f>
        <v>80</v>
      </c>
      <c r="B48" s="321">
        <f>INDEX(TestSummary!$A$1:$BL$366,'J1634 Calcs no precondition'!$A48,'J1634 Calcs no precondition'!B$5)</f>
        <v>62008003</v>
      </c>
      <c r="C48" s="321" t="str">
        <f>INDEX(TestSummary!$A$1:$BL$366,'J1634 Calcs no precondition'!$A48,'J1634 Calcs no precondition'!C$5)</f>
        <v>HWY</v>
      </c>
      <c r="D48" s="307" t="str">
        <f>INDEX(TestSummary!$A$1:$BL$366,'J1634 Calcs no precondition'!$A48,'J1634 Calcs no precondition'!D$5)</f>
        <v>J1634 MCT, Repeat #1, using Maintenance Mode, E-Pedal ON, 65 MPH Middel Deplete</v>
      </c>
      <c r="E48" s="352">
        <f>INDEX(TestSummary!$A$1:$BL$366,'J1634 Calcs no precondition'!$A48,'J1634 Calcs no precondition'!E$5)</f>
        <v>0</v>
      </c>
      <c r="F48" s="352">
        <f>INDEX(TestSummary!$A$1:$BL$366,'J1634 Calcs no precondition'!$A48,'J1634 Calcs no precondition'!F$5)</f>
        <v>25.591560999999999</v>
      </c>
      <c r="G48" s="115">
        <f>INDEX(TestSummary!$A$1:$BL$366,'J1634 Calcs no precondition'!$A48,'J1634 Calcs no precondition'!G$5)</f>
        <v>213.67563770930357</v>
      </c>
      <c r="H48" s="115">
        <f>INDEX(TestSummary!$A$1:$BL$366,'J1634 Calcs no precondition'!$A48,'J1634 Calcs no precondition'!H$5)</f>
        <v>50353</v>
      </c>
      <c r="I48" s="115">
        <f>INDEX(TestSummary!$A$1:$BL$366,'J1634 Calcs no precondition'!$A48,'J1634 Calcs no precondition'!I$5)</f>
        <v>52542</v>
      </c>
      <c r="J48" s="116">
        <f>INDEX(TestSummary!$A$1:$BL$366,'J1634 Calcs no precondition'!$A48,'J1634 Calcs no precondition'!J$5)</f>
        <v>11.5</v>
      </c>
      <c r="K48" s="117">
        <f>INDEX(TestSummary!$A$1:$BL$366,'J1634 Calcs no precondition'!$A48,'J1634 Calcs no precondition'!K$5)</f>
        <v>213.67563770930357</v>
      </c>
      <c r="L48" s="138"/>
    </row>
    <row r="49" spans="1:59" x14ac:dyDescent="0.25">
      <c r="A49" s="446">
        <f>A48+3</f>
        <v>83</v>
      </c>
      <c r="B49" s="321">
        <f>INDEX(TestSummary!$A$1:$BL$366,'J1634 Calcs no precondition'!$A49,'J1634 Calcs no precondition'!B$5)</f>
        <v>62008003</v>
      </c>
      <c r="C49" s="321" t="str">
        <f>INDEX(TestSummary!$A$1:$BL$366,'J1634 Calcs no precondition'!$A49,'J1634 Calcs no precondition'!C$5)</f>
        <v>UDDS 4, combined</v>
      </c>
      <c r="D49" s="307" t="str">
        <f>INDEX(TestSummary!$A$1:$BL$366,'J1634 Calcs no precondition'!$A49,'J1634 Calcs no precondition'!D$5)</f>
        <v>J1634 MCT, Repeat #1, using Maintenance Mode, E-Pedal ON, 65 MPH Middel Deplete</v>
      </c>
      <c r="E49" s="352">
        <f>INDEX(TestSummary!$A$1:$BL$366,'J1634 Calcs no precondition'!$A49,'J1634 Calcs no precondition'!E$5)</f>
        <v>0</v>
      </c>
      <c r="F49" s="352">
        <f>INDEX(TestSummary!$A$1:$BL$366,'J1634 Calcs no precondition'!$A49,'J1634 Calcs no precondition'!F$5)</f>
        <v>20.01709</v>
      </c>
      <c r="G49" s="115">
        <f>INDEX(TestSummary!$A$1:$BL$366,'J1634 Calcs no precondition'!$A49,'J1634 Calcs no precondition'!G$5)</f>
        <v>180.19292513096951</v>
      </c>
      <c r="H49" s="115">
        <f>INDEX(TestSummary!$A$1:$BL$366,'J1634 Calcs no precondition'!$A49,'J1634 Calcs no precondition'!H$5)</f>
        <v>52548</v>
      </c>
      <c r="I49" s="115">
        <f>INDEX(TestSummary!$A$1:$BL$366,'J1634 Calcs no precondition'!$A49,'J1634 Calcs no precondition'!I$5)</f>
        <v>53886</v>
      </c>
      <c r="J49" s="116">
        <f>INDEX(TestSummary!$A$1:$BL$366,'J1634 Calcs no precondition'!$A49,'J1634 Calcs no precondition'!J$5)</f>
        <v>9.1</v>
      </c>
      <c r="K49" s="117">
        <f>INDEX(TestSummary!$A$1:$BL$366,'J1634 Calcs no precondition'!$A49,'J1634 Calcs no precondition'!K$5)</f>
        <v>180.19292513096951</v>
      </c>
      <c r="L49" s="138"/>
    </row>
    <row r="50" spans="1:59" x14ac:dyDescent="0.25">
      <c r="B50" s="328"/>
      <c r="C50" s="328"/>
      <c r="D50" s="15"/>
      <c r="E50" s="102"/>
      <c r="F50" s="102"/>
      <c r="G50" s="448"/>
      <c r="H50" s="448"/>
      <c r="I50" s="448"/>
      <c r="J50" s="336"/>
      <c r="K50" s="448"/>
      <c r="L50" s="448"/>
    </row>
    <row r="51" spans="1:59" x14ac:dyDescent="0.25">
      <c r="B51" s="328"/>
      <c r="C51" s="328"/>
      <c r="D51" s="15"/>
      <c r="E51" s="102"/>
      <c r="F51" s="102"/>
      <c r="G51" s="448"/>
      <c r="H51" s="448"/>
      <c r="I51" s="448"/>
      <c r="J51" s="336"/>
      <c r="K51" s="448"/>
      <c r="L51" s="448"/>
    </row>
    <row r="52" spans="1:59" ht="16.5" thickBot="1" x14ac:dyDescent="0.3">
      <c r="B52" s="77" t="s">
        <v>824</v>
      </c>
      <c r="C52" s="110"/>
      <c r="D52" s="110"/>
      <c r="E52" s="103"/>
      <c r="F52" s="103"/>
      <c r="G52" s="110"/>
      <c r="H52" s="110"/>
      <c r="I52" s="110"/>
      <c r="J52" s="110"/>
      <c r="K52" s="110"/>
      <c r="L52" s="492"/>
      <c r="AC52" t="s">
        <v>391</v>
      </c>
      <c r="AK52" t="s">
        <v>825</v>
      </c>
      <c r="AL52" t="s">
        <v>826</v>
      </c>
      <c r="AM52" t="s">
        <v>827</v>
      </c>
      <c r="AO52" t="s">
        <v>825</v>
      </c>
      <c r="AP52" t="s">
        <v>826</v>
      </c>
      <c r="AQ52" t="s">
        <v>827</v>
      </c>
      <c r="AS52" t="s">
        <v>825</v>
      </c>
      <c r="AT52" t="s">
        <v>826</v>
      </c>
      <c r="AU52" t="s">
        <v>827</v>
      </c>
      <c r="AW52" t="s">
        <v>825</v>
      </c>
      <c r="AX52" t="s">
        <v>826</v>
      </c>
      <c r="AY52" t="s">
        <v>827</v>
      </c>
      <c r="BC52" t="s">
        <v>828</v>
      </c>
      <c r="BD52" t="s">
        <v>829</v>
      </c>
      <c r="BF52" t="s">
        <v>575</v>
      </c>
      <c r="BG52" t="s">
        <v>205</v>
      </c>
    </row>
    <row r="53" spans="1:59" ht="15.75" thickBot="1" x14ac:dyDescent="0.3">
      <c r="A53" s="446">
        <v>164</v>
      </c>
      <c r="B53" s="321">
        <f>INDEX(TestSummary!$A$1:$BL$366,'J1634 Calcs no precondition'!$A53,'J1634 Calcs no precondition'!B$5)</f>
        <v>62008020</v>
      </c>
      <c r="C53" s="321" t="str">
        <f>INDEX(TestSummary!$A$1:$BL$366,'J1634 Calcs no precondition'!$A53,'J1634 Calcs no precondition'!C$5)</f>
        <v>UDDS 1 , Combined</v>
      </c>
      <c r="D53" s="307" t="str">
        <f>INDEX(TestSummary!$A$1:$BL$366,'J1634 Calcs no precondition'!$A53,'J1634 Calcs no precondition'!D$5)</f>
        <v>j1634MCT in hot test cel (95°F) with solar (850W/m^2), HVAC AUTO 72°F, solar lights on 30 minutes prior to first test</v>
      </c>
      <c r="E53" s="352">
        <f>INDEX(TestSummary!$A$1:$BL$366,'J1634 Calcs no precondition'!$A53,'J1634 Calcs no precondition'!E$5)</f>
        <v>0</v>
      </c>
      <c r="F53" s="352">
        <f>INDEX(TestSummary!$A$1:$BL$366,'J1634 Calcs no precondition'!$A53,'J1634 Calcs no precondition'!F$5)</f>
        <v>35.171544999999995</v>
      </c>
      <c r="G53" s="115">
        <f>INDEX(TestSummary!$A$1:$BL$366,'J1634 Calcs no precondition'!$A53,'J1634 Calcs no precondition'!G$5)</f>
        <v>310.37308558405277</v>
      </c>
      <c r="H53" s="115">
        <f>INDEX(TestSummary!$A$1:$BL$366,'J1634 Calcs no precondition'!$A53,'J1634 Calcs no precondition'!H$5)</f>
        <v>9</v>
      </c>
      <c r="I53" s="115">
        <f>INDEX(TestSummary!$A$1:$BL$366,'J1634 Calcs no precondition'!$A53,'J1634 Calcs no precondition'!I$5)</f>
        <v>2313</v>
      </c>
      <c r="J53" s="116">
        <f>INDEX(TestSummary!$A$1:$BL$366,'J1634 Calcs no precondition'!$A53,'J1634 Calcs no precondition'!J$5)</f>
        <v>94.7</v>
      </c>
      <c r="K53" s="117">
        <f>INDEX(TestSummary!$A$1:$BL$366,'J1634 Calcs no precondition'!$A53,'J1634 Calcs no precondition'!K$5)</f>
        <v>310.37308558405277</v>
      </c>
      <c r="L53" s="138"/>
      <c r="N53" s="111" t="s">
        <v>278</v>
      </c>
      <c r="O53" s="17" t="s">
        <v>293</v>
      </c>
      <c r="P53" t="s">
        <v>294</v>
      </c>
      <c r="Q53" s="112" t="s">
        <v>279</v>
      </c>
      <c r="R53" s="113"/>
      <c r="S53" s="113"/>
      <c r="T53" s="113"/>
      <c r="U53" s="113"/>
      <c r="V53" s="113"/>
      <c r="W53" s="113"/>
      <c r="X53" s="113"/>
      <c r="Y53" s="113"/>
      <c r="Z53" s="114"/>
      <c r="AC53" t="s">
        <v>57</v>
      </c>
      <c r="AD53" s="135">
        <f t="shared" ref="AD53:AE55" si="6">(AD37/$AG37)</f>
        <v>0.38973767902873352</v>
      </c>
      <c r="AE53" s="135">
        <f t="shared" si="6"/>
        <v>0.51100760094180997</v>
      </c>
      <c r="AF53" s="135"/>
      <c r="AG53" s="135">
        <f>(AG37/$AG37)</f>
        <v>1</v>
      </c>
      <c r="AH53" s="135">
        <f>(AH37/$AG37)</f>
        <v>0.73783183704469801</v>
      </c>
      <c r="AJ53" t="s">
        <v>830</v>
      </c>
      <c r="AK53">
        <v>1489.4</v>
      </c>
      <c r="AL53">
        <v>7.4589999999999996</v>
      </c>
      <c r="AM53">
        <f t="shared" ref="AM53:AM58" si="7">AK53/AL53</f>
        <v>199.67824105107925</v>
      </c>
      <c r="AO53">
        <v>1353</v>
      </c>
      <c r="AP53">
        <v>7.4550000000000001</v>
      </c>
      <c r="AQ53">
        <f t="shared" ref="AQ53:AQ58" si="8">AO53/AP53</f>
        <v>181.48893360160966</v>
      </c>
      <c r="AS53" s="33">
        <f>I32</f>
        <v>1223</v>
      </c>
      <c r="AT53" s="443">
        <f>J32</f>
        <v>95.9</v>
      </c>
      <c r="AU53">
        <f t="shared" ref="AU53:AU58" si="9">AS53/AT53</f>
        <v>12.752867570385817</v>
      </c>
      <c r="AW53" s="33">
        <f>I42</f>
        <v>1567</v>
      </c>
      <c r="AX53" s="33">
        <f>J42</f>
        <v>95.3</v>
      </c>
      <c r="AY53">
        <f t="shared" ref="AY53:AY58" si="10">AW53/AX53</f>
        <v>16.442812172088143</v>
      </c>
      <c r="BC53" s="444">
        <f t="shared" ref="BC53:BC58" si="11">(AU53-AM53)/AM53</f>
        <v>-0.93613291311433622</v>
      </c>
      <c r="BD53" s="444">
        <f t="shared" ref="BD53:BD58" si="12">(AU53-AQ53)/AQ53</f>
        <v>-0.92973198245585653</v>
      </c>
      <c r="BE53" t="s">
        <v>57</v>
      </c>
      <c r="BF53">
        <v>455.32</v>
      </c>
    </row>
    <row r="54" spans="1:59" x14ac:dyDescent="0.25">
      <c r="A54" s="446">
        <v>165</v>
      </c>
      <c r="B54" s="321">
        <f>INDEX(TestSummary!$A$1:$BL$366,'J1634 Calcs no precondition'!$A54,'J1634 Calcs no precondition'!B$5)</f>
        <v>62008020</v>
      </c>
      <c r="C54" s="321" t="str">
        <f>INDEX(TestSummary!$A$1:$BL$366,'J1634 Calcs no precondition'!$A54,'J1634 Calcs no precondition'!C$5)</f>
        <v>HWY 1</v>
      </c>
      <c r="D54" s="307" t="str">
        <f>INDEX(TestSummary!$A$1:$BL$366,'J1634 Calcs no precondition'!$A54,'J1634 Calcs no precondition'!D$5)</f>
        <v>j1634MCT in hot test cel (95°F) with solar (850W/m^2), HVAC AUTO 72°F, solar lights on 30 minutes prior to first test</v>
      </c>
      <c r="E54" s="352">
        <f>INDEX(TestSummary!$A$1:$BL$366,'J1634 Calcs no precondition'!$A54,'J1634 Calcs no precondition'!E$5)</f>
        <v>0</v>
      </c>
      <c r="F54" s="352">
        <f>INDEX(TestSummary!$A$1:$BL$366,'J1634 Calcs no precondition'!$A54,'J1634 Calcs no precondition'!F$5)</f>
        <v>37.879582999999997</v>
      </c>
      <c r="G54" s="115">
        <f>INDEX(TestSummary!$A$1:$BL$366,'J1634 Calcs no precondition'!$A54,'J1634 Calcs no precondition'!G$5)</f>
        <v>232.78653137069216</v>
      </c>
      <c r="H54" s="115">
        <f>INDEX(TestSummary!$A$1:$BL$366,'J1634 Calcs no precondition'!$A54,'J1634 Calcs no precondition'!H$5)</f>
        <v>2321</v>
      </c>
      <c r="I54" s="115">
        <f>INDEX(TestSummary!$A$1:$BL$366,'J1634 Calcs no precondition'!$A54,'J1634 Calcs no precondition'!I$5)</f>
        <v>4706</v>
      </c>
      <c r="J54" s="116">
        <f>INDEX(TestSummary!$A$1:$BL$366,'J1634 Calcs no precondition'!$A54,'J1634 Calcs no precondition'!J$5)</f>
        <v>91.2</v>
      </c>
      <c r="K54" s="117">
        <f>INDEX(TestSummary!$A$1:$BL$366,'J1634 Calcs no precondition'!$A54,'J1634 Calcs no precondition'!K$5)</f>
        <v>232.78653137069216</v>
      </c>
      <c r="L54" s="138"/>
      <c r="N54" s="118" t="s">
        <v>846</v>
      </c>
      <c r="O54" s="139">
        <f>TestSummary!AU184</f>
        <v>67020.2</v>
      </c>
      <c r="P54" s="236">
        <f>$O$32</f>
        <v>68019.200000000012</v>
      </c>
      <c r="Q54" s="119" t="s">
        <v>16</v>
      </c>
      <c r="R54" s="120" t="s">
        <v>1</v>
      </c>
      <c r="S54" s="120" t="s">
        <v>392</v>
      </c>
      <c r="T54" s="121" t="s">
        <v>281</v>
      </c>
      <c r="U54" s="120" t="s">
        <v>282</v>
      </c>
      <c r="V54" s="121" t="s">
        <v>283</v>
      </c>
      <c r="W54" s="122" t="s">
        <v>947</v>
      </c>
      <c r="X54" s="123" t="s">
        <v>284</v>
      </c>
      <c r="Y54" s="122" t="s">
        <v>285</v>
      </c>
      <c r="Z54" s="124"/>
      <c r="AC54" t="s">
        <v>55</v>
      </c>
      <c r="AD54" s="135">
        <f t="shared" si="6"/>
        <v>0.61835331852063102</v>
      </c>
      <c r="AE54" s="135">
        <f t="shared" si="6"/>
        <v>0.73198798700579759</v>
      </c>
      <c r="AF54" s="135"/>
      <c r="AG54" s="135">
        <f>(AG38/$AG37)</f>
        <v>0.82931630808624368</v>
      </c>
      <c r="AH54" s="135">
        <f>(AH38/$AG38)</f>
        <v>0.95385730450737005</v>
      </c>
      <c r="AJ54" t="s">
        <v>831</v>
      </c>
      <c r="AK54">
        <v>1326.1</v>
      </c>
      <c r="AL54">
        <v>7.4530000000000003</v>
      </c>
      <c r="AM54">
        <f t="shared" si="7"/>
        <v>177.92835099959746</v>
      </c>
      <c r="AO54">
        <v>1269</v>
      </c>
      <c r="AP54">
        <v>7.4589999999999996</v>
      </c>
      <c r="AQ54">
        <f t="shared" si="8"/>
        <v>170.13004424185547</v>
      </c>
      <c r="AS54" s="26">
        <f>I34</f>
        <v>4892</v>
      </c>
      <c r="AT54" s="443">
        <f>J34</f>
        <v>90.5</v>
      </c>
      <c r="AU54">
        <f t="shared" si="9"/>
        <v>54.055248618784532</v>
      </c>
      <c r="AW54" s="26">
        <f>I44</f>
        <v>5195</v>
      </c>
      <c r="AX54" s="26">
        <f>J44</f>
        <v>89.9</v>
      </c>
      <c r="AY54">
        <f t="shared" si="10"/>
        <v>57.786429365962178</v>
      </c>
      <c r="BC54" s="444">
        <f t="shared" si="11"/>
        <v>-0.69619654026408173</v>
      </c>
      <c r="BD54" s="444">
        <f t="shared" si="12"/>
        <v>-0.68227100122339335</v>
      </c>
      <c r="BF54">
        <v>422.7</v>
      </c>
    </row>
    <row r="55" spans="1:59" x14ac:dyDescent="0.25">
      <c r="A55" s="446">
        <v>168</v>
      </c>
      <c r="B55" s="321">
        <f>INDEX(TestSummary!$A$1:$BL$366,'J1634 Calcs no precondition'!$A55,'J1634 Calcs no precondition'!B$5)</f>
        <v>62008020</v>
      </c>
      <c r="C55" s="321" t="str">
        <f>INDEX(TestSummary!$A$1:$BL$366,'J1634 Calcs no precondition'!$A55,'J1634 Calcs no precondition'!C$5)</f>
        <v>UDDS 2, combined</v>
      </c>
      <c r="D55" s="307" t="str">
        <f>INDEX(TestSummary!$A$1:$BL$366,'J1634 Calcs no precondition'!$A55,'J1634 Calcs no precondition'!D$5)</f>
        <v>j1634MCT in hot test cel (95°F) with solar (850W/m^2), HVAC AUTO 72°F, solar lights on 30 minutes prior to first test</v>
      </c>
      <c r="E55" s="352">
        <f>INDEX(TestSummary!$A$1:$BL$366,'J1634 Calcs no precondition'!$A55,'J1634 Calcs no precondition'!E$5)</f>
        <v>0</v>
      </c>
      <c r="F55" s="352">
        <f>INDEX(TestSummary!$A$1:$BL$366,'J1634 Calcs no precondition'!$A55,'J1634 Calcs no precondition'!F$5)</f>
        <v>33.952994000000004</v>
      </c>
      <c r="G55" s="115">
        <f>INDEX(TestSummary!$A$1:$BL$366,'J1634 Calcs no precondition'!$A55,'J1634 Calcs no precondition'!G$5)</f>
        <v>247.11909501717622</v>
      </c>
      <c r="H55" s="115">
        <f>INDEX(TestSummary!$A$1:$BL$366,'J1634 Calcs no precondition'!$A55,'J1634 Calcs no precondition'!H$5)</f>
        <v>4713</v>
      </c>
      <c r="I55" s="115">
        <f>INDEX(TestSummary!$A$1:$BL$366,'J1634 Calcs no precondition'!$A55,'J1634 Calcs no precondition'!I$5)</f>
        <v>6548</v>
      </c>
      <c r="J55" s="116">
        <f>INDEX(TestSummary!$A$1:$BL$366,'J1634 Calcs no precondition'!$A55,'J1634 Calcs no precondition'!J$5)</f>
        <v>88.4</v>
      </c>
      <c r="K55" s="117">
        <f>INDEX(TestSummary!$A$1:$BL$366,'J1634 Calcs no precondition'!$A55,'J1634 Calcs no precondition'!K$5)</f>
        <v>247.11909501717622</v>
      </c>
      <c r="L55" s="138"/>
      <c r="N55" s="125" t="s">
        <v>286</v>
      </c>
      <c r="O55" s="126">
        <f>TestSummary!W183-TestSummary!V162</f>
        <v>59300</v>
      </c>
      <c r="P55" s="126">
        <f>$O$33</f>
        <v>59240</v>
      </c>
      <c r="Q55" s="119" t="s">
        <v>287</v>
      </c>
      <c r="R55" s="120" t="s">
        <v>57</v>
      </c>
      <c r="S55" s="120">
        <v>3</v>
      </c>
      <c r="T55" s="121"/>
      <c r="U55" s="121">
        <f>(I53-H53)/O55</f>
        <v>3.8853288364249582E-2</v>
      </c>
      <c r="V55" s="121">
        <f>(1-U55)/S55</f>
        <v>0.32038223721191678</v>
      </c>
      <c r="W55" s="127">
        <f>U55*K53+V55*K55*3</f>
        <v>249.57672055286059</v>
      </c>
      <c r="X55" s="127">
        <f>P55/W55</f>
        <v>237.36188162410329</v>
      </c>
      <c r="Y55" s="128">
        <f>W55/T58</f>
        <v>282.06883181782172</v>
      </c>
      <c r="Z55" s="124"/>
      <c r="AC55" t="s">
        <v>210</v>
      </c>
      <c r="AD55" s="135">
        <f t="shared" si="6"/>
        <v>0.67125593130792649</v>
      </c>
      <c r="AE55" s="135">
        <f t="shared" si="6"/>
        <v>0.80294314191862715</v>
      </c>
      <c r="AF55" s="135"/>
      <c r="AG55" s="135">
        <f>(AG39/$AG38)</f>
        <v>0.73668714872564056</v>
      </c>
      <c r="AH55" s="135">
        <f>(AH39/$AG39)</f>
        <v>0.96657718993063035</v>
      </c>
      <c r="AJ55" t="s">
        <v>832</v>
      </c>
      <c r="AK55">
        <v>1271.5</v>
      </c>
      <c r="AL55">
        <v>7.4669999999999996</v>
      </c>
      <c r="AM55">
        <f t="shared" si="7"/>
        <v>170.28257667068436</v>
      </c>
      <c r="AO55">
        <v>1252</v>
      </c>
      <c r="AP55">
        <v>7.4429999999999996</v>
      </c>
      <c r="AQ55">
        <f t="shared" si="8"/>
        <v>168.21174257691791</v>
      </c>
      <c r="AS55" s="33">
        <f>I37</f>
        <v>50305</v>
      </c>
      <c r="AT55" s="443">
        <f>J37</f>
        <v>15.7</v>
      </c>
      <c r="AU55">
        <f t="shared" si="9"/>
        <v>3204.1401273885353</v>
      </c>
      <c r="AW55" s="33">
        <f>I47</f>
        <v>50352</v>
      </c>
      <c r="AX55" s="33">
        <f>J47</f>
        <v>15.3</v>
      </c>
      <c r="AY55">
        <f t="shared" si="10"/>
        <v>3290.9803921568628</v>
      </c>
      <c r="BC55" s="444">
        <f t="shared" si="11"/>
        <v>17.816605844443721</v>
      </c>
      <c r="BD55" s="444">
        <f t="shared" si="12"/>
        <v>18.048254766895262</v>
      </c>
    </row>
    <row r="56" spans="1:59" x14ac:dyDescent="0.25">
      <c r="A56" s="446">
        <v>171</v>
      </c>
      <c r="B56" s="321">
        <f>INDEX(TestSummary!$A$1:$BL$366,'J1634 Calcs no precondition'!$A56,'J1634 Calcs no precondition'!B$5)</f>
        <v>62008020</v>
      </c>
      <c r="C56" s="321" t="str">
        <f>INDEX(TestSummary!$A$1:$BL$366,'J1634 Calcs no precondition'!$A56,'J1634 Calcs no precondition'!C$5)</f>
        <v>US06 1, combined</v>
      </c>
      <c r="D56" s="307" t="str">
        <f>INDEX(TestSummary!$A$1:$BL$366,'J1634 Calcs no precondition'!$A56,'J1634 Calcs no precondition'!D$5)</f>
        <v>j1634MCT in hot test cel (95°F) with solar (850W/m^2), HVAC AUTO 72°F, solar lights on 30 minutes prior to first test</v>
      </c>
      <c r="E56" s="352">
        <f>INDEX(TestSummary!$A$1:$BL$366,'J1634 Calcs no precondition'!$A56,'J1634 Calcs no precondition'!E$5)</f>
        <v>0</v>
      </c>
      <c r="F56" s="352">
        <f>INDEX(TestSummary!$A$1:$BL$366,'J1634 Calcs no precondition'!$A56,'J1634 Calcs no precondition'!F$5)</f>
        <v>37.663222000000005</v>
      </c>
      <c r="G56" s="115">
        <f>INDEX(TestSummary!$A$1:$BL$366,'J1634 Calcs no precondition'!$A56,'J1634 Calcs no precondition'!G$5)</f>
        <v>311.83267705480091</v>
      </c>
      <c r="H56" s="115">
        <f>INDEX(TestSummary!$A$1:$BL$366,'J1634 Calcs no precondition'!$A56,'J1634 Calcs no precondition'!H$5)</f>
        <v>6588</v>
      </c>
      <c r="I56" s="115">
        <f>INDEX(TestSummary!$A$1:$BL$366,'J1634 Calcs no precondition'!$A56,'J1634 Calcs no precondition'!I$5)</f>
        <v>8867</v>
      </c>
      <c r="J56" s="116">
        <f>INDEX(TestSummary!$A$1:$BL$366,'J1634 Calcs no precondition'!$A56,'J1634 Calcs no precondition'!J$5)</f>
        <v>84.9</v>
      </c>
      <c r="K56" s="117">
        <f>INDEX(TestSummary!$A$1:$BL$366,'J1634 Calcs no precondition'!$A56,'J1634 Calcs no precondition'!K$5)</f>
        <v>311.83267705480091</v>
      </c>
      <c r="L56" s="138"/>
      <c r="Q56" s="119" t="s">
        <v>287</v>
      </c>
      <c r="R56" s="120" t="s">
        <v>55</v>
      </c>
      <c r="S56" s="120">
        <v>2</v>
      </c>
      <c r="T56" s="121">
        <f>1/S56</f>
        <v>0.5</v>
      </c>
      <c r="U56" s="121"/>
      <c r="V56" s="121"/>
      <c r="W56" s="127">
        <f>T56*K54*2</f>
        <v>232.78653137069216</v>
      </c>
      <c r="X56" s="127">
        <f>P55/W56</f>
        <v>254.48207699639414</v>
      </c>
      <c r="Y56" s="128">
        <f>W56/T58</f>
        <v>263.09274687639231</v>
      </c>
      <c r="Z56" s="124"/>
      <c r="AJ56" t="s">
        <v>833</v>
      </c>
      <c r="AK56">
        <v>1285.5999999999999</v>
      </c>
      <c r="AL56">
        <v>7.4630000000000001</v>
      </c>
      <c r="AM56">
        <f t="shared" si="7"/>
        <v>172.2631649470722</v>
      </c>
      <c r="AO56">
        <v>1261</v>
      </c>
      <c r="AP56">
        <v>7.452</v>
      </c>
      <c r="AQ56">
        <f t="shared" si="8"/>
        <v>169.2163177670424</v>
      </c>
      <c r="AS56" s="33">
        <f>I39</f>
        <v>53859</v>
      </c>
      <c r="AT56" s="443">
        <f>J39</f>
        <v>9.4</v>
      </c>
      <c r="AU56">
        <f t="shared" si="9"/>
        <v>5729.6808510638293</v>
      </c>
      <c r="AW56" s="33">
        <f>I49</f>
        <v>53886</v>
      </c>
      <c r="AX56" s="33">
        <f>J49</f>
        <v>9.1</v>
      </c>
      <c r="AY56">
        <f t="shared" si="10"/>
        <v>5921.5384615384619</v>
      </c>
      <c r="BC56" s="444">
        <f t="shared" si="11"/>
        <v>32.261207367368826</v>
      </c>
      <c r="BD56" s="444">
        <f t="shared" si="12"/>
        <v>32.860096512393064</v>
      </c>
    </row>
    <row r="57" spans="1:59" x14ac:dyDescent="0.25">
      <c r="B57" s="328"/>
      <c r="C57" s="328"/>
      <c r="D57" s="15"/>
      <c r="E57" s="102"/>
      <c r="F57" s="102"/>
      <c r="G57" s="136"/>
      <c r="H57" s="136"/>
      <c r="I57" s="136"/>
      <c r="J57" s="137"/>
      <c r="K57" s="138"/>
      <c r="L57" s="138"/>
      <c r="Q57" s="119" t="s">
        <v>287</v>
      </c>
      <c r="R57" s="120" t="s">
        <v>210</v>
      </c>
      <c r="S57" s="120">
        <v>2</v>
      </c>
      <c r="T57" s="121">
        <f>1/S57</f>
        <v>0.5</v>
      </c>
      <c r="U57" s="121"/>
      <c r="V57" s="121"/>
      <c r="W57" s="127">
        <f>T57*K56*2</f>
        <v>311.83267705480091</v>
      </c>
      <c r="X57" s="127">
        <f>P55/W57</f>
        <v>189.97367613782589</v>
      </c>
      <c r="Y57" s="128">
        <f>W57/T58</f>
        <v>352.42982095696743</v>
      </c>
      <c r="Z57" s="124"/>
      <c r="AJ57" t="s">
        <v>834</v>
      </c>
      <c r="AK57">
        <v>1950.9</v>
      </c>
      <c r="AL57">
        <v>10.266</v>
      </c>
      <c r="AM57">
        <f t="shared" si="7"/>
        <v>190.03506721215663</v>
      </c>
      <c r="AO57">
        <v>1844</v>
      </c>
      <c r="AP57">
        <v>10.262</v>
      </c>
      <c r="AQ57">
        <f t="shared" si="8"/>
        <v>179.69206782303644</v>
      </c>
      <c r="AS57" s="33">
        <f>I33</f>
        <v>3499</v>
      </c>
      <c r="AT57" s="443">
        <f>J33</f>
        <v>92.6</v>
      </c>
      <c r="AU57">
        <f t="shared" si="9"/>
        <v>37.786177105831534</v>
      </c>
      <c r="AW57" s="33">
        <f>I43</f>
        <v>3818</v>
      </c>
      <c r="AX57" s="33">
        <f>J43</f>
        <v>92</v>
      </c>
      <c r="AY57">
        <f t="shared" si="10"/>
        <v>41.5</v>
      </c>
      <c r="BC57" s="444">
        <f t="shared" si="11"/>
        <v>-0.80116208202959316</v>
      </c>
      <c r="BD57" s="444">
        <f t="shared" si="12"/>
        <v>-0.78971705560735184</v>
      </c>
    </row>
    <row r="58" spans="1:59" ht="15.75" thickBot="1" x14ac:dyDescent="0.3">
      <c r="Q58" s="129" t="s">
        <v>287</v>
      </c>
      <c r="R58" s="130" t="s">
        <v>290</v>
      </c>
      <c r="S58" s="130"/>
      <c r="T58" s="245">
        <f>O55/O54</f>
        <v>0.88480786389775024</v>
      </c>
      <c r="U58" s="131"/>
      <c r="V58" s="131"/>
      <c r="W58" s="132" t="s">
        <v>274</v>
      </c>
      <c r="X58" s="132" t="s">
        <v>291</v>
      </c>
      <c r="Y58" s="133" t="s">
        <v>289</v>
      </c>
      <c r="Z58" s="134"/>
      <c r="AJ58" t="s">
        <v>835</v>
      </c>
      <c r="AK58">
        <v>1895.5</v>
      </c>
      <c r="AL58">
        <v>10.257999999999999</v>
      </c>
      <c r="AM58">
        <f t="shared" si="7"/>
        <v>184.78260869565219</v>
      </c>
      <c r="AO58">
        <v>1863</v>
      </c>
      <c r="AP58">
        <v>10.266999999999999</v>
      </c>
      <c r="AQ58">
        <f t="shared" si="8"/>
        <v>181.45514756014416</v>
      </c>
      <c r="AS58" s="33">
        <f>I38</f>
        <v>52506</v>
      </c>
      <c r="AT58" s="443">
        <f>J38</f>
        <v>11.8</v>
      </c>
      <c r="AU58">
        <f t="shared" si="9"/>
        <v>4449.6610169491523</v>
      </c>
      <c r="AW58" s="33">
        <f>I47</f>
        <v>50352</v>
      </c>
      <c r="AX58" s="33">
        <f>J47</f>
        <v>15.3</v>
      </c>
      <c r="AY58">
        <f t="shared" si="10"/>
        <v>3290.9803921568628</v>
      </c>
      <c r="BC58" s="444">
        <f t="shared" si="11"/>
        <v>23.080518444666001</v>
      </c>
      <c r="BD58" s="444">
        <f t="shared" si="12"/>
        <v>23.522098583476623</v>
      </c>
    </row>
    <row r="59" spans="1:59" x14ac:dyDescent="0.25">
      <c r="R59" s="33"/>
      <c r="S59" s="33"/>
      <c r="T59" s="454"/>
      <c r="W59" s="455"/>
      <c r="X59" s="455"/>
      <c r="Y59" s="18"/>
      <c r="AS59" s="33"/>
      <c r="AT59" s="443"/>
      <c r="AW59" s="33"/>
      <c r="AX59" s="33"/>
      <c r="BC59" s="456"/>
      <c r="BD59" s="456"/>
    </row>
    <row r="60" spans="1:59" ht="16.5" thickBot="1" x14ac:dyDescent="0.3">
      <c r="B60" s="77" t="s">
        <v>845</v>
      </c>
      <c r="C60" s="110"/>
      <c r="D60" s="110"/>
      <c r="E60" s="103"/>
      <c r="F60" s="103"/>
      <c r="G60" s="110"/>
      <c r="H60" s="110"/>
      <c r="I60" s="110"/>
      <c r="J60" s="110"/>
      <c r="K60" s="110"/>
      <c r="L60" s="492"/>
    </row>
    <row r="61" spans="1:59" ht="15.75" thickBot="1" x14ac:dyDescent="0.3">
      <c r="A61" s="446">
        <v>188</v>
      </c>
      <c r="B61" s="321">
        <f>INDEX(TestSummary!$A$1:$BL$366,'J1634 Calcs no precondition'!$A61,'J1634 Calcs no precondition'!B$5)</f>
        <v>62008028</v>
      </c>
      <c r="C61" s="321" t="str">
        <f>INDEX(TestSummary!$A$1:$BL$366,'J1634 Calcs no precondition'!$A61,'J1634 Calcs no precondition'!C$5)</f>
        <v>UDDS 1 , Combined</v>
      </c>
      <c r="D61" s="307" t="str">
        <f>INDEX(TestSummary!$A$1:$BL$366,'J1634 Calcs no precondition'!$A61,'J1634 Calcs no precondition'!D$5)</f>
        <v>J1634MCT in hot test cell (95°F), first half with NO SOLAR, HVAC AUTO 72°F</v>
      </c>
      <c r="E61" s="352">
        <f>INDEX(TestSummary!$A$1:$BL$366,'J1634 Calcs no precondition'!$A61,'J1634 Calcs no precondition'!E$5)</f>
        <v>0</v>
      </c>
      <c r="F61" s="352">
        <f>INDEX(TestSummary!$A$1:$BL$366,'J1634 Calcs no precondition'!$A61,'J1634 Calcs no precondition'!F$5)</f>
        <v>34.273290000000003</v>
      </c>
      <c r="G61" s="115">
        <f>INDEX(TestSummary!$A$1:$BL$366,'J1634 Calcs no precondition'!$A61,'J1634 Calcs no precondition'!G$5)</f>
        <v>255.36671523792654</v>
      </c>
      <c r="H61" s="115">
        <f>INDEX(TestSummary!$A$1:$BL$366,'J1634 Calcs no precondition'!$A61,'J1634 Calcs no precondition'!H$5)</f>
        <v>-370</v>
      </c>
      <c r="I61" s="115">
        <f>INDEX(TestSummary!$A$1:$BL$366,'J1634 Calcs no precondition'!$A61,'J1634 Calcs no precondition'!I$5)</f>
        <v>1527</v>
      </c>
      <c r="J61" s="116">
        <f>INDEX(TestSummary!$A$1:$BL$366,'J1634 Calcs no precondition'!$A61,'J1634 Calcs no precondition'!J$5)</f>
        <v>93.6</v>
      </c>
      <c r="K61" s="117">
        <f>INDEX(TestSummary!$A$1:$BL$366,'J1634 Calcs no precondition'!$A61,'J1634 Calcs no precondition'!K$5)</f>
        <v>255.36671523792654</v>
      </c>
      <c r="L61" s="138"/>
      <c r="N61" s="111" t="s">
        <v>278</v>
      </c>
      <c r="O61" s="17" t="s">
        <v>293</v>
      </c>
      <c r="P61" t="s">
        <v>294</v>
      </c>
      <c r="Q61" s="112" t="s">
        <v>279</v>
      </c>
      <c r="R61" s="113"/>
      <c r="S61" s="113"/>
      <c r="T61" s="113"/>
      <c r="U61" s="113"/>
      <c r="V61" s="113"/>
      <c r="W61" s="113"/>
      <c r="X61" s="113"/>
      <c r="Y61" s="113"/>
      <c r="Z61" s="114"/>
    </row>
    <row r="62" spans="1:59" x14ac:dyDescent="0.25">
      <c r="A62" s="446">
        <f>A61+1</f>
        <v>189</v>
      </c>
      <c r="B62" s="321">
        <f>INDEX(TestSummary!$A$1:$BL$366,'J1634 Calcs no precondition'!$A62,'J1634 Calcs no precondition'!B$5)</f>
        <v>62008028</v>
      </c>
      <c r="C62" s="321" t="str">
        <f>INDEX(TestSummary!$A$1:$BL$366,'J1634 Calcs no precondition'!$A62,'J1634 Calcs no precondition'!C$5)</f>
        <v>HWY 1</v>
      </c>
      <c r="D62" s="307" t="str">
        <f>INDEX(TestSummary!$A$1:$BL$366,'J1634 Calcs no precondition'!$A62,'J1634 Calcs no precondition'!D$5)</f>
        <v>J1634MCT in hot test cell (95°F), first half with NO SOLAR, HVAC AUTO 72°F</v>
      </c>
      <c r="E62" s="352">
        <f>INDEX(TestSummary!$A$1:$BL$366,'J1634 Calcs no precondition'!$A62,'J1634 Calcs no precondition'!E$5)</f>
        <v>0</v>
      </c>
      <c r="F62" s="352">
        <f>INDEX(TestSummary!$A$1:$BL$366,'J1634 Calcs no precondition'!$A62,'J1634 Calcs no precondition'!F$5)</f>
        <v>37.256883999999999</v>
      </c>
      <c r="G62" s="115">
        <f>INDEX(TestSummary!$A$1:$BL$366,'J1634 Calcs no precondition'!$A62,'J1634 Calcs no precondition'!G$5)</f>
        <v>223.50638166254637</v>
      </c>
      <c r="H62" s="115">
        <f>INDEX(TestSummary!$A$1:$BL$366,'J1634 Calcs no precondition'!$A62,'J1634 Calcs no precondition'!H$5)</f>
        <v>1533</v>
      </c>
      <c r="I62" s="115">
        <f>INDEX(TestSummary!$A$1:$BL$366,'J1634 Calcs no precondition'!$A62,'J1634 Calcs no precondition'!I$5)</f>
        <v>3823</v>
      </c>
      <c r="J62" s="116">
        <f>INDEX(TestSummary!$A$1:$BL$366,'J1634 Calcs no precondition'!$A62,'J1634 Calcs no precondition'!J$5)</f>
        <v>90.2</v>
      </c>
      <c r="K62" s="117">
        <f>INDEX(TestSummary!$A$1:$BL$366,'J1634 Calcs no precondition'!$A62,'J1634 Calcs no precondition'!K$5)</f>
        <v>223.50638166254637</v>
      </c>
      <c r="L62" s="138"/>
      <c r="N62" s="118" t="s">
        <v>846</v>
      </c>
      <c r="O62" s="459">
        <f>O54</f>
        <v>67020.2</v>
      </c>
      <c r="P62" s="236">
        <f>$O$32</f>
        <v>68019.200000000012</v>
      </c>
      <c r="Q62" s="119" t="s">
        <v>16</v>
      </c>
      <c r="R62" s="120" t="s">
        <v>1</v>
      </c>
      <c r="S62" s="120" t="s">
        <v>392</v>
      </c>
      <c r="T62" s="121" t="s">
        <v>281</v>
      </c>
      <c r="U62" s="120" t="s">
        <v>282</v>
      </c>
      <c r="V62" s="121" t="s">
        <v>283</v>
      </c>
      <c r="W62" s="122" t="s">
        <v>947</v>
      </c>
      <c r="X62" s="123" t="s">
        <v>284</v>
      </c>
      <c r="Y62" s="122" t="s">
        <v>285</v>
      </c>
      <c r="Z62" s="124"/>
    </row>
    <row r="63" spans="1:59" x14ac:dyDescent="0.25">
      <c r="A63" s="446">
        <f>A62+3</f>
        <v>192</v>
      </c>
      <c r="B63" s="321">
        <f>INDEX(TestSummary!$A$1:$BL$366,'J1634 Calcs no precondition'!$A63,'J1634 Calcs no precondition'!B$5)</f>
        <v>62008028</v>
      </c>
      <c r="C63" s="321" t="str">
        <f>INDEX(TestSummary!$A$1:$BL$366,'J1634 Calcs no precondition'!$A63,'J1634 Calcs no precondition'!C$5)</f>
        <v>UDDS 2, combined</v>
      </c>
      <c r="D63" s="307" t="str">
        <f>INDEX(TestSummary!$A$1:$BL$366,'J1634 Calcs no precondition'!$A63,'J1634 Calcs no precondition'!D$5)</f>
        <v>J1634MCT in hot test cell (95°F), first half with NO SOLAR, HVAC AUTO 72°F</v>
      </c>
      <c r="E63" s="352">
        <f>INDEX(TestSummary!$A$1:$BL$366,'J1634 Calcs no precondition'!$A63,'J1634 Calcs no precondition'!E$5)</f>
        <v>0</v>
      </c>
      <c r="F63" s="352">
        <f>INDEX(TestSummary!$A$1:$BL$366,'J1634 Calcs no precondition'!$A63,'J1634 Calcs no precondition'!F$5)</f>
        <v>32.505319499999999</v>
      </c>
      <c r="G63" s="115">
        <f>INDEX(TestSummary!$A$1:$BL$366,'J1634 Calcs no precondition'!$A63,'J1634 Calcs no precondition'!G$5)</f>
        <v>209.91474861171858</v>
      </c>
      <c r="H63" s="115">
        <f>INDEX(TestSummary!$A$1:$BL$366,'J1634 Calcs no precondition'!$A63,'J1634 Calcs no precondition'!H$5)</f>
        <v>3829</v>
      </c>
      <c r="I63" s="115">
        <f>INDEX(TestSummary!$A$1:$BL$366,'J1634 Calcs no precondition'!$A63,'J1634 Calcs no precondition'!I$5)</f>
        <v>5388</v>
      </c>
      <c r="J63" s="116">
        <f>INDEX(TestSummary!$A$1:$BL$366,'J1634 Calcs no precondition'!$A63,'J1634 Calcs no precondition'!J$5)</f>
        <v>87.8</v>
      </c>
      <c r="K63" s="117">
        <f>INDEX(TestSummary!$A$1:$BL$366,'J1634 Calcs no precondition'!$A63,'J1634 Calcs no precondition'!K$5)</f>
        <v>209.91474861171858</v>
      </c>
      <c r="L63" s="138"/>
      <c r="N63" s="125" t="s">
        <v>286</v>
      </c>
      <c r="O63" s="460">
        <f>O55</f>
        <v>59300</v>
      </c>
      <c r="P63" s="126">
        <f>$O$33</f>
        <v>59240</v>
      </c>
      <c r="Q63" s="119" t="s">
        <v>287</v>
      </c>
      <c r="R63" s="120" t="s">
        <v>57</v>
      </c>
      <c r="S63" s="120">
        <v>3</v>
      </c>
      <c r="T63" s="121"/>
      <c r="U63" s="121">
        <f>(I61-H61)/O63</f>
        <v>3.1989881956155146E-2</v>
      </c>
      <c r="V63" s="121">
        <f>(1-U63)/S63</f>
        <v>0.3226700393479483</v>
      </c>
      <c r="W63" s="127">
        <f>U63*K61+V63*K63*3</f>
        <v>211.36875165876606</v>
      </c>
      <c r="X63" s="127">
        <f>P63/W63</f>
        <v>280.26848592850246</v>
      </c>
      <c r="Y63" s="128">
        <f>W63/T66</f>
        <v>238.88661062261102</v>
      </c>
      <c r="Z63" s="124"/>
    </row>
    <row r="64" spans="1:59" ht="15.75" customHeight="1" x14ac:dyDescent="0.25">
      <c r="A64" s="446">
        <f>A63+3</f>
        <v>195</v>
      </c>
      <c r="B64" s="321">
        <f>INDEX(TestSummary!$A$1:$BL$366,'J1634 Calcs no precondition'!$A64,'J1634 Calcs no precondition'!B$5)</f>
        <v>62008028</v>
      </c>
      <c r="C64" s="321" t="str">
        <f>INDEX(TestSummary!$A$1:$BL$366,'J1634 Calcs no precondition'!$A64,'J1634 Calcs no precondition'!C$5)</f>
        <v>US06 1, combined</v>
      </c>
      <c r="D64" s="307" t="str">
        <f>INDEX(TestSummary!$A$1:$BL$366,'J1634 Calcs no precondition'!$A64,'J1634 Calcs no precondition'!D$5)</f>
        <v>J1634MCT in hot test cell (95°F), first half with NO SOLAR, HVAC AUTO 72°F</v>
      </c>
      <c r="E64" s="352">
        <f>INDEX(TestSummary!$A$1:$BL$366,'J1634 Calcs no precondition'!$A64,'J1634 Calcs no precondition'!E$5)</f>
        <v>0</v>
      </c>
      <c r="F64" s="352">
        <f>INDEX(TestSummary!$A$1:$BL$366,'J1634 Calcs no precondition'!$A64,'J1634 Calcs no precondition'!F$5)</f>
        <v>36.401289000000006</v>
      </c>
      <c r="G64" s="115">
        <f>INDEX(TestSummary!$A$1:$BL$366,'J1634 Calcs no precondition'!$A64,'J1634 Calcs no precondition'!G$5)</f>
        <v>302.11556291577176</v>
      </c>
      <c r="H64" s="115">
        <f>INDEX(TestSummary!$A$1:$BL$366,'J1634 Calcs no precondition'!$A64,'J1634 Calcs no precondition'!H$5)</f>
        <v>5411</v>
      </c>
      <c r="I64" s="115">
        <f>INDEX(TestSummary!$A$1:$BL$366,'J1634 Calcs no precondition'!$A64,'J1634 Calcs no precondition'!I$5)</f>
        <v>7631</v>
      </c>
      <c r="J64" s="116">
        <f>INDEX(TestSummary!$A$1:$BL$366,'J1634 Calcs no precondition'!$A64,'J1634 Calcs no precondition'!J$5)</f>
        <v>84.4</v>
      </c>
      <c r="K64" s="117">
        <f>INDEX(TestSummary!$A$1:$BL$366,'J1634 Calcs no precondition'!$A64,'J1634 Calcs no precondition'!K$5)</f>
        <v>302.11556291577176</v>
      </c>
      <c r="L64" s="138"/>
      <c r="N64" s="496" t="s">
        <v>953</v>
      </c>
      <c r="Q64" s="119" t="s">
        <v>287</v>
      </c>
      <c r="R64" s="120" t="s">
        <v>55</v>
      </c>
      <c r="S64" s="120">
        <v>2</v>
      </c>
      <c r="T64" s="121">
        <f>1/S64</f>
        <v>0.5</v>
      </c>
      <c r="U64" s="121"/>
      <c r="V64" s="121"/>
      <c r="W64" s="127">
        <f>T64*K62*2</f>
        <v>223.50638166254637</v>
      </c>
      <c r="X64" s="127">
        <f>P63/W64</f>
        <v>265.04836040628823</v>
      </c>
      <c r="Y64" s="128">
        <f>W64/T66</f>
        <v>252.60442496290372</v>
      </c>
      <c r="Z64" s="124"/>
    </row>
    <row r="65" spans="2:56" x14ac:dyDescent="0.25">
      <c r="B65" s="328"/>
      <c r="C65" s="328"/>
      <c r="D65" s="15"/>
      <c r="E65" s="102"/>
      <c r="F65" s="102"/>
      <c r="G65" s="136"/>
      <c r="H65" s="136"/>
      <c r="I65" s="136"/>
      <c r="J65" s="137"/>
      <c r="K65" s="138"/>
      <c r="L65" s="138"/>
      <c r="Q65" s="119" t="s">
        <v>287</v>
      </c>
      <c r="R65" s="120" t="s">
        <v>210</v>
      </c>
      <c r="S65" s="120">
        <v>2</v>
      </c>
      <c r="T65" s="121">
        <f>1/S65</f>
        <v>0.5</v>
      </c>
      <c r="U65" s="121"/>
      <c r="V65" s="121"/>
      <c r="W65" s="127">
        <f>T65*K64*2</f>
        <v>302.11556291577176</v>
      </c>
      <c r="X65" s="127">
        <f>P63/W65</f>
        <v>196.08390719188407</v>
      </c>
      <c r="Y65" s="128">
        <f>W65/T66</f>
        <v>341.44764670704228</v>
      </c>
      <c r="Z65" s="124"/>
    </row>
    <row r="66" spans="2:56" ht="15.75" thickBot="1" x14ac:dyDescent="0.3">
      <c r="Q66" s="129" t="s">
        <v>287</v>
      </c>
      <c r="R66" s="130" t="s">
        <v>290</v>
      </c>
      <c r="S66" s="130"/>
      <c r="T66" s="245">
        <f>O63/O62</f>
        <v>0.88480786389775024</v>
      </c>
      <c r="U66" s="131"/>
      <c r="V66" s="131"/>
      <c r="W66" s="132" t="s">
        <v>274</v>
      </c>
      <c r="X66" s="132" t="s">
        <v>291</v>
      </c>
      <c r="Y66" s="133" t="s">
        <v>289</v>
      </c>
      <c r="Z66" s="134"/>
    </row>
    <row r="67" spans="2:56" x14ac:dyDescent="0.25">
      <c r="O67"/>
      <c r="AS67" s="33"/>
      <c r="AT67" s="443"/>
      <c r="AW67" s="33"/>
      <c r="AX67" s="33"/>
      <c r="BC67" s="456"/>
      <c r="BD67" s="456"/>
    </row>
    <row r="68" spans="2:56" x14ac:dyDescent="0.25">
      <c r="O68"/>
      <c r="AS68" s="33"/>
      <c r="AT68" s="443"/>
      <c r="AW68" s="33"/>
      <c r="AX68" s="33"/>
      <c r="BC68" s="456"/>
      <c r="BD68" s="456"/>
    </row>
    <row r="69" spans="2:56" x14ac:dyDescent="0.25">
      <c r="O69"/>
      <c r="AS69" s="33"/>
      <c r="AT69" s="443"/>
      <c r="AW69" s="33"/>
      <c r="AX69" s="33"/>
      <c r="BC69" s="456"/>
      <c r="BD69" s="456"/>
    </row>
    <row r="70" spans="2:56" x14ac:dyDescent="0.25">
      <c r="O70"/>
      <c r="AS70" s="33"/>
      <c r="AT70" s="443"/>
      <c r="AW70" s="33"/>
      <c r="AX70" s="33"/>
      <c r="BC70" s="456"/>
      <c r="BD70" s="456"/>
    </row>
    <row r="71" spans="2:56" x14ac:dyDescent="0.25">
      <c r="O71"/>
      <c r="AS71" s="33"/>
      <c r="AT71" s="443"/>
      <c r="AW71" s="33"/>
      <c r="AX71" s="33"/>
      <c r="BC71" s="456"/>
      <c r="BD71" s="456"/>
    </row>
    <row r="72" spans="2:56" x14ac:dyDescent="0.25">
      <c r="O72"/>
      <c r="AS72" s="33"/>
      <c r="AT72" s="443"/>
      <c r="AW72" s="33"/>
      <c r="AX72" s="33"/>
      <c r="BC72" s="456"/>
      <c r="BD72" s="456"/>
    </row>
    <row r="73" spans="2:56" x14ac:dyDescent="0.25">
      <c r="O73"/>
      <c r="AC73" t="s">
        <v>836</v>
      </c>
      <c r="AJ73" t="s">
        <v>837</v>
      </c>
      <c r="AK73">
        <v>64945.5</v>
      </c>
      <c r="AL73">
        <v>344.048</v>
      </c>
      <c r="AM73">
        <f>AK73/AL73</f>
        <v>188.76871831837417</v>
      </c>
      <c r="AO73">
        <v>62943</v>
      </c>
      <c r="AP73">
        <v>287.036</v>
      </c>
      <c r="AQ73">
        <f>AO73/AP73</f>
        <v>219.28608258197579</v>
      </c>
      <c r="AS73">
        <f>TestSummary!X313+TestSummary!X314+TestSummary!X317</f>
        <v>0</v>
      </c>
      <c r="AU73">
        <f>TestSummary!Y313+TestSummary!Y314+TestSummary!Y317</f>
        <v>0</v>
      </c>
      <c r="AY73">
        <f>TestSummary!AC313+TestSummary!AC314+TestSummary!AC317</f>
        <v>0</v>
      </c>
      <c r="BC73" s="135"/>
    </row>
    <row r="74" spans="2:56" x14ac:dyDescent="0.25">
      <c r="O74"/>
      <c r="AD74" s="457">
        <f>T14</f>
        <v>0.69316245164019064</v>
      </c>
      <c r="AE74" s="457">
        <f>T21</f>
        <v>0.84171142703506119</v>
      </c>
      <c r="AF74" s="457">
        <f>T29</f>
        <v>0.84171142703506119</v>
      </c>
      <c r="AG74" s="457">
        <f>T36</f>
        <v>0.87093056078283759</v>
      </c>
      <c r="AH74" s="457">
        <f>T58</f>
        <v>0.88480786389775024</v>
      </c>
      <c r="AI74" s="457">
        <f>T66</f>
        <v>0.88480786389775024</v>
      </c>
      <c r="AJ74" t="s">
        <v>838</v>
      </c>
      <c r="AK74">
        <v>5053.8999999999996</v>
      </c>
      <c r="AL74">
        <v>25.983000000000001</v>
      </c>
      <c r="AM74">
        <f>AK74/AL74</f>
        <v>194.50794750413729</v>
      </c>
      <c r="AO74">
        <v>7980</v>
      </c>
      <c r="AP74">
        <v>36.113999999999997</v>
      </c>
      <c r="AQ74">
        <f>AO74/AP74</f>
        <v>220.96693802957304</v>
      </c>
      <c r="AS74">
        <f>TestSummary!X325</f>
        <v>0</v>
      </c>
      <c r="AU74">
        <f>TestSummary!Y325</f>
        <v>0</v>
      </c>
      <c r="AY74">
        <f>TestSummary!AC325</f>
        <v>0</v>
      </c>
      <c r="BC74" s="458"/>
    </row>
    <row r="75" spans="2:56" x14ac:dyDescent="0.25">
      <c r="AJ75" t="s">
        <v>839</v>
      </c>
      <c r="AK75">
        <v>79218</v>
      </c>
      <c r="AL75">
        <v>420.39699999999999</v>
      </c>
      <c r="AO75" s="443">
        <f>SUM(AO53:AO74)</f>
        <v>79765</v>
      </c>
      <c r="AP75" s="443">
        <f>SUM(AP53:AP74)</f>
        <v>373.488</v>
      </c>
      <c r="AS75" s="33">
        <f>SUM(AS53:AS74)</f>
        <v>166284</v>
      </c>
      <c r="AW75" s="33"/>
      <c r="BC75" s="456">
        <f>(AS75-AK75)/AK75</f>
        <v>1.0990683935469212</v>
      </c>
      <c r="BD75" s="456">
        <f>(AS75-AO75)/AO75</f>
        <v>1.0846737290791701</v>
      </c>
    </row>
    <row r="76" spans="2:56" x14ac:dyDescent="0.25">
      <c r="AD76" t="s">
        <v>213</v>
      </c>
      <c r="AE76" t="s">
        <v>840</v>
      </c>
      <c r="AF76" t="s">
        <v>841</v>
      </c>
    </row>
  </sheetData>
  <mergeCells count="4">
    <mergeCell ref="AK40:AM40"/>
    <mergeCell ref="AO40:AQ40"/>
    <mergeCell ref="AS40:AU40"/>
    <mergeCell ref="AW40:AY40"/>
  </mergeCells>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F75"/>
  <sheetViews>
    <sheetView workbookViewId="0">
      <selection activeCell="B101" sqref="B101"/>
    </sheetView>
  </sheetViews>
  <sheetFormatPr defaultColWidth="9.140625" defaultRowHeight="15" x14ac:dyDescent="0.25"/>
  <cols>
    <col min="1" max="1" width="28.85546875" customWidth="1"/>
    <col min="2" max="2" width="20.5703125" customWidth="1"/>
    <col min="3" max="3" width="28.42578125" bestFit="1" customWidth="1"/>
    <col min="4" max="4" width="14.42578125" customWidth="1"/>
    <col min="5" max="5" width="17.5703125" customWidth="1"/>
    <col min="6" max="6" width="14.42578125" customWidth="1"/>
    <col min="7" max="7" width="11.85546875" customWidth="1"/>
    <col min="9" max="9" width="11.85546875" customWidth="1"/>
    <col min="10" max="10" width="11" customWidth="1"/>
    <col min="17" max="17" width="13" customWidth="1"/>
    <col min="18" max="18" width="12.85546875" customWidth="1"/>
    <col min="19" max="19" width="5.42578125" customWidth="1"/>
    <col min="20" max="20" width="24.5703125" customWidth="1"/>
    <col min="21" max="21" width="15.85546875" customWidth="1"/>
    <col min="22" max="22" width="17" customWidth="1"/>
    <col min="23" max="23" width="18.85546875" customWidth="1"/>
    <col min="24" max="25" width="15.5703125" customWidth="1"/>
    <col min="26" max="26" width="24.42578125" customWidth="1"/>
    <col min="27" max="27" width="16.42578125" customWidth="1"/>
    <col min="28" max="28" width="11.42578125" bestFit="1" customWidth="1"/>
    <col min="29" max="30" width="22.5703125" bestFit="1" customWidth="1"/>
    <col min="31" max="31" width="16.42578125" bestFit="1" customWidth="1"/>
    <col min="32" max="32" width="14.5703125" bestFit="1" customWidth="1"/>
    <col min="33" max="33" width="13.42578125" bestFit="1" customWidth="1"/>
  </cols>
  <sheetData>
    <row r="1" spans="1:32" ht="14.45" customHeight="1" x14ac:dyDescent="0.25">
      <c r="A1" s="27"/>
      <c r="O1" s="512" t="s">
        <v>105</v>
      </c>
    </row>
    <row r="2" spans="1:32" ht="18" customHeight="1" thickBot="1" x14ac:dyDescent="0.3">
      <c r="A2" s="513" t="s">
        <v>315</v>
      </c>
      <c r="B2" s="513"/>
      <c r="C2" s="513"/>
      <c r="O2" s="512"/>
      <c r="Q2" s="85" t="s">
        <v>364</v>
      </c>
      <c r="R2">
        <v>62008007</v>
      </c>
      <c r="T2" s="19"/>
    </row>
    <row r="3" spans="1:32" ht="15.75" thickBot="1" x14ac:dyDescent="0.3">
      <c r="A3" s="149" t="s">
        <v>312</v>
      </c>
      <c r="B3" s="514" t="str">
        <f>TestPlan!B1</f>
        <v>2019 Nissan Leaf E-Plus</v>
      </c>
      <c r="C3" s="515"/>
      <c r="O3" s="512"/>
      <c r="Q3" s="66" t="s">
        <v>89</v>
      </c>
      <c r="R3" s="66"/>
      <c r="S3" s="67"/>
      <c r="T3" s="68" t="s">
        <v>81</v>
      </c>
      <c r="U3" s="66" t="s">
        <v>82</v>
      </c>
      <c r="V3" s="66" t="s">
        <v>83</v>
      </c>
      <c r="W3" s="66" t="s">
        <v>84</v>
      </c>
      <c r="X3" s="66" t="s">
        <v>107</v>
      </c>
      <c r="Y3" s="66" t="s">
        <v>206</v>
      </c>
      <c r="Z3" s="66" t="s">
        <v>108</v>
      </c>
      <c r="AA3" s="66" t="s">
        <v>204</v>
      </c>
      <c r="AB3" s="69" t="s">
        <v>112</v>
      </c>
      <c r="AC3" s="69" t="s">
        <v>85</v>
      </c>
      <c r="AD3" s="69" t="s">
        <v>86</v>
      </c>
      <c r="AE3" s="69" t="s">
        <v>111</v>
      </c>
      <c r="AF3" s="69" t="s">
        <v>88</v>
      </c>
    </row>
    <row r="4" spans="1:32" ht="15.75" thickBot="1" x14ac:dyDescent="0.3">
      <c r="A4" s="150" t="s">
        <v>80</v>
      </c>
      <c r="B4" s="516" t="str">
        <f>TestInfoInstru!B5</f>
        <v>1N4BZ1CP5KC318216</v>
      </c>
      <c r="C4" s="517"/>
      <c r="O4" s="512"/>
      <c r="Q4" s="59">
        <v>10</v>
      </c>
      <c r="R4" s="183" t="e">
        <f>(AB4+AB18)/2</f>
        <v>#DIV/0!</v>
      </c>
      <c r="S4" s="24"/>
      <c r="AB4" s="21" t="e">
        <f>(Y4)/W4</f>
        <v>#DIV/0!</v>
      </c>
      <c r="AC4" s="20">
        <f t="shared" ref="AC4:AC18" si="0">W4*0.44704</f>
        <v>0</v>
      </c>
      <c r="AD4" s="21">
        <f t="shared" ref="AD4:AD18" si="1">AC4*Z4/1000</f>
        <v>0</v>
      </c>
      <c r="AE4" s="21">
        <f>Y4/1000</f>
        <v>0</v>
      </c>
      <c r="AF4" s="21" t="e">
        <f t="shared" ref="AF4:AF18" si="2">AD4/AE4*100</f>
        <v>#DIV/0!</v>
      </c>
    </row>
    <row r="5" spans="1:32" x14ac:dyDescent="0.25">
      <c r="A5" s="377" t="s">
        <v>73</v>
      </c>
      <c r="B5" s="378">
        <f>TestInfoInstru!F11</f>
        <v>4250</v>
      </c>
      <c r="C5" s="248" t="s">
        <v>77</v>
      </c>
      <c r="O5" s="512"/>
      <c r="Q5" s="59">
        <v>20</v>
      </c>
      <c r="R5" s="183" t="e">
        <f>(AB5+AB17)/2</f>
        <v>#DIV/0!</v>
      </c>
      <c r="S5" s="24"/>
      <c r="AB5" s="21" t="e">
        <f t="shared" ref="AB5:AB18" si="3">(Y5)/W5</f>
        <v>#DIV/0!</v>
      </c>
      <c r="AC5" s="20">
        <f t="shared" si="0"/>
        <v>0</v>
      </c>
      <c r="AD5" s="21">
        <f t="shared" si="1"/>
        <v>0</v>
      </c>
      <c r="AE5" s="21">
        <f t="shared" ref="AE5:AE18" si="4">Y5/1000</f>
        <v>0</v>
      </c>
      <c r="AF5" s="21" t="e">
        <f t="shared" si="2"/>
        <v>#DIV/0!</v>
      </c>
    </row>
    <row r="6" spans="1:32" ht="15.6" customHeight="1" x14ac:dyDescent="0.25">
      <c r="A6" s="379" t="s">
        <v>76</v>
      </c>
      <c r="B6" s="380">
        <f>TestInfoInstru!F12</f>
        <v>30.36</v>
      </c>
      <c r="C6" s="381" t="s">
        <v>77</v>
      </c>
      <c r="O6" s="512"/>
      <c r="Q6" s="59">
        <v>30</v>
      </c>
      <c r="R6" s="183" t="e">
        <f>(AB6+AB16)/2</f>
        <v>#DIV/0!</v>
      </c>
      <c r="S6" s="24"/>
      <c r="AB6" s="21" t="e">
        <f t="shared" si="3"/>
        <v>#DIV/0!</v>
      </c>
      <c r="AC6" s="20">
        <f t="shared" si="0"/>
        <v>0</v>
      </c>
      <c r="AD6" s="21">
        <f t="shared" si="1"/>
        <v>0</v>
      </c>
      <c r="AE6" s="21">
        <f t="shared" si="4"/>
        <v>0</v>
      </c>
      <c r="AF6" s="21" t="e">
        <f t="shared" si="2"/>
        <v>#DIV/0!</v>
      </c>
    </row>
    <row r="7" spans="1:32" x14ac:dyDescent="0.25">
      <c r="A7" s="379" t="s">
        <v>75</v>
      </c>
      <c r="B7" s="382">
        <f>TestInfoInstru!F13</f>
        <v>0.3201</v>
      </c>
      <c r="C7" s="381" t="s">
        <v>78</v>
      </c>
      <c r="O7" s="512"/>
      <c r="Q7" s="59">
        <v>40</v>
      </c>
      <c r="R7" s="183" t="e">
        <f>(AB7+AB15)/2</f>
        <v>#DIV/0!</v>
      </c>
      <c r="S7" s="24"/>
      <c r="AB7" s="21" t="e">
        <f t="shared" si="3"/>
        <v>#DIV/0!</v>
      </c>
      <c r="AC7" s="20">
        <f t="shared" si="0"/>
        <v>0</v>
      </c>
      <c r="AD7" s="21">
        <f t="shared" si="1"/>
        <v>0</v>
      </c>
      <c r="AE7" s="21">
        <f t="shared" si="4"/>
        <v>0</v>
      </c>
      <c r="AF7" s="21" t="e">
        <f t="shared" si="2"/>
        <v>#DIV/0!</v>
      </c>
    </row>
    <row r="8" spans="1:32" ht="15.75" thickBot="1" x14ac:dyDescent="0.3">
      <c r="A8" s="383" t="s">
        <v>74</v>
      </c>
      <c r="B8" s="384">
        <f>TestInfoInstru!F14</f>
        <v>1.9560000000000001E-2</v>
      </c>
      <c r="C8" s="385" t="s">
        <v>79</v>
      </c>
      <c r="O8" s="512"/>
      <c r="Q8" s="59">
        <v>50</v>
      </c>
      <c r="R8" s="183" t="e">
        <f>(AB8+AB14)/2</f>
        <v>#DIV/0!</v>
      </c>
      <c r="S8" s="24"/>
      <c r="AB8" s="21" t="e">
        <f t="shared" si="3"/>
        <v>#DIV/0!</v>
      </c>
      <c r="AC8" s="20">
        <f t="shared" si="0"/>
        <v>0</v>
      </c>
      <c r="AD8" s="21">
        <f t="shared" si="1"/>
        <v>0</v>
      </c>
      <c r="AE8" s="21">
        <f t="shared" si="4"/>
        <v>0</v>
      </c>
      <c r="AF8" s="21" t="e">
        <f t="shared" si="2"/>
        <v>#DIV/0!</v>
      </c>
    </row>
    <row r="9" spans="1:32" x14ac:dyDescent="0.25">
      <c r="A9" s="246" t="s">
        <v>394</v>
      </c>
      <c r="B9" s="247"/>
      <c r="C9" s="248" t="s">
        <v>314</v>
      </c>
      <c r="O9" s="512"/>
      <c r="Q9" s="59">
        <v>60</v>
      </c>
      <c r="R9" s="183" t="e">
        <f>(AB9+AB13)/2</f>
        <v>#DIV/0!</v>
      </c>
      <c r="S9" s="24"/>
      <c r="AB9" s="21" t="e">
        <f t="shared" si="3"/>
        <v>#DIV/0!</v>
      </c>
      <c r="AC9" s="20">
        <f t="shared" si="0"/>
        <v>0</v>
      </c>
      <c r="AD9" s="21">
        <f t="shared" si="1"/>
        <v>0</v>
      </c>
      <c r="AE9" s="21">
        <f t="shared" si="4"/>
        <v>0</v>
      </c>
      <c r="AF9" s="21" t="e">
        <f t="shared" si="2"/>
        <v>#DIV/0!</v>
      </c>
    </row>
    <row r="10" spans="1:32" x14ac:dyDescent="0.25">
      <c r="A10" s="249" t="s">
        <v>395</v>
      </c>
      <c r="B10" s="250"/>
      <c r="C10" s="251" t="s">
        <v>314</v>
      </c>
      <c r="O10" s="512"/>
      <c r="Q10" s="59">
        <v>70</v>
      </c>
      <c r="R10" s="183" t="e">
        <f>(AB10+AB12)/2</f>
        <v>#DIV/0!</v>
      </c>
      <c r="S10" s="24"/>
      <c r="AB10" s="21" t="e">
        <f t="shared" si="3"/>
        <v>#DIV/0!</v>
      </c>
      <c r="AC10" s="20">
        <f t="shared" si="0"/>
        <v>0</v>
      </c>
      <c r="AD10" s="21">
        <f t="shared" si="1"/>
        <v>0</v>
      </c>
      <c r="AE10" s="21">
        <f t="shared" si="4"/>
        <v>0</v>
      </c>
      <c r="AF10" s="21" t="e">
        <f t="shared" si="2"/>
        <v>#DIV/0!</v>
      </c>
    </row>
    <row r="11" spans="1:32" ht="15.75" thickBot="1" x14ac:dyDescent="0.3">
      <c r="A11" s="254" t="s">
        <v>313</v>
      </c>
      <c r="B11" s="229">
        <f>B10+B9</f>
        <v>0</v>
      </c>
      <c r="C11" s="230" t="s">
        <v>314</v>
      </c>
      <c r="O11" s="512"/>
      <c r="Q11" s="59">
        <v>80</v>
      </c>
      <c r="R11" s="183" t="e">
        <f>AB11</f>
        <v>#DIV/0!</v>
      </c>
      <c r="S11" s="24"/>
      <c r="AB11" s="21" t="e">
        <f t="shared" si="3"/>
        <v>#DIV/0!</v>
      </c>
      <c r="AC11" s="20">
        <f t="shared" si="0"/>
        <v>0</v>
      </c>
      <c r="AD11" s="21">
        <f t="shared" si="1"/>
        <v>0</v>
      </c>
      <c r="AE11" s="21">
        <f t="shared" si="4"/>
        <v>0</v>
      </c>
      <c r="AF11" s="21" t="e">
        <f t="shared" si="2"/>
        <v>#DIV/0!</v>
      </c>
    </row>
    <row r="12" spans="1:32" ht="15.95" customHeight="1" thickBot="1" x14ac:dyDescent="0.3">
      <c r="A12" s="148" t="s">
        <v>388</v>
      </c>
      <c r="B12" s="252"/>
      <c r="C12" s="253" t="s">
        <v>291</v>
      </c>
      <c r="O12" s="512"/>
      <c r="S12" s="24"/>
      <c r="AB12" s="21" t="e">
        <f t="shared" si="3"/>
        <v>#DIV/0!</v>
      </c>
      <c r="AC12" s="20">
        <f t="shared" si="0"/>
        <v>0</v>
      </c>
      <c r="AD12" s="21">
        <f t="shared" si="1"/>
        <v>0</v>
      </c>
      <c r="AE12" s="21">
        <f t="shared" si="4"/>
        <v>0</v>
      </c>
      <c r="AF12" s="21" t="e">
        <f t="shared" si="2"/>
        <v>#DIV/0!</v>
      </c>
    </row>
    <row r="13" spans="1:32" ht="15.75" thickBot="1" x14ac:dyDescent="0.3">
      <c r="O13" s="512"/>
      <c r="S13" s="24"/>
      <c r="AB13" s="21" t="e">
        <f t="shared" si="3"/>
        <v>#DIV/0!</v>
      </c>
      <c r="AC13" s="20">
        <f t="shared" si="0"/>
        <v>0</v>
      </c>
      <c r="AD13" s="21">
        <f t="shared" si="1"/>
        <v>0</v>
      </c>
      <c r="AE13" s="21">
        <f t="shared" si="4"/>
        <v>0</v>
      </c>
      <c r="AF13" s="21" t="e">
        <f t="shared" si="2"/>
        <v>#DIV/0!</v>
      </c>
    </row>
    <row r="14" spans="1:32" ht="15.75" thickBot="1" x14ac:dyDescent="0.3">
      <c r="A14" s="386" t="s">
        <v>347</v>
      </c>
      <c r="B14" s="518" t="s">
        <v>295</v>
      </c>
      <c r="C14" s="519"/>
      <c r="D14" s="518" t="s">
        <v>296</v>
      </c>
      <c r="E14" s="520"/>
      <c r="O14" s="512"/>
      <c r="S14" s="24"/>
      <c r="AB14" s="21" t="e">
        <f t="shared" si="3"/>
        <v>#DIV/0!</v>
      </c>
      <c r="AC14" s="20">
        <f t="shared" si="0"/>
        <v>0</v>
      </c>
      <c r="AD14" s="21">
        <f t="shared" si="1"/>
        <v>0</v>
      </c>
      <c r="AE14" s="21">
        <f t="shared" si="4"/>
        <v>0</v>
      </c>
      <c r="AF14" s="21" t="e">
        <f t="shared" si="2"/>
        <v>#DIV/0!</v>
      </c>
    </row>
    <row r="15" spans="1:32" ht="15.75" thickBot="1" x14ac:dyDescent="0.3">
      <c r="A15" s="387" t="s">
        <v>259</v>
      </c>
      <c r="B15" s="388" t="s">
        <v>58</v>
      </c>
      <c r="C15" s="388" t="s">
        <v>60</v>
      </c>
      <c r="D15" s="388" t="s">
        <v>58</v>
      </c>
      <c r="E15" s="186" t="s">
        <v>60</v>
      </c>
      <c r="G15" s="25"/>
      <c r="O15" s="512"/>
      <c r="S15" s="24"/>
      <c r="AB15" s="21" t="e">
        <f t="shared" si="3"/>
        <v>#DIV/0!</v>
      </c>
      <c r="AC15" s="20">
        <f t="shared" si="0"/>
        <v>0</v>
      </c>
      <c r="AD15" s="21">
        <f t="shared" si="1"/>
        <v>0</v>
      </c>
      <c r="AE15" s="21">
        <f t="shared" si="4"/>
        <v>0</v>
      </c>
      <c r="AF15" s="21" t="e">
        <f t="shared" si="2"/>
        <v>#DIV/0!</v>
      </c>
    </row>
    <row r="16" spans="1:32" x14ac:dyDescent="0.25">
      <c r="A16" s="389">
        <v>10</v>
      </c>
      <c r="B16" s="390" t="e">
        <f>R4</f>
        <v>#DIV/0!</v>
      </c>
      <c r="C16" s="391" t="e">
        <f>R24</f>
        <v>#DIV/0!</v>
      </c>
      <c r="D16" s="390" t="e">
        <f t="shared" ref="D16:E23" si="5">B16/$D$24</f>
        <v>#DIV/0!</v>
      </c>
      <c r="E16" s="187" t="e">
        <f t="shared" si="5"/>
        <v>#DIV/0!</v>
      </c>
      <c r="H16" s="26"/>
      <c r="I16" s="26"/>
      <c r="J16" s="26"/>
      <c r="O16" s="512"/>
      <c r="S16" s="24"/>
      <c r="AB16" s="21" t="e">
        <f t="shared" si="3"/>
        <v>#DIV/0!</v>
      </c>
      <c r="AC16" s="20">
        <f t="shared" si="0"/>
        <v>0</v>
      </c>
      <c r="AD16" s="21">
        <f t="shared" si="1"/>
        <v>0</v>
      </c>
      <c r="AE16" s="21">
        <f t="shared" si="4"/>
        <v>0</v>
      </c>
      <c r="AF16" s="21" t="e">
        <f t="shared" si="2"/>
        <v>#DIV/0!</v>
      </c>
    </row>
    <row r="17" spans="1:32" x14ac:dyDescent="0.25">
      <c r="A17" s="392">
        <v>20</v>
      </c>
      <c r="B17" s="390" t="e">
        <f>R5</f>
        <v>#DIV/0!</v>
      </c>
      <c r="C17" s="393" t="e">
        <f>R25</f>
        <v>#DIV/0!</v>
      </c>
      <c r="D17" s="390" t="e">
        <f t="shared" si="5"/>
        <v>#DIV/0!</v>
      </c>
      <c r="E17" s="187" t="e">
        <f t="shared" si="5"/>
        <v>#DIV/0!</v>
      </c>
      <c r="H17" s="26"/>
      <c r="I17" s="26"/>
      <c r="J17" s="26"/>
      <c r="O17" s="512"/>
      <c r="S17" s="24"/>
      <c r="AB17" s="21" t="e">
        <f t="shared" si="3"/>
        <v>#DIV/0!</v>
      </c>
      <c r="AC17" s="20">
        <f t="shared" si="0"/>
        <v>0</v>
      </c>
      <c r="AD17" s="21">
        <f t="shared" si="1"/>
        <v>0</v>
      </c>
      <c r="AE17" s="21">
        <f t="shared" si="4"/>
        <v>0</v>
      </c>
      <c r="AF17" s="21" t="e">
        <f t="shared" si="2"/>
        <v>#DIV/0!</v>
      </c>
    </row>
    <row r="18" spans="1:32" x14ac:dyDescent="0.25">
      <c r="A18" s="392">
        <v>30</v>
      </c>
      <c r="B18" s="390" t="e">
        <f t="shared" ref="B18:B23" si="6">R6</f>
        <v>#DIV/0!</v>
      </c>
      <c r="C18" s="391" t="e">
        <f t="shared" ref="C18:C23" si="7">R26</f>
        <v>#DIV/0!</v>
      </c>
      <c r="D18" s="390" t="e">
        <f t="shared" si="5"/>
        <v>#DIV/0!</v>
      </c>
      <c r="E18" s="187" t="e">
        <f t="shared" si="5"/>
        <v>#DIV/0!</v>
      </c>
      <c r="H18" s="26"/>
      <c r="I18" s="26"/>
      <c r="J18" s="26"/>
      <c r="O18" s="512"/>
      <c r="S18" s="24"/>
      <c r="AB18" s="21" t="e">
        <f t="shared" si="3"/>
        <v>#DIV/0!</v>
      </c>
      <c r="AC18" s="20">
        <f t="shared" si="0"/>
        <v>0</v>
      </c>
      <c r="AD18" s="21">
        <f t="shared" si="1"/>
        <v>0</v>
      </c>
      <c r="AE18" s="21">
        <f t="shared" si="4"/>
        <v>0</v>
      </c>
      <c r="AF18" s="21" t="e">
        <f t="shared" si="2"/>
        <v>#DIV/0!</v>
      </c>
    </row>
    <row r="19" spans="1:32" x14ac:dyDescent="0.25">
      <c r="A19" s="392">
        <v>40</v>
      </c>
      <c r="B19" s="390" t="e">
        <f t="shared" si="6"/>
        <v>#DIV/0!</v>
      </c>
      <c r="C19" s="393" t="e">
        <f t="shared" si="7"/>
        <v>#DIV/0!</v>
      </c>
      <c r="D19" s="390" t="e">
        <f t="shared" si="5"/>
        <v>#DIV/0!</v>
      </c>
      <c r="E19" s="187" t="e">
        <f t="shared" si="5"/>
        <v>#DIV/0!</v>
      </c>
      <c r="H19" s="26"/>
      <c r="I19" s="26"/>
      <c r="J19" s="26"/>
      <c r="O19" s="512"/>
    </row>
    <row r="20" spans="1:32" x14ac:dyDescent="0.25">
      <c r="A20" s="392">
        <v>50</v>
      </c>
      <c r="B20" s="390" t="e">
        <f t="shared" si="6"/>
        <v>#DIV/0!</v>
      </c>
      <c r="C20" s="391" t="e">
        <f t="shared" si="7"/>
        <v>#DIV/0!</v>
      </c>
      <c r="D20" s="390" t="e">
        <f t="shared" si="5"/>
        <v>#DIV/0!</v>
      </c>
      <c r="E20" s="187" t="e">
        <f t="shared" si="5"/>
        <v>#DIV/0!</v>
      </c>
      <c r="H20" s="26"/>
      <c r="I20" s="26"/>
      <c r="J20" s="26"/>
      <c r="O20" s="512"/>
    </row>
    <row r="21" spans="1:32" x14ac:dyDescent="0.25">
      <c r="A21" s="392">
        <v>60</v>
      </c>
      <c r="B21" s="390" t="e">
        <f t="shared" si="6"/>
        <v>#DIV/0!</v>
      </c>
      <c r="C21" s="393" t="e">
        <f t="shared" si="7"/>
        <v>#DIV/0!</v>
      </c>
      <c r="D21" s="390" t="e">
        <f t="shared" si="5"/>
        <v>#DIV/0!</v>
      </c>
      <c r="E21" s="187" t="e">
        <f t="shared" si="5"/>
        <v>#DIV/0!</v>
      </c>
      <c r="H21" s="26"/>
      <c r="I21" s="26"/>
      <c r="J21" s="26"/>
      <c r="O21" s="512"/>
    </row>
    <row r="22" spans="1:32" x14ac:dyDescent="0.25">
      <c r="A22" s="392">
        <v>70</v>
      </c>
      <c r="B22" s="390" t="e">
        <f t="shared" si="6"/>
        <v>#DIV/0!</v>
      </c>
      <c r="C22" s="391" t="e">
        <f t="shared" si="7"/>
        <v>#DIV/0!</v>
      </c>
      <c r="D22" s="390" t="e">
        <f t="shared" si="5"/>
        <v>#DIV/0!</v>
      </c>
      <c r="E22" s="187" t="e">
        <f t="shared" si="5"/>
        <v>#DIV/0!</v>
      </c>
      <c r="H22" s="26"/>
      <c r="I22" s="26"/>
      <c r="J22" s="26"/>
      <c r="O22" s="512"/>
      <c r="Q22" s="85" t="s">
        <v>364</v>
      </c>
      <c r="R22">
        <v>62008007</v>
      </c>
      <c r="T22" s="19"/>
    </row>
    <row r="23" spans="1:32" ht="15" customHeight="1" thickBot="1" x14ac:dyDescent="0.3">
      <c r="A23" s="392">
        <v>80</v>
      </c>
      <c r="B23" s="390" t="e">
        <f t="shared" si="6"/>
        <v>#DIV/0!</v>
      </c>
      <c r="C23" s="393" t="e">
        <f t="shared" si="7"/>
        <v>#DIV/0!</v>
      </c>
      <c r="D23" s="390" t="e">
        <f t="shared" si="5"/>
        <v>#DIV/0!</v>
      </c>
      <c r="E23" s="187" t="e">
        <f t="shared" si="5"/>
        <v>#DIV/0!</v>
      </c>
      <c r="H23" s="26"/>
      <c r="I23" s="26"/>
      <c r="J23" s="26"/>
      <c r="O23" s="512"/>
      <c r="Q23" s="66" t="s">
        <v>91</v>
      </c>
      <c r="R23" s="66"/>
      <c r="S23" s="66"/>
      <c r="T23" s="71" t="s">
        <v>81</v>
      </c>
      <c r="U23" s="66" t="s">
        <v>82</v>
      </c>
      <c r="V23" s="66" t="s">
        <v>83</v>
      </c>
      <c r="W23" s="66" t="s">
        <v>84</v>
      </c>
      <c r="X23" s="66" t="s">
        <v>107</v>
      </c>
      <c r="Y23" s="66" t="s">
        <v>206</v>
      </c>
      <c r="Z23" s="66" t="s">
        <v>108</v>
      </c>
      <c r="AA23" s="66" t="s">
        <v>204</v>
      </c>
      <c r="AB23" s="70" t="s">
        <v>112</v>
      </c>
      <c r="AC23" s="70" t="s">
        <v>85</v>
      </c>
      <c r="AD23" s="70" t="s">
        <v>86</v>
      </c>
      <c r="AE23" s="70" t="s">
        <v>87</v>
      </c>
      <c r="AF23" s="70" t="s">
        <v>88</v>
      </c>
    </row>
    <row r="24" spans="1:32" ht="15.75" thickBot="1" x14ac:dyDescent="0.3">
      <c r="A24" s="394"/>
      <c r="B24" s="395"/>
      <c r="C24" s="396" t="s">
        <v>365</v>
      </c>
      <c r="D24" s="397" t="e">
        <f>D47</f>
        <v>#REF!</v>
      </c>
      <c r="E24" s="87"/>
      <c r="O24" s="512"/>
      <c r="Q24" s="59">
        <v>10</v>
      </c>
      <c r="R24" s="183" t="e">
        <f>(AB24+AB38)/2</f>
        <v>#DIV/0!</v>
      </c>
      <c r="AB24" s="21" t="e">
        <f>(Y24)/W24</f>
        <v>#DIV/0!</v>
      </c>
      <c r="AC24" s="20">
        <f t="shared" ref="AC24:AC38" si="8">W24*0.44704</f>
        <v>0</v>
      </c>
      <c r="AD24" s="21">
        <f t="shared" ref="AD24:AD38" si="9">AC24*Z24/1000</f>
        <v>0</v>
      </c>
      <c r="AE24" s="21">
        <f>Y24/1000</f>
        <v>0</v>
      </c>
      <c r="AF24" s="21" t="e">
        <f t="shared" ref="AF24:AF38" si="10">AD24/AE24*100</f>
        <v>#DIV/0!</v>
      </c>
    </row>
    <row r="25" spans="1:32" ht="15.75" thickBot="1" x14ac:dyDescent="0.3">
      <c r="O25" s="512"/>
      <c r="Q25" s="59">
        <v>20</v>
      </c>
      <c r="R25" s="183" t="e">
        <f>(AB25+AB37)/2</f>
        <v>#DIV/0!</v>
      </c>
      <c r="AB25" s="21" t="e">
        <f t="shared" ref="AB25:AB38" si="11">(Y25)/W25</f>
        <v>#DIV/0!</v>
      </c>
      <c r="AC25" s="20">
        <f t="shared" si="8"/>
        <v>0</v>
      </c>
      <c r="AD25" s="21">
        <f t="shared" si="9"/>
        <v>0</v>
      </c>
      <c r="AE25" s="21">
        <f t="shared" ref="AE25:AE38" si="12">Y25/1000</f>
        <v>0</v>
      </c>
      <c r="AF25" s="21" t="e">
        <f t="shared" si="10"/>
        <v>#DIV/0!</v>
      </c>
    </row>
    <row r="26" spans="1:32" ht="15.75" thickBot="1" x14ac:dyDescent="0.3">
      <c r="A26" s="398" t="s">
        <v>343</v>
      </c>
      <c r="B26" s="521" t="s">
        <v>67</v>
      </c>
      <c r="C26" s="521"/>
      <c r="D26" s="522"/>
      <c r="E26" s="17"/>
      <c r="F26" s="17"/>
      <c r="O26" s="512"/>
      <c r="Q26" s="59">
        <v>30</v>
      </c>
      <c r="R26" s="183" t="e">
        <f>(AB26+AB36)/2</f>
        <v>#DIV/0!</v>
      </c>
      <c r="AB26" s="21" t="e">
        <f t="shared" si="11"/>
        <v>#DIV/0!</v>
      </c>
      <c r="AC26" s="20">
        <f t="shared" si="8"/>
        <v>0</v>
      </c>
      <c r="AD26" s="21">
        <f t="shared" si="9"/>
        <v>0</v>
      </c>
      <c r="AE26" s="21">
        <f t="shared" si="12"/>
        <v>0</v>
      </c>
      <c r="AF26" s="21" t="e">
        <f t="shared" si="10"/>
        <v>#DIV/0!</v>
      </c>
    </row>
    <row r="27" spans="1:32" x14ac:dyDescent="0.25">
      <c r="A27" s="399"/>
      <c r="B27" s="400" t="s">
        <v>58</v>
      </c>
      <c r="C27" s="400" t="s">
        <v>59</v>
      </c>
      <c r="D27" s="401" t="s">
        <v>60</v>
      </c>
      <c r="O27" s="512"/>
      <c r="Q27" s="59">
        <v>40</v>
      </c>
      <c r="R27" s="183" t="e">
        <f>(AB27+AB35)/2</f>
        <v>#DIV/0!</v>
      </c>
      <c r="AB27" s="21" t="e">
        <f t="shared" si="11"/>
        <v>#DIV/0!</v>
      </c>
      <c r="AC27" s="20">
        <f t="shared" si="8"/>
        <v>0</v>
      </c>
      <c r="AD27" s="21">
        <f t="shared" si="9"/>
        <v>0</v>
      </c>
      <c r="AE27" s="21">
        <f t="shared" si="12"/>
        <v>0</v>
      </c>
      <c r="AF27" s="21" t="e">
        <f t="shared" si="10"/>
        <v>#DIV/0!</v>
      </c>
    </row>
    <row r="28" spans="1:32" x14ac:dyDescent="0.25">
      <c r="A28" s="402" t="s">
        <v>61</v>
      </c>
      <c r="B28" s="403" t="e">
        <f>R42</f>
        <v>#DIV/0!</v>
      </c>
      <c r="C28" s="403" t="e">
        <f>R51</f>
        <v>#DIV/0!</v>
      </c>
      <c r="D28" s="404" t="e">
        <f>R59</f>
        <v>#DIV/0!</v>
      </c>
      <c r="E28" s="91"/>
      <c r="F28" s="91"/>
      <c r="O28" s="512"/>
      <c r="Q28" s="59">
        <v>50</v>
      </c>
      <c r="R28" s="183" t="e">
        <f>(AB28)</f>
        <v>#DIV/0!</v>
      </c>
      <c r="AB28" s="21" t="e">
        <f t="shared" si="11"/>
        <v>#DIV/0!</v>
      </c>
      <c r="AC28" s="20">
        <f t="shared" si="8"/>
        <v>0</v>
      </c>
      <c r="AD28" s="21">
        <f t="shared" si="9"/>
        <v>0</v>
      </c>
      <c r="AE28" s="21">
        <f t="shared" si="12"/>
        <v>0</v>
      </c>
      <c r="AF28" s="21" t="e">
        <f t="shared" si="10"/>
        <v>#DIV/0!</v>
      </c>
    </row>
    <row r="29" spans="1:32" x14ac:dyDescent="0.25">
      <c r="A29" s="402" t="s">
        <v>62</v>
      </c>
      <c r="B29" s="403" t="e">
        <f>R43</f>
        <v>#DIV/0!</v>
      </c>
      <c r="C29" s="403" t="e">
        <f>R52</f>
        <v>#DIV/0!</v>
      </c>
      <c r="D29" s="404" t="e">
        <f>R60</f>
        <v>#DIV/0!</v>
      </c>
      <c r="E29" s="91"/>
      <c r="F29" s="91"/>
      <c r="O29" s="512"/>
      <c r="Q29" s="59">
        <v>60</v>
      </c>
      <c r="R29" s="183" t="e">
        <f>(AB29+AB33)/2</f>
        <v>#DIV/0!</v>
      </c>
      <c r="AB29" s="21" t="e">
        <f t="shared" si="11"/>
        <v>#DIV/0!</v>
      </c>
      <c r="AC29" s="20">
        <f t="shared" si="8"/>
        <v>0</v>
      </c>
      <c r="AD29" s="21">
        <f t="shared" si="9"/>
        <v>0</v>
      </c>
      <c r="AE29" s="21">
        <f t="shared" si="12"/>
        <v>0</v>
      </c>
      <c r="AF29" s="21" t="e">
        <f t="shared" si="10"/>
        <v>#DIV/0!</v>
      </c>
    </row>
    <row r="30" spans="1:32" ht="15.6" customHeight="1" x14ac:dyDescent="0.25">
      <c r="A30" s="402" t="s">
        <v>63</v>
      </c>
      <c r="B30" s="403">
        <f>R44</f>
        <v>0</v>
      </c>
      <c r="C30" s="403">
        <f>R53</f>
        <v>0</v>
      </c>
      <c r="D30" s="404">
        <f>R61</f>
        <v>0</v>
      </c>
      <c r="E30" s="91"/>
      <c r="F30" s="91"/>
      <c r="O30" s="512"/>
      <c r="Q30" s="59">
        <v>70</v>
      </c>
      <c r="R30" s="183" t="e">
        <f>(AB30+AB32)/2</f>
        <v>#DIV/0!</v>
      </c>
      <c r="AB30" s="21" t="e">
        <f t="shared" si="11"/>
        <v>#DIV/0!</v>
      </c>
      <c r="AC30" s="20">
        <f t="shared" si="8"/>
        <v>0</v>
      </c>
      <c r="AD30" s="21">
        <f t="shared" si="9"/>
        <v>0</v>
      </c>
      <c r="AE30" s="21">
        <f t="shared" si="12"/>
        <v>0</v>
      </c>
      <c r="AF30" s="21" t="e">
        <f t="shared" si="10"/>
        <v>#DIV/0!</v>
      </c>
    </row>
    <row r="31" spans="1:32" ht="15.75" thickBot="1" x14ac:dyDescent="0.3">
      <c r="A31" s="405" t="s">
        <v>64</v>
      </c>
      <c r="B31" s="406">
        <f>R45</f>
        <v>0</v>
      </c>
      <c r="C31" s="406">
        <f>R54</f>
        <v>0</v>
      </c>
      <c r="D31" s="407">
        <f>R62</f>
        <v>0</v>
      </c>
      <c r="E31" s="91"/>
      <c r="F31" s="91"/>
      <c r="O31" s="512"/>
      <c r="Q31" s="59">
        <v>80</v>
      </c>
      <c r="R31" s="184" t="e">
        <f>AB31</f>
        <v>#DIV/0!</v>
      </c>
      <c r="AB31" s="21" t="e">
        <f t="shared" si="11"/>
        <v>#DIV/0!</v>
      </c>
      <c r="AC31" s="20">
        <f t="shared" si="8"/>
        <v>0</v>
      </c>
      <c r="AD31" s="21">
        <f t="shared" si="9"/>
        <v>0</v>
      </c>
      <c r="AE31" s="21">
        <f t="shared" si="12"/>
        <v>0</v>
      </c>
      <c r="AF31" s="21" t="e">
        <f t="shared" si="10"/>
        <v>#DIV/0!</v>
      </c>
    </row>
    <row r="32" spans="1:32" ht="15.6" customHeight="1" thickBot="1" x14ac:dyDescent="0.3">
      <c r="C32" s="17"/>
      <c r="D32" s="17"/>
      <c r="E32" s="17"/>
      <c r="F32" s="17"/>
      <c r="O32" s="512"/>
      <c r="AB32" s="21" t="e">
        <f t="shared" si="11"/>
        <v>#DIV/0!</v>
      </c>
      <c r="AC32" s="20">
        <f t="shared" si="8"/>
        <v>0</v>
      </c>
      <c r="AD32" s="21">
        <f t="shared" si="9"/>
        <v>0</v>
      </c>
      <c r="AE32" s="21">
        <f t="shared" si="12"/>
        <v>0</v>
      </c>
      <c r="AF32" s="21" t="e">
        <f t="shared" si="10"/>
        <v>#DIV/0!</v>
      </c>
    </row>
    <row r="33" spans="1:32" x14ac:dyDescent="0.25">
      <c r="A33" s="523" t="s">
        <v>68</v>
      </c>
      <c r="B33" s="524"/>
      <c r="C33" s="524"/>
      <c r="D33" s="525"/>
      <c r="E33" s="147"/>
      <c r="F33" s="147"/>
      <c r="O33" s="512"/>
      <c r="AB33" s="21" t="e">
        <f t="shared" si="11"/>
        <v>#DIV/0!</v>
      </c>
      <c r="AC33" s="20">
        <f t="shared" si="8"/>
        <v>0</v>
      </c>
      <c r="AD33" s="21">
        <f t="shared" si="9"/>
        <v>0</v>
      </c>
      <c r="AE33" s="21">
        <f t="shared" si="12"/>
        <v>0</v>
      </c>
      <c r="AF33" s="21" t="e">
        <f t="shared" si="10"/>
        <v>#DIV/0!</v>
      </c>
    </row>
    <row r="34" spans="1:32" x14ac:dyDescent="0.25">
      <c r="A34" s="526" t="s">
        <v>336</v>
      </c>
      <c r="B34" s="527"/>
      <c r="C34" s="408" t="s">
        <v>65</v>
      </c>
      <c r="D34" s="409"/>
      <c r="O34" s="512"/>
      <c r="AB34" s="21" t="e">
        <f t="shared" si="11"/>
        <v>#DIV/0!</v>
      </c>
      <c r="AC34" s="20">
        <f t="shared" si="8"/>
        <v>0</v>
      </c>
      <c r="AD34" s="21">
        <f t="shared" si="9"/>
        <v>0</v>
      </c>
      <c r="AE34" s="21">
        <f t="shared" si="12"/>
        <v>0</v>
      </c>
      <c r="AF34" s="21" t="e">
        <f t="shared" si="10"/>
        <v>#DIV/0!</v>
      </c>
    </row>
    <row r="35" spans="1:32" ht="15.6" customHeight="1" thickBot="1" x14ac:dyDescent="0.3">
      <c r="A35" s="528">
        <v>61511007</v>
      </c>
      <c r="B35" s="529"/>
      <c r="C35" s="410"/>
      <c r="D35" s="411" t="s">
        <v>66</v>
      </c>
      <c r="E35" s="17"/>
      <c r="F35" s="17"/>
      <c r="O35" s="512"/>
      <c r="AB35" s="21" t="e">
        <f t="shared" si="11"/>
        <v>#DIV/0!</v>
      </c>
      <c r="AC35" s="20">
        <f t="shared" si="8"/>
        <v>0</v>
      </c>
      <c r="AD35" s="21">
        <f t="shared" si="9"/>
        <v>0</v>
      </c>
      <c r="AE35" s="21">
        <f t="shared" si="12"/>
        <v>0</v>
      </c>
      <c r="AF35" s="21" t="e">
        <f t="shared" si="10"/>
        <v>#DIV/0!</v>
      </c>
    </row>
    <row r="36" spans="1:32" ht="15.95" customHeight="1" x14ac:dyDescent="0.25">
      <c r="O36" s="512"/>
      <c r="AB36" s="21" t="e">
        <f t="shared" si="11"/>
        <v>#DIV/0!</v>
      </c>
      <c r="AC36" s="20">
        <f t="shared" si="8"/>
        <v>0</v>
      </c>
      <c r="AD36" s="21">
        <f t="shared" si="9"/>
        <v>0</v>
      </c>
      <c r="AE36" s="21">
        <f t="shared" si="12"/>
        <v>0</v>
      </c>
      <c r="AF36" s="21" t="e">
        <f t="shared" si="10"/>
        <v>#DIV/0!</v>
      </c>
    </row>
    <row r="37" spans="1:32" ht="15.6" customHeight="1" thickBot="1" x14ac:dyDescent="0.3">
      <c r="O37" s="512"/>
      <c r="AB37" s="21" t="e">
        <f t="shared" si="11"/>
        <v>#DIV/0!</v>
      </c>
      <c r="AC37" s="20">
        <f t="shared" si="8"/>
        <v>0</v>
      </c>
      <c r="AD37" s="21">
        <f t="shared" si="9"/>
        <v>0</v>
      </c>
      <c r="AE37" s="21">
        <f t="shared" si="12"/>
        <v>0</v>
      </c>
      <c r="AF37" s="21" t="e">
        <f t="shared" si="10"/>
        <v>#DIV/0!</v>
      </c>
    </row>
    <row r="38" spans="1:32" ht="30" x14ac:dyDescent="0.25">
      <c r="A38" s="412" t="s">
        <v>788</v>
      </c>
      <c r="B38" s="413"/>
      <c r="C38" s="413"/>
      <c r="D38" s="414"/>
      <c r="O38" s="512"/>
      <c r="AB38" s="21" t="e">
        <f t="shared" si="11"/>
        <v>#DIV/0!</v>
      </c>
      <c r="AC38" s="20">
        <f t="shared" si="8"/>
        <v>0</v>
      </c>
      <c r="AD38" s="21">
        <f t="shared" si="9"/>
        <v>0</v>
      </c>
      <c r="AE38" s="21">
        <f t="shared" si="12"/>
        <v>0</v>
      </c>
      <c r="AF38" s="21" t="e">
        <f t="shared" si="10"/>
        <v>#DIV/0!</v>
      </c>
    </row>
    <row r="39" spans="1:32" x14ac:dyDescent="0.25">
      <c r="A39" s="415" t="s">
        <v>787</v>
      </c>
      <c r="B39" s="416"/>
      <c r="C39" s="416"/>
      <c r="D39" s="417"/>
      <c r="O39" s="512"/>
    </row>
    <row r="40" spans="1:32" ht="15.95" customHeight="1" x14ac:dyDescent="0.25">
      <c r="A40" s="418" t="s">
        <v>205</v>
      </c>
      <c r="B40" s="400" t="s">
        <v>0</v>
      </c>
      <c r="C40" s="400" t="s">
        <v>297</v>
      </c>
      <c r="D40" s="401" t="s">
        <v>298</v>
      </c>
      <c r="F40" s="17"/>
      <c r="O40" s="512"/>
      <c r="Q40" s="85" t="s">
        <v>364</v>
      </c>
      <c r="R40">
        <v>62008007</v>
      </c>
      <c r="T40" s="19"/>
    </row>
    <row r="41" spans="1:32" ht="15.75" thickBot="1" x14ac:dyDescent="0.3">
      <c r="A41" s="402" t="s">
        <v>69</v>
      </c>
      <c r="B41" s="419" t="e">
        <f>TestSummary!#REF!</f>
        <v>#REF!</v>
      </c>
      <c r="C41" s="403" t="e">
        <f>TestSummary!#REF!</f>
        <v>#REF!</v>
      </c>
      <c r="D41" s="404" t="e">
        <f t="shared" ref="D41:D46" si="13">C41/$D$47</f>
        <v>#REF!</v>
      </c>
      <c r="E41" s="75"/>
      <c r="F41" s="90"/>
      <c r="O41" s="512"/>
      <c r="Q41" s="66" t="s">
        <v>94</v>
      </c>
      <c r="R41" s="66"/>
      <c r="S41" s="66"/>
      <c r="T41" s="71" t="s">
        <v>81</v>
      </c>
      <c r="U41" s="66" t="s">
        <v>82</v>
      </c>
      <c r="V41" s="66" t="s">
        <v>83</v>
      </c>
      <c r="W41" s="66" t="s">
        <v>95</v>
      </c>
      <c r="X41" s="66" t="s">
        <v>109</v>
      </c>
      <c r="Y41" s="66" t="s">
        <v>110</v>
      </c>
      <c r="Z41" s="66" t="s">
        <v>92</v>
      </c>
      <c r="AA41" s="66" t="s">
        <v>93</v>
      </c>
      <c r="AB41" s="66" t="s">
        <v>232</v>
      </c>
      <c r="AC41" s="66" t="s">
        <v>233</v>
      </c>
    </row>
    <row r="42" spans="1:32" ht="15.6" customHeight="1" x14ac:dyDescent="0.25">
      <c r="A42" s="402" t="s">
        <v>57</v>
      </c>
      <c r="B42" s="419" t="e">
        <f>TestSummary!#REF!</f>
        <v>#REF!</v>
      </c>
      <c r="C42" s="403" t="e">
        <f>TestSummary!#REF!</f>
        <v>#REF!</v>
      </c>
      <c r="D42" s="404" t="e">
        <f t="shared" si="13"/>
        <v>#REF!</v>
      </c>
      <c r="E42" s="75"/>
      <c r="F42" s="90"/>
      <c r="I42" s="22"/>
      <c r="O42" s="512"/>
      <c r="Q42" s="36" t="s">
        <v>61</v>
      </c>
      <c r="R42" s="72" t="e">
        <f>AVERAGE(W42,W44)</f>
        <v>#DIV/0!</v>
      </c>
      <c r="W42" s="33"/>
    </row>
    <row r="43" spans="1:32" x14ac:dyDescent="0.25">
      <c r="A43" s="402" t="s">
        <v>54</v>
      </c>
      <c r="B43" s="419" t="e">
        <f>TestSummary!#REF!</f>
        <v>#REF!</v>
      </c>
      <c r="C43" s="403" t="e">
        <f>TestSummary!#REF!</f>
        <v>#REF!</v>
      </c>
      <c r="D43" s="404" t="e">
        <f t="shared" si="13"/>
        <v>#REF!</v>
      </c>
      <c r="E43" s="75"/>
      <c r="F43" s="90"/>
      <c r="O43" s="512"/>
      <c r="Q43" s="36" t="s">
        <v>62</v>
      </c>
      <c r="R43" s="72" t="e">
        <f>AVERAGE(W43,W46)</f>
        <v>#DIV/0!</v>
      </c>
      <c r="W43" s="33"/>
    </row>
    <row r="44" spans="1:32" x14ac:dyDescent="0.25">
      <c r="A44" s="402" t="s">
        <v>70</v>
      </c>
      <c r="B44" s="419" t="e">
        <f>TestSummary!#REF!</f>
        <v>#REF!</v>
      </c>
      <c r="C44" s="403" t="e">
        <f>TestSummary!#REF!</f>
        <v>#REF!</v>
      </c>
      <c r="D44" s="404" t="e">
        <f t="shared" si="13"/>
        <v>#REF!</v>
      </c>
      <c r="E44" s="75"/>
      <c r="F44" s="91"/>
      <c r="H44" s="17"/>
      <c r="O44" s="512"/>
      <c r="Q44" s="36" t="s">
        <v>63</v>
      </c>
      <c r="R44" s="72">
        <f>W45</f>
        <v>0</v>
      </c>
      <c r="W44" s="33"/>
    </row>
    <row r="45" spans="1:32" x14ac:dyDescent="0.25">
      <c r="A45" s="402" t="s">
        <v>71</v>
      </c>
      <c r="B45" s="419" t="e">
        <f>TestSummary!#REF!</f>
        <v>#REF!</v>
      </c>
      <c r="C45" s="403" t="e">
        <f>TestSummary!#REF!</f>
        <v>#REF!</v>
      </c>
      <c r="D45" s="404" t="e">
        <f t="shared" si="13"/>
        <v>#REF!</v>
      </c>
      <c r="E45" s="75"/>
      <c r="F45" s="91"/>
      <c r="O45" s="512"/>
      <c r="Q45" s="36" t="s">
        <v>64</v>
      </c>
      <c r="R45" s="72">
        <f>W47</f>
        <v>0</v>
      </c>
      <c r="W45" s="33"/>
    </row>
    <row r="46" spans="1:32" ht="15" customHeight="1" x14ac:dyDescent="0.25">
      <c r="A46" s="402" t="s">
        <v>72</v>
      </c>
      <c r="B46" s="419" t="e">
        <f>TestSummary!#REF!</f>
        <v>#REF!</v>
      </c>
      <c r="C46" s="403" t="e">
        <f>TestSummary!#REF!</f>
        <v>#REF!</v>
      </c>
      <c r="D46" s="404" t="e">
        <f t="shared" si="13"/>
        <v>#REF!</v>
      </c>
      <c r="E46" s="75"/>
      <c r="F46" s="91"/>
      <c r="O46" s="512"/>
      <c r="Q46" s="36"/>
      <c r="R46" s="72"/>
      <c r="W46" s="33"/>
    </row>
    <row r="47" spans="1:32" x14ac:dyDescent="0.25">
      <c r="A47" s="420"/>
      <c r="B47" s="421"/>
      <c r="C47" s="422" t="s">
        <v>366</v>
      </c>
      <c r="D47" s="185" t="e">
        <f>TestSummary!#REF!</f>
        <v>#REF!</v>
      </c>
      <c r="E47" s="75"/>
      <c r="O47" s="512"/>
      <c r="Q47" s="36"/>
      <c r="R47" s="72"/>
      <c r="W47" s="33"/>
    </row>
    <row r="48" spans="1:32" x14ac:dyDescent="0.25">
      <c r="A48" s="423" t="s">
        <v>277</v>
      </c>
      <c r="B48" s="424"/>
      <c r="C48" s="424"/>
      <c r="D48" s="425"/>
      <c r="E48" s="75"/>
      <c r="F48" s="17"/>
      <c r="O48" s="512"/>
      <c r="Q48" s="36"/>
      <c r="R48" s="72"/>
    </row>
    <row r="49" spans="1:29" x14ac:dyDescent="0.25">
      <c r="A49" s="418" t="s">
        <v>205</v>
      </c>
      <c r="B49" s="400" t="s">
        <v>0</v>
      </c>
      <c r="C49" s="400" t="s">
        <v>297</v>
      </c>
      <c r="D49" s="401" t="s">
        <v>298</v>
      </c>
      <c r="E49" s="75"/>
      <c r="F49" s="91"/>
      <c r="O49" s="512"/>
      <c r="Q49" s="85" t="s">
        <v>364</v>
      </c>
      <c r="R49">
        <v>61511006</v>
      </c>
      <c r="T49" s="19"/>
    </row>
    <row r="50" spans="1:29" ht="15.75" thickBot="1" x14ac:dyDescent="0.3">
      <c r="A50" s="402" t="s">
        <v>354</v>
      </c>
      <c r="B50" s="419" t="e">
        <f>TestSummary!#REF!</f>
        <v>#REF!</v>
      </c>
      <c r="C50" s="403" t="e">
        <f>TestSummary!#REF!</f>
        <v>#REF!</v>
      </c>
      <c r="D50" s="404" t="e">
        <f>C50/$D$57</f>
        <v>#REF!</v>
      </c>
      <c r="F50" s="91"/>
      <c r="O50" s="512"/>
      <c r="Q50" s="66" t="s">
        <v>96</v>
      </c>
      <c r="R50" s="66"/>
      <c r="S50" s="66"/>
      <c r="T50" s="71" t="s">
        <v>81</v>
      </c>
      <c r="U50" s="66" t="s">
        <v>82</v>
      </c>
      <c r="V50" s="66" t="s">
        <v>83</v>
      </c>
      <c r="W50" s="66" t="s">
        <v>95</v>
      </c>
      <c r="X50" s="66" t="s">
        <v>109</v>
      </c>
      <c r="Y50" s="66" t="s">
        <v>110</v>
      </c>
      <c r="Z50" s="66" t="s">
        <v>92</v>
      </c>
      <c r="AA50" s="66" t="s">
        <v>93</v>
      </c>
      <c r="AB50" s="66" t="s">
        <v>232</v>
      </c>
      <c r="AC50" s="66" t="s">
        <v>233</v>
      </c>
    </row>
    <row r="51" spans="1:29" x14ac:dyDescent="0.25">
      <c r="A51" s="402" t="s">
        <v>57</v>
      </c>
      <c r="B51" s="419" t="e">
        <f>TestSummary!#REF!</f>
        <v>#REF!</v>
      </c>
      <c r="C51" s="403" t="e">
        <f>TestSummary!#REF!</f>
        <v>#REF!</v>
      </c>
      <c r="D51" s="404" t="e">
        <f t="shared" ref="D51:D56" si="14">C51/$D$57</f>
        <v>#REF!</v>
      </c>
      <c r="F51" s="90"/>
      <c r="O51" s="512"/>
      <c r="Q51" s="36" t="s">
        <v>61</v>
      </c>
      <c r="R51" s="72" t="e">
        <f>AVERAGE(W51,W53)</f>
        <v>#DIV/0!</v>
      </c>
      <c r="W51" s="33"/>
    </row>
    <row r="52" spans="1:29" ht="15.6" customHeight="1" x14ac:dyDescent="0.25">
      <c r="A52" s="402" t="s">
        <v>54</v>
      </c>
      <c r="B52" s="419" t="e">
        <f>TestSummary!#REF!</f>
        <v>#REF!</v>
      </c>
      <c r="C52" s="403" t="e">
        <f>TestSummary!#REF!</f>
        <v>#REF!</v>
      </c>
      <c r="D52" s="404" t="e">
        <f t="shared" si="14"/>
        <v>#REF!</v>
      </c>
      <c r="F52" s="90"/>
      <c r="O52" s="512"/>
      <c r="Q52" s="36" t="s">
        <v>62</v>
      </c>
      <c r="R52" s="72" t="e">
        <f>AVERAGE(W52,W55)</f>
        <v>#DIV/0!</v>
      </c>
      <c r="W52" s="33"/>
    </row>
    <row r="53" spans="1:29" x14ac:dyDescent="0.25">
      <c r="A53" s="402" t="s">
        <v>70</v>
      </c>
      <c r="B53" s="419" t="e">
        <f>TestSummary!#REF!</f>
        <v>#REF!</v>
      </c>
      <c r="C53" s="403" t="e">
        <f>TestSummary!#REF!</f>
        <v>#REF!</v>
      </c>
      <c r="D53" s="404" t="e">
        <f t="shared" si="14"/>
        <v>#REF!</v>
      </c>
      <c r="F53" s="91"/>
      <c r="O53" s="512"/>
      <c r="Q53" s="36" t="s">
        <v>63</v>
      </c>
      <c r="R53" s="72">
        <f>W54</f>
        <v>0</v>
      </c>
      <c r="W53" s="33"/>
    </row>
    <row r="54" spans="1:29" x14ac:dyDescent="0.25">
      <c r="A54" s="402" t="s">
        <v>71</v>
      </c>
      <c r="B54" s="419" t="e">
        <f>TestSummary!#REF!</f>
        <v>#REF!</v>
      </c>
      <c r="C54" s="403" t="e">
        <f>TestSummary!#REF!</f>
        <v>#REF!</v>
      </c>
      <c r="D54" s="404" t="e">
        <f t="shared" si="14"/>
        <v>#REF!</v>
      </c>
      <c r="F54" s="91"/>
      <c r="I54" s="17"/>
      <c r="J54" s="17"/>
      <c r="O54" s="512"/>
      <c r="Q54" s="36" t="s">
        <v>64</v>
      </c>
      <c r="R54" s="72">
        <f>W56</f>
        <v>0</v>
      </c>
      <c r="W54" s="33"/>
    </row>
    <row r="55" spans="1:29" x14ac:dyDescent="0.25">
      <c r="A55" s="402" t="s">
        <v>72</v>
      </c>
      <c r="B55" s="419" t="e">
        <f>TestSummary!#REF!</f>
        <v>#REF!</v>
      </c>
      <c r="C55" s="403" t="e">
        <f>TestSummary!#REF!</f>
        <v>#REF!</v>
      </c>
      <c r="D55" s="404" t="e">
        <f t="shared" si="14"/>
        <v>#REF!</v>
      </c>
      <c r="F55" s="91"/>
      <c r="O55" s="512"/>
      <c r="Q55" s="36"/>
      <c r="R55" s="72"/>
      <c r="W55" s="33"/>
    </row>
    <row r="56" spans="1:29" x14ac:dyDescent="0.25">
      <c r="A56" s="402" t="s">
        <v>56</v>
      </c>
      <c r="B56" s="419" t="e">
        <f>TestSummary!#REF!</f>
        <v>#REF!</v>
      </c>
      <c r="C56" s="403" t="e">
        <f>TestSummary!#REF!</f>
        <v>#REF!</v>
      </c>
      <c r="D56" s="404" t="e">
        <f t="shared" si="14"/>
        <v>#REF!</v>
      </c>
      <c r="E56" s="135"/>
      <c r="O56" s="512"/>
      <c r="Q56" s="36"/>
      <c r="R56" s="72"/>
      <c r="W56" s="33"/>
    </row>
    <row r="57" spans="1:29" x14ac:dyDescent="0.25">
      <c r="A57" s="426"/>
      <c r="B57" s="421"/>
      <c r="C57" s="422" t="s">
        <v>366</v>
      </c>
      <c r="D57" s="185" t="e">
        <f>TestSummary!#REF!</f>
        <v>#REF!</v>
      </c>
      <c r="E57" s="75"/>
      <c r="F57" s="17"/>
      <c r="O57" s="512"/>
      <c r="Q57" s="85" t="s">
        <v>364</v>
      </c>
      <c r="R57">
        <v>61511006</v>
      </c>
      <c r="T57" s="19"/>
    </row>
    <row r="58" spans="1:29" ht="15.75" thickBot="1" x14ac:dyDescent="0.3">
      <c r="A58" s="427" t="s">
        <v>276</v>
      </c>
      <c r="B58" s="428"/>
      <c r="C58" s="428"/>
      <c r="D58" s="429"/>
      <c r="E58" s="75"/>
      <c r="F58" s="91"/>
      <c r="O58" s="512"/>
      <c r="Q58" s="66" t="s">
        <v>97</v>
      </c>
      <c r="R58" s="66"/>
      <c r="S58" s="66"/>
      <c r="T58" s="71" t="s">
        <v>81</v>
      </c>
      <c r="U58" s="66" t="s">
        <v>82</v>
      </c>
      <c r="V58" s="66" t="s">
        <v>83</v>
      </c>
      <c r="W58" s="66" t="s">
        <v>95</v>
      </c>
      <c r="X58" s="66" t="s">
        <v>109</v>
      </c>
      <c r="Y58" s="66" t="s">
        <v>110</v>
      </c>
      <c r="Z58" s="66" t="s">
        <v>92</v>
      </c>
      <c r="AA58" s="66" t="s">
        <v>93</v>
      </c>
      <c r="AB58" s="66" t="s">
        <v>232</v>
      </c>
      <c r="AC58" s="66" t="s">
        <v>233</v>
      </c>
    </row>
    <row r="59" spans="1:29" ht="15.6" customHeight="1" x14ac:dyDescent="0.25">
      <c r="A59" s="418" t="s">
        <v>205</v>
      </c>
      <c r="B59" s="400" t="s">
        <v>0</v>
      </c>
      <c r="C59" s="400" t="s">
        <v>297</v>
      </c>
      <c r="D59" s="401" t="s">
        <v>298</v>
      </c>
      <c r="E59" s="75"/>
      <c r="F59" s="90"/>
      <c r="O59" s="512"/>
      <c r="Q59" s="36" t="s">
        <v>61</v>
      </c>
      <c r="R59" s="72" t="e">
        <f>AVERAGE(W59,W61)</f>
        <v>#DIV/0!</v>
      </c>
      <c r="W59" s="33"/>
    </row>
    <row r="60" spans="1:29" ht="15.6" customHeight="1" x14ac:dyDescent="0.25">
      <c r="A60" s="402" t="s">
        <v>69</v>
      </c>
      <c r="B60" s="419" t="e">
        <f>TestSummary!#REF!</f>
        <v>#REF!</v>
      </c>
      <c r="C60" s="403" t="e">
        <f>TestSummary!#REF!</f>
        <v>#REF!</v>
      </c>
      <c r="D60" s="404" t="e">
        <f t="shared" ref="D60:D65" si="15">C60/$D$66</f>
        <v>#REF!</v>
      </c>
      <c r="F60" s="90"/>
      <c r="I60" s="17"/>
      <c r="J60" s="17"/>
      <c r="O60" s="512"/>
      <c r="Q60" s="36" t="s">
        <v>62</v>
      </c>
      <c r="R60" s="72" t="e">
        <f>AVERAGE(W60,W63)</f>
        <v>#DIV/0!</v>
      </c>
      <c r="W60" s="33"/>
    </row>
    <row r="61" spans="1:29" x14ac:dyDescent="0.25">
      <c r="A61" s="402" t="s">
        <v>57</v>
      </c>
      <c r="B61" s="419" t="e">
        <f>TestSummary!#REF!</f>
        <v>#REF!</v>
      </c>
      <c r="C61" s="403" t="e">
        <f>TestSummary!#REF!</f>
        <v>#REF!</v>
      </c>
      <c r="D61" s="404" t="e">
        <f t="shared" si="15"/>
        <v>#REF!</v>
      </c>
      <c r="F61" s="91"/>
      <c r="O61" s="512"/>
      <c r="Q61" s="36" t="s">
        <v>63</v>
      </c>
      <c r="R61" s="72">
        <f>W62</f>
        <v>0</v>
      </c>
      <c r="W61" s="33"/>
    </row>
    <row r="62" spans="1:29" x14ac:dyDescent="0.25">
      <c r="A62" s="402" t="s">
        <v>54</v>
      </c>
      <c r="B62" s="419" t="e">
        <f>TestSummary!#REF!</f>
        <v>#REF!</v>
      </c>
      <c r="C62" s="403" t="e">
        <f>TestSummary!#REF!</f>
        <v>#REF!</v>
      </c>
      <c r="D62" s="404" t="e">
        <f t="shared" si="15"/>
        <v>#REF!</v>
      </c>
      <c r="F62" s="91"/>
      <c r="O62" s="512"/>
      <c r="Q62" s="36" t="s">
        <v>64</v>
      </c>
      <c r="R62" s="72">
        <f>W64</f>
        <v>0</v>
      </c>
      <c r="W62" s="33"/>
    </row>
    <row r="63" spans="1:29" x14ac:dyDescent="0.25">
      <c r="A63" s="402" t="s">
        <v>70</v>
      </c>
      <c r="B63" s="419" t="e">
        <f>TestSummary!#REF!</f>
        <v>#REF!</v>
      </c>
      <c r="C63" s="403" t="e">
        <f>TestSummary!#REF!</f>
        <v>#REF!</v>
      </c>
      <c r="D63" s="404" t="e">
        <f t="shared" si="15"/>
        <v>#REF!</v>
      </c>
      <c r="F63" s="91"/>
      <c r="O63" s="512"/>
      <c r="W63" s="33"/>
    </row>
    <row r="64" spans="1:29" x14ac:dyDescent="0.25">
      <c r="A64" s="402" t="s">
        <v>71</v>
      </c>
      <c r="B64" s="419" t="e">
        <f>TestSummary!#REF!</f>
        <v>#REF!</v>
      </c>
      <c r="C64" s="403" t="e">
        <f>TestSummary!#REF!</f>
        <v>#REF!</v>
      </c>
      <c r="D64" s="404" t="e">
        <f t="shared" si="15"/>
        <v>#REF!</v>
      </c>
      <c r="O64" s="512"/>
      <c r="W64" s="33"/>
    </row>
    <row r="65" spans="1:15" x14ac:dyDescent="0.25">
      <c r="A65" s="402" t="s">
        <v>72</v>
      </c>
      <c r="B65" s="419" t="e">
        <f>TestSummary!#REF!</f>
        <v>#REF!</v>
      </c>
      <c r="C65" s="403" t="e">
        <f>TestSummary!#REF!</f>
        <v>#REF!</v>
      </c>
      <c r="D65" s="404" t="e">
        <f t="shared" si="15"/>
        <v>#REF!</v>
      </c>
      <c r="O65" s="512"/>
    </row>
    <row r="66" spans="1:15" ht="15.75" thickBot="1" x14ac:dyDescent="0.3">
      <c r="A66" s="430"/>
      <c r="B66" s="508" t="s">
        <v>366</v>
      </c>
      <c r="C66" s="508"/>
      <c r="D66" s="431" t="e">
        <f>TestSummary!#REF!</f>
        <v>#REF!</v>
      </c>
      <c r="O66" s="512"/>
    </row>
    <row r="67" spans="1:15" x14ac:dyDescent="0.25">
      <c r="A67" s="432" t="s">
        <v>275</v>
      </c>
      <c r="B67" s="433"/>
      <c r="C67" s="433"/>
      <c r="D67" s="434"/>
      <c r="I67" s="509" t="s">
        <v>386</v>
      </c>
      <c r="J67" s="510"/>
      <c r="K67" s="511"/>
      <c r="O67" s="512"/>
    </row>
    <row r="68" spans="1:15" x14ac:dyDescent="0.25">
      <c r="A68" s="418" t="s">
        <v>205</v>
      </c>
      <c r="B68" s="400" t="s">
        <v>0</v>
      </c>
      <c r="C68" s="400" t="s">
        <v>297</v>
      </c>
      <c r="D68" s="401" t="s">
        <v>298</v>
      </c>
      <c r="I68" s="227" t="s">
        <v>387</v>
      </c>
      <c r="J68" s="95" t="s">
        <v>49</v>
      </c>
      <c r="K68" s="228" t="s">
        <v>385</v>
      </c>
    </row>
    <row r="69" spans="1:15" x14ac:dyDescent="0.25">
      <c r="A69" s="402" t="s">
        <v>69</v>
      </c>
      <c r="B69" s="419" t="e">
        <f>TestSummary!#REF!</f>
        <v>#REF!</v>
      </c>
      <c r="C69" s="403" t="e">
        <f>TestSummary!#REF!</f>
        <v>#REF!</v>
      </c>
      <c r="D69" s="404" t="e">
        <f t="shared" ref="D69:D74" si="16">C69/$D$66</f>
        <v>#REF!</v>
      </c>
      <c r="I69" s="221" t="e">
        <f t="shared" ref="I69:I74" si="17">(D50-D41)/D41</f>
        <v>#REF!</v>
      </c>
      <c r="J69" s="222" t="e">
        <f t="shared" ref="J69:J74" si="18">(D60-D41)/D41</f>
        <v>#REF!</v>
      </c>
      <c r="K69" s="223" t="e">
        <f t="shared" ref="K69:K74" si="19">(D69-D41)/D41</f>
        <v>#REF!</v>
      </c>
    </row>
    <row r="70" spans="1:15" x14ac:dyDescent="0.25">
      <c r="A70" s="402" t="s">
        <v>57</v>
      </c>
      <c r="B70" s="419" t="e">
        <f>TestSummary!#REF!</f>
        <v>#REF!</v>
      </c>
      <c r="C70" s="403" t="e">
        <f>TestSummary!#REF!</f>
        <v>#REF!</v>
      </c>
      <c r="D70" s="404" t="e">
        <f t="shared" si="16"/>
        <v>#REF!</v>
      </c>
      <c r="I70" s="221" t="e">
        <f t="shared" si="17"/>
        <v>#REF!</v>
      </c>
      <c r="J70" s="222" t="e">
        <f t="shared" si="18"/>
        <v>#REF!</v>
      </c>
      <c r="K70" s="223" t="e">
        <f t="shared" si="19"/>
        <v>#REF!</v>
      </c>
    </row>
    <row r="71" spans="1:15" x14ac:dyDescent="0.25">
      <c r="A71" s="402" t="s">
        <v>54</v>
      </c>
      <c r="B71" s="419" t="e">
        <f>TestSummary!#REF!</f>
        <v>#REF!</v>
      </c>
      <c r="C71" s="403" t="e">
        <f>TestSummary!#REF!</f>
        <v>#REF!</v>
      </c>
      <c r="D71" s="404" t="e">
        <f t="shared" si="16"/>
        <v>#REF!</v>
      </c>
      <c r="I71" s="221" t="e">
        <f t="shared" si="17"/>
        <v>#REF!</v>
      </c>
      <c r="J71" s="222" t="e">
        <f t="shared" si="18"/>
        <v>#REF!</v>
      </c>
      <c r="K71" s="223" t="e">
        <f t="shared" si="19"/>
        <v>#REF!</v>
      </c>
    </row>
    <row r="72" spans="1:15" x14ac:dyDescent="0.25">
      <c r="A72" s="402" t="s">
        <v>70</v>
      </c>
      <c r="B72" s="419" t="e">
        <f>TestSummary!#REF!</f>
        <v>#REF!</v>
      </c>
      <c r="C72" s="403" t="e">
        <f>TestSummary!#REF!</f>
        <v>#REF!</v>
      </c>
      <c r="D72" s="404" t="e">
        <f t="shared" si="16"/>
        <v>#REF!</v>
      </c>
      <c r="I72" s="221" t="e">
        <f t="shared" si="17"/>
        <v>#REF!</v>
      </c>
      <c r="J72" s="222" t="e">
        <f t="shared" si="18"/>
        <v>#REF!</v>
      </c>
      <c r="K72" s="223" t="e">
        <f t="shared" si="19"/>
        <v>#REF!</v>
      </c>
    </row>
    <row r="73" spans="1:15" x14ac:dyDescent="0.25">
      <c r="A73" s="402" t="s">
        <v>71</v>
      </c>
      <c r="B73" s="419" t="e">
        <f>TestSummary!#REF!</f>
        <v>#REF!</v>
      </c>
      <c r="C73" s="403" t="e">
        <f>TestSummary!#REF!</f>
        <v>#REF!</v>
      </c>
      <c r="D73" s="404" t="e">
        <f t="shared" si="16"/>
        <v>#REF!</v>
      </c>
      <c r="I73" s="221" t="e">
        <f t="shared" si="17"/>
        <v>#REF!</v>
      </c>
      <c r="J73" s="222" t="e">
        <f t="shared" si="18"/>
        <v>#REF!</v>
      </c>
      <c r="K73" s="223" t="e">
        <f t="shared" si="19"/>
        <v>#REF!</v>
      </c>
    </row>
    <row r="74" spans="1:15" ht="15.75" thickBot="1" x14ac:dyDescent="0.3">
      <c r="A74" s="402" t="s">
        <v>72</v>
      </c>
      <c r="B74" s="419" t="e">
        <f>TestSummary!#REF!</f>
        <v>#REF!</v>
      </c>
      <c r="C74" s="403" t="e">
        <f>TestSummary!#REF!</f>
        <v>#REF!</v>
      </c>
      <c r="D74" s="404" t="e">
        <f t="shared" si="16"/>
        <v>#REF!</v>
      </c>
      <c r="I74" s="224" t="e">
        <f t="shared" si="17"/>
        <v>#REF!</v>
      </c>
      <c r="J74" s="225" t="e">
        <f t="shared" si="18"/>
        <v>#REF!</v>
      </c>
      <c r="K74" s="226" t="e">
        <f t="shared" si="19"/>
        <v>#REF!</v>
      </c>
    </row>
    <row r="75" spans="1:15" ht="15.75" thickBot="1" x14ac:dyDescent="0.3">
      <c r="A75" s="430"/>
      <c r="B75" s="508" t="s">
        <v>366</v>
      </c>
      <c r="C75" s="508"/>
      <c r="D75" s="431" t="e">
        <f>TestSummary!#REF!</f>
        <v>#REF!</v>
      </c>
    </row>
  </sheetData>
  <mergeCells count="13">
    <mergeCell ref="B75:C75"/>
    <mergeCell ref="I67:K67"/>
    <mergeCell ref="O1:O67"/>
    <mergeCell ref="A2:C2"/>
    <mergeCell ref="B3:C3"/>
    <mergeCell ref="B4:C4"/>
    <mergeCell ref="B14:C14"/>
    <mergeCell ref="D14:E14"/>
    <mergeCell ref="B26:D26"/>
    <mergeCell ref="A33:D33"/>
    <mergeCell ref="A34:B34"/>
    <mergeCell ref="A35:B35"/>
    <mergeCell ref="B66:C66"/>
  </mergeCells>
  <conditionalFormatting sqref="AN36">
    <cfRule type="colorScale" priority="10">
      <colorScale>
        <cfvo type="min"/>
        <cfvo type="percentile" val="50"/>
        <cfvo type="max"/>
        <color rgb="FFF8696B"/>
        <color rgb="FFFFEB84"/>
        <color rgb="FF63BE7B"/>
      </colorScale>
    </cfRule>
  </conditionalFormatting>
  <conditionalFormatting sqref="AB6">
    <cfRule type="colorScale" priority="9">
      <colorScale>
        <cfvo type="min"/>
        <cfvo type="percentile" val="50"/>
        <cfvo type="max"/>
        <color rgb="FF63BE7B"/>
        <color rgb="FFFFEB84"/>
        <color rgb="FFF8696B"/>
      </colorScale>
    </cfRule>
  </conditionalFormatting>
  <conditionalFormatting sqref="AB6">
    <cfRule type="colorScale" priority="8">
      <colorScale>
        <cfvo type="min"/>
        <cfvo type="percentile" val="50"/>
        <cfvo type="max"/>
        <color rgb="FFF8696B"/>
        <color rgb="FFFFEB84"/>
        <color rgb="FF63BE7B"/>
      </colorScale>
    </cfRule>
  </conditionalFormatting>
  <conditionalFormatting sqref="AB24:AB38">
    <cfRule type="colorScale" priority="6">
      <colorScale>
        <cfvo type="min"/>
        <cfvo type="percentile" val="50"/>
        <cfvo type="max"/>
        <color rgb="FF63BE7B"/>
        <color rgb="FFFFEB84"/>
        <color rgb="FFF8696B"/>
      </colorScale>
    </cfRule>
  </conditionalFormatting>
  <conditionalFormatting sqref="AB26">
    <cfRule type="colorScale" priority="5">
      <colorScale>
        <cfvo type="min"/>
        <cfvo type="percentile" val="50"/>
        <cfvo type="max"/>
        <color rgb="FF63BE7B"/>
        <color rgb="FFFFEB84"/>
        <color rgb="FFF8696B"/>
      </colorScale>
    </cfRule>
  </conditionalFormatting>
  <conditionalFormatting sqref="AB26">
    <cfRule type="colorScale" priority="4">
      <colorScale>
        <cfvo type="min"/>
        <cfvo type="percentile" val="50"/>
        <cfvo type="max"/>
        <color rgb="FFF8696B"/>
        <color rgb="FFFFEB84"/>
        <color rgb="FF63BE7B"/>
      </colorScale>
    </cfRule>
  </conditionalFormatting>
  <conditionalFormatting sqref="AB29">
    <cfRule type="colorScale" priority="3">
      <colorScale>
        <cfvo type="min"/>
        <cfvo type="percentile" val="50"/>
        <cfvo type="max"/>
        <color rgb="FF63BE7B"/>
        <color rgb="FFFFEB84"/>
        <color rgb="FFF8696B"/>
      </colorScale>
    </cfRule>
  </conditionalFormatting>
  <conditionalFormatting sqref="AB29">
    <cfRule type="colorScale" priority="2">
      <colorScale>
        <cfvo type="min"/>
        <cfvo type="percentile" val="50"/>
        <cfvo type="max"/>
        <color rgb="FFF8696B"/>
        <color rgb="FFFFEB84"/>
        <color rgb="FF63BE7B"/>
      </colorScale>
    </cfRule>
  </conditionalFormatting>
  <conditionalFormatting sqref="AB24:AB38">
    <cfRule type="colorScale" priority="1">
      <colorScale>
        <cfvo type="min"/>
        <cfvo type="percentile" val="50"/>
        <cfvo type="max"/>
        <color rgb="FF63BE7B"/>
        <color rgb="FFFFEB84"/>
        <color rgb="FFF8696B"/>
      </colorScale>
    </cfRule>
  </conditionalFormatting>
  <conditionalFormatting sqref="AB24:AB38">
    <cfRule type="colorScale" priority="7">
      <colorScale>
        <cfvo type="min"/>
        <cfvo type="percentile" val="50"/>
        <cfvo type="max"/>
        <color rgb="FFF8696B"/>
        <color rgb="FFFFEB84"/>
        <color rgb="FF63BE7B"/>
      </colorScale>
    </cfRule>
  </conditionalFormatting>
  <conditionalFormatting sqref="AB4:AB18">
    <cfRule type="colorScale" priority="11">
      <colorScale>
        <cfvo type="min"/>
        <cfvo type="percentile" val="50"/>
        <cfvo type="max"/>
        <color rgb="FF63BE7B"/>
        <color rgb="FFFFEB84"/>
        <color rgb="FFF8696B"/>
      </colorScale>
    </cfRule>
  </conditionalFormatting>
  <conditionalFormatting sqref="AB9">
    <cfRule type="colorScale" priority="12">
      <colorScale>
        <cfvo type="min"/>
        <cfvo type="percentile" val="50"/>
        <cfvo type="max"/>
        <color rgb="FF63BE7B"/>
        <color rgb="FFFFEB84"/>
        <color rgb="FFF8696B"/>
      </colorScale>
    </cfRule>
  </conditionalFormatting>
  <conditionalFormatting sqref="AB9">
    <cfRule type="colorScale" priority="13">
      <colorScale>
        <cfvo type="min"/>
        <cfvo type="percentile" val="50"/>
        <cfvo type="max"/>
        <color rgb="FFF8696B"/>
        <color rgb="FFFFEB84"/>
        <color rgb="FF63BE7B"/>
      </colorScale>
    </cfRule>
  </conditionalFormatting>
  <conditionalFormatting sqref="AB4:AB18">
    <cfRule type="colorScale" priority="14">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CB87"/>
  <sheetViews>
    <sheetView zoomScale="75" zoomScaleNormal="75" workbookViewId="0">
      <selection activeCell="O43" sqref="O43"/>
    </sheetView>
  </sheetViews>
  <sheetFormatPr defaultColWidth="9.140625" defaultRowHeight="15" x14ac:dyDescent="0.25"/>
  <cols>
    <col min="1" max="1" width="25.85546875" customWidth="1"/>
    <col min="2" max="2" width="45.85546875" bestFit="1" customWidth="1"/>
    <col min="3" max="3" width="13.28515625" bestFit="1" customWidth="1"/>
    <col min="4" max="4" width="24.140625" customWidth="1"/>
    <col min="5" max="5" width="28.28515625" customWidth="1"/>
    <col min="6" max="6" width="15" customWidth="1"/>
    <col min="7" max="7" width="16.5703125" customWidth="1"/>
    <col min="8" max="8" width="10.5703125" customWidth="1"/>
    <col min="9" max="10" width="12.5703125" customWidth="1"/>
    <col min="11" max="11" width="11.5703125" bestFit="1" customWidth="1"/>
    <col min="12" max="12" width="2.42578125" customWidth="1"/>
    <col min="13" max="13" width="3.42578125" customWidth="1"/>
    <col min="14" max="14" width="13.5703125" customWidth="1"/>
    <col min="15" max="15" width="23.42578125" customWidth="1"/>
    <col min="16" max="16" width="17" customWidth="1"/>
    <col min="17" max="17" width="13.85546875" customWidth="1"/>
    <col min="18" max="18" width="42" customWidth="1"/>
    <col min="19" max="19" width="15.5703125" customWidth="1"/>
    <col min="20" max="20" width="21.140625" customWidth="1"/>
    <col min="22" max="22" width="13.85546875" customWidth="1"/>
    <col min="24" max="24" width="13.85546875" customWidth="1"/>
    <col min="25" max="25" width="11.140625" customWidth="1"/>
    <col min="26" max="26" width="13.5703125" customWidth="1"/>
    <col min="27" max="27" width="24.42578125" bestFit="1" customWidth="1"/>
    <col min="28" max="28" width="22.5703125" bestFit="1" customWidth="1"/>
    <col min="30" max="30" width="24.42578125" customWidth="1"/>
    <col min="32" max="32" width="25.85546875" bestFit="1" customWidth="1"/>
    <col min="34" max="34" width="24.140625" bestFit="1" customWidth="1"/>
    <col min="35" max="35" width="21" customWidth="1"/>
    <col min="37" max="37" width="20.42578125" customWidth="1"/>
    <col min="39" max="39" width="26.42578125" bestFit="1" customWidth="1"/>
    <col min="40" max="40" width="14" bestFit="1" customWidth="1"/>
    <col min="44" max="44" width="25.5703125" customWidth="1"/>
    <col min="45" max="45" width="27" bestFit="1" customWidth="1"/>
    <col min="46" max="46" width="14.140625" bestFit="1" customWidth="1"/>
    <col min="59" max="59" width="12" customWidth="1"/>
    <col min="61" max="61" width="15.85546875" customWidth="1"/>
    <col min="62" max="62" width="17.5703125" customWidth="1"/>
    <col min="63" max="63" width="13.42578125" customWidth="1"/>
    <col min="64" max="64" width="13.85546875" customWidth="1"/>
    <col min="65" max="65" width="12.42578125" customWidth="1"/>
    <col min="66" max="66" width="13.5703125" customWidth="1"/>
    <col min="70" max="70" width="17.42578125" customWidth="1"/>
  </cols>
  <sheetData>
    <row r="1" spans="1:80" x14ac:dyDescent="0.25">
      <c r="A1" s="27"/>
      <c r="B1" s="27"/>
      <c r="C1" s="27"/>
      <c r="D1" s="530" t="s">
        <v>316</v>
      </c>
      <c r="E1" s="531"/>
      <c r="F1" s="27"/>
      <c r="G1" s="27" t="s">
        <v>6</v>
      </c>
      <c r="H1" s="27"/>
      <c r="I1" s="27"/>
      <c r="J1" s="27"/>
      <c r="K1" s="151"/>
      <c r="L1" s="152"/>
      <c r="N1" t="s">
        <v>317</v>
      </c>
      <c r="P1" s="270" t="s">
        <v>410</v>
      </c>
    </row>
    <row r="2" spans="1:80" ht="14.45" customHeight="1" x14ac:dyDescent="0.25">
      <c r="A2" s="27" t="str">
        <f>TestPlan!A1</f>
        <v>Vehicle</v>
      </c>
      <c r="B2" s="27" t="str">
        <f>TestPlan!B1</f>
        <v>2019 Nissan Leaf E-Plus</v>
      </c>
      <c r="C2" s="27"/>
      <c r="D2" s="153"/>
      <c r="E2" s="154"/>
      <c r="F2" s="27"/>
      <c r="G2" s="27"/>
      <c r="H2" s="27"/>
      <c r="I2" s="27"/>
      <c r="J2" s="27"/>
      <c r="K2" s="155"/>
      <c r="L2" s="152"/>
      <c r="N2" t="s">
        <v>318</v>
      </c>
    </row>
    <row r="3" spans="1:80" x14ac:dyDescent="0.25">
      <c r="A3" s="27" t="str">
        <f>TestPlan!A2</f>
        <v>Test purpose</v>
      </c>
      <c r="B3" s="27" t="str">
        <f>TestPlan!B2</f>
        <v>NHTSA 2020 Vehicle Technology Assessment</v>
      </c>
      <c r="D3" s="156"/>
      <c r="E3" s="154"/>
      <c r="F3" s="27"/>
      <c r="G3" s="27" t="s">
        <v>319</v>
      </c>
      <c r="H3" s="27"/>
      <c r="I3" s="16"/>
      <c r="J3" s="16"/>
      <c r="K3" s="155"/>
      <c r="L3" s="152"/>
      <c r="N3" t="s">
        <v>234</v>
      </c>
      <c r="O3" t="s">
        <v>114</v>
      </c>
      <c r="P3" t="s">
        <v>115</v>
      </c>
      <c r="Q3" t="s">
        <v>99</v>
      </c>
      <c r="R3" t="s">
        <v>100</v>
      </c>
      <c r="S3" t="s">
        <v>101</v>
      </c>
      <c r="T3" t="s">
        <v>116</v>
      </c>
      <c r="U3" t="s">
        <v>117</v>
      </c>
      <c r="V3" t="s">
        <v>118</v>
      </c>
      <c r="W3" t="s">
        <v>102</v>
      </c>
      <c r="X3" t="s">
        <v>119</v>
      </c>
      <c r="Y3" t="s">
        <v>120</v>
      </c>
      <c r="Z3" t="s">
        <v>121</v>
      </c>
      <c r="AA3" t="s">
        <v>122</v>
      </c>
      <c r="AB3" t="s">
        <v>123</v>
      </c>
      <c r="AC3" t="s">
        <v>103</v>
      </c>
      <c r="AD3" t="s">
        <v>124</v>
      </c>
      <c r="AE3" t="s">
        <v>125</v>
      </c>
      <c r="AF3" t="s">
        <v>126</v>
      </c>
      <c r="AG3" t="s">
        <v>127</v>
      </c>
      <c r="AH3" t="s">
        <v>128</v>
      </c>
      <c r="AI3" t="s">
        <v>129</v>
      </c>
      <c r="AJ3" t="s">
        <v>130</v>
      </c>
      <c r="AK3" t="s">
        <v>131</v>
      </c>
      <c r="AL3" t="s">
        <v>132</v>
      </c>
      <c r="AM3" t="s">
        <v>133</v>
      </c>
      <c r="AN3" t="s">
        <v>134</v>
      </c>
      <c r="AO3" t="s">
        <v>135</v>
      </c>
      <c r="AP3" t="s">
        <v>136</v>
      </c>
      <c r="AQ3" t="s">
        <v>373</v>
      </c>
      <c r="AR3" t="s">
        <v>374</v>
      </c>
      <c r="AS3" t="s">
        <v>375</v>
      </c>
      <c r="AT3" t="s">
        <v>376</v>
      </c>
      <c r="AU3" t="s">
        <v>137</v>
      </c>
      <c r="AV3" t="s">
        <v>138</v>
      </c>
      <c r="AW3" t="s">
        <v>139</v>
      </c>
      <c r="AX3" t="s">
        <v>140</v>
      </c>
      <c r="AY3" t="s">
        <v>141</v>
      </c>
      <c r="AZ3" t="s">
        <v>142</v>
      </c>
      <c r="BA3" t="s">
        <v>143</v>
      </c>
      <c r="BB3" t="s">
        <v>144</v>
      </c>
      <c r="BC3" t="s">
        <v>145</v>
      </c>
      <c r="BD3" t="s">
        <v>146</v>
      </c>
      <c r="BE3" t="s">
        <v>147</v>
      </c>
      <c r="BF3" t="s">
        <v>148</v>
      </c>
      <c r="BG3" t="s">
        <v>149</v>
      </c>
      <c r="BH3" t="s">
        <v>150</v>
      </c>
      <c r="BI3" t="s">
        <v>151</v>
      </c>
      <c r="BJ3" t="s">
        <v>152</v>
      </c>
      <c r="BK3" t="s">
        <v>153</v>
      </c>
      <c r="BL3" t="s">
        <v>154</v>
      </c>
      <c r="BM3" t="s">
        <v>407</v>
      </c>
      <c r="BN3" t="s">
        <v>408</v>
      </c>
      <c r="BO3" t="s">
        <v>409</v>
      </c>
      <c r="BP3" t="s">
        <v>155</v>
      </c>
      <c r="BQ3" t="s">
        <v>156</v>
      </c>
      <c r="BR3" t="s">
        <v>157</v>
      </c>
      <c r="BS3" t="s">
        <v>158</v>
      </c>
      <c r="BT3" t="s">
        <v>159</v>
      </c>
      <c r="BU3" t="s">
        <v>160</v>
      </c>
      <c r="BV3" t="s">
        <v>161</v>
      </c>
      <c r="BW3" t="s">
        <v>162</v>
      </c>
      <c r="BX3" t="s">
        <v>163</v>
      </c>
      <c r="BY3" t="s">
        <v>164</v>
      </c>
      <c r="BZ3" t="s">
        <v>165</v>
      </c>
      <c r="CA3" t="s">
        <v>166</v>
      </c>
      <c r="CB3" t="s">
        <v>167</v>
      </c>
    </row>
    <row r="4" spans="1:80" x14ac:dyDescent="0.25">
      <c r="A4" t="str">
        <f>TestPlan!A3</f>
        <v>Principal Investigator</v>
      </c>
      <c r="B4" t="str">
        <f>TestPlan!B3</f>
        <v>Forrest Jehlik</v>
      </c>
      <c r="D4" s="157"/>
      <c r="E4" s="154"/>
      <c r="F4" s="27"/>
      <c r="G4" s="27"/>
      <c r="H4" s="27"/>
      <c r="I4" s="27"/>
      <c r="J4" s="27"/>
      <c r="K4" s="27"/>
      <c r="L4" s="158"/>
      <c r="N4" s="290"/>
      <c r="O4" s="291"/>
      <c r="P4" s="291"/>
      <c r="Q4" s="291"/>
      <c r="R4" s="291"/>
      <c r="S4" s="291"/>
      <c r="T4" s="290"/>
      <c r="U4" s="292"/>
      <c r="V4" s="291"/>
      <c r="W4" s="291"/>
      <c r="X4" s="290"/>
      <c r="Y4" s="290"/>
      <c r="Z4" s="291"/>
      <c r="AA4" s="291"/>
      <c r="AB4" s="291"/>
      <c r="AC4" s="290"/>
      <c r="AD4" s="291"/>
      <c r="AE4" s="291"/>
      <c r="AF4" s="291"/>
      <c r="AG4" s="291"/>
      <c r="AH4" s="291"/>
      <c r="AI4" s="290"/>
      <c r="AJ4" s="293"/>
      <c r="AK4" s="294"/>
      <c r="AL4" s="291"/>
      <c r="AM4" s="291"/>
      <c r="AN4" s="291"/>
      <c r="AO4" s="291"/>
      <c r="AP4" s="291"/>
      <c r="AQ4" s="291"/>
      <c r="AR4" s="294"/>
      <c r="AS4" s="290"/>
      <c r="AT4" s="294"/>
      <c r="AU4" s="291"/>
      <c r="AV4" s="291"/>
      <c r="AW4" s="291"/>
      <c r="AX4" s="291"/>
      <c r="AY4" s="291"/>
      <c r="AZ4" s="295"/>
      <c r="BA4" s="295"/>
      <c r="BB4" s="295"/>
      <c r="BC4" s="295"/>
      <c r="BD4" s="295"/>
      <c r="BE4" s="295"/>
      <c r="BF4" s="295"/>
      <c r="BG4" s="295"/>
      <c r="BH4" s="291"/>
      <c r="BI4" s="295"/>
      <c r="BJ4" s="295"/>
      <c r="BK4" s="295"/>
      <c r="BL4" s="295"/>
      <c r="BM4" s="295"/>
      <c r="BN4" s="295"/>
      <c r="BO4" s="295"/>
      <c r="BP4" s="292"/>
      <c r="BQ4" s="296"/>
      <c r="BR4" s="297"/>
      <c r="BS4" s="292"/>
      <c r="BT4" s="296"/>
      <c r="BU4" s="297"/>
      <c r="BV4" s="291"/>
      <c r="BW4" s="291"/>
      <c r="BX4" s="291"/>
      <c r="BY4" s="291"/>
      <c r="BZ4" s="293"/>
      <c r="CA4" s="291"/>
      <c r="CB4" s="291"/>
    </row>
    <row r="5" spans="1:80" ht="15.75" thickBot="1" x14ac:dyDescent="0.3">
      <c r="A5" t="s">
        <v>320</v>
      </c>
      <c r="B5" s="27" t="s">
        <v>557</v>
      </c>
      <c r="C5" s="27"/>
      <c r="D5" s="159" t="s">
        <v>321</v>
      </c>
      <c r="E5" s="160"/>
      <c r="F5" s="27"/>
      <c r="G5" s="27"/>
      <c r="H5" s="27"/>
      <c r="I5" s="27"/>
      <c r="J5" s="27"/>
      <c r="K5" s="27"/>
      <c r="L5" s="158"/>
      <c r="N5" s="290"/>
      <c r="O5" s="291"/>
      <c r="P5" s="291"/>
      <c r="Q5" s="291"/>
      <c r="R5" s="291"/>
      <c r="S5" s="291"/>
      <c r="T5" s="290"/>
      <c r="U5" s="292"/>
      <c r="V5" s="291"/>
      <c r="W5" s="291"/>
      <c r="X5" s="290"/>
      <c r="Y5" s="290"/>
      <c r="Z5" s="291"/>
      <c r="AA5" s="291"/>
      <c r="AB5" s="291"/>
      <c r="AC5" s="290"/>
      <c r="AD5" s="291"/>
      <c r="AE5" s="291"/>
      <c r="AF5" s="291"/>
      <c r="AG5" s="291"/>
      <c r="AH5" s="291"/>
      <c r="AI5" s="290"/>
      <c r="AJ5" s="293"/>
      <c r="AK5" s="294"/>
      <c r="AL5" s="291"/>
      <c r="AM5" s="291"/>
      <c r="AN5" s="291"/>
      <c r="AO5" s="291"/>
      <c r="AP5" s="291"/>
      <c r="AQ5" s="291"/>
      <c r="AR5" s="294"/>
      <c r="AS5" s="290"/>
      <c r="AT5" s="294"/>
      <c r="AU5" s="291"/>
      <c r="AV5" s="291"/>
      <c r="AW5" s="291"/>
      <c r="AX5" s="291"/>
      <c r="AY5" s="291"/>
      <c r="AZ5" s="295"/>
      <c r="BA5" s="295"/>
      <c r="BB5" s="295"/>
      <c r="BC5" s="295"/>
      <c r="BD5" s="295"/>
      <c r="BE5" s="295"/>
      <c r="BF5" s="295"/>
      <c r="BG5" s="295"/>
      <c r="BH5" s="291"/>
      <c r="BI5" s="295"/>
      <c r="BJ5" s="295"/>
      <c r="BK5" s="295"/>
      <c r="BL5" s="295"/>
      <c r="BM5" s="295"/>
      <c r="BN5" s="295"/>
      <c r="BO5" s="295"/>
      <c r="BP5" s="292"/>
      <c r="BQ5" s="296"/>
      <c r="BR5" s="297"/>
      <c r="BS5" s="292"/>
      <c r="BT5" s="296"/>
      <c r="BU5" s="297"/>
      <c r="BV5" s="291"/>
      <c r="BW5" s="291"/>
      <c r="BX5" s="291"/>
      <c r="BY5" s="291"/>
      <c r="BZ5" s="293"/>
      <c r="CA5" s="291"/>
      <c r="CB5" s="291"/>
    </row>
    <row r="6" spans="1:80" x14ac:dyDescent="0.25">
      <c r="A6" s="6" t="s">
        <v>322</v>
      </c>
      <c r="B6" s="7"/>
      <c r="C6" s="7"/>
      <c r="D6" s="7"/>
      <c r="E6" s="7"/>
      <c r="F6" s="7"/>
      <c r="G6" s="7"/>
      <c r="H6" s="7"/>
      <c r="I6" s="7"/>
      <c r="J6" s="7"/>
      <c r="K6" s="7"/>
      <c r="L6" s="152"/>
      <c r="N6" s="94"/>
      <c r="O6" s="92"/>
      <c r="P6" s="92"/>
      <c r="Q6" s="92"/>
      <c r="R6" s="92"/>
      <c r="S6" s="92"/>
      <c r="T6" s="94"/>
      <c r="U6" s="264"/>
      <c r="V6" s="92"/>
      <c r="W6" s="92"/>
      <c r="X6" s="94"/>
      <c r="Y6" s="94"/>
      <c r="Z6" s="92"/>
      <c r="AA6" s="92"/>
      <c r="AB6" s="92"/>
      <c r="AC6" s="94"/>
      <c r="AD6" s="92"/>
      <c r="AE6" s="92"/>
      <c r="AF6" s="92"/>
      <c r="AG6" s="92"/>
      <c r="AH6" s="92"/>
      <c r="AI6" s="94"/>
      <c r="AJ6" s="265"/>
      <c r="AK6" s="266"/>
      <c r="AL6" s="92"/>
      <c r="AM6" s="92"/>
      <c r="AN6" s="92"/>
      <c r="AO6" s="92"/>
      <c r="AP6" s="92"/>
      <c r="AQ6" s="92"/>
      <c r="AR6" s="266"/>
      <c r="AS6" s="94"/>
      <c r="AT6" s="266"/>
      <c r="AU6" s="92"/>
      <c r="AV6" s="92"/>
      <c r="AW6" s="92"/>
      <c r="AX6" s="92"/>
      <c r="AY6" s="92"/>
      <c r="AZ6" s="267"/>
      <c r="BA6" s="267"/>
      <c r="BB6" s="267"/>
      <c r="BC6" s="267"/>
      <c r="BD6" s="267"/>
      <c r="BE6" s="267"/>
      <c r="BF6" s="267"/>
      <c r="BG6" s="267"/>
      <c r="BH6" s="92"/>
      <c r="BI6" s="267"/>
      <c r="BJ6" s="267"/>
      <c r="BK6" s="267"/>
      <c r="BL6" s="267"/>
      <c r="BM6" s="267"/>
      <c r="BN6" s="267"/>
      <c r="BO6" s="267"/>
      <c r="BP6" s="264"/>
      <c r="BQ6" s="268"/>
      <c r="BR6" s="269"/>
      <c r="BS6" s="264"/>
      <c r="BT6" s="268"/>
      <c r="BU6" s="269"/>
      <c r="BV6" s="92"/>
      <c r="BW6" s="92"/>
      <c r="BX6" s="92"/>
      <c r="BY6" s="92"/>
      <c r="BZ6" s="265"/>
      <c r="CA6" s="92"/>
      <c r="CB6" s="92"/>
    </row>
    <row r="7" spans="1:80" x14ac:dyDescent="0.25">
      <c r="B7" t="s">
        <v>323</v>
      </c>
      <c r="C7" t="s">
        <v>324</v>
      </c>
      <c r="L7" s="152"/>
      <c r="N7" s="94"/>
      <c r="O7" s="92"/>
      <c r="P7" s="92"/>
      <c r="Q7" s="92"/>
      <c r="R7" s="92"/>
      <c r="S7" s="92"/>
      <c r="T7" s="94"/>
      <c r="U7" s="264"/>
      <c r="V7" s="92"/>
      <c r="W7" s="92"/>
      <c r="X7" s="94"/>
      <c r="Y7" s="94"/>
      <c r="Z7" s="92"/>
      <c r="AA7" s="92"/>
      <c r="AB7" s="92"/>
      <c r="AC7" s="94"/>
      <c r="AD7" s="92"/>
      <c r="AE7" s="92"/>
      <c r="AF7" s="92"/>
      <c r="AG7" s="92"/>
      <c r="AH7" s="92"/>
      <c r="AI7" s="94"/>
      <c r="AJ7" s="265"/>
      <c r="AK7" s="266"/>
      <c r="AL7" s="92"/>
      <c r="AM7" s="92"/>
      <c r="AN7" s="92"/>
      <c r="AO7" s="92"/>
      <c r="AP7" s="92"/>
      <c r="AQ7" s="92"/>
      <c r="AR7" s="266"/>
      <c r="AS7" s="94"/>
      <c r="AT7" s="266"/>
      <c r="AU7" s="92"/>
      <c r="AV7" s="92"/>
      <c r="AW7" s="92"/>
      <c r="AX7" s="92"/>
      <c r="AY7" s="92"/>
      <c r="AZ7" s="267"/>
      <c r="BA7" s="267"/>
      <c r="BB7" s="267"/>
      <c r="BC7" s="267"/>
      <c r="BD7" s="267"/>
      <c r="BE7" s="267"/>
      <c r="BF7" s="267"/>
      <c r="BG7" s="267"/>
      <c r="BH7" s="92"/>
      <c r="BI7" s="267"/>
      <c r="BJ7" s="267"/>
      <c r="BK7" s="267"/>
      <c r="BL7" s="267"/>
      <c r="BM7" s="267"/>
      <c r="BN7" s="267"/>
      <c r="BO7" s="267"/>
      <c r="BP7" s="264"/>
      <c r="BQ7" s="268"/>
      <c r="BR7" s="269"/>
      <c r="BS7" s="264"/>
      <c r="BT7" s="268"/>
      <c r="BU7" s="269"/>
      <c r="BV7" s="92"/>
      <c r="BW7" s="92"/>
      <c r="BX7" s="92"/>
      <c r="BY7" s="92"/>
      <c r="BZ7" s="265"/>
      <c r="CA7" s="92"/>
      <c r="CB7" s="92"/>
    </row>
    <row r="8" spans="1:80" ht="15.75" thickBot="1" x14ac:dyDescent="0.3">
      <c r="L8" s="152"/>
      <c r="N8" s="94"/>
      <c r="O8" s="92"/>
      <c r="P8" s="92"/>
      <c r="Q8" s="92"/>
      <c r="R8" s="92"/>
      <c r="S8" s="92"/>
      <c r="T8" s="94"/>
      <c r="U8" s="264"/>
      <c r="V8" s="92"/>
      <c r="W8" s="92"/>
      <c r="X8" s="94"/>
      <c r="Y8" s="94"/>
      <c r="Z8" s="92"/>
      <c r="AA8" s="92"/>
      <c r="AB8" s="92"/>
      <c r="AC8" s="94"/>
      <c r="AD8" s="92"/>
      <c r="AE8" s="92"/>
      <c r="AF8" s="92"/>
      <c r="AG8" s="92"/>
      <c r="AH8" s="92"/>
      <c r="AI8" s="94"/>
      <c r="AJ8" s="265"/>
      <c r="AK8" s="266"/>
      <c r="AL8" s="92"/>
      <c r="AM8" s="92"/>
      <c r="AN8" s="92"/>
      <c r="AO8" s="92"/>
      <c r="AP8" s="92"/>
      <c r="AQ8" s="92"/>
      <c r="AR8" s="266"/>
      <c r="AS8" s="94"/>
      <c r="AT8" s="266"/>
      <c r="AU8" s="92"/>
      <c r="AV8" s="92"/>
      <c r="AW8" s="92"/>
      <c r="AX8" s="92"/>
      <c r="AY8" s="92"/>
      <c r="AZ8" s="267"/>
      <c r="BA8" s="267"/>
      <c r="BB8" s="267"/>
      <c r="BC8" s="267"/>
      <c r="BD8" s="267"/>
      <c r="BE8" s="267"/>
      <c r="BF8" s="267"/>
      <c r="BG8" s="267"/>
      <c r="BH8" s="92"/>
      <c r="BI8" s="267"/>
      <c r="BJ8" s="267"/>
      <c r="BK8" s="267"/>
      <c r="BL8" s="267"/>
      <c r="BM8" s="267"/>
      <c r="BN8" s="267"/>
      <c r="BO8" s="267"/>
      <c r="BP8" s="264"/>
      <c r="BQ8" s="268"/>
      <c r="BR8" s="269"/>
      <c r="BS8" s="264"/>
      <c r="BT8" s="268"/>
      <c r="BU8" s="269"/>
      <c r="BV8" s="92"/>
      <c r="BW8" s="92"/>
      <c r="BX8" s="92"/>
      <c r="BY8" s="92"/>
      <c r="BZ8" s="265"/>
      <c r="CA8" s="92"/>
      <c r="CB8" s="92"/>
    </row>
    <row r="9" spans="1:80" ht="15.75" thickBot="1" x14ac:dyDescent="0.3">
      <c r="A9" s="14"/>
      <c r="B9" s="191" t="s">
        <v>355</v>
      </c>
      <c r="C9" s="188"/>
      <c r="D9" s="161"/>
      <c r="E9" s="532" t="s">
        <v>325</v>
      </c>
      <c r="F9" s="533"/>
      <c r="G9" s="533"/>
      <c r="H9" s="533"/>
      <c r="I9" s="534"/>
      <c r="K9" s="162"/>
      <c r="L9" s="152"/>
      <c r="N9" s="94"/>
      <c r="O9" s="92"/>
      <c r="P9" s="92"/>
      <c r="Q9" s="92"/>
      <c r="R9" s="92"/>
      <c r="S9" s="92"/>
      <c r="T9" s="94"/>
      <c r="U9" s="264"/>
      <c r="V9" s="92"/>
      <c r="W9" s="92"/>
      <c r="X9" s="94"/>
      <c r="Y9" s="94"/>
      <c r="Z9" s="92"/>
      <c r="AA9" s="92"/>
      <c r="AB9" s="92"/>
      <c r="AC9" s="94"/>
      <c r="AD9" s="92"/>
      <c r="AE9" s="92"/>
      <c r="AF9" s="92"/>
      <c r="AG9" s="92"/>
      <c r="AH9" s="92"/>
      <c r="AI9" s="94"/>
      <c r="AJ9" s="265"/>
      <c r="AK9" s="266"/>
      <c r="AL9" s="92"/>
      <c r="AM9" s="92"/>
      <c r="AN9" s="92"/>
      <c r="AO9" s="92"/>
      <c r="AP9" s="92"/>
      <c r="AQ9" s="92"/>
      <c r="AR9" s="266"/>
      <c r="AS9" s="94"/>
      <c r="AT9" s="266"/>
      <c r="AU9" s="92"/>
      <c r="AV9" s="92"/>
      <c r="AW9" s="92"/>
      <c r="AX9" s="92"/>
      <c r="AY9" s="92"/>
      <c r="AZ9" s="267"/>
      <c r="BA9" s="267"/>
      <c r="BB9" s="267"/>
      <c r="BC9" s="267"/>
      <c r="BD9" s="267"/>
      <c r="BE9" s="267"/>
      <c r="BF9" s="267"/>
      <c r="BG9" s="267"/>
      <c r="BH9" s="92"/>
      <c r="BI9" s="267"/>
      <c r="BJ9" s="267"/>
      <c r="BK9" s="267"/>
      <c r="BL9" s="267"/>
      <c r="BM9" s="267"/>
      <c r="BN9" s="267"/>
      <c r="BO9" s="267"/>
      <c r="BP9" s="264"/>
      <c r="BQ9" s="268"/>
      <c r="BR9" s="269"/>
      <c r="BS9" s="264"/>
      <c r="BT9" s="268"/>
      <c r="BU9" s="269"/>
      <c r="BV9" s="92"/>
      <c r="BW9" s="92"/>
      <c r="BX9" s="92"/>
      <c r="BY9" s="92"/>
      <c r="BZ9" s="265"/>
      <c r="CA9" s="92"/>
      <c r="CB9" s="92"/>
    </row>
    <row r="10" spans="1:80" ht="15.6" customHeight="1" thickBot="1" x14ac:dyDescent="0.3">
      <c r="A10" s="163" t="s">
        <v>53</v>
      </c>
      <c r="B10" s="189"/>
      <c r="C10" s="190"/>
      <c r="D10" s="161"/>
      <c r="E10" s="205"/>
      <c r="F10" s="206" t="s">
        <v>608</v>
      </c>
      <c r="G10" s="206" t="s">
        <v>609</v>
      </c>
      <c r="H10" s="207" t="s">
        <v>462</v>
      </c>
      <c r="I10" s="208"/>
      <c r="K10" s="164"/>
      <c r="L10" s="152"/>
      <c r="N10" s="94"/>
      <c r="O10" s="92"/>
      <c r="P10" s="92"/>
      <c r="Q10" s="92"/>
      <c r="R10" s="92"/>
      <c r="S10" s="92"/>
      <c r="T10" s="94"/>
      <c r="U10" s="264"/>
      <c r="V10" s="92"/>
      <c r="W10" s="92"/>
      <c r="X10" s="94"/>
      <c r="Y10" s="94"/>
      <c r="Z10" s="92"/>
      <c r="AA10" s="92"/>
      <c r="AB10" s="92"/>
      <c r="AC10" s="94"/>
      <c r="AD10" s="92"/>
      <c r="AE10" s="92"/>
      <c r="AF10" s="92"/>
      <c r="AG10" s="92"/>
      <c r="AH10" s="92"/>
      <c r="AI10" s="94"/>
      <c r="AJ10" s="265"/>
      <c r="AK10" s="266"/>
      <c r="AL10" s="92"/>
      <c r="AM10" s="92"/>
      <c r="AN10" s="92"/>
      <c r="AO10" s="92"/>
      <c r="AP10" s="92"/>
      <c r="AQ10" s="92"/>
      <c r="AR10" s="266"/>
      <c r="AS10" s="94"/>
      <c r="AT10" s="266"/>
      <c r="AU10" s="92"/>
      <c r="AV10" s="92"/>
      <c r="AW10" s="92"/>
      <c r="AX10" s="92"/>
      <c r="AY10" s="92"/>
      <c r="AZ10" s="267"/>
      <c r="BA10" s="267"/>
      <c r="BB10" s="267"/>
      <c r="BC10" s="267"/>
      <c r="BD10" s="267"/>
      <c r="BE10" s="267"/>
      <c r="BF10" s="267"/>
      <c r="BG10" s="267"/>
      <c r="BH10" s="92"/>
      <c r="BI10" s="267"/>
      <c r="BJ10" s="267"/>
      <c r="BK10" s="267"/>
      <c r="BL10" s="267"/>
      <c r="BM10" s="267"/>
      <c r="BN10" s="267"/>
      <c r="BO10" s="267"/>
      <c r="BP10" s="264"/>
      <c r="BQ10" s="268"/>
      <c r="BR10" s="269"/>
      <c r="BS10" s="264"/>
      <c r="BT10" s="268"/>
      <c r="BU10" s="269"/>
      <c r="BV10" s="92"/>
      <c r="BW10" s="92"/>
      <c r="BX10" s="92"/>
      <c r="BY10" s="92"/>
      <c r="BZ10" s="265"/>
      <c r="CA10" s="92"/>
      <c r="CB10" s="92"/>
    </row>
    <row r="11" spans="1:80" ht="15.6" customHeight="1" x14ac:dyDescent="0.25">
      <c r="A11" s="163" t="s">
        <v>34</v>
      </c>
      <c r="B11" s="165">
        <v>4250</v>
      </c>
      <c r="C11" s="209" t="s">
        <v>35</v>
      </c>
      <c r="D11" s="161"/>
      <c r="E11" s="201" t="s">
        <v>34</v>
      </c>
      <c r="F11" s="202">
        <v>4250</v>
      </c>
      <c r="G11" s="203">
        <v>4250</v>
      </c>
      <c r="H11" s="220"/>
      <c r="I11" s="204" t="s">
        <v>35</v>
      </c>
      <c r="L11" s="152"/>
      <c r="N11" s="94"/>
      <c r="O11" s="92"/>
      <c r="P11" s="92"/>
      <c r="Q11" s="92"/>
      <c r="R11" s="92"/>
      <c r="S11" s="92"/>
      <c r="T11" s="94"/>
      <c r="U11" s="264"/>
      <c r="V11" s="92"/>
      <c r="W11" s="92"/>
      <c r="X11" s="94"/>
      <c r="Y11" s="94"/>
      <c r="Z11" s="92"/>
      <c r="AA11" s="92"/>
      <c r="AB11" s="92"/>
      <c r="AC11" s="94"/>
      <c r="AD11" s="92"/>
      <c r="AE11" s="92"/>
      <c r="AF11" s="92"/>
      <c r="AG11" s="92"/>
      <c r="AH11" s="92"/>
      <c r="AI11" s="94"/>
      <c r="AJ11" s="265"/>
      <c r="AK11" s="266"/>
      <c r="AL11" s="92"/>
      <c r="AM11" s="92"/>
      <c r="AN11" s="92"/>
      <c r="AO11" s="92"/>
      <c r="AP11" s="92"/>
      <c r="AQ11" s="92"/>
      <c r="AR11" s="266"/>
      <c r="AS11" s="94"/>
      <c r="AT11" s="266"/>
      <c r="AU11" s="92"/>
      <c r="AV11" s="92"/>
      <c r="AW11" s="92"/>
      <c r="AX11" s="92"/>
      <c r="AY11" s="92"/>
      <c r="AZ11" s="267"/>
      <c r="BA11" s="267"/>
      <c r="BB11" s="267"/>
      <c r="BC11" s="267"/>
      <c r="BD11" s="267"/>
      <c r="BE11" s="267"/>
      <c r="BF11" s="267"/>
      <c r="BG11" s="267"/>
      <c r="BH11" s="92"/>
      <c r="BI11" s="267"/>
      <c r="BJ11" s="267"/>
      <c r="BK11" s="267"/>
      <c r="BL11" s="267"/>
      <c r="BM11" s="267"/>
      <c r="BN11" s="267"/>
      <c r="BO11" s="267"/>
      <c r="BP11" s="264"/>
      <c r="BQ11" s="268"/>
      <c r="BR11" s="269"/>
      <c r="BS11" s="264"/>
      <c r="BT11" s="268"/>
      <c r="BU11" s="269"/>
      <c r="BV11" s="92"/>
      <c r="BW11" s="92"/>
      <c r="BX11" s="92"/>
      <c r="BY11" s="92"/>
      <c r="BZ11" s="265"/>
      <c r="CA11" s="92"/>
      <c r="CB11" s="92"/>
    </row>
    <row r="12" spans="1:80" ht="15.6" customHeight="1" x14ac:dyDescent="0.25">
      <c r="A12" s="163" t="s">
        <v>31</v>
      </c>
      <c r="B12" s="213">
        <v>30.36</v>
      </c>
      <c r="C12" s="210" t="s">
        <v>4</v>
      </c>
      <c r="D12" s="161"/>
      <c r="E12" s="166" t="s">
        <v>31</v>
      </c>
      <c r="F12" s="167">
        <v>30.36</v>
      </c>
      <c r="G12" s="178">
        <v>38.71</v>
      </c>
      <c r="H12" s="298"/>
      <c r="I12" s="198" t="s">
        <v>4</v>
      </c>
      <c r="J12" s="264"/>
      <c r="L12" s="152"/>
      <c r="N12" s="94"/>
      <c r="O12" s="92"/>
      <c r="P12" s="92"/>
      <c r="Q12" s="92"/>
      <c r="R12" s="92"/>
      <c r="S12" s="92"/>
      <c r="T12" s="94"/>
      <c r="U12" s="264"/>
      <c r="V12" s="92"/>
      <c r="W12" s="92"/>
      <c r="X12" s="94"/>
      <c r="Y12" s="94"/>
      <c r="Z12" s="92"/>
      <c r="AA12" s="92"/>
      <c r="AB12" s="92"/>
      <c r="AC12" s="94"/>
      <c r="AD12" s="92"/>
      <c r="AE12" s="92"/>
      <c r="AF12" s="92"/>
      <c r="AG12" s="92"/>
      <c r="AH12" s="92"/>
      <c r="AI12" s="94"/>
      <c r="AJ12" s="265"/>
      <c r="AK12" s="266"/>
      <c r="AL12" s="92"/>
      <c r="AM12" s="92"/>
      <c r="AN12" s="92"/>
      <c r="AO12" s="92"/>
      <c r="AP12" s="92"/>
      <c r="AQ12" s="92"/>
      <c r="AR12" s="266"/>
      <c r="AS12" s="94"/>
      <c r="AT12" s="266"/>
      <c r="AU12" s="92"/>
      <c r="AV12" s="92"/>
      <c r="AW12" s="92"/>
      <c r="AX12" s="92"/>
      <c r="AY12" s="92"/>
      <c r="AZ12" s="267"/>
      <c r="BA12" s="267"/>
      <c r="BB12" s="267"/>
      <c r="BC12" s="267"/>
      <c r="BD12" s="267"/>
      <c r="BE12" s="267"/>
      <c r="BF12" s="267"/>
      <c r="BG12" s="267"/>
      <c r="BH12" s="92"/>
      <c r="BI12" s="267"/>
      <c r="BJ12" s="267"/>
      <c r="BK12" s="267"/>
      <c r="BL12" s="267"/>
      <c r="BM12" s="267"/>
      <c r="BN12" s="267"/>
      <c r="BO12" s="267"/>
      <c r="BP12" s="264"/>
      <c r="BQ12" s="268"/>
      <c r="BR12" s="269"/>
      <c r="BS12" s="264"/>
      <c r="BT12" s="268"/>
      <c r="BU12" s="269"/>
      <c r="BV12" s="92"/>
      <c r="BW12" s="92"/>
      <c r="BX12" s="92"/>
      <c r="BY12" s="92"/>
      <c r="BZ12" s="265"/>
      <c r="CA12" s="92"/>
      <c r="CB12" s="92"/>
    </row>
    <row r="13" spans="1:80" x14ac:dyDescent="0.25">
      <c r="A13" s="163" t="s">
        <v>32</v>
      </c>
      <c r="B13" s="213">
        <v>0.3201</v>
      </c>
      <c r="C13" s="210" t="s">
        <v>36</v>
      </c>
      <c r="D13" s="161"/>
      <c r="E13" s="166" t="s">
        <v>32</v>
      </c>
      <c r="F13" s="215">
        <v>0.3201</v>
      </c>
      <c r="G13" s="178">
        <v>3.0499999999999999E-2</v>
      </c>
      <c r="H13" s="298"/>
      <c r="I13" s="199" t="s">
        <v>36</v>
      </c>
      <c r="J13" s="268"/>
      <c r="L13" s="152"/>
      <c r="N13" s="94"/>
      <c r="O13" s="92"/>
      <c r="P13" s="92"/>
      <c r="Q13" s="92"/>
      <c r="R13" s="92"/>
      <c r="S13" s="92"/>
      <c r="T13" s="94"/>
      <c r="U13" s="264"/>
      <c r="V13" s="92"/>
      <c r="W13" s="92"/>
      <c r="X13" s="94"/>
      <c r="Y13" s="94"/>
      <c r="Z13" s="92"/>
      <c r="AA13" s="92"/>
      <c r="AB13" s="92"/>
      <c r="AC13" s="94"/>
      <c r="AD13" s="92"/>
      <c r="AE13" s="92"/>
      <c r="AF13" s="92"/>
      <c r="AG13" s="92"/>
      <c r="AH13" s="92"/>
      <c r="AI13" s="94"/>
      <c r="AJ13" s="265"/>
      <c r="AK13" s="266"/>
      <c r="AL13" s="92"/>
      <c r="AM13" s="92"/>
      <c r="AN13" s="92"/>
      <c r="AO13" s="92"/>
      <c r="AP13" s="92"/>
      <c r="AQ13" s="92"/>
      <c r="AR13" s="266"/>
      <c r="AS13" s="94"/>
      <c r="AT13" s="266"/>
      <c r="AU13" s="92"/>
      <c r="AV13" s="92"/>
      <c r="AW13" s="92"/>
      <c r="AX13" s="92"/>
      <c r="AY13" s="92"/>
      <c r="AZ13" s="267"/>
      <c r="BA13" s="267"/>
      <c r="BB13" s="267"/>
      <c r="BC13" s="267"/>
      <c r="BD13" s="267"/>
      <c r="BE13" s="267"/>
      <c r="BF13" s="267"/>
      <c r="BG13" s="267"/>
      <c r="BH13" s="92"/>
      <c r="BI13" s="267"/>
      <c r="BJ13" s="267"/>
      <c r="BK13" s="267"/>
      <c r="BL13" s="267"/>
      <c r="BM13" s="267"/>
      <c r="BN13" s="267"/>
      <c r="BO13" s="267"/>
      <c r="BP13" s="264"/>
      <c r="BQ13" s="268"/>
      <c r="BR13" s="269"/>
      <c r="BS13" s="264"/>
      <c r="BT13" s="268"/>
      <c r="BU13" s="269"/>
      <c r="BV13" s="92"/>
      <c r="BW13" s="92"/>
      <c r="BX13" s="92"/>
      <c r="BY13" s="92"/>
      <c r="BZ13" s="265"/>
      <c r="CA13" s="92"/>
      <c r="CB13" s="92"/>
    </row>
    <row r="14" spans="1:80" ht="15.75" thickBot="1" x14ac:dyDescent="0.3">
      <c r="A14" s="168" t="s">
        <v>33</v>
      </c>
      <c r="B14" s="211">
        <v>1.9560000000000001E-2</v>
      </c>
      <c r="C14" s="212" t="s">
        <v>52</v>
      </c>
      <c r="D14" s="161"/>
      <c r="E14" s="169" t="s">
        <v>33</v>
      </c>
      <c r="F14" s="214">
        <v>1.9560000000000001E-2</v>
      </c>
      <c r="G14" s="179">
        <v>1.4999999999999999E-2</v>
      </c>
      <c r="H14" s="299"/>
      <c r="I14" s="200" t="s">
        <v>52</v>
      </c>
      <c r="J14" s="269"/>
      <c r="K14" s="170"/>
      <c r="L14" s="152"/>
      <c r="N14" s="94"/>
      <c r="O14" s="92"/>
      <c r="P14" s="92"/>
      <c r="Q14" s="92"/>
      <c r="R14" s="92"/>
      <c r="S14" s="92"/>
      <c r="T14" s="94"/>
      <c r="U14" s="264"/>
      <c r="V14" s="92"/>
      <c r="W14" s="92"/>
      <c r="X14" s="94"/>
      <c r="Y14" s="94"/>
      <c r="Z14" s="92"/>
      <c r="AA14" s="92"/>
      <c r="AB14" s="92"/>
      <c r="AC14" s="94"/>
      <c r="AD14" s="92"/>
      <c r="AE14" s="92"/>
      <c r="AF14" s="92"/>
      <c r="AG14" s="92"/>
      <c r="AH14" s="92"/>
      <c r="AI14" s="94"/>
      <c r="AJ14" s="265"/>
      <c r="AK14" s="266"/>
      <c r="AL14" s="92"/>
      <c r="AM14" s="92"/>
      <c r="AN14" s="92"/>
      <c r="AO14" s="92"/>
      <c r="AP14" s="92"/>
      <c r="AQ14" s="92"/>
      <c r="AR14" s="266"/>
      <c r="AS14" s="94"/>
      <c r="AT14" s="266"/>
      <c r="AU14" s="92"/>
      <c r="AV14" s="92"/>
      <c r="AW14" s="92"/>
      <c r="AX14" s="92"/>
      <c r="AY14" s="92"/>
      <c r="AZ14" s="267"/>
      <c r="BA14" s="267"/>
      <c r="BB14" s="267"/>
      <c r="BC14" s="267"/>
      <c r="BD14" s="267"/>
      <c r="BE14" s="267"/>
      <c r="BF14" s="267"/>
      <c r="BG14" s="267"/>
      <c r="BH14" s="92"/>
      <c r="BI14" s="267"/>
      <c r="BJ14" s="267"/>
      <c r="BK14" s="267"/>
      <c r="BL14" s="267"/>
      <c r="BM14" s="267"/>
      <c r="BN14" s="267"/>
      <c r="BO14" s="267"/>
      <c r="BP14" s="264"/>
      <c r="BQ14" s="268"/>
      <c r="BR14" s="269"/>
      <c r="BS14" s="264"/>
      <c r="BT14" s="268"/>
      <c r="BU14" s="269"/>
      <c r="BV14" s="92"/>
      <c r="BW14" s="92"/>
      <c r="BX14" s="92"/>
      <c r="BY14" s="92"/>
      <c r="BZ14" s="265"/>
      <c r="CA14" s="92"/>
      <c r="CB14" s="92"/>
    </row>
    <row r="15" spans="1:80" x14ac:dyDescent="0.25">
      <c r="L15" s="152"/>
      <c r="N15" s="94"/>
      <c r="O15" s="92"/>
      <c r="P15" s="92"/>
      <c r="Q15" s="92"/>
      <c r="R15" s="92"/>
      <c r="S15" s="92"/>
      <c r="T15" s="94"/>
      <c r="U15" s="264"/>
      <c r="V15" s="92"/>
      <c r="W15" s="92"/>
      <c r="X15" s="94"/>
      <c r="Y15" s="94"/>
      <c r="Z15" s="92"/>
      <c r="AA15" s="92"/>
      <c r="AB15" s="92"/>
      <c r="AC15" s="94"/>
      <c r="AD15" s="92"/>
      <c r="AE15" s="92"/>
      <c r="AF15" s="92"/>
      <c r="AG15" s="92"/>
      <c r="AH15" s="92"/>
      <c r="AI15" s="94"/>
      <c r="AJ15" s="265"/>
      <c r="AK15" s="266"/>
      <c r="AL15" s="92"/>
      <c r="AM15" s="92"/>
      <c r="AN15" s="92"/>
      <c r="AO15" s="92"/>
      <c r="AP15" s="92"/>
      <c r="AQ15" s="92"/>
      <c r="AR15" s="266"/>
      <c r="AS15" s="94"/>
      <c r="AT15" s="266"/>
      <c r="AU15" s="92"/>
      <c r="AV15" s="92"/>
      <c r="AW15" s="92"/>
      <c r="AX15" s="92"/>
      <c r="AY15" s="92"/>
      <c r="AZ15" s="267"/>
      <c r="BA15" s="267"/>
      <c r="BB15" s="267"/>
      <c r="BC15" s="267"/>
      <c r="BD15" s="267"/>
      <c r="BE15" s="267"/>
      <c r="BF15" s="267"/>
      <c r="BG15" s="267"/>
      <c r="BH15" s="92"/>
      <c r="BI15" s="267"/>
      <c r="BJ15" s="267"/>
      <c r="BK15" s="267"/>
      <c r="BL15" s="267"/>
      <c r="BM15" s="267"/>
      <c r="BN15" s="267"/>
      <c r="BO15" s="267"/>
      <c r="BP15" s="264"/>
      <c r="BQ15" s="268"/>
      <c r="BR15" s="269"/>
      <c r="BS15" s="264"/>
      <c r="BT15" s="268"/>
      <c r="BU15" s="269"/>
      <c r="BV15" s="92"/>
      <c r="BW15" s="92"/>
      <c r="BX15" s="92"/>
      <c r="BY15" s="92"/>
      <c r="BZ15" s="265"/>
      <c r="CA15" s="92"/>
      <c r="CB15" s="92"/>
    </row>
    <row r="16" spans="1:80" x14ac:dyDescent="0.25">
      <c r="L16" s="152"/>
      <c r="N16" s="94"/>
      <c r="O16" s="92"/>
      <c r="P16" s="92"/>
      <c r="Q16" s="92"/>
      <c r="R16" s="92"/>
      <c r="S16" s="92"/>
      <c r="T16" s="94"/>
      <c r="U16" s="264"/>
      <c r="V16" s="92"/>
      <c r="W16" s="92"/>
      <c r="X16" s="94"/>
      <c r="Y16" s="94"/>
      <c r="Z16" s="92"/>
      <c r="AA16" s="92"/>
      <c r="AB16" s="92"/>
      <c r="AC16" s="94"/>
      <c r="AD16" s="92"/>
      <c r="AE16" s="92"/>
      <c r="AF16" s="92"/>
      <c r="AG16" s="92"/>
      <c r="AH16" s="92"/>
      <c r="AI16" s="94"/>
      <c r="AJ16" s="265"/>
      <c r="AK16" s="266"/>
      <c r="AL16" s="92"/>
      <c r="AM16" s="92"/>
      <c r="AN16" s="92"/>
      <c r="AO16" s="92"/>
      <c r="AP16" s="92"/>
      <c r="AQ16" s="92"/>
      <c r="AR16" s="266"/>
      <c r="AS16" s="94"/>
      <c r="AT16" s="266"/>
      <c r="AU16" s="92"/>
      <c r="AV16" s="92"/>
      <c r="AW16" s="92"/>
      <c r="AX16" s="92"/>
      <c r="AY16" s="92"/>
      <c r="AZ16" s="267"/>
      <c r="BA16" s="267"/>
      <c r="BB16" s="267"/>
      <c r="BC16" s="267"/>
      <c r="BD16" s="267"/>
      <c r="BE16" s="267"/>
      <c r="BF16" s="267"/>
      <c r="BG16" s="267"/>
      <c r="BH16" s="92"/>
      <c r="BI16" s="267"/>
      <c r="BJ16" s="267"/>
      <c r="BK16" s="267"/>
      <c r="BL16" s="267"/>
      <c r="BM16" s="267"/>
      <c r="BN16" s="267"/>
      <c r="BO16" s="267"/>
      <c r="BP16" s="264"/>
      <c r="BQ16" s="268"/>
      <c r="BR16" s="269"/>
      <c r="BS16" s="264"/>
      <c r="BT16" s="268"/>
      <c r="BU16" s="269"/>
      <c r="BV16" s="92"/>
      <c r="BW16" s="92"/>
      <c r="BX16" s="92"/>
      <c r="BY16" s="92"/>
      <c r="BZ16" s="265"/>
      <c r="CA16" s="92"/>
      <c r="CB16" s="92"/>
    </row>
    <row r="17" spans="1:80" ht="15.75" thickBot="1" x14ac:dyDescent="0.3">
      <c r="A17" s="6" t="s">
        <v>37</v>
      </c>
      <c r="B17" s="7"/>
      <c r="C17" s="7"/>
      <c r="D17" s="7"/>
      <c r="E17" s="7"/>
      <c r="F17" s="7"/>
      <c r="G17" s="7"/>
      <c r="H17" s="7"/>
      <c r="I17" s="7"/>
      <c r="J17" s="7"/>
      <c r="K17" s="7"/>
      <c r="L17" s="152"/>
      <c r="N17" s="94"/>
      <c r="O17" s="92"/>
      <c r="P17" s="92"/>
      <c r="Q17" s="92"/>
      <c r="R17" s="92"/>
      <c r="S17" s="92"/>
      <c r="T17" s="94"/>
      <c r="U17" s="264"/>
      <c r="V17" s="92"/>
      <c r="W17" s="92"/>
      <c r="X17" s="94"/>
      <c r="Y17" s="94"/>
      <c r="Z17" s="92"/>
      <c r="AA17" s="92"/>
      <c r="AB17" s="92"/>
      <c r="AC17" s="94"/>
      <c r="AD17" s="92"/>
      <c r="AE17" s="92"/>
      <c r="AF17" s="92"/>
      <c r="AG17" s="92"/>
      <c r="AH17" s="92"/>
      <c r="AI17" s="94"/>
      <c r="AJ17" s="265"/>
      <c r="AK17" s="266"/>
      <c r="AL17" s="92"/>
      <c r="AM17" s="92"/>
      <c r="AN17" s="92"/>
      <c r="AO17" s="92"/>
      <c r="AP17" s="92"/>
      <c r="AQ17" s="92"/>
      <c r="AR17" s="266"/>
      <c r="AS17" s="94"/>
      <c r="AT17" s="266"/>
      <c r="AU17" s="92"/>
      <c r="AV17" s="92"/>
      <c r="AW17" s="92"/>
      <c r="AX17" s="92"/>
      <c r="AY17" s="92"/>
      <c r="AZ17" s="267"/>
      <c r="BA17" s="267"/>
      <c r="BB17" s="267"/>
      <c r="BC17" s="267"/>
      <c r="BD17" s="267"/>
      <c r="BE17" s="267"/>
      <c r="BF17" s="267"/>
      <c r="BG17" s="267"/>
      <c r="BH17" s="92"/>
      <c r="BI17" s="267"/>
      <c r="BJ17" s="267"/>
      <c r="BK17" s="267"/>
      <c r="BL17" s="267"/>
      <c r="BM17" s="267"/>
      <c r="BN17" s="267"/>
      <c r="BO17" s="267"/>
      <c r="BP17" s="264"/>
      <c r="BQ17" s="268"/>
      <c r="BR17" s="269"/>
      <c r="BS17" s="264"/>
      <c r="BT17" s="268"/>
      <c r="BU17" s="269"/>
      <c r="BV17" s="92"/>
      <c r="BW17" s="92"/>
      <c r="BX17" s="92"/>
      <c r="BY17" s="92"/>
      <c r="BZ17" s="265"/>
      <c r="CA17" s="92"/>
      <c r="CB17" s="92"/>
    </row>
    <row r="18" spans="1:80" x14ac:dyDescent="0.25">
      <c r="A18" s="8" t="s">
        <v>38</v>
      </c>
      <c r="B18" s="9"/>
      <c r="C18" s="9"/>
      <c r="D18" s="9"/>
      <c r="E18" s="9"/>
      <c r="F18" s="9"/>
      <c r="G18" s="9"/>
      <c r="H18" s="9"/>
      <c r="I18" s="9"/>
      <c r="J18" s="9"/>
      <c r="K18" s="9"/>
      <c r="L18" s="152"/>
      <c r="N18" s="94"/>
      <c r="O18" s="92"/>
      <c r="P18" s="92"/>
      <c r="Q18" s="92"/>
      <c r="R18" s="92"/>
      <c r="S18" s="92"/>
      <c r="T18" s="94"/>
      <c r="U18" s="264"/>
      <c r="V18" s="92"/>
      <c r="W18" s="92"/>
      <c r="X18" s="94"/>
      <c r="Y18" s="94"/>
      <c r="Z18" s="92"/>
      <c r="AA18" s="92"/>
      <c r="AB18" s="92"/>
      <c r="AC18" s="94"/>
      <c r="AD18" s="92"/>
      <c r="AE18" s="92"/>
      <c r="AF18" s="92"/>
      <c r="AG18" s="92"/>
      <c r="AH18" s="92"/>
      <c r="AI18" s="94"/>
      <c r="AJ18" s="265"/>
      <c r="AK18" s="266"/>
      <c r="AL18" s="92"/>
      <c r="AM18" s="92"/>
      <c r="AN18" s="92"/>
      <c r="AO18" s="92"/>
      <c r="AP18" s="92"/>
      <c r="AQ18" s="92"/>
      <c r="AR18" s="266"/>
      <c r="AS18" s="94"/>
      <c r="AT18" s="266"/>
      <c r="AU18" s="92"/>
      <c r="AV18" s="92"/>
      <c r="AW18" s="92"/>
      <c r="AX18" s="92"/>
      <c r="AY18" s="92"/>
      <c r="AZ18" s="267"/>
      <c r="BA18" s="267"/>
      <c r="BB18" s="267"/>
      <c r="BC18" s="267"/>
      <c r="BD18" s="267"/>
      <c r="BE18" s="267"/>
      <c r="BF18" s="267"/>
      <c r="BG18" s="267"/>
      <c r="BH18" s="92"/>
      <c r="BI18" s="267"/>
      <c r="BJ18" s="267"/>
      <c r="BK18" s="267"/>
      <c r="BL18" s="267"/>
      <c r="BM18" s="267"/>
      <c r="BN18" s="267"/>
      <c r="BO18" s="267"/>
      <c r="BP18" s="264"/>
      <c r="BQ18" s="268"/>
      <c r="BR18" s="269"/>
      <c r="BS18" s="264"/>
      <c r="BT18" s="268"/>
      <c r="BU18" s="269"/>
      <c r="BV18" s="92"/>
      <c r="BW18" s="92"/>
      <c r="BX18" s="92"/>
      <c r="BY18" s="92"/>
      <c r="BZ18" s="265"/>
      <c r="CA18" s="92"/>
      <c r="CB18" s="92"/>
    </row>
    <row r="19" spans="1:80" x14ac:dyDescent="0.25">
      <c r="A19" s="10"/>
      <c r="B19" s="11" t="s">
        <v>39</v>
      </c>
      <c r="L19" s="152"/>
      <c r="N19" s="94"/>
      <c r="O19" s="92"/>
      <c r="P19" s="92"/>
      <c r="Q19" s="92"/>
      <c r="R19" s="92"/>
      <c r="S19" s="92"/>
      <c r="T19" s="94"/>
      <c r="U19" s="264"/>
      <c r="V19" s="92"/>
      <c r="W19" s="92"/>
      <c r="X19" s="94"/>
      <c r="Y19" s="94"/>
      <c r="Z19" s="92"/>
      <c r="AA19" s="92"/>
      <c r="AB19" s="92"/>
      <c r="AC19" s="94"/>
      <c r="AD19" s="92"/>
      <c r="AE19" s="92"/>
      <c r="AF19" s="92"/>
      <c r="AG19" s="92"/>
      <c r="AH19" s="92"/>
      <c r="AI19" s="94"/>
      <c r="AJ19" s="265"/>
      <c r="AK19" s="266"/>
      <c r="AL19" s="92"/>
      <c r="AM19" s="92"/>
      <c r="AN19" s="92"/>
      <c r="AO19" s="92"/>
      <c r="AP19" s="92"/>
      <c r="AQ19" s="92"/>
      <c r="AR19" s="266"/>
      <c r="AS19" s="94"/>
      <c r="AT19" s="266"/>
      <c r="AU19" s="92"/>
      <c r="AV19" s="92"/>
      <c r="AW19" s="92"/>
      <c r="AX19" s="92"/>
      <c r="AY19" s="92"/>
      <c r="AZ19" s="267"/>
      <c r="BA19" s="267"/>
      <c r="BB19" s="267"/>
      <c r="BC19" s="267"/>
      <c r="BD19" s="267"/>
      <c r="BE19" s="267"/>
      <c r="BF19" s="267"/>
      <c r="BG19" s="267"/>
      <c r="BH19" s="92"/>
      <c r="BI19" s="267"/>
      <c r="BJ19" s="267"/>
      <c r="BK19" s="267"/>
      <c r="BL19" s="267"/>
      <c r="BM19" s="267"/>
      <c r="BN19" s="267"/>
      <c r="BO19" s="267"/>
      <c r="BP19" s="264"/>
      <c r="BQ19" s="268"/>
      <c r="BR19" s="269"/>
      <c r="BS19" s="264"/>
      <c r="BT19" s="268"/>
      <c r="BU19" s="269"/>
      <c r="BV19" s="92"/>
      <c r="BW19" s="92"/>
      <c r="BX19" s="92"/>
      <c r="BY19" s="92"/>
      <c r="BZ19" s="265"/>
      <c r="CA19" s="92"/>
      <c r="CB19" s="92"/>
    </row>
    <row r="20" spans="1:80" x14ac:dyDescent="0.25">
      <c r="A20" s="10"/>
      <c r="B20" t="s">
        <v>326</v>
      </c>
      <c r="L20" s="152"/>
      <c r="N20" s="171"/>
      <c r="O20" s="171"/>
      <c r="P20" s="171"/>
      <c r="Q20" s="171"/>
    </row>
    <row r="21" spans="1:80" ht="15.75" thickBot="1" x14ac:dyDescent="0.3">
      <c r="A21" s="12"/>
      <c r="B21" s="13" t="s">
        <v>326</v>
      </c>
      <c r="C21" s="13"/>
      <c r="D21" s="13"/>
      <c r="E21" s="13"/>
      <c r="F21" s="13"/>
      <c r="G21" s="13"/>
      <c r="H21" s="13"/>
      <c r="I21" s="13"/>
      <c r="J21" s="13"/>
      <c r="K21" s="13"/>
      <c r="L21" s="152"/>
      <c r="N21" s="171"/>
      <c r="P21" s="171"/>
      <c r="Q21" s="171"/>
    </row>
    <row r="22" spans="1:80" ht="15.75" thickBot="1" x14ac:dyDescent="0.3">
      <c r="L22" s="152"/>
      <c r="N22" s="171"/>
      <c r="P22" s="171"/>
      <c r="Q22" s="171"/>
      <c r="W22" s="17"/>
    </row>
    <row r="23" spans="1:80" x14ac:dyDescent="0.25">
      <c r="A23" s="8" t="s">
        <v>16</v>
      </c>
      <c r="B23" s="284" t="s">
        <v>6</v>
      </c>
      <c r="C23" s="284" t="s">
        <v>434</v>
      </c>
      <c r="D23" s="285" t="s">
        <v>465</v>
      </c>
      <c r="E23" s="9" t="s">
        <v>438</v>
      </c>
      <c r="F23" s="9" t="s">
        <v>439</v>
      </c>
      <c r="G23" s="9"/>
      <c r="H23" s="9"/>
      <c r="I23" s="9"/>
      <c r="J23" s="9"/>
      <c r="K23" s="9"/>
      <c r="L23" s="152"/>
      <c r="N23" s="171"/>
      <c r="P23" s="171"/>
      <c r="Q23" s="171"/>
      <c r="W23" s="17"/>
      <c r="X23" s="17"/>
      <c r="Y23" s="17"/>
    </row>
    <row r="24" spans="1:80" x14ac:dyDescent="0.25">
      <c r="A24" s="10" t="s">
        <v>40</v>
      </c>
      <c r="B24" t="s">
        <v>554</v>
      </c>
      <c r="C24" s="17">
        <v>500</v>
      </c>
      <c r="D24" s="17"/>
      <c r="L24" s="152"/>
      <c r="N24" s="171"/>
      <c r="O24" s="171"/>
      <c r="P24" s="171"/>
      <c r="Q24" s="171"/>
      <c r="W24" s="17"/>
      <c r="X24" s="17"/>
      <c r="Y24" s="17"/>
    </row>
    <row r="25" spans="1:80" x14ac:dyDescent="0.25">
      <c r="A25" s="10" t="s">
        <v>41</v>
      </c>
      <c r="B25" t="s">
        <v>555</v>
      </c>
      <c r="C25" s="17">
        <v>200</v>
      </c>
      <c r="D25" s="17"/>
      <c r="L25" s="152"/>
      <c r="N25" s="171"/>
      <c r="O25" s="171"/>
      <c r="P25" s="171"/>
      <c r="Q25" s="171"/>
      <c r="W25" s="17"/>
      <c r="X25" s="17"/>
      <c r="Y25" s="17"/>
    </row>
    <row r="26" spans="1:80" x14ac:dyDescent="0.25">
      <c r="A26" s="10" t="s">
        <v>42</v>
      </c>
      <c r="B26" t="s">
        <v>622</v>
      </c>
      <c r="C26" s="17">
        <v>40</v>
      </c>
      <c r="D26" s="17"/>
      <c r="L26" s="152"/>
      <c r="P26" s="171"/>
      <c r="Q26" s="171"/>
      <c r="W26" s="17"/>
      <c r="X26" s="17"/>
    </row>
    <row r="27" spans="1:80" x14ac:dyDescent="0.25">
      <c r="A27" s="10" t="s">
        <v>43</v>
      </c>
      <c r="B27" t="s">
        <v>556</v>
      </c>
      <c r="C27" s="17">
        <v>80</v>
      </c>
      <c r="D27" s="17"/>
      <c r="L27" s="152"/>
      <c r="M27" s="17"/>
      <c r="N27" s="172">
        <f>B1</f>
        <v>0</v>
      </c>
      <c r="O27" s="172" t="str">
        <f>F10</f>
        <v>EPA-Leaf</v>
      </c>
      <c r="P27" s="172" t="str">
        <f>G10</f>
        <v>EPA-Tesla M3</v>
      </c>
      <c r="Q27" s="171"/>
      <c r="S27" s="173"/>
    </row>
    <row r="28" spans="1:80" ht="14.25" customHeight="1" x14ac:dyDescent="0.25">
      <c r="A28" s="10" t="s">
        <v>44</v>
      </c>
      <c r="B28" t="s">
        <v>623</v>
      </c>
      <c r="C28" s="17">
        <v>20</v>
      </c>
      <c r="D28" s="17"/>
      <c r="L28" s="152"/>
      <c r="M28" s="17"/>
      <c r="N28" s="174" t="s">
        <v>327</v>
      </c>
      <c r="O28" s="174" t="s">
        <v>328</v>
      </c>
      <c r="P28" s="174" t="s">
        <v>328</v>
      </c>
      <c r="Q28" s="171"/>
      <c r="S28" s="173"/>
    </row>
    <row r="29" spans="1:80" x14ac:dyDescent="0.25">
      <c r="A29" s="10" t="s">
        <v>45</v>
      </c>
      <c r="B29" t="s">
        <v>624</v>
      </c>
      <c r="C29" s="17">
        <v>20</v>
      </c>
      <c r="D29" s="17"/>
      <c r="L29" s="152"/>
      <c r="N29" s="175">
        <v>0</v>
      </c>
      <c r="O29" s="34">
        <f>N29*0.44704*($F$12+$F$13*N29+$F$14*N29*N29)*4.44822162/1000</f>
        <v>0</v>
      </c>
      <c r="P29" s="34">
        <f>N29*0.44704*($G$12+$G$13*N29+$G$14*N29*N29)*4.44822162/1000</f>
        <v>0</v>
      </c>
      <c r="Q29" s="171"/>
      <c r="S29" s="173"/>
    </row>
    <row r="30" spans="1:80" x14ac:dyDescent="0.25">
      <c r="A30" s="10" t="s">
        <v>329</v>
      </c>
      <c r="B30" t="s">
        <v>625</v>
      </c>
      <c r="C30" s="17">
        <v>20</v>
      </c>
      <c r="D30" s="17"/>
      <c r="L30" s="152"/>
      <c r="N30" s="175">
        <v>10</v>
      </c>
      <c r="O30" s="34">
        <f>N30*0.44704*($F$12+$F$13*N30+$F$14*N30*N30)*4.44822162/1000</f>
        <v>0.7062672631255148</v>
      </c>
      <c r="P30" s="34">
        <f t="shared" ref="P30:P37" si="0">N30*0.44704*($G$12+$G$13*N30+$G$14*N30*N30)*4.44822162/1000</f>
        <v>0.8056541421158947</v>
      </c>
      <c r="Q30" s="171"/>
      <c r="S30" s="173"/>
    </row>
    <row r="31" spans="1:80" x14ac:dyDescent="0.25">
      <c r="A31" s="10" t="s">
        <v>330</v>
      </c>
      <c r="B31" t="s">
        <v>626</v>
      </c>
      <c r="C31" s="17">
        <v>20</v>
      </c>
      <c r="D31" s="17"/>
      <c r="L31" s="152"/>
      <c r="N31" s="175">
        <v>20</v>
      </c>
      <c r="O31" s="34">
        <f t="shared" ref="O31:O37" si="1">N31*0.44704*($F$12+$F$13*N31+$F$14*N31*N31)*4.44822162/1000</f>
        <v>1.77321464052224</v>
      </c>
      <c r="P31" s="34">
        <f t="shared" si="0"/>
        <v>1.8024063048595507</v>
      </c>
      <c r="Q31" s="171"/>
    </row>
    <row r="32" spans="1:80" x14ac:dyDescent="0.25">
      <c r="A32" s="10"/>
      <c r="D32" s="17"/>
      <c r="L32" s="152"/>
      <c r="N32" s="175">
        <v>30</v>
      </c>
      <c r="O32" s="34">
        <f t="shared" si="1"/>
        <v>3.4342163642492198</v>
      </c>
      <c r="P32" s="34">
        <f t="shared" si="0"/>
        <v>3.1692244576013997</v>
      </c>
      <c r="Q32" s="171"/>
    </row>
    <row r="33" spans="1:17" x14ac:dyDescent="0.25">
      <c r="A33" s="10"/>
      <c r="D33" s="17"/>
      <c r="L33" s="152"/>
      <c r="N33" s="175">
        <v>40</v>
      </c>
      <c r="O33" s="34">
        <f t="shared" si="1"/>
        <v>5.9226466663654964</v>
      </c>
      <c r="P33" s="34">
        <f t="shared" si="0"/>
        <v>5.0850765697118741</v>
      </c>
      <c r="Q33" s="171"/>
    </row>
    <row r="34" spans="1:17" x14ac:dyDescent="0.25">
      <c r="A34" s="10"/>
      <c r="D34" s="17"/>
      <c r="L34" s="152"/>
      <c r="N34" s="175">
        <v>55</v>
      </c>
      <c r="O34" s="34">
        <f t="shared" si="1"/>
        <v>11.717226836649003</v>
      </c>
      <c r="P34" s="34">
        <f t="shared" si="0"/>
        <v>9.3797858446915789</v>
      </c>
      <c r="Q34" s="171"/>
    </row>
    <row r="35" spans="1:17" ht="15.75" thickBot="1" x14ac:dyDescent="0.3">
      <c r="A35" s="12"/>
      <c r="B35" s="13"/>
      <c r="C35" s="13"/>
      <c r="D35" s="13"/>
      <c r="E35" s="13"/>
      <c r="F35" s="13"/>
      <c r="G35" s="13"/>
      <c r="H35" s="13"/>
      <c r="I35" s="13"/>
      <c r="J35" s="13"/>
      <c r="K35" s="13"/>
      <c r="L35" s="152"/>
      <c r="N35" s="175">
        <v>65</v>
      </c>
      <c r="O35" s="34">
        <f t="shared" si="1"/>
        <v>17.295240849996837</v>
      </c>
      <c r="P35" s="34">
        <f t="shared" si="0"/>
        <v>13.451207721219257</v>
      </c>
      <c r="Q35" s="171"/>
    </row>
    <row r="36" spans="1:17" ht="14.45" customHeight="1" x14ac:dyDescent="0.25">
      <c r="A36" s="14" t="s">
        <v>435</v>
      </c>
      <c r="B36" s="9"/>
      <c r="C36" s="9"/>
      <c r="D36" s="9"/>
      <c r="E36" s="9"/>
      <c r="F36" s="9"/>
      <c r="G36" s="9"/>
      <c r="H36" s="9"/>
      <c r="I36" s="9"/>
      <c r="J36" s="9"/>
      <c r="K36" s="9"/>
      <c r="L36" s="152"/>
      <c r="N36" s="175">
        <v>70</v>
      </c>
      <c r="O36" s="34">
        <f t="shared" si="1"/>
        <v>20.68625136364054</v>
      </c>
      <c r="P36" s="34">
        <f t="shared" si="0"/>
        <v>15.916516355959372</v>
      </c>
      <c r="Q36" s="171"/>
    </row>
    <row r="37" spans="1:17" ht="18" customHeight="1" x14ac:dyDescent="0.25">
      <c r="A37" s="176"/>
      <c r="L37" s="152"/>
      <c r="N37" s="175">
        <v>80</v>
      </c>
      <c r="O37" s="34">
        <f t="shared" si="1"/>
        <v>28.818138299904437</v>
      </c>
      <c r="P37" s="34">
        <f t="shared" si="0"/>
        <v>21.818183999248667</v>
      </c>
      <c r="Q37" s="171"/>
    </row>
    <row r="38" spans="1:17" ht="14.45" customHeight="1" thickBot="1" x14ac:dyDescent="0.35">
      <c r="A38" s="10"/>
      <c r="B38" s="283" t="s">
        <v>331</v>
      </c>
      <c r="D38" s="283" t="s">
        <v>440</v>
      </c>
      <c r="E38" t="s">
        <v>456</v>
      </c>
      <c r="F38" t="s">
        <v>463</v>
      </c>
      <c r="G38" s="283" t="s">
        <v>335</v>
      </c>
      <c r="H38" t="s">
        <v>457</v>
      </c>
      <c r="L38" s="152"/>
    </row>
    <row r="39" spans="1:17" x14ac:dyDescent="0.25">
      <c r="A39" s="10"/>
      <c r="B39" s="276" t="s">
        <v>421</v>
      </c>
      <c r="C39">
        <v>1</v>
      </c>
      <c r="D39" s="287"/>
      <c r="E39" s="9"/>
      <c r="F39" s="88"/>
      <c r="G39" s="279"/>
      <c r="L39" s="152"/>
    </row>
    <row r="40" spans="1:17" x14ac:dyDescent="0.25">
      <c r="A40" s="10"/>
      <c r="B40" s="277" t="s">
        <v>422</v>
      </c>
      <c r="C40">
        <v>2</v>
      </c>
      <c r="D40" s="288"/>
      <c r="F40" s="84"/>
      <c r="G40" s="280"/>
      <c r="L40" s="152"/>
    </row>
    <row r="41" spans="1:17" x14ac:dyDescent="0.25">
      <c r="A41" s="10"/>
      <c r="B41" s="277" t="s">
        <v>423</v>
      </c>
      <c r="C41">
        <v>3</v>
      </c>
      <c r="D41" s="288"/>
      <c r="F41" s="84"/>
      <c r="G41" s="280"/>
      <c r="L41" s="152"/>
    </row>
    <row r="42" spans="1:17" x14ac:dyDescent="0.25">
      <c r="A42" s="10"/>
      <c r="B42" s="277" t="s">
        <v>424</v>
      </c>
      <c r="C42">
        <v>4</v>
      </c>
      <c r="D42" s="288"/>
      <c r="F42" s="84"/>
      <c r="G42" s="280"/>
      <c r="L42" s="152"/>
    </row>
    <row r="43" spans="1:17" x14ac:dyDescent="0.25">
      <c r="A43" s="10"/>
      <c r="B43" s="277" t="s">
        <v>425</v>
      </c>
      <c r="C43">
        <v>5</v>
      </c>
      <c r="D43" s="288"/>
      <c r="F43" s="84"/>
      <c r="G43" s="280"/>
      <c r="L43" s="152"/>
      <c r="N43" t="s">
        <v>332</v>
      </c>
    </row>
    <row r="44" spans="1:17" x14ac:dyDescent="0.25">
      <c r="A44" s="10"/>
      <c r="B44" s="277" t="s">
        <v>426</v>
      </c>
      <c r="C44">
        <v>6</v>
      </c>
      <c r="D44" s="288"/>
      <c r="F44" s="84"/>
      <c r="G44" s="280"/>
      <c r="L44" s="152"/>
      <c r="N44" t="s">
        <v>379</v>
      </c>
    </row>
    <row r="45" spans="1:17" ht="15.75" customHeight="1" x14ac:dyDescent="0.25">
      <c r="A45" s="10"/>
      <c r="B45" s="277" t="s">
        <v>427</v>
      </c>
      <c r="C45">
        <v>7</v>
      </c>
      <c r="D45" s="288"/>
      <c r="F45" s="84"/>
      <c r="G45" s="280"/>
      <c r="L45" s="152"/>
      <c r="N45" s="172">
        <f>B1</f>
        <v>0</v>
      </c>
      <c r="O45" s="172"/>
    </row>
    <row r="46" spans="1:17" ht="18.600000000000001" customHeight="1" thickBot="1" x14ac:dyDescent="0.3">
      <c r="A46" s="10"/>
      <c r="B46" s="277" t="s">
        <v>428</v>
      </c>
      <c r="C46">
        <v>8</v>
      </c>
      <c r="D46" s="300"/>
      <c r="E46" s="13"/>
      <c r="F46" s="87"/>
      <c r="G46" s="280"/>
      <c r="L46" s="152"/>
      <c r="N46" s="177" t="s">
        <v>333</v>
      </c>
      <c r="O46" s="177" t="s">
        <v>334</v>
      </c>
      <c r="P46" s="17" t="s">
        <v>384</v>
      </c>
    </row>
    <row r="47" spans="1:17" x14ac:dyDescent="0.25">
      <c r="A47" s="10"/>
      <c r="B47" s="277" t="s">
        <v>429</v>
      </c>
      <c r="C47">
        <v>9</v>
      </c>
      <c r="D47" s="287"/>
      <c r="E47" s="9"/>
      <c r="F47" s="88"/>
      <c r="G47" s="282"/>
      <c r="L47" s="152"/>
      <c r="N47" s="175">
        <v>10</v>
      </c>
      <c r="O47" s="175">
        <v>138.9</v>
      </c>
      <c r="P47" s="17">
        <v>1360</v>
      </c>
    </row>
    <row r="48" spans="1:17" x14ac:dyDescent="0.25">
      <c r="A48" s="10"/>
      <c r="B48" s="277" t="s">
        <v>430</v>
      </c>
      <c r="C48">
        <v>10</v>
      </c>
      <c r="D48" s="288"/>
      <c r="F48" s="84"/>
      <c r="G48" s="280"/>
      <c r="L48" s="152"/>
      <c r="N48" s="175">
        <v>20</v>
      </c>
      <c r="O48" s="175">
        <v>278</v>
      </c>
      <c r="P48" s="17">
        <v>2720</v>
      </c>
    </row>
    <row r="49" spans="1:16" x14ac:dyDescent="0.25">
      <c r="A49" s="10"/>
      <c r="B49" s="277" t="s">
        <v>431</v>
      </c>
      <c r="C49">
        <v>11</v>
      </c>
      <c r="D49" s="288"/>
      <c r="F49" s="84"/>
      <c r="G49" s="280"/>
      <c r="L49" s="152"/>
      <c r="N49" s="175">
        <v>30</v>
      </c>
      <c r="O49" s="175">
        <v>416.9</v>
      </c>
      <c r="P49" s="17">
        <v>4080</v>
      </c>
    </row>
    <row r="50" spans="1:16" x14ac:dyDescent="0.25">
      <c r="A50" s="10"/>
      <c r="B50" s="277" t="s">
        <v>432</v>
      </c>
      <c r="C50">
        <v>12</v>
      </c>
      <c r="D50" s="288"/>
      <c r="F50" s="84"/>
      <c r="G50" s="280"/>
      <c r="L50" s="152"/>
      <c r="N50" s="175">
        <v>40</v>
      </c>
      <c r="O50" s="175">
        <v>555.5</v>
      </c>
      <c r="P50" s="17">
        <v>5440</v>
      </c>
    </row>
    <row r="51" spans="1:16" x14ac:dyDescent="0.25">
      <c r="A51" s="10"/>
      <c r="B51" s="277" t="s">
        <v>433</v>
      </c>
      <c r="C51">
        <v>13</v>
      </c>
      <c r="D51" s="288"/>
      <c r="F51" s="84"/>
      <c r="G51" s="280"/>
      <c r="L51" s="152"/>
      <c r="N51" s="175">
        <v>50</v>
      </c>
      <c r="O51" s="175">
        <v>697.3</v>
      </c>
      <c r="P51" s="17">
        <v>6800</v>
      </c>
    </row>
    <row r="52" spans="1:16" x14ac:dyDescent="0.25">
      <c r="A52" s="10"/>
      <c r="B52" s="277" t="s">
        <v>459</v>
      </c>
      <c r="C52">
        <v>14</v>
      </c>
      <c r="D52" s="288"/>
      <c r="F52" s="84"/>
      <c r="G52" s="280"/>
      <c r="L52" s="152"/>
      <c r="N52" s="175">
        <v>60</v>
      </c>
      <c r="O52" s="175">
        <v>832.7</v>
      </c>
      <c r="P52" s="17">
        <v>8160</v>
      </c>
    </row>
    <row r="53" spans="1:16" x14ac:dyDescent="0.25">
      <c r="A53" s="10"/>
      <c r="B53" s="277" t="s">
        <v>460</v>
      </c>
      <c r="C53">
        <v>15</v>
      </c>
      <c r="D53" s="288"/>
      <c r="F53" s="84"/>
      <c r="G53" s="280"/>
      <c r="L53" s="152"/>
      <c r="N53" s="175">
        <v>70</v>
      </c>
      <c r="O53" s="175">
        <v>970.6</v>
      </c>
      <c r="P53" s="17">
        <v>9520</v>
      </c>
    </row>
    <row r="54" spans="1:16" ht="15.75" thickBot="1" x14ac:dyDescent="0.3">
      <c r="A54" s="10"/>
      <c r="B54" s="277" t="s">
        <v>461</v>
      </c>
      <c r="C54">
        <v>16</v>
      </c>
      <c r="D54" s="301"/>
      <c r="E54" s="13"/>
      <c r="F54" s="87"/>
      <c r="G54" s="280"/>
      <c r="L54" s="152"/>
      <c r="N54" s="175">
        <v>80</v>
      </c>
      <c r="O54" s="175">
        <v>1108</v>
      </c>
      <c r="P54" s="17">
        <v>10880</v>
      </c>
    </row>
    <row r="55" spans="1:16" x14ac:dyDescent="0.25">
      <c r="A55" s="10"/>
      <c r="B55" s="277"/>
      <c r="D55" s="286"/>
      <c r="G55" s="280"/>
      <c r="L55" s="152"/>
    </row>
    <row r="56" spans="1:16" ht="15.75" thickBot="1" x14ac:dyDescent="0.3">
      <c r="A56" s="10"/>
      <c r="B56" s="278" t="s">
        <v>458</v>
      </c>
      <c r="D56" s="286"/>
      <c r="G56" s="280"/>
      <c r="L56" s="152"/>
    </row>
    <row r="57" spans="1:16" x14ac:dyDescent="0.25">
      <c r="A57" s="10"/>
      <c r="B57" s="92"/>
      <c r="D57" s="286"/>
      <c r="G57" s="280"/>
      <c r="L57" s="152"/>
    </row>
    <row r="58" spans="1:16" x14ac:dyDescent="0.25">
      <c r="A58" s="10"/>
      <c r="D58" s="286"/>
      <c r="G58" s="280"/>
      <c r="L58" s="152"/>
    </row>
    <row r="59" spans="1:16" x14ac:dyDescent="0.25">
      <c r="A59" s="10"/>
      <c r="D59" s="286"/>
      <c r="G59" s="280"/>
      <c r="L59" s="152"/>
    </row>
    <row r="60" spans="1:16" x14ac:dyDescent="0.25">
      <c r="A60" s="10"/>
      <c r="D60" s="286"/>
      <c r="G60" s="280"/>
      <c r="L60" s="152"/>
    </row>
    <row r="61" spans="1:16" x14ac:dyDescent="0.25">
      <c r="A61" s="10"/>
      <c r="D61" s="286"/>
      <c r="G61" s="280"/>
      <c r="L61" s="152"/>
    </row>
    <row r="62" spans="1:16" ht="15.75" thickBot="1" x14ac:dyDescent="0.3">
      <c r="A62" s="10"/>
      <c r="D62" s="286"/>
      <c r="G62" s="281"/>
      <c r="L62" s="152"/>
    </row>
    <row r="63" spans="1:16" x14ac:dyDescent="0.25">
      <c r="A63" s="10"/>
      <c r="L63" s="152"/>
    </row>
    <row r="64" spans="1:16" x14ac:dyDescent="0.25">
      <c r="A64" s="10"/>
      <c r="L64" s="152"/>
    </row>
    <row r="65" spans="1:12" ht="15.75" customHeight="1" x14ac:dyDescent="0.25">
      <c r="L65" s="152"/>
    </row>
    <row r="66" spans="1:12" x14ac:dyDescent="0.25">
      <c r="A66" s="152"/>
      <c r="B66" s="152"/>
      <c r="C66" s="152"/>
      <c r="D66" s="152"/>
      <c r="E66" s="152"/>
      <c r="F66" s="152"/>
      <c r="G66" s="152"/>
      <c r="H66" s="152"/>
      <c r="I66" s="152"/>
      <c r="J66" s="152"/>
      <c r="K66" s="152"/>
      <c r="L66" s="152"/>
    </row>
    <row r="80" spans="1:12" x14ac:dyDescent="0.25">
      <c r="A80">
        <v>1</v>
      </c>
      <c r="B80" s="288" t="s">
        <v>442</v>
      </c>
      <c r="D80" s="288" t="s">
        <v>450</v>
      </c>
    </row>
    <row r="81" spans="1:4" x14ac:dyDescent="0.25">
      <c r="A81">
        <v>2</v>
      </c>
      <c r="B81" s="288" t="s">
        <v>443</v>
      </c>
      <c r="D81" s="288" t="s">
        <v>453</v>
      </c>
    </row>
    <row r="82" spans="1:4" x14ac:dyDescent="0.25">
      <c r="A82">
        <v>3</v>
      </c>
      <c r="B82" s="288" t="s">
        <v>448</v>
      </c>
      <c r="D82" s="288" t="s">
        <v>454</v>
      </c>
    </row>
    <row r="83" spans="1:4" ht="15.75" thickBot="1" x14ac:dyDescent="0.3">
      <c r="A83">
        <v>4</v>
      </c>
      <c r="B83" s="288" t="s">
        <v>449</v>
      </c>
      <c r="D83" s="288" t="s">
        <v>451</v>
      </c>
    </row>
    <row r="84" spans="1:4" x14ac:dyDescent="0.25">
      <c r="B84" s="288" t="s">
        <v>444</v>
      </c>
      <c r="D84" s="287" t="s">
        <v>441</v>
      </c>
    </row>
    <row r="85" spans="1:4" x14ac:dyDescent="0.25">
      <c r="B85" s="288" t="s">
        <v>445</v>
      </c>
      <c r="D85" s="288" t="s">
        <v>464</v>
      </c>
    </row>
    <row r="86" spans="1:4" x14ac:dyDescent="0.25">
      <c r="B86" s="288" t="s">
        <v>446</v>
      </c>
      <c r="D86" s="288" t="s">
        <v>455</v>
      </c>
    </row>
    <row r="87" spans="1:4" x14ac:dyDescent="0.25">
      <c r="B87" s="289" t="s">
        <v>447</v>
      </c>
      <c r="D87" s="288" t="s">
        <v>452</v>
      </c>
    </row>
  </sheetData>
  <mergeCells count="2">
    <mergeCell ref="D1:E1"/>
    <mergeCell ref="E9:I9"/>
  </mergeCells>
  <hyperlinks>
    <hyperlink ref="P1" r:id="rId1" xr:uid="{00000000-0004-0000-0500-000000000000}"/>
  </hyperlinks>
  <pageMargins left="0.7" right="0.7" top="0.75" bottom="0.75" header="0.3" footer="0.3"/>
  <pageSetup scale="10" fitToHeight="0" orientation="portrait" verticalDpi="300"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P17"/>
  <sheetViews>
    <sheetView topLeftCell="AR1" workbookViewId="0">
      <selection activeCell="BF25" sqref="BF25"/>
    </sheetView>
  </sheetViews>
  <sheetFormatPr defaultRowHeight="15" x14ac:dyDescent="0.25"/>
  <cols>
    <col min="58" max="58" width="14.5703125" bestFit="1" customWidth="1"/>
    <col min="59" max="59" width="19.42578125" bestFit="1" customWidth="1"/>
    <col min="60" max="60" width="22.5703125" bestFit="1" customWidth="1"/>
  </cols>
  <sheetData>
    <row r="1" spans="1:68" x14ac:dyDescent="0.25">
      <c r="A1" s="353" t="s">
        <v>234</v>
      </c>
      <c r="B1" s="353" t="s">
        <v>114</v>
      </c>
      <c r="C1" s="353" t="s">
        <v>115</v>
      </c>
      <c r="D1" s="353" t="s">
        <v>99</v>
      </c>
      <c r="E1" s="353" t="s">
        <v>100</v>
      </c>
      <c r="F1" s="353" t="s">
        <v>101</v>
      </c>
      <c r="G1" s="353" t="s">
        <v>116</v>
      </c>
      <c r="H1" s="353" t="s">
        <v>117</v>
      </c>
      <c r="I1" s="353" t="s">
        <v>118</v>
      </c>
      <c r="J1" s="353" t="s">
        <v>102</v>
      </c>
      <c r="K1" s="353" t="s">
        <v>119</v>
      </c>
      <c r="L1" s="353" t="s">
        <v>120</v>
      </c>
      <c r="M1" s="353" t="s">
        <v>121</v>
      </c>
      <c r="N1" s="353" t="s">
        <v>122</v>
      </c>
      <c r="O1" s="353" t="s">
        <v>123</v>
      </c>
      <c r="P1" s="353" t="s">
        <v>103</v>
      </c>
      <c r="Q1" s="353" t="s">
        <v>124</v>
      </c>
      <c r="R1" s="353" t="s">
        <v>125</v>
      </c>
      <c r="S1" s="353" t="s">
        <v>126</v>
      </c>
      <c r="T1" s="353" t="s">
        <v>127</v>
      </c>
      <c r="U1" s="353" t="s">
        <v>128</v>
      </c>
      <c r="V1" s="353" t="s">
        <v>129</v>
      </c>
      <c r="W1" s="353" t="s">
        <v>130</v>
      </c>
      <c r="X1" s="353" t="s">
        <v>131</v>
      </c>
      <c r="Y1" s="353" t="s">
        <v>132</v>
      </c>
      <c r="Z1" s="353" t="s">
        <v>133</v>
      </c>
      <c r="AA1" s="353" t="s">
        <v>134</v>
      </c>
      <c r="AB1" s="353" t="s">
        <v>135</v>
      </c>
      <c r="AC1" s="353" t="s">
        <v>136</v>
      </c>
      <c r="AD1" s="353" t="s">
        <v>373</v>
      </c>
      <c r="AE1" s="353" t="s">
        <v>374</v>
      </c>
      <c r="AF1" s="353" t="s">
        <v>375</v>
      </c>
      <c r="AG1" s="353" t="s">
        <v>376</v>
      </c>
      <c r="AH1" s="353" t="s">
        <v>137</v>
      </c>
      <c r="AI1" s="353" t="s">
        <v>138</v>
      </c>
      <c r="AJ1" s="353" t="s">
        <v>139</v>
      </c>
      <c r="AK1" s="353" t="s">
        <v>140</v>
      </c>
      <c r="AL1" s="353" t="s">
        <v>141</v>
      </c>
      <c r="AM1" s="353" t="s">
        <v>142</v>
      </c>
      <c r="AN1" s="353" t="s">
        <v>143</v>
      </c>
      <c r="AO1" s="353" t="s">
        <v>144</v>
      </c>
      <c r="AP1" s="353" t="s">
        <v>145</v>
      </c>
      <c r="AQ1" s="353" t="s">
        <v>146</v>
      </c>
      <c r="AR1" s="353" t="s">
        <v>147</v>
      </c>
      <c r="AS1" s="353" t="s">
        <v>148</v>
      </c>
      <c r="AT1" s="353" t="s">
        <v>149</v>
      </c>
      <c r="AU1" s="353" t="s">
        <v>150</v>
      </c>
      <c r="AV1" s="353" t="s">
        <v>151</v>
      </c>
      <c r="AW1" s="353" t="s">
        <v>152</v>
      </c>
      <c r="AX1" s="353" t="s">
        <v>153</v>
      </c>
      <c r="AY1" s="353" t="s">
        <v>154</v>
      </c>
      <c r="AZ1" s="353" t="s">
        <v>407</v>
      </c>
      <c r="BA1" s="353" t="s">
        <v>408</v>
      </c>
      <c r="BB1" s="353" t="s">
        <v>409</v>
      </c>
      <c r="BC1" s="353" t="s">
        <v>155</v>
      </c>
      <c r="BD1" s="353" t="s">
        <v>156</v>
      </c>
      <c r="BE1" s="353" t="s">
        <v>157</v>
      </c>
      <c r="BF1" s="353" t="s">
        <v>158</v>
      </c>
      <c r="BG1" s="353" t="s">
        <v>159</v>
      </c>
      <c r="BH1" s="353" t="s">
        <v>160</v>
      </c>
      <c r="BI1" s="353" t="s">
        <v>161</v>
      </c>
      <c r="BJ1" s="353" t="s">
        <v>162</v>
      </c>
      <c r="BK1" s="353" t="s">
        <v>163</v>
      </c>
      <c r="BL1" s="353" t="s">
        <v>164</v>
      </c>
      <c r="BM1" s="353" t="s">
        <v>165</v>
      </c>
      <c r="BN1" s="353" t="s">
        <v>166</v>
      </c>
      <c r="BO1" s="353" t="s">
        <v>167</v>
      </c>
      <c r="BP1" s="175"/>
    </row>
    <row r="2" spans="1:68" x14ac:dyDescent="0.25">
      <c r="A2" s="94">
        <v>2019</v>
      </c>
      <c r="B2" s="92" t="s">
        <v>558</v>
      </c>
      <c r="C2" s="92" t="s">
        <v>559</v>
      </c>
      <c r="D2" s="92" t="s">
        <v>560</v>
      </c>
      <c r="E2" s="92" t="s">
        <v>561</v>
      </c>
      <c r="F2" s="92" t="s">
        <v>562</v>
      </c>
      <c r="G2" s="94">
        <v>0</v>
      </c>
      <c r="H2" s="264">
        <v>99.998999999999995</v>
      </c>
      <c r="I2" s="92" t="s">
        <v>563</v>
      </c>
      <c r="J2" s="92" t="s">
        <v>564</v>
      </c>
      <c r="K2" s="94">
        <v>147</v>
      </c>
      <c r="L2" s="94"/>
      <c r="M2" s="92" t="s">
        <v>565</v>
      </c>
      <c r="N2" s="92" t="s">
        <v>566</v>
      </c>
      <c r="O2" s="92" t="s">
        <v>567</v>
      </c>
      <c r="P2" s="94">
        <v>1</v>
      </c>
      <c r="Q2" s="92" t="s">
        <v>568</v>
      </c>
      <c r="R2" s="92" t="s">
        <v>569</v>
      </c>
      <c r="S2" s="92" t="s">
        <v>570</v>
      </c>
      <c r="T2" s="92" t="s">
        <v>571</v>
      </c>
      <c r="U2" s="92" t="s">
        <v>572</v>
      </c>
      <c r="V2" s="94">
        <v>3875</v>
      </c>
      <c r="W2" s="265">
        <v>8.19</v>
      </c>
      <c r="X2" s="266">
        <v>112.5</v>
      </c>
      <c r="Y2" s="92" t="s">
        <v>571</v>
      </c>
      <c r="Z2" s="92" t="s">
        <v>573</v>
      </c>
      <c r="AA2" s="92" t="s">
        <v>574</v>
      </c>
      <c r="AB2" s="92" t="s">
        <v>575</v>
      </c>
      <c r="AC2" s="92" t="s">
        <v>24</v>
      </c>
      <c r="AD2" s="92" t="s">
        <v>576</v>
      </c>
      <c r="AE2" s="266"/>
      <c r="AF2" s="94"/>
      <c r="AG2" s="266"/>
      <c r="AH2" s="92" t="s">
        <v>577</v>
      </c>
      <c r="AI2" s="92" t="s">
        <v>578</v>
      </c>
      <c r="AJ2" s="92" t="s">
        <v>579</v>
      </c>
      <c r="AK2" s="92" t="s">
        <v>580</v>
      </c>
      <c r="AL2" s="92" t="s">
        <v>581</v>
      </c>
      <c r="AM2" s="267"/>
      <c r="AN2" s="267"/>
      <c r="AO2" s="267"/>
      <c r="AP2" s="267"/>
      <c r="AQ2" s="267"/>
      <c r="AR2" s="267"/>
      <c r="AS2" s="267"/>
      <c r="AT2" s="267">
        <v>141.1</v>
      </c>
      <c r="AU2" s="92" t="s">
        <v>582</v>
      </c>
      <c r="AV2" s="267"/>
      <c r="AW2" s="267"/>
      <c r="AX2" s="267"/>
      <c r="AY2" s="267"/>
      <c r="AZ2" s="267"/>
      <c r="BA2" s="267"/>
      <c r="BB2" s="267"/>
      <c r="BC2" s="264">
        <v>25.89</v>
      </c>
      <c r="BD2" s="268">
        <v>0.34489999999999998</v>
      </c>
      <c r="BE2" s="269">
        <v>1.9449999999999999E-2</v>
      </c>
      <c r="BF2" s="264">
        <v>5.62</v>
      </c>
      <c r="BG2" s="268">
        <v>0.31040000000000001</v>
      </c>
      <c r="BH2" s="269">
        <v>1.7770000000000001E-2</v>
      </c>
      <c r="BI2" s="92" t="s">
        <v>576</v>
      </c>
      <c r="BJ2" s="92" t="s">
        <v>576</v>
      </c>
      <c r="BK2" s="92" t="s">
        <v>583</v>
      </c>
      <c r="BL2" s="92" t="s">
        <v>569</v>
      </c>
      <c r="BM2" s="266">
        <v>0.5</v>
      </c>
      <c r="BN2" s="92" t="s">
        <v>584</v>
      </c>
      <c r="BO2" s="92" t="s">
        <v>585</v>
      </c>
    </row>
    <row r="3" spans="1:68" x14ac:dyDescent="0.25">
      <c r="A3" s="94">
        <v>2019</v>
      </c>
      <c r="B3" s="92" t="s">
        <v>558</v>
      </c>
      <c r="C3" s="92" t="s">
        <v>559</v>
      </c>
      <c r="D3" s="92" t="s">
        <v>560</v>
      </c>
      <c r="E3" s="92" t="s">
        <v>561</v>
      </c>
      <c r="F3" s="92" t="s">
        <v>562</v>
      </c>
      <c r="G3" s="94">
        <v>0</v>
      </c>
      <c r="H3" s="264">
        <v>99.998999999999995</v>
      </c>
      <c r="I3" s="92" t="s">
        <v>563</v>
      </c>
      <c r="J3" s="92" t="s">
        <v>564</v>
      </c>
      <c r="K3" s="94">
        <v>147</v>
      </c>
      <c r="L3" s="94"/>
      <c r="M3" s="92" t="s">
        <v>565</v>
      </c>
      <c r="N3" s="92" t="s">
        <v>566</v>
      </c>
      <c r="O3" s="92" t="s">
        <v>567</v>
      </c>
      <c r="P3" s="94">
        <v>1</v>
      </c>
      <c r="Q3" s="92" t="s">
        <v>568</v>
      </c>
      <c r="R3" s="92" t="s">
        <v>569</v>
      </c>
      <c r="S3" s="92" t="s">
        <v>570</v>
      </c>
      <c r="T3" s="92" t="s">
        <v>571</v>
      </c>
      <c r="U3" s="92" t="s">
        <v>572</v>
      </c>
      <c r="V3" s="94">
        <v>3875</v>
      </c>
      <c r="W3" s="265">
        <v>8.19</v>
      </c>
      <c r="X3" s="266">
        <v>112.5</v>
      </c>
      <c r="Y3" s="92" t="s">
        <v>571</v>
      </c>
      <c r="Z3" s="92" t="s">
        <v>573</v>
      </c>
      <c r="AA3" s="92" t="s">
        <v>586</v>
      </c>
      <c r="AB3" s="92" t="s">
        <v>575</v>
      </c>
      <c r="AC3" s="92" t="s">
        <v>24</v>
      </c>
      <c r="AD3" s="92" t="s">
        <v>576</v>
      </c>
      <c r="AE3" s="266"/>
      <c r="AF3" s="94"/>
      <c r="AG3" s="266"/>
      <c r="AH3" s="92" t="s">
        <v>587</v>
      </c>
      <c r="AI3" s="92" t="s">
        <v>588</v>
      </c>
      <c r="AJ3" s="92" t="s">
        <v>579</v>
      </c>
      <c r="AK3" s="92" t="s">
        <v>580</v>
      </c>
      <c r="AL3" s="92" t="s">
        <v>581</v>
      </c>
      <c r="AM3" s="267"/>
      <c r="AN3" s="267"/>
      <c r="AO3" s="267"/>
      <c r="AP3" s="267"/>
      <c r="AQ3" s="267"/>
      <c r="AR3" s="267"/>
      <c r="AS3" s="267"/>
      <c r="AT3" s="267">
        <v>174</v>
      </c>
      <c r="AU3" s="92" t="s">
        <v>582</v>
      </c>
      <c r="AV3" s="267"/>
      <c r="AW3" s="267"/>
      <c r="AX3" s="267"/>
      <c r="AY3" s="267"/>
      <c r="AZ3" s="267"/>
      <c r="BA3" s="267"/>
      <c r="BB3" s="267"/>
      <c r="BC3" s="264">
        <v>25.89</v>
      </c>
      <c r="BD3" s="268">
        <v>0.34489999999999998</v>
      </c>
      <c r="BE3" s="269">
        <v>1.9449999999999999E-2</v>
      </c>
      <c r="BF3" s="264">
        <v>5.62</v>
      </c>
      <c r="BG3" s="268">
        <v>0.31040000000000001</v>
      </c>
      <c r="BH3" s="269">
        <v>1.7770000000000001E-2</v>
      </c>
      <c r="BI3" s="92" t="s">
        <v>576</v>
      </c>
      <c r="BJ3" s="92" t="s">
        <v>576</v>
      </c>
      <c r="BK3" s="92" t="s">
        <v>583</v>
      </c>
      <c r="BL3" s="92" t="s">
        <v>589</v>
      </c>
      <c r="BM3" s="266">
        <v>0.5</v>
      </c>
      <c r="BN3" s="92" t="s">
        <v>584</v>
      </c>
      <c r="BO3" s="92" t="s">
        <v>585</v>
      </c>
    </row>
    <row r="4" spans="1:68" x14ac:dyDescent="0.25">
      <c r="A4" s="94">
        <v>2019</v>
      </c>
      <c r="B4" s="92" t="s">
        <v>558</v>
      </c>
      <c r="C4" s="92" t="s">
        <v>559</v>
      </c>
      <c r="D4" s="92" t="s">
        <v>560</v>
      </c>
      <c r="E4" s="92" t="s">
        <v>561</v>
      </c>
      <c r="F4" s="92" t="s">
        <v>562</v>
      </c>
      <c r="G4" s="94">
        <v>1</v>
      </c>
      <c r="H4" s="264">
        <v>99.998999999999995</v>
      </c>
      <c r="I4" s="92" t="s">
        <v>563</v>
      </c>
      <c r="J4" s="92" t="s">
        <v>564</v>
      </c>
      <c r="K4" s="94">
        <v>147</v>
      </c>
      <c r="L4" s="94"/>
      <c r="M4" s="92" t="s">
        <v>565</v>
      </c>
      <c r="N4" s="92" t="s">
        <v>566</v>
      </c>
      <c r="O4" s="92" t="s">
        <v>567</v>
      </c>
      <c r="P4" s="94">
        <v>1</v>
      </c>
      <c r="Q4" s="92" t="s">
        <v>568</v>
      </c>
      <c r="R4" s="92" t="s">
        <v>569</v>
      </c>
      <c r="S4" s="92" t="s">
        <v>570</v>
      </c>
      <c r="T4" s="92" t="s">
        <v>571</v>
      </c>
      <c r="U4" s="92" t="s">
        <v>572</v>
      </c>
      <c r="V4" s="94">
        <v>3875</v>
      </c>
      <c r="W4" s="265">
        <v>8.19</v>
      </c>
      <c r="X4" s="266">
        <v>112.5</v>
      </c>
      <c r="Y4" s="92" t="s">
        <v>571</v>
      </c>
      <c r="Z4" s="92" t="s">
        <v>573</v>
      </c>
      <c r="AA4" s="92" t="s">
        <v>590</v>
      </c>
      <c r="AB4" s="92" t="s">
        <v>575</v>
      </c>
      <c r="AC4" s="92" t="s">
        <v>24</v>
      </c>
      <c r="AD4" s="92" t="s">
        <v>576</v>
      </c>
      <c r="AE4" s="266"/>
      <c r="AF4" s="94"/>
      <c r="AG4" s="266"/>
      <c r="AH4" s="92" t="s">
        <v>587</v>
      </c>
      <c r="AI4" s="92" t="s">
        <v>588</v>
      </c>
      <c r="AJ4" s="92" t="s">
        <v>579</v>
      </c>
      <c r="AK4" s="92" t="s">
        <v>580</v>
      </c>
      <c r="AL4" s="92" t="s">
        <v>581</v>
      </c>
      <c r="AM4" s="267"/>
      <c r="AN4" s="267"/>
      <c r="AO4" s="267"/>
      <c r="AP4" s="267"/>
      <c r="AQ4" s="267"/>
      <c r="AR4" s="267"/>
      <c r="AS4" s="267"/>
      <c r="AT4" s="267">
        <v>177.1</v>
      </c>
      <c r="AU4" s="92" t="s">
        <v>582</v>
      </c>
      <c r="AV4" s="267"/>
      <c r="AW4" s="267"/>
      <c r="AX4" s="267"/>
      <c r="AY4" s="267"/>
      <c r="AZ4" s="267"/>
      <c r="BA4" s="267"/>
      <c r="BB4" s="267"/>
      <c r="BC4" s="264">
        <v>25.89</v>
      </c>
      <c r="BD4" s="268">
        <v>0.34489999999999998</v>
      </c>
      <c r="BE4" s="269">
        <v>1.9449999999999999E-2</v>
      </c>
      <c r="BF4" s="264">
        <v>5.62</v>
      </c>
      <c r="BG4" s="268">
        <v>0.31040000000000001</v>
      </c>
      <c r="BH4" s="269">
        <v>1.7770000000000001E-2</v>
      </c>
      <c r="BI4" s="92" t="s">
        <v>576</v>
      </c>
      <c r="BJ4" s="92" t="s">
        <v>576</v>
      </c>
      <c r="BK4" s="92" t="s">
        <v>583</v>
      </c>
      <c r="BL4" s="92" t="s">
        <v>589</v>
      </c>
      <c r="BM4" s="266">
        <v>0.5</v>
      </c>
      <c r="BN4" s="92" t="s">
        <v>584</v>
      </c>
      <c r="BO4" s="92" t="s">
        <v>585</v>
      </c>
    </row>
    <row r="5" spans="1:68" x14ac:dyDescent="0.25">
      <c r="A5" s="94">
        <v>2019</v>
      </c>
      <c r="B5" s="92" t="s">
        <v>558</v>
      </c>
      <c r="C5" s="92" t="s">
        <v>559</v>
      </c>
      <c r="D5" s="92" t="s">
        <v>560</v>
      </c>
      <c r="E5" s="92" t="s">
        <v>561</v>
      </c>
      <c r="F5" s="92" t="s">
        <v>562</v>
      </c>
      <c r="G5" s="94">
        <v>1</v>
      </c>
      <c r="H5" s="264">
        <v>99.998999999999995</v>
      </c>
      <c r="I5" s="92" t="s">
        <v>563</v>
      </c>
      <c r="J5" s="92" t="s">
        <v>564</v>
      </c>
      <c r="K5" s="94">
        <v>147</v>
      </c>
      <c r="L5" s="94"/>
      <c r="M5" s="92" t="s">
        <v>565</v>
      </c>
      <c r="N5" s="92" t="s">
        <v>566</v>
      </c>
      <c r="O5" s="92" t="s">
        <v>567</v>
      </c>
      <c r="P5" s="94">
        <v>1</v>
      </c>
      <c r="Q5" s="92" t="s">
        <v>568</v>
      </c>
      <c r="R5" s="92" t="s">
        <v>569</v>
      </c>
      <c r="S5" s="92" t="s">
        <v>570</v>
      </c>
      <c r="T5" s="92" t="s">
        <v>571</v>
      </c>
      <c r="U5" s="92" t="s">
        <v>572</v>
      </c>
      <c r="V5" s="94">
        <v>3875</v>
      </c>
      <c r="W5" s="265">
        <v>8.19</v>
      </c>
      <c r="X5" s="266">
        <v>112.5</v>
      </c>
      <c r="Y5" s="92" t="s">
        <v>571</v>
      </c>
      <c r="Z5" s="92" t="s">
        <v>573</v>
      </c>
      <c r="AA5" s="92" t="s">
        <v>591</v>
      </c>
      <c r="AB5" s="92" t="s">
        <v>575</v>
      </c>
      <c r="AC5" s="92" t="s">
        <v>24</v>
      </c>
      <c r="AD5" s="92" t="s">
        <v>576</v>
      </c>
      <c r="AE5" s="266"/>
      <c r="AF5" s="94"/>
      <c r="AG5" s="266"/>
      <c r="AH5" s="92" t="s">
        <v>577</v>
      </c>
      <c r="AI5" s="92" t="s">
        <v>578</v>
      </c>
      <c r="AJ5" s="92" t="s">
        <v>579</v>
      </c>
      <c r="AK5" s="92" t="s">
        <v>580</v>
      </c>
      <c r="AL5" s="92" t="s">
        <v>581</v>
      </c>
      <c r="AM5" s="267"/>
      <c r="AN5" s="267"/>
      <c r="AO5" s="267"/>
      <c r="AP5" s="267"/>
      <c r="AQ5" s="267"/>
      <c r="AR5" s="267"/>
      <c r="AS5" s="267"/>
      <c r="AT5" s="267">
        <v>141.30000000000001</v>
      </c>
      <c r="AU5" s="92" t="s">
        <v>582</v>
      </c>
      <c r="AV5" s="267"/>
      <c r="AW5" s="267"/>
      <c r="AX5" s="267"/>
      <c r="AY5" s="267"/>
      <c r="AZ5" s="267"/>
      <c r="BA5" s="267"/>
      <c r="BB5" s="267"/>
      <c r="BC5" s="264">
        <v>25.89</v>
      </c>
      <c r="BD5" s="268">
        <v>0.34489999999999998</v>
      </c>
      <c r="BE5" s="269">
        <v>1.9449999999999999E-2</v>
      </c>
      <c r="BF5" s="264">
        <v>5.62</v>
      </c>
      <c r="BG5" s="268">
        <v>0.31040000000000001</v>
      </c>
      <c r="BH5" s="269">
        <v>1.7770000000000001E-2</v>
      </c>
      <c r="BI5" s="92" t="s">
        <v>576</v>
      </c>
      <c r="BJ5" s="92" t="s">
        <v>576</v>
      </c>
      <c r="BK5" s="92" t="s">
        <v>583</v>
      </c>
      <c r="BL5" s="92" t="s">
        <v>569</v>
      </c>
      <c r="BM5" s="266">
        <v>0.5</v>
      </c>
      <c r="BN5" s="92" t="s">
        <v>584</v>
      </c>
      <c r="BO5" s="92" t="s">
        <v>585</v>
      </c>
    </row>
    <row r="6" spans="1:68" x14ac:dyDescent="0.25">
      <c r="A6" s="94">
        <v>2019</v>
      </c>
      <c r="B6" s="92" t="s">
        <v>558</v>
      </c>
      <c r="C6" s="92" t="s">
        <v>559</v>
      </c>
      <c r="D6" s="92" t="s">
        <v>560</v>
      </c>
      <c r="E6" s="92" t="s">
        <v>561</v>
      </c>
      <c r="F6" s="92" t="s">
        <v>562</v>
      </c>
      <c r="G6" s="94">
        <v>2</v>
      </c>
      <c r="H6" s="264">
        <v>99.998999999999995</v>
      </c>
      <c r="I6" s="92" t="s">
        <v>563</v>
      </c>
      <c r="J6" s="92" t="s">
        <v>564</v>
      </c>
      <c r="K6" s="94">
        <v>147</v>
      </c>
      <c r="L6" s="94"/>
      <c r="M6" s="92" t="s">
        <v>565</v>
      </c>
      <c r="N6" s="92" t="s">
        <v>566</v>
      </c>
      <c r="O6" s="92" t="s">
        <v>567</v>
      </c>
      <c r="P6" s="94">
        <v>1</v>
      </c>
      <c r="Q6" s="92" t="s">
        <v>568</v>
      </c>
      <c r="R6" s="92" t="s">
        <v>569</v>
      </c>
      <c r="S6" s="92" t="s">
        <v>570</v>
      </c>
      <c r="T6" s="92" t="s">
        <v>571</v>
      </c>
      <c r="U6" s="92" t="s">
        <v>572</v>
      </c>
      <c r="V6" s="94">
        <v>3750</v>
      </c>
      <c r="W6" s="265">
        <v>8.19</v>
      </c>
      <c r="X6" s="266">
        <v>114.7</v>
      </c>
      <c r="Y6" s="92" t="s">
        <v>571</v>
      </c>
      <c r="Z6" s="92" t="s">
        <v>573</v>
      </c>
      <c r="AA6" s="92" t="s">
        <v>592</v>
      </c>
      <c r="AB6" s="92" t="s">
        <v>575</v>
      </c>
      <c r="AC6" s="92" t="s">
        <v>24</v>
      </c>
      <c r="AD6" s="92" t="s">
        <v>576</v>
      </c>
      <c r="AE6" s="266"/>
      <c r="AF6" s="94"/>
      <c r="AG6" s="266"/>
      <c r="AH6" s="92" t="s">
        <v>587</v>
      </c>
      <c r="AI6" s="92" t="s">
        <v>588</v>
      </c>
      <c r="AJ6" s="92" t="s">
        <v>579</v>
      </c>
      <c r="AK6" s="92" t="s">
        <v>580</v>
      </c>
      <c r="AL6" s="92" t="s">
        <v>581</v>
      </c>
      <c r="AM6" s="267"/>
      <c r="AN6" s="267"/>
      <c r="AO6" s="267"/>
      <c r="AP6" s="267"/>
      <c r="AQ6" s="267"/>
      <c r="AR6" s="267"/>
      <c r="AS6" s="267"/>
      <c r="AT6" s="267">
        <v>179.4</v>
      </c>
      <c r="AU6" s="92" t="s">
        <v>582</v>
      </c>
      <c r="AV6" s="267"/>
      <c r="AW6" s="267"/>
      <c r="AX6" s="267"/>
      <c r="AY6" s="267"/>
      <c r="AZ6" s="267"/>
      <c r="BA6" s="267"/>
      <c r="BB6" s="267"/>
      <c r="BC6" s="264">
        <v>26.06</v>
      </c>
      <c r="BD6" s="268">
        <v>0.3</v>
      </c>
      <c r="BE6" s="269">
        <v>1.9650000000000001E-2</v>
      </c>
      <c r="BF6" s="264">
        <v>8.33</v>
      </c>
      <c r="BG6" s="268">
        <v>0.1263</v>
      </c>
      <c r="BH6" s="269">
        <v>1.9300000000000001E-2</v>
      </c>
      <c r="BI6" s="92" t="s">
        <v>576</v>
      </c>
      <c r="BJ6" s="92" t="s">
        <v>576</v>
      </c>
      <c r="BK6" s="92" t="s">
        <v>583</v>
      </c>
      <c r="BL6" s="92" t="s">
        <v>31</v>
      </c>
      <c r="BM6" s="266">
        <v>0.5</v>
      </c>
      <c r="BN6" s="92" t="s">
        <v>584</v>
      </c>
      <c r="BO6" s="92" t="s">
        <v>585</v>
      </c>
    </row>
    <row r="7" spans="1:68" x14ac:dyDescent="0.25">
      <c r="A7" s="94">
        <v>2019</v>
      </c>
      <c r="B7" s="92" t="s">
        <v>558</v>
      </c>
      <c r="C7" s="92" t="s">
        <v>559</v>
      </c>
      <c r="D7" s="92" t="s">
        <v>560</v>
      </c>
      <c r="E7" s="92" t="s">
        <v>561</v>
      </c>
      <c r="F7" s="92" t="s">
        <v>562</v>
      </c>
      <c r="G7" s="94">
        <v>2</v>
      </c>
      <c r="H7" s="264">
        <v>99.998999999999995</v>
      </c>
      <c r="I7" s="92" t="s">
        <v>563</v>
      </c>
      <c r="J7" s="92" t="s">
        <v>564</v>
      </c>
      <c r="K7" s="94">
        <v>147</v>
      </c>
      <c r="L7" s="94"/>
      <c r="M7" s="92" t="s">
        <v>565</v>
      </c>
      <c r="N7" s="92" t="s">
        <v>566</v>
      </c>
      <c r="O7" s="92" t="s">
        <v>567</v>
      </c>
      <c r="P7" s="94">
        <v>1</v>
      </c>
      <c r="Q7" s="92" t="s">
        <v>568</v>
      </c>
      <c r="R7" s="92" t="s">
        <v>569</v>
      </c>
      <c r="S7" s="92" t="s">
        <v>570</v>
      </c>
      <c r="T7" s="92" t="s">
        <v>571</v>
      </c>
      <c r="U7" s="92" t="s">
        <v>572</v>
      </c>
      <c r="V7" s="94">
        <v>3750</v>
      </c>
      <c r="W7" s="265">
        <v>8.19</v>
      </c>
      <c r="X7" s="266">
        <v>114.7</v>
      </c>
      <c r="Y7" s="92" t="s">
        <v>571</v>
      </c>
      <c r="Z7" s="92" t="s">
        <v>573</v>
      </c>
      <c r="AA7" s="92" t="s">
        <v>593</v>
      </c>
      <c r="AB7" s="92" t="s">
        <v>575</v>
      </c>
      <c r="AC7" s="92" t="s">
        <v>24</v>
      </c>
      <c r="AD7" s="92" t="s">
        <v>576</v>
      </c>
      <c r="AE7" s="266"/>
      <c r="AF7" s="94"/>
      <c r="AG7" s="266"/>
      <c r="AH7" s="92" t="s">
        <v>577</v>
      </c>
      <c r="AI7" s="92" t="s">
        <v>578</v>
      </c>
      <c r="AJ7" s="92" t="s">
        <v>579</v>
      </c>
      <c r="AK7" s="92" t="s">
        <v>580</v>
      </c>
      <c r="AL7" s="92" t="s">
        <v>581</v>
      </c>
      <c r="AM7" s="267"/>
      <c r="AN7" s="267"/>
      <c r="AO7" s="267"/>
      <c r="AP7" s="267"/>
      <c r="AQ7" s="267"/>
      <c r="AR7" s="267"/>
      <c r="AS7" s="267"/>
      <c r="AT7" s="267">
        <v>143.69999999999999</v>
      </c>
      <c r="AU7" s="92" t="s">
        <v>582</v>
      </c>
      <c r="AV7" s="267"/>
      <c r="AW7" s="267"/>
      <c r="AX7" s="267"/>
      <c r="AY7" s="267"/>
      <c r="AZ7" s="267"/>
      <c r="BA7" s="267"/>
      <c r="BB7" s="267"/>
      <c r="BC7" s="264">
        <v>26.06</v>
      </c>
      <c r="BD7" s="268">
        <v>0.3</v>
      </c>
      <c r="BE7" s="269">
        <v>1.9650000000000001E-2</v>
      </c>
      <c r="BF7" s="264">
        <v>8.33</v>
      </c>
      <c r="BG7" s="268">
        <v>0.1263</v>
      </c>
      <c r="BH7" s="269">
        <v>1.9300000000000001E-2</v>
      </c>
      <c r="BI7" s="92" t="s">
        <v>576</v>
      </c>
      <c r="BJ7" s="92" t="s">
        <v>576</v>
      </c>
      <c r="BK7" s="92" t="s">
        <v>583</v>
      </c>
      <c r="BL7" s="92" t="s">
        <v>32</v>
      </c>
      <c r="BM7" s="266">
        <v>0.5</v>
      </c>
      <c r="BN7" s="92" t="s">
        <v>584</v>
      </c>
      <c r="BO7" s="92" t="s">
        <v>585</v>
      </c>
    </row>
    <row r="8" spans="1:68" x14ac:dyDescent="0.25">
      <c r="A8" s="94">
        <v>2019</v>
      </c>
      <c r="B8" s="92" t="s">
        <v>558</v>
      </c>
      <c r="C8" s="92" t="s">
        <v>559</v>
      </c>
      <c r="D8" s="92" t="s">
        <v>560</v>
      </c>
      <c r="E8" s="92" t="s">
        <v>561</v>
      </c>
      <c r="F8" s="92" t="s">
        <v>562</v>
      </c>
      <c r="G8" s="94">
        <v>3</v>
      </c>
      <c r="H8" s="264">
        <v>99.998999999999995</v>
      </c>
      <c r="I8" s="92" t="s">
        <v>563</v>
      </c>
      <c r="J8" s="92" t="s">
        <v>564</v>
      </c>
      <c r="K8" s="94">
        <v>147</v>
      </c>
      <c r="L8" s="94"/>
      <c r="M8" s="92" t="s">
        <v>565</v>
      </c>
      <c r="N8" s="92" t="s">
        <v>566</v>
      </c>
      <c r="O8" s="92" t="s">
        <v>567</v>
      </c>
      <c r="P8" s="94">
        <v>1</v>
      </c>
      <c r="Q8" s="92" t="s">
        <v>568</v>
      </c>
      <c r="R8" s="92" t="s">
        <v>569</v>
      </c>
      <c r="S8" s="92" t="s">
        <v>570</v>
      </c>
      <c r="T8" s="92" t="s">
        <v>571</v>
      </c>
      <c r="U8" s="92" t="s">
        <v>572</v>
      </c>
      <c r="V8" s="94">
        <v>3750</v>
      </c>
      <c r="W8" s="265">
        <v>8.19</v>
      </c>
      <c r="X8" s="266">
        <v>114.7</v>
      </c>
      <c r="Y8" s="92" t="s">
        <v>571</v>
      </c>
      <c r="Z8" s="92" t="s">
        <v>573</v>
      </c>
      <c r="AA8" s="92" t="s">
        <v>594</v>
      </c>
      <c r="AB8" s="92" t="s">
        <v>575</v>
      </c>
      <c r="AC8" s="92" t="s">
        <v>24</v>
      </c>
      <c r="AD8" s="92" t="s">
        <v>576</v>
      </c>
      <c r="AE8" s="266"/>
      <c r="AF8" s="94"/>
      <c r="AG8" s="266"/>
      <c r="AH8" s="92" t="s">
        <v>587</v>
      </c>
      <c r="AI8" s="92" t="s">
        <v>588</v>
      </c>
      <c r="AJ8" s="92" t="s">
        <v>579</v>
      </c>
      <c r="AK8" s="92" t="s">
        <v>580</v>
      </c>
      <c r="AL8" s="92" t="s">
        <v>581</v>
      </c>
      <c r="AM8" s="267"/>
      <c r="AN8" s="267"/>
      <c r="AO8" s="267"/>
      <c r="AP8" s="267"/>
      <c r="AQ8" s="267"/>
      <c r="AR8" s="267"/>
      <c r="AS8" s="267"/>
      <c r="AT8" s="267">
        <v>180.5</v>
      </c>
      <c r="AU8" s="92" t="s">
        <v>582</v>
      </c>
      <c r="AV8" s="267"/>
      <c r="AW8" s="267"/>
      <c r="AX8" s="267"/>
      <c r="AY8" s="267"/>
      <c r="AZ8" s="267"/>
      <c r="BA8" s="267"/>
      <c r="BB8" s="267"/>
      <c r="BC8" s="264">
        <v>26.06</v>
      </c>
      <c r="BD8" s="268">
        <v>0.3</v>
      </c>
      <c r="BE8" s="269">
        <v>1.9650000000000001E-2</v>
      </c>
      <c r="BF8" s="264">
        <v>8.33</v>
      </c>
      <c r="BG8" s="268">
        <v>0.1263</v>
      </c>
      <c r="BH8" s="269">
        <v>1.9300000000000001E-2</v>
      </c>
      <c r="BI8" s="92" t="s">
        <v>576</v>
      </c>
      <c r="BJ8" s="92" t="s">
        <v>576</v>
      </c>
      <c r="BK8" s="92" t="s">
        <v>583</v>
      </c>
      <c r="BL8" s="92" t="s">
        <v>31</v>
      </c>
      <c r="BM8" s="266">
        <v>0.5</v>
      </c>
      <c r="BN8" s="92" t="s">
        <v>584</v>
      </c>
      <c r="BO8" s="92" t="s">
        <v>585</v>
      </c>
    </row>
    <row r="9" spans="1:68" x14ac:dyDescent="0.25">
      <c r="A9" s="94">
        <v>2019</v>
      </c>
      <c r="B9" s="92" t="s">
        <v>558</v>
      </c>
      <c r="C9" s="92" t="s">
        <v>559</v>
      </c>
      <c r="D9" s="92" t="s">
        <v>560</v>
      </c>
      <c r="E9" s="92" t="s">
        <v>561</v>
      </c>
      <c r="F9" s="92" t="s">
        <v>562</v>
      </c>
      <c r="G9" s="94">
        <v>3</v>
      </c>
      <c r="H9" s="264">
        <v>99.998999999999995</v>
      </c>
      <c r="I9" s="92" t="s">
        <v>563</v>
      </c>
      <c r="J9" s="92" t="s">
        <v>564</v>
      </c>
      <c r="K9" s="94">
        <v>147</v>
      </c>
      <c r="L9" s="94"/>
      <c r="M9" s="92" t="s">
        <v>565</v>
      </c>
      <c r="N9" s="92" t="s">
        <v>566</v>
      </c>
      <c r="O9" s="92" t="s">
        <v>567</v>
      </c>
      <c r="P9" s="94">
        <v>1</v>
      </c>
      <c r="Q9" s="92" t="s">
        <v>568</v>
      </c>
      <c r="R9" s="92" t="s">
        <v>569</v>
      </c>
      <c r="S9" s="92" t="s">
        <v>570</v>
      </c>
      <c r="T9" s="92" t="s">
        <v>571</v>
      </c>
      <c r="U9" s="92" t="s">
        <v>572</v>
      </c>
      <c r="V9" s="94">
        <v>3750</v>
      </c>
      <c r="W9" s="265">
        <v>8.19</v>
      </c>
      <c r="X9" s="266">
        <v>114.7</v>
      </c>
      <c r="Y9" s="92" t="s">
        <v>571</v>
      </c>
      <c r="Z9" s="92" t="s">
        <v>573</v>
      </c>
      <c r="AA9" s="92" t="s">
        <v>595</v>
      </c>
      <c r="AB9" s="92" t="s">
        <v>575</v>
      </c>
      <c r="AC9" s="92" t="s">
        <v>24</v>
      </c>
      <c r="AD9" s="92" t="s">
        <v>576</v>
      </c>
      <c r="AE9" s="266"/>
      <c r="AF9" s="94"/>
      <c r="AG9" s="266"/>
      <c r="AH9" s="92" t="s">
        <v>577</v>
      </c>
      <c r="AI9" s="92" t="s">
        <v>578</v>
      </c>
      <c r="AJ9" s="92" t="s">
        <v>579</v>
      </c>
      <c r="AK9" s="92" t="s">
        <v>580</v>
      </c>
      <c r="AL9" s="92" t="s">
        <v>581</v>
      </c>
      <c r="AM9" s="267"/>
      <c r="AN9" s="267"/>
      <c r="AO9" s="267"/>
      <c r="AP9" s="267"/>
      <c r="AQ9" s="267"/>
      <c r="AR9" s="267"/>
      <c r="AS9" s="267"/>
      <c r="AT9" s="267">
        <v>143.30000000000001</v>
      </c>
      <c r="AU9" s="92" t="s">
        <v>582</v>
      </c>
      <c r="AV9" s="267"/>
      <c r="AW9" s="267"/>
      <c r="AX9" s="267"/>
      <c r="AY9" s="267"/>
      <c r="AZ9" s="267"/>
      <c r="BA9" s="267"/>
      <c r="BB9" s="267"/>
      <c r="BC9" s="264">
        <v>26.06</v>
      </c>
      <c r="BD9" s="268">
        <v>0.3</v>
      </c>
      <c r="BE9" s="269">
        <v>1.9650000000000001E-2</v>
      </c>
      <c r="BF9" s="264">
        <v>8.33</v>
      </c>
      <c r="BG9" s="268">
        <v>0.1263</v>
      </c>
      <c r="BH9" s="269">
        <v>1.9300000000000001E-2</v>
      </c>
      <c r="BI9" s="92" t="s">
        <v>576</v>
      </c>
      <c r="BJ9" s="92" t="s">
        <v>576</v>
      </c>
      <c r="BK9" s="92" t="s">
        <v>583</v>
      </c>
      <c r="BL9" s="92" t="s">
        <v>32</v>
      </c>
      <c r="BM9" s="266">
        <v>0.5</v>
      </c>
      <c r="BN9" s="92" t="s">
        <v>584</v>
      </c>
      <c r="BO9" s="92" t="s">
        <v>585</v>
      </c>
    </row>
    <row r="10" spans="1:68" x14ac:dyDescent="0.25">
      <c r="A10" s="94">
        <v>2019</v>
      </c>
      <c r="B10" s="92" t="s">
        <v>558</v>
      </c>
      <c r="C10" s="92" t="s">
        <v>559</v>
      </c>
      <c r="D10" s="92" t="s">
        <v>560</v>
      </c>
      <c r="E10" s="92" t="s">
        <v>561</v>
      </c>
      <c r="F10" s="92" t="s">
        <v>596</v>
      </c>
      <c r="G10" s="94">
        <v>2</v>
      </c>
      <c r="H10" s="264">
        <v>99.998999999999995</v>
      </c>
      <c r="I10" s="92" t="s">
        <v>597</v>
      </c>
      <c r="J10" s="92" t="s">
        <v>564</v>
      </c>
      <c r="K10" s="94">
        <v>214</v>
      </c>
      <c r="L10" s="94"/>
      <c r="M10" s="92" t="s">
        <v>598</v>
      </c>
      <c r="N10" s="92" t="s">
        <v>566</v>
      </c>
      <c r="O10" s="92" t="s">
        <v>567</v>
      </c>
      <c r="P10" s="94">
        <v>1</v>
      </c>
      <c r="Q10" s="92" t="s">
        <v>568</v>
      </c>
      <c r="R10" s="92" t="s">
        <v>569</v>
      </c>
      <c r="S10" s="92" t="s">
        <v>570</v>
      </c>
      <c r="T10" s="92" t="s">
        <v>571</v>
      </c>
      <c r="U10" s="92" t="s">
        <v>572</v>
      </c>
      <c r="V10" s="94">
        <v>4000</v>
      </c>
      <c r="W10" s="265">
        <v>8.19</v>
      </c>
      <c r="X10" s="266">
        <v>114.7</v>
      </c>
      <c r="Y10" s="92" t="s">
        <v>571</v>
      </c>
      <c r="Z10" s="92" t="s">
        <v>573</v>
      </c>
      <c r="AA10" s="92" t="s">
        <v>599</v>
      </c>
      <c r="AB10" s="92" t="s">
        <v>575</v>
      </c>
      <c r="AC10" s="92" t="s">
        <v>24</v>
      </c>
      <c r="AD10" s="92" t="s">
        <v>576</v>
      </c>
      <c r="AE10" s="266"/>
      <c r="AF10" s="94"/>
      <c r="AG10" s="266"/>
      <c r="AH10" s="92" t="s">
        <v>587</v>
      </c>
      <c r="AI10" s="92" t="s">
        <v>588</v>
      </c>
      <c r="AJ10" s="92" t="s">
        <v>579</v>
      </c>
      <c r="AK10" s="92" t="s">
        <v>580</v>
      </c>
      <c r="AL10" s="92" t="s">
        <v>581</v>
      </c>
      <c r="AM10" s="267"/>
      <c r="AN10" s="267"/>
      <c r="AO10" s="267"/>
      <c r="AP10" s="267"/>
      <c r="AQ10" s="267"/>
      <c r="AR10" s="267"/>
      <c r="AS10" s="267"/>
      <c r="AT10" s="267">
        <v>175.2</v>
      </c>
      <c r="AU10" s="92" t="s">
        <v>582</v>
      </c>
      <c r="AV10" s="267"/>
      <c r="AW10" s="267"/>
      <c r="AX10" s="267"/>
      <c r="AY10" s="267"/>
      <c r="AZ10" s="267"/>
      <c r="BA10" s="267"/>
      <c r="BB10" s="267"/>
      <c r="BC10" s="264">
        <v>26.3</v>
      </c>
      <c r="BD10" s="268">
        <v>0.2868</v>
      </c>
      <c r="BE10" s="269">
        <v>2.0029999999999999E-2</v>
      </c>
      <c r="BF10" s="264">
        <v>8.09</v>
      </c>
      <c r="BG10" s="268">
        <v>0.1265</v>
      </c>
      <c r="BH10" s="269">
        <v>1.917E-2</v>
      </c>
      <c r="BI10" s="92" t="s">
        <v>576</v>
      </c>
      <c r="BJ10" s="92" t="s">
        <v>576</v>
      </c>
      <c r="BK10" s="92" t="s">
        <v>583</v>
      </c>
      <c r="BL10" s="92" t="s">
        <v>31</v>
      </c>
      <c r="BM10" s="266">
        <v>0.5</v>
      </c>
      <c r="BN10" s="92" t="s">
        <v>584</v>
      </c>
      <c r="BO10" s="92" t="s">
        <v>585</v>
      </c>
    </row>
    <row r="11" spans="1:68" x14ac:dyDescent="0.25">
      <c r="A11" s="94">
        <v>2019</v>
      </c>
      <c r="B11" s="92" t="s">
        <v>558</v>
      </c>
      <c r="C11" s="92" t="s">
        <v>559</v>
      </c>
      <c r="D11" s="92" t="s">
        <v>560</v>
      </c>
      <c r="E11" s="92" t="s">
        <v>561</v>
      </c>
      <c r="F11" s="92" t="s">
        <v>596</v>
      </c>
      <c r="G11" s="94">
        <v>2</v>
      </c>
      <c r="H11" s="264">
        <v>99.998999999999995</v>
      </c>
      <c r="I11" s="92" t="s">
        <v>597</v>
      </c>
      <c r="J11" s="92" t="s">
        <v>564</v>
      </c>
      <c r="K11" s="94">
        <v>214</v>
      </c>
      <c r="L11" s="94"/>
      <c r="M11" s="92" t="s">
        <v>598</v>
      </c>
      <c r="N11" s="92" t="s">
        <v>566</v>
      </c>
      <c r="O11" s="92" t="s">
        <v>567</v>
      </c>
      <c r="P11" s="94">
        <v>1</v>
      </c>
      <c r="Q11" s="92" t="s">
        <v>568</v>
      </c>
      <c r="R11" s="92" t="s">
        <v>569</v>
      </c>
      <c r="S11" s="92" t="s">
        <v>570</v>
      </c>
      <c r="T11" s="92" t="s">
        <v>571</v>
      </c>
      <c r="U11" s="92" t="s">
        <v>572</v>
      </c>
      <c r="V11" s="94">
        <v>4000</v>
      </c>
      <c r="W11" s="265">
        <v>8.19</v>
      </c>
      <c r="X11" s="266">
        <v>114.7</v>
      </c>
      <c r="Y11" s="92" t="s">
        <v>571</v>
      </c>
      <c r="Z11" s="92" t="s">
        <v>573</v>
      </c>
      <c r="AA11" s="92" t="s">
        <v>600</v>
      </c>
      <c r="AB11" s="92" t="s">
        <v>575</v>
      </c>
      <c r="AC11" s="92" t="s">
        <v>24</v>
      </c>
      <c r="AD11" s="92" t="s">
        <v>576</v>
      </c>
      <c r="AE11" s="266"/>
      <c r="AF11" s="94"/>
      <c r="AG11" s="266"/>
      <c r="AH11" s="92" t="s">
        <v>577</v>
      </c>
      <c r="AI11" s="92" t="s">
        <v>578</v>
      </c>
      <c r="AJ11" s="92" t="s">
        <v>579</v>
      </c>
      <c r="AK11" s="92" t="s">
        <v>580</v>
      </c>
      <c r="AL11" s="92" t="s">
        <v>581</v>
      </c>
      <c r="AM11" s="267"/>
      <c r="AN11" s="267"/>
      <c r="AO11" s="267"/>
      <c r="AP11" s="267"/>
      <c r="AQ11" s="267"/>
      <c r="AR11" s="267"/>
      <c r="AS11" s="267"/>
      <c r="AT11" s="267">
        <v>142.4</v>
      </c>
      <c r="AU11" s="92" t="s">
        <v>582</v>
      </c>
      <c r="AV11" s="267"/>
      <c r="AW11" s="267"/>
      <c r="AX11" s="267"/>
      <c r="AY11" s="267"/>
      <c r="AZ11" s="267"/>
      <c r="BA11" s="267"/>
      <c r="BB11" s="267"/>
      <c r="BC11" s="264">
        <v>26.3</v>
      </c>
      <c r="BD11" s="268">
        <v>0.2868</v>
      </c>
      <c r="BE11" s="269">
        <v>2.0029999999999999E-2</v>
      </c>
      <c r="BF11" s="264">
        <v>8.09</v>
      </c>
      <c r="BG11" s="268">
        <v>0.1265</v>
      </c>
      <c r="BH11" s="269">
        <v>1.917E-2</v>
      </c>
      <c r="BI11" s="92" t="s">
        <v>576</v>
      </c>
      <c r="BJ11" s="92" t="s">
        <v>576</v>
      </c>
      <c r="BK11" s="92" t="s">
        <v>583</v>
      </c>
      <c r="BL11" s="92" t="s">
        <v>32</v>
      </c>
      <c r="BM11" s="266">
        <v>0.5</v>
      </c>
      <c r="BN11" s="92" t="s">
        <v>584</v>
      </c>
      <c r="BO11" s="92" t="s">
        <v>585</v>
      </c>
    </row>
    <row r="12" spans="1:68" x14ac:dyDescent="0.25">
      <c r="A12" s="94">
        <v>2019</v>
      </c>
      <c r="B12" s="92" t="s">
        <v>558</v>
      </c>
      <c r="C12" s="92" t="s">
        <v>559</v>
      </c>
      <c r="D12" s="92" t="s">
        <v>560</v>
      </c>
      <c r="E12" s="92" t="s">
        <v>561</v>
      </c>
      <c r="F12" s="92" t="s">
        <v>596</v>
      </c>
      <c r="G12" s="94">
        <v>3</v>
      </c>
      <c r="H12" s="264">
        <v>99.998999999999995</v>
      </c>
      <c r="I12" s="92" t="s">
        <v>597</v>
      </c>
      <c r="J12" s="92" t="s">
        <v>564</v>
      </c>
      <c r="K12" s="94">
        <v>214</v>
      </c>
      <c r="L12" s="94"/>
      <c r="M12" s="92" t="s">
        <v>598</v>
      </c>
      <c r="N12" s="92" t="s">
        <v>566</v>
      </c>
      <c r="O12" s="92" t="s">
        <v>567</v>
      </c>
      <c r="P12" s="94">
        <v>1</v>
      </c>
      <c r="Q12" s="92" t="s">
        <v>568</v>
      </c>
      <c r="R12" s="92" t="s">
        <v>569</v>
      </c>
      <c r="S12" s="92" t="s">
        <v>570</v>
      </c>
      <c r="T12" s="92" t="s">
        <v>571</v>
      </c>
      <c r="U12" s="92" t="s">
        <v>572</v>
      </c>
      <c r="V12" s="94">
        <v>4000</v>
      </c>
      <c r="W12" s="265">
        <v>8.19</v>
      </c>
      <c r="X12" s="266">
        <v>114.7</v>
      </c>
      <c r="Y12" s="92" t="s">
        <v>571</v>
      </c>
      <c r="Z12" s="92" t="s">
        <v>573</v>
      </c>
      <c r="AA12" s="92" t="s">
        <v>601</v>
      </c>
      <c r="AB12" s="92" t="s">
        <v>575</v>
      </c>
      <c r="AC12" s="92" t="s">
        <v>24</v>
      </c>
      <c r="AD12" s="92" t="s">
        <v>576</v>
      </c>
      <c r="AE12" s="266"/>
      <c r="AF12" s="94"/>
      <c r="AG12" s="266"/>
      <c r="AH12" s="92" t="s">
        <v>587</v>
      </c>
      <c r="AI12" s="92" t="s">
        <v>588</v>
      </c>
      <c r="AJ12" s="92" t="s">
        <v>579</v>
      </c>
      <c r="AK12" s="92" t="s">
        <v>580</v>
      </c>
      <c r="AL12" s="92" t="s">
        <v>581</v>
      </c>
      <c r="AM12" s="267"/>
      <c r="AN12" s="267"/>
      <c r="AO12" s="267"/>
      <c r="AP12" s="267"/>
      <c r="AQ12" s="267"/>
      <c r="AR12" s="267"/>
      <c r="AS12" s="267"/>
      <c r="AT12" s="267">
        <v>177.9</v>
      </c>
      <c r="AU12" s="92" t="s">
        <v>582</v>
      </c>
      <c r="AV12" s="267"/>
      <c r="AW12" s="267"/>
      <c r="AX12" s="267"/>
      <c r="AY12" s="267"/>
      <c r="AZ12" s="267"/>
      <c r="BA12" s="267"/>
      <c r="BB12" s="267"/>
      <c r="BC12" s="264">
        <v>26.3</v>
      </c>
      <c r="BD12" s="268">
        <v>0.2868</v>
      </c>
      <c r="BE12" s="269">
        <v>2.0029999999999999E-2</v>
      </c>
      <c r="BF12" s="264">
        <v>8.09</v>
      </c>
      <c r="BG12" s="268">
        <v>0.1265</v>
      </c>
      <c r="BH12" s="269">
        <v>1.917E-2</v>
      </c>
      <c r="BI12" s="92" t="s">
        <v>576</v>
      </c>
      <c r="BJ12" s="92" t="s">
        <v>576</v>
      </c>
      <c r="BK12" s="92" t="s">
        <v>583</v>
      </c>
      <c r="BL12" s="92" t="s">
        <v>31</v>
      </c>
      <c r="BM12" s="266">
        <v>0.5</v>
      </c>
      <c r="BN12" s="92" t="s">
        <v>584</v>
      </c>
      <c r="BO12" s="92" t="s">
        <v>585</v>
      </c>
    </row>
    <row r="13" spans="1:68" x14ac:dyDescent="0.25">
      <c r="A13" s="94">
        <v>2019</v>
      </c>
      <c r="B13" s="92" t="s">
        <v>558</v>
      </c>
      <c r="C13" s="92" t="s">
        <v>559</v>
      </c>
      <c r="D13" s="92" t="s">
        <v>560</v>
      </c>
      <c r="E13" s="92" t="s">
        <v>561</v>
      </c>
      <c r="F13" s="92" t="s">
        <v>596</v>
      </c>
      <c r="G13" s="94">
        <v>3</v>
      </c>
      <c r="H13" s="264">
        <v>99.998999999999995</v>
      </c>
      <c r="I13" s="92" t="s">
        <v>597</v>
      </c>
      <c r="J13" s="92" t="s">
        <v>564</v>
      </c>
      <c r="K13" s="94">
        <v>214</v>
      </c>
      <c r="L13" s="94"/>
      <c r="M13" s="92" t="s">
        <v>598</v>
      </c>
      <c r="N13" s="92" t="s">
        <v>566</v>
      </c>
      <c r="O13" s="92" t="s">
        <v>567</v>
      </c>
      <c r="P13" s="94">
        <v>1</v>
      </c>
      <c r="Q13" s="92" t="s">
        <v>568</v>
      </c>
      <c r="R13" s="92" t="s">
        <v>569</v>
      </c>
      <c r="S13" s="92" t="s">
        <v>570</v>
      </c>
      <c r="T13" s="92" t="s">
        <v>571</v>
      </c>
      <c r="U13" s="92" t="s">
        <v>572</v>
      </c>
      <c r="V13" s="94">
        <v>4000</v>
      </c>
      <c r="W13" s="265">
        <v>8.19</v>
      </c>
      <c r="X13" s="266">
        <v>114.7</v>
      </c>
      <c r="Y13" s="92" t="s">
        <v>571</v>
      </c>
      <c r="Z13" s="92" t="s">
        <v>573</v>
      </c>
      <c r="AA13" s="92" t="s">
        <v>602</v>
      </c>
      <c r="AB13" s="92" t="s">
        <v>575</v>
      </c>
      <c r="AC13" s="92" t="s">
        <v>24</v>
      </c>
      <c r="AD13" s="92" t="s">
        <v>576</v>
      </c>
      <c r="AE13" s="266"/>
      <c r="AF13" s="94"/>
      <c r="AG13" s="266"/>
      <c r="AH13" s="92" t="s">
        <v>577</v>
      </c>
      <c r="AI13" s="92" t="s">
        <v>578</v>
      </c>
      <c r="AJ13" s="92" t="s">
        <v>579</v>
      </c>
      <c r="AK13" s="92" t="s">
        <v>580</v>
      </c>
      <c r="AL13" s="92" t="s">
        <v>581</v>
      </c>
      <c r="AM13" s="267"/>
      <c r="AN13" s="267"/>
      <c r="AO13" s="267"/>
      <c r="AP13" s="267"/>
      <c r="AQ13" s="267"/>
      <c r="AR13" s="267"/>
      <c r="AS13" s="267"/>
      <c r="AT13" s="267">
        <v>144.1</v>
      </c>
      <c r="AU13" s="92" t="s">
        <v>582</v>
      </c>
      <c r="AV13" s="267"/>
      <c r="AW13" s="267"/>
      <c r="AX13" s="267"/>
      <c r="AY13" s="267"/>
      <c r="AZ13" s="267"/>
      <c r="BA13" s="267"/>
      <c r="BB13" s="267"/>
      <c r="BC13" s="264">
        <v>26.3</v>
      </c>
      <c r="BD13" s="268">
        <v>0.2868</v>
      </c>
      <c r="BE13" s="269">
        <v>2.0029999999999999E-2</v>
      </c>
      <c r="BF13" s="264">
        <v>8.09</v>
      </c>
      <c r="BG13" s="268">
        <v>0.1265</v>
      </c>
      <c r="BH13" s="269">
        <v>1.917E-2</v>
      </c>
      <c r="BI13" s="92" t="s">
        <v>576</v>
      </c>
      <c r="BJ13" s="92" t="s">
        <v>576</v>
      </c>
      <c r="BK13" s="92" t="s">
        <v>583</v>
      </c>
      <c r="BL13" s="92" t="s">
        <v>32</v>
      </c>
      <c r="BM13" s="266">
        <v>0.5</v>
      </c>
      <c r="BN13" s="92" t="s">
        <v>584</v>
      </c>
      <c r="BO13" s="92" t="s">
        <v>585</v>
      </c>
    </row>
    <row r="14" spans="1:68" x14ac:dyDescent="0.25">
      <c r="A14" s="94">
        <v>2019</v>
      </c>
      <c r="B14" s="92" t="s">
        <v>558</v>
      </c>
      <c r="C14" s="92" t="s">
        <v>559</v>
      </c>
      <c r="D14" s="92" t="s">
        <v>560</v>
      </c>
      <c r="E14" s="92" t="s">
        <v>603</v>
      </c>
      <c r="F14" s="92" t="s">
        <v>596</v>
      </c>
      <c r="G14" s="94">
        <v>0</v>
      </c>
      <c r="H14" s="264">
        <v>99.998999999999995</v>
      </c>
      <c r="I14" s="92" t="s">
        <v>597</v>
      </c>
      <c r="J14" s="92" t="s">
        <v>564</v>
      </c>
      <c r="K14" s="94">
        <v>214</v>
      </c>
      <c r="L14" s="94"/>
      <c r="M14" s="92" t="s">
        <v>598</v>
      </c>
      <c r="N14" s="92" t="s">
        <v>566</v>
      </c>
      <c r="O14" s="92" t="s">
        <v>567</v>
      </c>
      <c r="P14" s="94">
        <v>1</v>
      </c>
      <c r="Q14" s="92" t="s">
        <v>568</v>
      </c>
      <c r="R14" s="92" t="s">
        <v>569</v>
      </c>
      <c r="S14" s="92" t="s">
        <v>570</v>
      </c>
      <c r="T14" s="92" t="s">
        <v>571</v>
      </c>
      <c r="U14" s="92" t="s">
        <v>572</v>
      </c>
      <c r="V14" s="94">
        <v>4250</v>
      </c>
      <c r="W14" s="265">
        <v>8.19</v>
      </c>
      <c r="X14" s="266">
        <v>112.5</v>
      </c>
      <c r="Y14" s="92" t="s">
        <v>571</v>
      </c>
      <c r="Z14" s="92" t="s">
        <v>573</v>
      </c>
      <c r="AA14" s="92" t="s">
        <v>604</v>
      </c>
      <c r="AB14" s="92" t="s">
        <v>575</v>
      </c>
      <c r="AC14" s="92" t="s">
        <v>24</v>
      </c>
      <c r="AD14" s="92" t="s">
        <v>576</v>
      </c>
      <c r="AE14" s="266"/>
      <c r="AF14" s="94"/>
      <c r="AG14" s="266"/>
      <c r="AH14" s="92" t="s">
        <v>587</v>
      </c>
      <c r="AI14" s="92" t="s">
        <v>588</v>
      </c>
      <c r="AJ14" s="92" t="s">
        <v>579</v>
      </c>
      <c r="AK14" s="92" t="s">
        <v>580</v>
      </c>
      <c r="AL14" s="92" t="s">
        <v>581</v>
      </c>
      <c r="AM14" s="267"/>
      <c r="AN14" s="267"/>
      <c r="AO14" s="267"/>
      <c r="AP14" s="267"/>
      <c r="AQ14" s="267"/>
      <c r="AR14" s="267"/>
      <c r="AS14" s="267"/>
      <c r="AT14" s="267">
        <v>162.6</v>
      </c>
      <c r="AU14" s="92" t="s">
        <v>582</v>
      </c>
      <c r="AV14" s="267"/>
      <c r="AW14" s="267"/>
      <c r="AX14" s="267"/>
      <c r="AY14" s="267"/>
      <c r="AZ14" s="267"/>
      <c r="BA14" s="267"/>
      <c r="BB14" s="267"/>
      <c r="BC14" s="264">
        <v>30.36</v>
      </c>
      <c r="BD14" s="268">
        <v>0.3201</v>
      </c>
      <c r="BE14" s="269">
        <v>1.9560000000000001E-2</v>
      </c>
      <c r="BF14" s="264">
        <v>11.75</v>
      </c>
      <c r="BG14" s="268">
        <v>0.17460000000000001</v>
      </c>
      <c r="BH14" s="269">
        <v>1.8839999999999999E-2</v>
      </c>
      <c r="BI14" s="92" t="s">
        <v>576</v>
      </c>
      <c r="BJ14" s="92" t="s">
        <v>576</v>
      </c>
      <c r="BK14" s="92" t="s">
        <v>583</v>
      </c>
      <c r="BL14" s="92" t="s">
        <v>31</v>
      </c>
      <c r="BM14" s="266">
        <v>0.5</v>
      </c>
      <c r="BN14" s="92" t="s">
        <v>584</v>
      </c>
      <c r="BO14" s="92" t="s">
        <v>585</v>
      </c>
    </row>
    <row r="15" spans="1:68" x14ac:dyDescent="0.25">
      <c r="A15" s="94">
        <v>2019</v>
      </c>
      <c r="B15" s="92" t="s">
        <v>558</v>
      </c>
      <c r="C15" s="92" t="s">
        <v>559</v>
      </c>
      <c r="D15" s="92" t="s">
        <v>560</v>
      </c>
      <c r="E15" s="92" t="s">
        <v>603</v>
      </c>
      <c r="F15" s="92" t="s">
        <v>596</v>
      </c>
      <c r="G15" s="94">
        <v>0</v>
      </c>
      <c r="H15" s="264">
        <v>99.998999999999995</v>
      </c>
      <c r="I15" s="92" t="s">
        <v>597</v>
      </c>
      <c r="J15" s="92" t="s">
        <v>564</v>
      </c>
      <c r="K15" s="94">
        <v>214</v>
      </c>
      <c r="L15" s="94"/>
      <c r="M15" s="92" t="s">
        <v>598</v>
      </c>
      <c r="N15" s="92" t="s">
        <v>566</v>
      </c>
      <c r="O15" s="92" t="s">
        <v>567</v>
      </c>
      <c r="P15" s="94">
        <v>1</v>
      </c>
      <c r="Q15" s="92" t="s">
        <v>568</v>
      </c>
      <c r="R15" s="92" t="s">
        <v>569</v>
      </c>
      <c r="S15" s="92" t="s">
        <v>570</v>
      </c>
      <c r="T15" s="92" t="s">
        <v>571</v>
      </c>
      <c r="U15" s="92" t="s">
        <v>572</v>
      </c>
      <c r="V15" s="94">
        <v>4250</v>
      </c>
      <c r="W15" s="265">
        <v>8.19</v>
      </c>
      <c r="X15" s="266">
        <v>112.5</v>
      </c>
      <c r="Y15" s="92" t="s">
        <v>571</v>
      </c>
      <c r="Z15" s="92" t="s">
        <v>573</v>
      </c>
      <c r="AA15" s="92" t="s">
        <v>605</v>
      </c>
      <c r="AB15" s="92" t="s">
        <v>575</v>
      </c>
      <c r="AC15" s="92" t="s">
        <v>24</v>
      </c>
      <c r="AD15" s="92" t="s">
        <v>576</v>
      </c>
      <c r="AE15" s="266"/>
      <c r="AF15" s="94"/>
      <c r="AG15" s="266"/>
      <c r="AH15" s="92" t="s">
        <v>577</v>
      </c>
      <c r="AI15" s="92" t="s">
        <v>578</v>
      </c>
      <c r="AJ15" s="92" t="s">
        <v>579</v>
      </c>
      <c r="AK15" s="92" t="s">
        <v>580</v>
      </c>
      <c r="AL15" s="92" t="s">
        <v>581</v>
      </c>
      <c r="AM15" s="267"/>
      <c r="AN15" s="267"/>
      <c r="AO15" s="267"/>
      <c r="AP15" s="267"/>
      <c r="AQ15" s="267"/>
      <c r="AR15" s="267"/>
      <c r="AS15" s="267"/>
      <c r="AT15" s="267">
        <v>133.30000000000001</v>
      </c>
      <c r="AU15" s="92" t="s">
        <v>582</v>
      </c>
      <c r="AV15" s="267"/>
      <c r="AW15" s="267"/>
      <c r="AX15" s="267"/>
      <c r="AY15" s="267"/>
      <c r="AZ15" s="267"/>
      <c r="BA15" s="267"/>
      <c r="BB15" s="267"/>
      <c r="BC15" s="264">
        <v>30.36</v>
      </c>
      <c r="BD15" s="268">
        <v>0.3201</v>
      </c>
      <c r="BE15" s="269">
        <v>1.9560000000000001E-2</v>
      </c>
      <c r="BF15" s="264">
        <v>11.75</v>
      </c>
      <c r="BG15" s="268">
        <v>0.17460000000000001</v>
      </c>
      <c r="BH15" s="269">
        <v>1.8839999999999999E-2</v>
      </c>
      <c r="BI15" s="92" t="s">
        <v>576</v>
      </c>
      <c r="BJ15" s="92" t="s">
        <v>576</v>
      </c>
      <c r="BK15" s="92" t="s">
        <v>583</v>
      </c>
      <c r="BL15" s="92" t="s">
        <v>32</v>
      </c>
      <c r="BM15" s="266">
        <v>0.5</v>
      </c>
      <c r="BN15" s="92" t="s">
        <v>584</v>
      </c>
      <c r="BO15" s="92" t="s">
        <v>585</v>
      </c>
    </row>
    <row r="16" spans="1:68" x14ac:dyDescent="0.25">
      <c r="A16" s="94">
        <v>2019</v>
      </c>
      <c r="B16" s="92" t="s">
        <v>558</v>
      </c>
      <c r="C16" s="92" t="s">
        <v>559</v>
      </c>
      <c r="D16" s="92" t="s">
        <v>560</v>
      </c>
      <c r="E16" s="92" t="s">
        <v>603</v>
      </c>
      <c r="F16" s="92" t="s">
        <v>596</v>
      </c>
      <c r="G16" s="94">
        <v>1</v>
      </c>
      <c r="H16" s="264">
        <v>99.998999999999995</v>
      </c>
      <c r="I16" s="92" t="s">
        <v>597</v>
      </c>
      <c r="J16" s="92" t="s">
        <v>564</v>
      </c>
      <c r="K16" s="94">
        <v>214</v>
      </c>
      <c r="L16" s="94"/>
      <c r="M16" s="92" t="s">
        <v>598</v>
      </c>
      <c r="N16" s="92" t="s">
        <v>566</v>
      </c>
      <c r="O16" s="92" t="s">
        <v>567</v>
      </c>
      <c r="P16" s="94">
        <v>1</v>
      </c>
      <c r="Q16" s="92" t="s">
        <v>568</v>
      </c>
      <c r="R16" s="92" t="s">
        <v>569</v>
      </c>
      <c r="S16" s="92" t="s">
        <v>570</v>
      </c>
      <c r="T16" s="92" t="s">
        <v>571</v>
      </c>
      <c r="U16" s="92" t="s">
        <v>572</v>
      </c>
      <c r="V16" s="94">
        <v>4250</v>
      </c>
      <c r="W16" s="265">
        <v>8.19</v>
      </c>
      <c r="X16" s="266">
        <v>112.5</v>
      </c>
      <c r="Y16" s="92" t="s">
        <v>571</v>
      </c>
      <c r="Z16" s="92" t="s">
        <v>573</v>
      </c>
      <c r="AA16" s="92" t="s">
        <v>606</v>
      </c>
      <c r="AB16" s="92" t="s">
        <v>575</v>
      </c>
      <c r="AC16" s="92" t="s">
        <v>24</v>
      </c>
      <c r="AD16" s="92" t="s">
        <v>576</v>
      </c>
      <c r="AE16" s="266"/>
      <c r="AF16" s="94"/>
      <c r="AG16" s="266"/>
      <c r="AH16" s="92" t="s">
        <v>587</v>
      </c>
      <c r="AI16" s="92" t="s">
        <v>588</v>
      </c>
      <c r="AJ16" s="92" t="s">
        <v>579</v>
      </c>
      <c r="AK16" s="92" t="s">
        <v>580</v>
      </c>
      <c r="AL16" s="92" t="s">
        <v>581</v>
      </c>
      <c r="AM16" s="267"/>
      <c r="AN16" s="267"/>
      <c r="AO16" s="267"/>
      <c r="AP16" s="267"/>
      <c r="AQ16" s="267"/>
      <c r="AR16" s="267"/>
      <c r="AS16" s="267"/>
      <c r="AT16" s="267">
        <v>164.5</v>
      </c>
      <c r="AU16" s="92" t="s">
        <v>582</v>
      </c>
      <c r="AV16" s="267"/>
      <c r="AW16" s="267"/>
      <c r="AX16" s="267"/>
      <c r="AY16" s="267"/>
      <c r="AZ16" s="267"/>
      <c r="BA16" s="267"/>
      <c r="BB16" s="267"/>
      <c r="BC16" s="264">
        <v>30.36</v>
      </c>
      <c r="BD16" s="268">
        <v>0.3201</v>
      </c>
      <c r="BE16" s="269">
        <v>1.9560000000000001E-2</v>
      </c>
      <c r="BF16" s="264">
        <v>11.75</v>
      </c>
      <c r="BG16" s="268">
        <v>0.17460000000000001</v>
      </c>
      <c r="BH16" s="269">
        <v>1.8839999999999999E-2</v>
      </c>
      <c r="BI16" s="92" t="s">
        <v>576</v>
      </c>
      <c r="BJ16" s="92" t="s">
        <v>576</v>
      </c>
      <c r="BK16" s="92" t="s">
        <v>583</v>
      </c>
      <c r="BL16" s="92" t="s">
        <v>31</v>
      </c>
      <c r="BM16" s="266">
        <v>0.5</v>
      </c>
      <c r="BN16" s="92" t="s">
        <v>584</v>
      </c>
      <c r="BO16" s="92" t="s">
        <v>585</v>
      </c>
    </row>
    <row r="17" spans="1:67" x14ac:dyDescent="0.25">
      <c r="A17" s="94">
        <v>2019</v>
      </c>
      <c r="B17" s="92" t="s">
        <v>558</v>
      </c>
      <c r="C17" s="92" t="s">
        <v>559</v>
      </c>
      <c r="D17" s="92" t="s">
        <v>560</v>
      </c>
      <c r="E17" s="92" t="s">
        <v>603</v>
      </c>
      <c r="F17" s="92" t="s">
        <v>596</v>
      </c>
      <c r="G17" s="94">
        <v>1</v>
      </c>
      <c r="H17" s="264">
        <v>99.998999999999995</v>
      </c>
      <c r="I17" s="92" t="s">
        <v>597</v>
      </c>
      <c r="J17" s="92" t="s">
        <v>564</v>
      </c>
      <c r="K17" s="94">
        <v>214</v>
      </c>
      <c r="L17" s="94"/>
      <c r="M17" s="92" t="s">
        <v>598</v>
      </c>
      <c r="N17" s="92" t="s">
        <v>566</v>
      </c>
      <c r="O17" s="92" t="s">
        <v>567</v>
      </c>
      <c r="P17" s="94">
        <v>1</v>
      </c>
      <c r="Q17" s="92" t="s">
        <v>568</v>
      </c>
      <c r="R17" s="92" t="s">
        <v>569</v>
      </c>
      <c r="S17" s="92" t="s">
        <v>570</v>
      </c>
      <c r="T17" s="92" t="s">
        <v>571</v>
      </c>
      <c r="U17" s="92" t="s">
        <v>572</v>
      </c>
      <c r="V17" s="94">
        <v>4250</v>
      </c>
      <c r="W17" s="265">
        <v>8.19</v>
      </c>
      <c r="X17" s="266">
        <v>112.5</v>
      </c>
      <c r="Y17" s="92" t="s">
        <v>571</v>
      </c>
      <c r="Z17" s="92" t="s">
        <v>573</v>
      </c>
      <c r="AA17" s="92" t="s">
        <v>607</v>
      </c>
      <c r="AB17" s="92" t="s">
        <v>575</v>
      </c>
      <c r="AC17" s="92" t="s">
        <v>24</v>
      </c>
      <c r="AD17" s="92" t="s">
        <v>576</v>
      </c>
      <c r="AE17" s="266"/>
      <c r="AF17" s="94"/>
      <c r="AG17" s="266"/>
      <c r="AH17" s="92" t="s">
        <v>577</v>
      </c>
      <c r="AI17" s="92" t="s">
        <v>578</v>
      </c>
      <c r="AJ17" s="92" t="s">
        <v>579</v>
      </c>
      <c r="AK17" s="92" t="s">
        <v>580</v>
      </c>
      <c r="AL17" s="92" t="s">
        <v>581</v>
      </c>
      <c r="AM17" s="267"/>
      <c r="AN17" s="267"/>
      <c r="AO17" s="267"/>
      <c r="AP17" s="267"/>
      <c r="AQ17" s="267"/>
      <c r="AR17" s="267"/>
      <c r="AS17" s="267"/>
      <c r="AT17" s="267">
        <v>136.1</v>
      </c>
      <c r="AU17" s="92" t="s">
        <v>582</v>
      </c>
      <c r="AV17" s="267"/>
      <c r="AW17" s="267"/>
      <c r="AX17" s="267"/>
      <c r="AY17" s="267"/>
      <c r="AZ17" s="267"/>
      <c r="BA17" s="267"/>
      <c r="BB17" s="267"/>
      <c r="BC17" s="264">
        <v>30.36</v>
      </c>
      <c r="BD17" s="268">
        <v>0.3201</v>
      </c>
      <c r="BE17" s="269">
        <v>1.9560000000000001E-2</v>
      </c>
      <c r="BF17" s="264">
        <v>11.75</v>
      </c>
      <c r="BG17" s="268">
        <v>0.17460000000000001</v>
      </c>
      <c r="BH17" s="269">
        <v>1.8839999999999999E-2</v>
      </c>
      <c r="BI17" s="92" t="s">
        <v>576</v>
      </c>
      <c r="BJ17" s="92" t="s">
        <v>576</v>
      </c>
      <c r="BK17" s="92" t="s">
        <v>583</v>
      </c>
      <c r="BL17" s="92" t="s">
        <v>32</v>
      </c>
      <c r="BM17" s="266">
        <v>0.5</v>
      </c>
      <c r="BN17" s="92" t="s">
        <v>584</v>
      </c>
      <c r="BO17" s="92" t="s">
        <v>585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1:V33"/>
  <sheetViews>
    <sheetView workbookViewId="0">
      <selection activeCell="D8" sqref="D8"/>
    </sheetView>
  </sheetViews>
  <sheetFormatPr defaultColWidth="9.140625" defaultRowHeight="15" x14ac:dyDescent="0.25"/>
  <cols>
    <col min="7" max="7" width="16" customWidth="1"/>
    <col min="8" max="8" width="13" customWidth="1"/>
    <col min="9" max="9" width="16.5703125" bestFit="1" customWidth="1"/>
    <col min="10" max="10" width="10.5703125" customWidth="1"/>
    <col min="15" max="15" width="11" customWidth="1"/>
  </cols>
  <sheetData>
    <row r="1" spans="3:22" x14ac:dyDescent="0.25">
      <c r="J1" s="17"/>
    </row>
    <row r="2" spans="3:22" ht="15.75" thickBot="1" x14ac:dyDescent="0.3">
      <c r="L2" s="507" t="s">
        <v>214</v>
      </c>
      <c r="M2" s="507"/>
      <c r="N2" s="507"/>
      <c r="O2" s="507"/>
      <c r="P2" s="507"/>
      <c r="Q2" s="507"/>
      <c r="R2" s="507"/>
    </row>
    <row r="3" spans="3:22" x14ac:dyDescent="0.25">
      <c r="C3" s="78"/>
      <c r="D3" s="9"/>
      <c r="E3" s="9"/>
      <c r="F3" s="9"/>
      <c r="G3" s="9"/>
      <c r="H3" s="79" t="s">
        <v>213</v>
      </c>
      <c r="I3" s="79"/>
      <c r="J3" s="80"/>
      <c r="L3" s="78"/>
      <c r="M3" s="9"/>
      <c r="N3" s="9"/>
      <c r="O3" s="9"/>
      <c r="P3" s="9"/>
      <c r="Q3" s="79" t="s">
        <v>213</v>
      </c>
      <c r="R3" s="79"/>
      <c r="S3" s="88"/>
    </row>
    <row r="4" spans="3:22" x14ac:dyDescent="0.25">
      <c r="C4" s="81" t="s">
        <v>215</v>
      </c>
      <c r="D4" s="82">
        <v>60000</v>
      </c>
      <c r="E4" t="s">
        <v>216</v>
      </c>
      <c r="G4" t="s">
        <v>217</v>
      </c>
      <c r="H4" s="82">
        <v>4002</v>
      </c>
      <c r="I4" s="83" t="s">
        <v>218</v>
      </c>
      <c r="J4" s="84"/>
      <c r="L4" s="81" t="s">
        <v>215</v>
      </c>
      <c r="M4" s="82"/>
      <c r="N4" t="s">
        <v>216</v>
      </c>
      <c r="P4" t="s">
        <v>217</v>
      </c>
      <c r="Q4" s="82"/>
      <c r="R4" s="83" t="s">
        <v>218</v>
      </c>
      <c r="S4" s="84"/>
    </row>
    <row r="5" spans="3:22" x14ac:dyDescent="0.25">
      <c r="C5" s="81" t="s">
        <v>215</v>
      </c>
      <c r="D5" s="216">
        <f>D4*0.95</f>
        <v>57000</v>
      </c>
      <c r="E5" t="s">
        <v>219</v>
      </c>
      <c r="G5" t="s">
        <v>220</v>
      </c>
      <c r="H5" s="82">
        <v>3478</v>
      </c>
      <c r="I5" s="83" t="s">
        <v>218</v>
      </c>
      <c r="J5" s="84"/>
      <c r="L5" s="81" t="s">
        <v>215</v>
      </c>
      <c r="M5" s="216">
        <f>M4*0.95</f>
        <v>0</v>
      </c>
      <c r="N5" t="s">
        <v>219</v>
      </c>
      <c r="P5" t="s">
        <v>222</v>
      </c>
      <c r="Q5" s="82"/>
      <c r="R5" s="83" t="s">
        <v>218</v>
      </c>
      <c r="S5" s="84"/>
    </row>
    <row r="6" spans="3:22" x14ac:dyDescent="0.25">
      <c r="C6" s="10"/>
      <c r="G6" t="s">
        <v>221</v>
      </c>
      <c r="H6" s="82">
        <v>3677</v>
      </c>
      <c r="I6" s="83" t="s">
        <v>218</v>
      </c>
      <c r="J6" s="84"/>
      <c r="L6" s="10"/>
      <c r="P6" t="s">
        <v>225</v>
      </c>
      <c r="Q6" s="82"/>
      <c r="R6" s="83" t="s">
        <v>218</v>
      </c>
      <c r="S6" s="84"/>
    </row>
    <row r="7" spans="3:22" x14ac:dyDescent="0.25">
      <c r="C7" s="81" t="s">
        <v>215</v>
      </c>
      <c r="D7" s="82">
        <v>380</v>
      </c>
      <c r="E7" t="s">
        <v>223</v>
      </c>
      <c r="G7" t="s">
        <v>224</v>
      </c>
      <c r="H7" s="82">
        <v>3585</v>
      </c>
      <c r="I7" s="83" t="s">
        <v>218</v>
      </c>
      <c r="J7" s="84"/>
      <c r="L7" s="81" t="s">
        <v>215</v>
      </c>
      <c r="M7" s="82"/>
      <c r="N7" t="s">
        <v>223</v>
      </c>
      <c r="P7" t="s">
        <v>226</v>
      </c>
      <c r="Q7" s="82"/>
      <c r="R7" s="83" t="s">
        <v>218</v>
      </c>
      <c r="S7" s="84"/>
    </row>
    <row r="8" spans="3:22" x14ac:dyDescent="0.25">
      <c r="C8" s="10"/>
      <c r="J8" s="84"/>
      <c r="L8" s="81"/>
      <c r="M8" s="82"/>
      <c r="P8" t="s">
        <v>228</v>
      </c>
      <c r="Q8" s="82"/>
      <c r="R8" s="83"/>
      <c r="S8" s="84"/>
    </row>
    <row r="9" spans="3:22" ht="15.75" thickBot="1" x14ac:dyDescent="0.3">
      <c r="C9" s="219">
        <v>245</v>
      </c>
      <c r="D9" s="195"/>
      <c r="G9" s="85" t="s">
        <v>357</v>
      </c>
      <c r="H9" s="86">
        <f>(H5*2+H6+H7)*2</f>
        <v>28436</v>
      </c>
      <c r="I9" s="83">
        <f>6404*2</f>
        <v>12808</v>
      </c>
      <c r="J9" s="84"/>
      <c r="L9" s="10"/>
      <c r="S9" s="84"/>
    </row>
    <row r="10" spans="3:22" x14ac:dyDescent="0.25">
      <c r="C10" s="197" t="s">
        <v>360</v>
      </c>
      <c r="D10" s="196">
        <v>350</v>
      </c>
      <c r="J10" s="84"/>
      <c r="L10" s="10"/>
      <c r="P10" s="85" t="s">
        <v>227</v>
      </c>
      <c r="Q10" s="86">
        <f>SUM(Q4:Q8)*2</f>
        <v>0</v>
      </c>
      <c r="S10" s="84"/>
      <c r="V10" t="s">
        <v>466</v>
      </c>
    </row>
    <row r="11" spans="3:22" x14ac:dyDescent="0.25">
      <c r="C11" s="10" t="s">
        <v>383</v>
      </c>
      <c r="D11">
        <v>280</v>
      </c>
      <c r="G11" s="85" t="s">
        <v>229</v>
      </c>
      <c r="H11" s="194">
        <f>D5-H9-D5*0.05</f>
        <v>25714</v>
      </c>
      <c r="I11" t="s">
        <v>359</v>
      </c>
      <c r="J11" s="84"/>
      <c r="L11" s="10"/>
      <c r="S11" s="84"/>
    </row>
    <row r="12" spans="3:22" x14ac:dyDescent="0.25">
      <c r="C12" s="10"/>
      <c r="J12" s="84"/>
      <c r="L12" s="10"/>
      <c r="P12" s="85" t="s">
        <v>229</v>
      </c>
      <c r="Q12" s="86">
        <f>M5-Q10-M5*0.1</f>
        <v>0</v>
      </c>
      <c r="R12" t="s">
        <v>230</v>
      </c>
      <c r="S12" s="84"/>
    </row>
    <row r="13" spans="3:22" x14ac:dyDescent="0.25">
      <c r="C13" s="10"/>
      <c r="G13" s="85" t="s">
        <v>342</v>
      </c>
      <c r="H13" s="193">
        <f>H11/D7</f>
        <v>67.668421052631572</v>
      </c>
      <c r="I13" t="s">
        <v>250</v>
      </c>
      <c r="J13" s="84"/>
      <c r="L13" s="10"/>
      <c r="S13" s="84"/>
    </row>
    <row r="14" spans="3:22" x14ac:dyDescent="0.25">
      <c r="C14" s="10"/>
      <c r="G14" s="85" t="s">
        <v>338</v>
      </c>
      <c r="H14" s="93">
        <f>H13/65*3600</f>
        <v>3747.78947368421</v>
      </c>
      <c r="I14" t="s">
        <v>251</v>
      </c>
      <c r="J14" s="84"/>
      <c r="L14" s="10"/>
      <c r="P14" s="85" t="s">
        <v>231</v>
      </c>
      <c r="Q14" s="100" t="e">
        <f>Q12/M7</f>
        <v>#DIV/0!</v>
      </c>
      <c r="S14" s="84"/>
    </row>
    <row r="15" spans="3:22" x14ac:dyDescent="0.25">
      <c r="C15" s="10"/>
      <c r="G15" s="85" t="s">
        <v>339</v>
      </c>
      <c r="H15" s="192">
        <f>H14+25</f>
        <v>3772.78947368421</v>
      </c>
      <c r="I15" t="s">
        <v>251</v>
      </c>
      <c r="J15" s="84"/>
      <c r="L15" s="10"/>
      <c r="S15" s="84"/>
    </row>
    <row r="16" spans="3:22" ht="15.75" thickBot="1" x14ac:dyDescent="0.3">
      <c r="C16" s="12"/>
      <c r="D16" s="13"/>
      <c r="E16" s="13"/>
      <c r="F16" s="537" t="s">
        <v>351</v>
      </c>
      <c r="G16" s="537"/>
      <c r="H16" s="537"/>
      <c r="I16" s="537"/>
      <c r="J16" s="538"/>
      <c r="L16" s="12"/>
      <c r="M16" s="13"/>
      <c r="N16" s="13"/>
      <c r="O16" s="13"/>
      <c r="P16" s="89"/>
      <c r="Q16" s="89"/>
      <c r="R16" s="13"/>
      <c r="S16" s="87"/>
    </row>
    <row r="17" spans="2:18" x14ac:dyDescent="0.25">
      <c r="P17" s="85"/>
      <c r="Q17" s="85"/>
    </row>
    <row r="18" spans="2:18" x14ac:dyDescent="0.25">
      <c r="D18" s="536" t="s">
        <v>258</v>
      </c>
      <c r="E18" s="536"/>
      <c r="F18" s="536"/>
      <c r="G18" s="536"/>
      <c r="H18" s="536"/>
      <c r="I18" s="536"/>
      <c r="P18" s="85"/>
      <c r="Q18" s="85"/>
    </row>
    <row r="19" spans="2:18" x14ac:dyDescent="0.25">
      <c r="D19" s="95" t="s">
        <v>252</v>
      </c>
      <c r="E19" s="95" t="s">
        <v>254</v>
      </c>
      <c r="F19" s="95" t="s">
        <v>358</v>
      </c>
      <c r="G19" s="95" t="s">
        <v>255</v>
      </c>
      <c r="H19" s="95" t="s">
        <v>256</v>
      </c>
      <c r="I19" s="95" t="s">
        <v>257</v>
      </c>
      <c r="P19" s="85"/>
      <c r="Q19" s="85"/>
      <c r="R19" s="85"/>
    </row>
    <row r="20" spans="2:18" x14ac:dyDescent="0.25">
      <c r="B20" s="535" t="s">
        <v>253</v>
      </c>
      <c r="C20" s="98" t="s">
        <v>340</v>
      </c>
      <c r="D20" s="94">
        <f>ROUND(H15,0)</f>
        <v>3773</v>
      </c>
      <c r="E20">
        <v>65</v>
      </c>
      <c r="F20">
        <v>0</v>
      </c>
      <c r="G20">
        <v>1</v>
      </c>
      <c r="H20">
        <v>0</v>
      </c>
      <c r="J20" s="97"/>
    </row>
    <row r="21" spans="2:18" x14ac:dyDescent="0.25">
      <c r="B21" s="535"/>
      <c r="C21" s="99">
        <v>20</v>
      </c>
      <c r="D21" s="94">
        <f>C21+D20</f>
        <v>3793</v>
      </c>
      <c r="E21">
        <v>0</v>
      </c>
      <c r="F21">
        <v>0</v>
      </c>
      <c r="G21">
        <v>1</v>
      </c>
      <c r="H21">
        <v>0</v>
      </c>
      <c r="J21" s="97"/>
      <c r="L21">
        <v>610</v>
      </c>
      <c r="M21">
        <v>65</v>
      </c>
      <c r="N21">
        <v>0</v>
      </c>
      <c r="O21">
        <v>1</v>
      </c>
      <c r="P21">
        <v>0</v>
      </c>
    </row>
    <row r="22" spans="2:18" x14ac:dyDescent="0.25">
      <c r="B22" s="535"/>
      <c r="C22" s="99">
        <v>4</v>
      </c>
      <c r="D22" s="94">
        <f t="shared" ref="D22:D28" si="0">C22+D21</f>
        <v>3797</v>
      </c>
      <c r="E22">
        <v>0</v>
      </c>
      <c r="F22">
        <v>0</v>
      </c>
      <c r="G22">
        <v>1</v>
      </c>
      <c r="H22">
        <v>0</v>
      </c>
      <c r="J22" s="97"/>
      <c r="L22">
        <v>630</v>
      </c>
      <c r="M22">
        <v>0</v>
      </c>
      <c r="N22">
        <v>0</v>
      </c>
      <c r="O22">
        <v>1</v>
      </c>
      <c r="P22">
        <v>0</v>
      </c>
    </row>
    <row r="23" spans="2:18" x14ac:dyDescent="0.25">
      <c r="B23" s="535"/>
      <c r="C23" s="99">
        <v>1</v>
      </c>
      <c r="D23" s="94">
        <f t="shared" si="0"/>
        <v>3798</v>
      </c>
      <c r="E23">
        <v>0</v>
      </c>
      <c r="F23">
        <v>0</v>
      </c>
      <c r="G23">
        <v>0</v>
      </c>
      <c r="H23">
        <v>0</v>
      </c>
      <c r="J23" s="97"/>
      <c r="L23">
        <v>634</v>
      </c>
      <c r="M23">
        <v>0</v>
      </c>
      <c r="N23">
        <v>0</v>
      </c>
      <c r="O23">
        <v>1</v>
      </c>
      <c r="P23">
        <v>0</v>
      </c>
    </row>
    <row r="24" spans="2:18" x14ac:dyDescent="0.25">
      <c r="B24" s="535"/>
      <c r="C24" s="99">
        <v>1</v>
      </c>
      <c r="D24" s="94">
        <f t="shared" si="0"/>
        <v>3799</v>
      </c>
      <c r="E24">
        <v>0</v>
      </c>
      <c r="F24">
        <v>0</v>
      </c>
      <c r="G24">
        <v>0</v>
      </c>
      <c r="H24">
        <v>0</v>
      </c>
      <c r="J24" s="97"/>
      <c r="L24">
        <v>635</v>
      </c>
      <c r="M24">
        <v>0</v>
      </c>
      <c r="N24">
        <v>0</v>
      </c>
      <c r="O24">
        <v>0</v>
      </c>
      <c r="P24">
        <v>0</v>
      </c>
    </row>
    <row r="25" spans="2:18" x14ac:dyDescent="0.25">
      <c r="B25" s="535"/>
      <c r="C25" s="99">
        <v>1</v>
      </c>
      <c r="D25" s="94">
        <f t="shared" si="0"/>
        <v>3800</v>
      </c>
      <c r="E25">
        <v>0</v>
      </c>
      <c r="F25">
        <v>0</v>
      </c>
      <c r="G25">
        <v>0</v>
      </c>
      <c r="H25">
        <v>0</v>
      </c>
      <c r="J25" s="97"/>
      <c r="L25">
        <v>636</v>
      </c>
      <c r="M25">
        <v>0</v>
      </c>
      <c r="N25">
        <v>0</v>
      </c>
      <c r="O25">
        <v>2</v>
      </c>
      <c r="P25">
        <v>0</v>
      </c>
      <c r="Q25" t="s">
        <v>311</v>
      </c>
    </row>
    <row r="26" spans="2:18" x14ac:dyDescent="0.25">
      <c r="B26" s="535"/>
      <c r="C26" s="99">
        <v>3</v>
      </c>
      <c r="D26" s="94">
        <f t="shared" si="0"/>
        <v>3803</v>
      </c>
      <c r="E26">
        <v>0</v>
      </c>
      <c r="F26">
        <v>0</v>
      </c>
      <c r="G26">
        <v>0</v>
      </c>
      <c r="H26">
        <v>0</v>
      </c>
      <c r="J26" s="97"/>
      <c r="L26">
        <v>637</v>
      </c>
      <c r="M26">
        <v>0</v>
      </c>
      <c r="N26">
        <v>0</v>
      </c>
      <c r="O26">
        <v>0</v>
      </c>
      <c r="P26">
        <v>0</v>
      </c>
    </row>
    <row r="27" spans="2:18" x14ac:dyDescent="0.25">
      <c r="B27" s="535"/>
      <c r="C27" s="99">
        <v>89</v>
      </c>
      <c r="D27" s="94">
        <f t="shared" si="0"/>
        <v>3892</v>
      </c>
      <c r="E27">
        <v>0</v>
      </c>
      <c r="F27">
        <v>0</v>
      </c>
      <c r="G27">
        <v>0</v>
      </c>
      <c r="H27">
        <v>0</v>
      </c>
      <c r="J27" s="97"/>
      <c r="L27">
        <v>640</v>
      </c>
      <c r="M27">
        <v>0</v>
      </c>
      <c r="N27">
        <v>0</v>
      </c>
      <c r="O27">
        <v>0</v>
      </c>
      <c r="P27">
        <v>0</v>
      </c>
    </row>
    <row r="28" spans="2:18" x14ac:dyDescent="0.25">
      <c r="B28" s="535"/>
      <c r="C28" s="99">
        <v>1</v>
      </c>
      <c r="D28" s="94">
        <f t="shared" si="0"/>
        <v>3893</v>
      </c>
      <c r="E28">
        <v>0</v>
      </c>
      <c r="F28">
        <v>0</v>
      </c>
      <c r="G28">
        <v>3</v>
      </c>
      <c r="H28">
        <v>0</v>
      </c>
      <c r="J28" s="97"/>
      <c r="L28">
        <v>729</v>
      </c>
      <c r="M28">
        <v>0</v>
      </c>
      <c r="N28">
        <v>0</v>
      </c>
      <c r="O28">
        <v>0</v>
      </c>
      <c r="P28">
        <v>0</v>
      </c>
    </row>
    <row r="29" spans="2:18" x14ac:dyDescent="0.25">
      <c r="D29" s="96"/>
      <c r="E29" s="96"/>
      <c r="F29" s="96"/>
      <c r="G29" s="96"/>
      <c r="H29" s="96"/>
      <c r="I29" s="96"/>
      <c r="L29">
        <v>730</v>
      </c>
      <c r="M29">
        <v>0</v>
      </c>
      <c r="N29">
        <v>0</v>
      </c>
      <c r="O29">
        <v>3</v>
      </c>
      <c r="P29">
        <v>0</v>
      </c>
    </row>
    <row r="30" spans="2:18" x14ac:dyDescent="0.25">
      <c r="L30">
        <v>731</v>
      </c>
      <c r="M30">
        <v>0</v>
      </c>
      <c r="N30">
        <v>0</v>
      </c>
      <c r="O30">
        <v>3</v>
      </c>
      <c r="P30">
        <v>0</v>
      </c>
    </row>
    <row r="31" spans="2:18" x14ac:dyDescent="0.25">
      <c r="L31">
        <v>732</v>
      </c>
      <c r="M31">
        <v>0</v>
      </c>
      <c r="N31">
        <v>0</v>
      </c>
      <c r="O31">
        <v>3</v>
      </c>
      <c r="P31">
        <v>0</v>
      </c>
    </row>
    <row r="32" spans="2:18" x14ac:dyDescent="0.25">
      <c r="L32">
        <v>733</v>
      </c>
      <c r="M32">
        <v>0</v>
      </c>
      <c r="N32">
        <v>0</v>
      </c>
      <c r="O32">
        <v>3</v>
      </c>
      <c r="P32">
        <v>0</v>
      </c>
    </row>
    <row r="33" spans="12:16" ht="14.45" customHeight="1" x14ac:dyDescent="0.25">
      <c r="L33">
        <v>734</v>
      </c>
      <c r="M33">
        <v>0</v>
      </c>
      <c r="N33">
        <v>0</v>
      </c>
      <c r="O33">
        <v>3</v>
      </c>
      <c r="P33">
        <v>0</v>
      </c>
    </row>
  </sheetData>
  <mergeCells count="4">
    <mergeCell ref="L2:R2"/>
    <mergeCell ref="B20:B28"/>
    <mergeCell ref="D18:I18"/>
    <mergeCell ref="F16:J16"/>
  </mergeCells>
  <hyperlinks>
    <hyperlink ref="F16" r:id="rId1" display="Click here for a link to the No-Soak MCT 55mph &amp; US06 test folder" xr:uid="{00000000-0004-0000-0700-000000000000}"/>
    <hyperlink ref="F16:J16" r:id="rId2" display="Click here for a link to the No-Soak MCT 55-65mph &amp; US06 test folder"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8:R25"/>
  <sheetViews>
    <sheetView workbookViewId="0">
      <selection activeCell="G31" sqref="G31"/>
    </sheetView>
  </sheetViews>
  <sheetFormatPr defaultRowHeight="15" x14ac:dyDescent="0.25"/>
  <cols>
    <col min="1" max="1" width="8.85546875"/>
    <col min="2" max="2" width="11.140625" bestFit="1" customWidth="1"/>
    <col min="3" max="3" width="11.140625" customWidth="1"/>
    <col min="4" max="4" width="14.5703125" customWidth="1"/>
    <col min="5" max="5" width="9.5703125" customWidth="1"/>
    <col min="6" max="6" width="11.5703125" bestFit="1" customWidth="1"/>
    <col min="7" max="12" width="9.5703125" customWidth="1"/>
    <col min="13" max="13" width="8.85546875"/>
    <col min="14" max="14" width="11.140625" bestFit="1" customWidth="1"/>
    <col min="15" max="17" width="11.140625" customWidth="1"/>
    <col min="18" max="18" width="11.5703125" bestFit="1" customWidth="1"/>
    <col min="19" max="19" width="10.5703125" customWidth="1"/>
    <col min="20" max="20" width="9.5703125" customWidth="1"/>
    <col min="21" max="21" width="7.42578125" bestFit="1" customWidth="1"/>
  </cols>
  <sheetData>
    <row r="8" spans="1:18" x14ac:dyDescent="0.25">
      <c r="C8" s="507" t="s">
        <v>264</v>
      </c>
      <c r="D8" s="507"/>
      <c r="E8" s="507" t="s">
        <v>266</v>
      </c>
      <c r="F8" s="507"/>
      <c r="G8" s="507" t="s">
        <v>267</v>
      </c>
      <c r="H8" s="507"/>
      <c r="I8" s="507" t="s">
        <v>268</v>
      </c>
      <c r="J8" s="507"/>
      <c r="K8" s="507" t="s">
        <v>269</v>
      </c>
      <c r="L8" s="507"/>
      <c r="M8" s="507" t="s">
        <v>270</v>
      </c>
      <c r="N8" s="507"/>
      <c r="O8" s="507" t="s">
        <v>271</v>
      </c>
      <c r="P8" s="507"/>
      <c r="Q8" s="507" t="s">
        <v>272</v>
      </c>
      <c r="R8" s="507"/>
    </row>
    <row r="9" spans="1:18" ht="29.1" customHeight="1" thickBot="1" x14ac:dyDescent="0.3">
      <c r="C9" t="s">
        <v>0</v>
      </c>
      <c r="D9" s="5" t="s">
        <v>265</v>
      </c>
      <c r="E9" t="s">
        <v>0</v>
      </c>
      <c r="F9" s="5" t="s">
        <v>265</v>
      </c>
      <c r="G9" t="s">
        <v>0</v>
      </c>
      <c r="H9" s="5" t="s">
        <v>265</v>
      </c>
      <c r="I9" t="s">
        <v>0</v>
      </c>
      <c r="J9" s="5" t="s">
        <v>265</v>
      </c>
      <c r="K9" t="s">
        <v>0</v>
      </c>
      <c r="L9" s="5" t="s">
        <v>265</v>
      </c>
      <c r="M9" t="s">
        <v>0</v>
      </c>
      <c r="N9" s="5" t="s">
        <v>265</v>
      </c>
      <c r="O9" t="s">
        <v>0</v>
      </c>
      <c r="P9" s="5" t="s">
        <v>265</v>
      </c>
      <c r="Q9" t="s">
        <v>0</v>
      </c>
      <c r="R9" s="5" t="s">
        <v>265</v>
      </c>
    </row>
    <row r="10" spans="1:18" x14ac:dyDescent="0.25">
      <c r="A10" s="539" t="s">
        <v>262</v>
      </c>
      <c r="B10" s="85">
        <v>0</v>
      </c>
      <c r="C10" s="78"/>
      <c r="D10" s="9">
        <v>5</v>
      </c>
      <c r="E10" s="9"/>
      <c r="F10" s="9"/>
      <c r="G10" s="9"/>
      <c r="H10" s="9"/>
      <c r="I10" s="9"/>
      <c r="J10" s="9"/>
      <c r="K10" s="9"/>
      <c r="L10" s="9"/>
      <c r="M10" s="9"/>
      <c r="N10" s="9">
        <v>15</v>
      </c>
      <c r="O10" s="9"/>
      <c r="P10" s="9"/>
      <c r="Q10" s="9"/>
      <c r="R10" s="88">
        <v>55</v>
      </c>
    </row>
    <row r="11" spans="1:18" x14ac:dyDescent="0.25">
      <c r="A11" s="539"/>
      <c r="B11" s="85" t="s">
        <v>261</v>
      </c>
      <c r="C11" s="10"/>
      <c r="D11">
        <v>10</v>
      </c>
      <c r="N11">
        <v>20</v>
      </c>
      <c r="R11" s="84">
        <v>60</v>
      </c>
    </row>
    <row r="12" spans="1:18" x14ac:dyDescent="0.25">
      <c r="A12" s="539"/>
      <c r="B12" s="85" t="s">
        <v>248</v>
      </c>
      <c r="C12" s="10"/>
      <c r="D12">
        <v>15</v>
      </c>
      <c r="N12">
        <v>25</v>
      </c>
      <c r="R12" s="84">
        <v>65</v>
      </c>
    </row>
    <row r="13" spans="1:18" x14ac:dyDescent="0.25">
      <c r="A13" s="539"/>
      <c r="B13" s="85">
        <v>72</v>
      </c>
      <c r="C13" s="10"/>
      <c r="D13">
        <v>20</v>
      </c>
      <c r="N13">
        <v>30</v>
      </c>
      <c r="R13" s="84">
        <v>70</v>
      </c>
    </row>
    <row r="14" spans="1:18" x14ac:dyDescent="0.25">
      <c r="A14" s="539"/>
      <c r="B14" s="85">
        <v>95</v>
      </c>
      <c r="C14" s="10"/>
      <c r="D14">
        <v>25</v>
      </c>
      <c r="N14">
        <v>35</v>
      </c>
      <c r="R14" s="84">
        <v>75</v>
      </c>
    </row>
    <row r="15" spans="1:18" ht="15.75" thickBot="1" x14ac:dyDescent="0.3">
      <c r="A15" s="539"/>
      <c r="B15" s="85" t="s">
        <v>260</v>
      </c>
      <c r="C15" s="12"/>
      <c r="D15" s="13">
        <v>30</v>
      </c>
      <c r="E15" s="13"/>
      <c r="F15" s="13"/>
      <c r="G15" s="13"/>
      <c r="H15" s="13"/>
      <c r="I15" s="13"/>
      <c r="J15" s="13"/>
      <c r="K15" s="13"/>
      <c r="L15" s="13"/>
      <c r="M15" s="13"/>
      <c r="N15" s="13">
        <v>40</v>
      </c>
      <c r="O15" s="13"/>
      <c r="P15" s="13"/>
      <c r="Q15" s="13"/>
      <c r="R15" s="87">
        <v>80</v>
      </c>
    </row>
    <row r="18" spans="1:18" x14ac:dyDescent="0.25">
      <c r="C18" s="507" t="s">
        <v>57</v>
      </c>
      <c r="D18" s="507"/>
      <c r="E18" s="17"/>
      <c r="F18" s="17"/>
      <c r="G18" s="17"/>
      <c r="H18" s="17"/>
      <c r="I18" s="17"/>
      <c r="J18" s="17"/>
      <c r="K18" s="17"/>
      <c r="L18" s="17"/>
      <c r="M18" s="507" t="s">
        <v>55</v>
      </c>
      <c r="N18" s="507"/>
      <c r="O18" s="17"/>
      <c r="P18" s="17"/>
      <c r="Q18" s="507" t="s">
        <v>210</v>
      </c>
      <c r="R18" s="507"/>
    </row>
    <row r="19" spans="1:18" ht="15.75" thickBot="1" x14ac:dyDescent="0.3">
      <c r="C19" t="s">
        <v>0</v>
      </c>
      <c r="D19" t="s">
        <v>263</v>
      </c>
      <c r="M19" t="s">
        <v>0</v>
      </c>
      <c r="N19" t="s">
        <v>263</v>
      </c>
      <c r="Q19" t="s">
        <v>0</v>
      </c>
      <c r="R19" t="s">
        <v>263</v>
      </c>
    </row>
    <row r="20" spans="1:18" x14ac:dyDescent="0.25">
      <c r="A20" s="539" t="s">
        <v>262</v>
      </c>
      <c r="B20" s="85">
        <v>0</v>
      </c>
      <c r="C20" s="78"/>
      <c r="D20" s="9">
        <v>5</v>
      </c>
      <c r="E20" s="9"/>
      <c r="F20" s="9"/>
      <c r="G20" s="9"/>
      <c r="H20" s="9"/>
      <c r="I20" s="9"/>
      <c r="J20" s="9"/>
      <c r="K20" s="9"/>
      <c r="L20" s="9"/>
      <c r="M20" s="9"/>
      <c r="N20" s="9">
        <v>15</v>
      </c>
      <c r="O20" s="9"/>
      <c r="P20" s="9"/>
      <c r="Q20" s="9"/>
      <c r="R20" s="88">
        <v>55</v>
      </c>
    </row>
    <row r="21" spans="1:18" x14ac:dyDescent="0.25">
      <c r="A21" s="539"/>
      <c r="B21" s="85" t="s">
        <v>261</v>
      </c>
      <c r="C21" s="10"/>
      <c r="D21">
        <v>10</v>
      </c>
      <c r="N21">
        <v>20</v>
      </c>
      <c r="R21" s="84">
        <v>60</v>
      </c>
    </row>
    <row r="22" spans="1:18" x14ac:dyDescent="0.25">
      <c r="A22" s="539"/>
      <c r="B22" s="85" t="s">
        <v>248</v>
      </c>
      <c r="C22" s="10"/>
      <c r="D22">
        <v>15</v>
      </c>
      <c r="N22">
        <v>25</v>
      </c>
      <c r="R22" s="84">
        <v>65</v>
      </c>
    </row>
    <row r="23" spans="1:18" x14ac:dyDescent="0.25">
      <c r="A23" s="539"/>
      <c r="B23" s="85">
        <v>72</v>
      </c>
      <c r="C23" s="10"/>
      <c r="D23">
        <v>20</v>
      </c>
      <c r="N23">
        <v>30</v>
      </c>
      <c r="R23" s="84">
        <v>70</v>
      </c>
    </row>
    <row r="24" spans="1:18" x14ac:dyDescent="0.25">
      <c r="A24" s="539"/>
      <c r="B24" s="85">
        <v>95</v>
      </c>
      <c r="C24" s="10"/>
      <c r="D24">
        <v>25</v>
      </c>
      <c r="N24">
        <v>35</v>
      </c>
      <c r="R24" s="84">
        <v>75</v>
      </c>
    </row>
    <row r="25" spans="1:18" ht="15.75" thickBot="1" x14ac:dyDescent="0.3">
      <c r="A25" s="539"/>
      <c r="B25" s="85" t="s">
        <v>260</v>
      </c>
      <c r="C25" s="12"/>
      <c r="D25" s="13">
        <v>30</v>
      </c>
      <c r="E25" s="13"/>
      <c r="F25" s="13"/>
      <c r="G25" s="13"/>
      <c r="H25" s="13"/>
      <c r="I25" s="13"/>
      <c r="J25" s="13"/>
      <c r="K25" s="13"/>
      <c r="L25" s="13"/>
      <c r="M25" s="13"/>
      <c r="N25" s="13">
        <v>40</v>
      </c>
      <c r="O25" s="13"/>
      <c r="P25" s="13"/>
      <c r="Q25" s="13"/>
      <c r="R25" s="87">
        <v>80</v>
      </c>
    </row>
  </sheetData>
  <mergeCells count="13">
    <mergeCell ref="A20:A25"/>
    <mergeCell ref="E8:F8"/>
    <mergeCell ref="G8:H8"/>
    <mergeCell ref="I8:J8"/>
    <mergeCell ref="K8:L8"/>
    <mergeCell ref="C18:D18"/>
    <mergeCell ref="M18:N18"/>
    <mergeCell ref="Q18:R18"/>
    <mergeCell ref="O8:P8"/>
    <mergeCell ref="A10:A15"/>
    <mergeCell ref="Q8:R8"/>
    <mergeCell ref="M8:N8"/>
    <mergeCell ref="C8:D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Q93"/>
  <sheetViews>
    <sheetView workbookViewId="0">
      <selection activeCell="D1" sqref="D1"/>
    </sheetView>
  </sheetViews>
  <sheetFormatPr defaultColWidth="8.85546875" defaultRowHeight="15" x14ac:dyDescent="0.25"/>
  <cols>
    <col min="1" max="1" width="32.85546875" customWidth="1"/>
    <col min="2" max="2" width="20.42578125" customWidth="1"/>
    <col min="5" max="5" width="9" customWidth="1"/>
    <col min="12" max="12" width="10.5703125" customWidth="1"/>
    <col min="14" max="14" width="10.42578125" customWidth="1"/>
  </cols>
  <sheetData>
    <row r="1" spans="1:17" x14ac:dyDescent="0.25">
      <c r="A1" s="540" t="s">
        <v>980</v>
      </c>
      <c r="B1" s="540"/>
      <c r="C1" s="65" t="s">
        <v>212</v>
      </c>
      <c r="D1" s="17">
        <v>62008047</v>
      </c>
    </row>
    <row r="2" spans="1:17" ht="30" x14ac:dyDescent="0.25">
      <c r="A2" s="64"/>
      <c r="B2" s="63" t="s">
        <v>197</v>
      </c>
      <c r="C2" s="63" t="s">
        <v>196</v>
      </c>
      <c r="D2" s="63" t="s">
        <v>203</v>
      </c>
    </row>
    <row r="3" spans="1:17" x14ac:dyDescent="0.25">
      <c r="A3" s="62" t="s">
        <v>202</v>
      </c>
      <c r="B3" s="36"/>
      <c r="C3" s="36"/>
      <c r="D3" s="61"/>
    </row>
    <row r="4" spans="1:17" x14ac:dyDescent="0.25">
      <c r="A4" s="60" t="s">
        <v>201</v>
      </c>
      <c r="B4" s="59"/>
      <c r="C4" s="59"/>
      <c r="D4" s="58"/>
    </row>
    <row r="5" spans="1:17" ht="15.75" thickBot="1" x14ac:dyDescent="0.3">
      <c r="A5" s="17"/>
      <c r="B5" s="17"/>
      <c r="E5" s="541" t="s">
        <v>200</v>
      </c>
      <c r="F5" s="541"/>
      <c r="G5" s="541"/>
      <c r="H5" s="541"/>
      <c r="I5" s="541"/>
    </row>
    <row r="6" spans="1:17" s="45" customFormat="1" ht="75.75" thickBot="1" x14ac:dyDescent="0.3">
      <c r="A6" s="57" t="s">
        <v>199</v>
      </c>
      <c r="B6" s="56" t="s">
        <v>198</v>
      </c>
      <c r="C6" s="55" t="s">
        <v>197</v>
      </c>
      <c r="D6" s="54" t="s">
        <v>196</v>
      </c>
      <c r="E6" s="54" t="s">
        <v>195</v>
      </c>
      <c r="F6" s="54" t="s">
        <v>194</v>
      </c>
      <c r="G6" s="54" t="s">
        <v>193</v>
      </c>
      <c r="H6" s="54" t="s">
        <v>192</v>
      </c>
      <c r="I6" s="53" t="s">
        <v>191</v>
      </c>
      <c r="J6" s="52" t="s">
        <v>190</v>
      </c>
      <c r="K6" s="51" t="s">
        <v>189</v>
      </c>
      <c r="L6" s="50" t="s">
        <v>188</v>
      </c>
      <c r="M6" s="49" t="s">
        <v>187</v>
      </c>
      <c r="N6" s="48" t="s">
        <v>186</v>
      </c>
      <c r="O6" s="47" t="s">
        <v>185</v>
      </c>
      <c r="P6" s="47" t="s">
        <v>184</v>
      </c>
      <c r="Q6" s="46" t="s">
        <v>183</v>
      </c>
    </row>
    <row r="7" spans="1:17" s="45" customFormat="1" x14ac:dyDescent="0.25">
      <c r="A7" s="44" t="s">
        <v>235</v>
      </c>
      <c r="B7" s="43">
        <v>30</v>
      </c>
      <c r="C7" s="34"/>
      <c r="D7" s="41"/>
      <c r="E7" s="39"/>
      <c r="F7" s="40"/>
      <c r="G7" s="39"/>
      <c r="H7" s="40"/>
      <c r="I7" s="39"/>
      <c r="J7" s="37">
        <f t="shared" ref="J7:J77" si="0">F7-H7</f>
        <v>0</v>
      </c>
      <c r="K7" s="38">
        <f t="shared" ref="K7:K77" si="1">G7+I7</f>
        <v>0</v>
      </c>
      <c r="L7" s="58">
        <f t="shared" ref="L7:L77" si="2">J7*$D$4</f>
        <v>0</v>
      </c>
      <c r="M7" s="61">
        <f t="shared" ref="M7:M77" si="3">K7*$D$3</f>
        <v>0</v>
      </c>
      <c r="N7" s="35">
        <f t="shared" ref="N7:N77" si="4">L7+M7</f>
        <v>0</v>
      </c>
      <c r="O7" s="73">
        <f t="shared" ref="O7:O77" si="5">(E7-F7+H7)*$D$4</f>
        <v>0</v>
      </c>
      <c r="P7" s="73">
        <f t="shared" ref="P7:P77" si="6">(G7)*$D$3</f>
        <v>0</v>
      </c>
      <c r="Q7" s="74">
        <f t="shared" ref="Q7:Q77" si="7">O7-P7</f>
        <v>0</v>
      </c>
    </row>
    <row r="8" spans="1:17" s="45" customFormat="1" x14ac:dyDescent="0.25">
      <c r="A8" s="44"/>
      <c r="B8" s="43"/>
      <c r="C8" s="34"/>
      <c r="D8" s="41"/>
      <c r="E8" s="39"/>
      <c r="F8" s="40"/>
      <c r="G8" s="39"/>
      <c r="H8" s="40"/>
      <c r="I8" s="39"/>
      <c r="J8" s="37"/>
      <c r="K8" s="38"/>
      <c r="L8" s="58"/>
      <c r="M8" s="61"/>
      <c r="N8" s="35"/>
      <c r="O8" s="73"/>
      <c r="P8" s="73"/>
      <c r="Q8" s="74"/>
    </row>
    <row r="9" spans="1:17" s="45" customFormat="1" x14ac:dyDescent="0.25">
      <c r="A9" s="44" t="s">
        <v>236</v>
      </c>
      <c r="B9" s="43">
        <v>60</v>
      </c>
      <c r="C9" s="34"/>
      <c r="D9" s="41"/>
      <c r="E9" s="39"/>
      <c r="F9" s="40"/>
      <c r="G9" s="39"/>
      <c r="H9" s="40"/>
      <c r="I9" s="39"/>
      <c r="J9" s="37">
        <f t="shared" si="0"/>
        <v>0</v>
      </c>
      <c r="K9" s="38">
        <f t="shared" si="1"/>
        <v>0</v>
      </c>
      <c r="L9" s="58">
        <f t="shared" si="2"/>
        <v>0</v>
      </c>
      <c r="M9" s="61">
        <f t="shared" si="3"/>
        <v>0</v>
      </c>
      <c r="N9" s="35">
        <f t="shared" si="4"/>
        <v>0</v>
      </c>
      <c r="O9" s="73">
        <f t="shared" si="5"/>
        <v>0</v>
      </c>
      <c r="P9" s="73">
        <f t="shared" si="6"/>
        <v>0</v>
      </c>
      <c r="Q9" s="74">
        <f t="shared" si="7"/>
        <v>0</v>
      </c>
    </row>
    <row r="10" spans="1:17" s="45" customFormat="1" x14ac:dyDescent="0.25">
      <c r="A10" s="44"/>
      <c r="B10" s="43"/>
      <c r="C10" s="34"/>
      <c r="D10" s="41"/>
      <c r="E10" s="39"/>
      <c r="F10" s="40"/>
      <c r="G10" s="39"/>
      <c r="H10" s="40"/>
      <c r="I10" s="39"/>
      <c r="J10" s="37"/>
      <c r="K10" s="38"/>
      <c r="L10" s="58"/>
      <c r="M10" s="61"/>
      <c r="N10" s="35"/>
      <c r="O10" s="73"/>
      <c r="P10" s="73"/>
      <c r="Q10" s="74"/>
    </row>
    <row r="11" spans="1:17" s="45" customFormat="1" x14ac:dyDescent="0.25">
      <c r="A11" s="44" t="s">
        <v>237</v>
      </c>
      <c r="B11" s="43">
        <v>75</v>
      </c>
      <c r="C11" s="34"/>
      <c r="D11" s="41"/>
      <c r="E11" s="39"/>
      <c r="F11" s="40"/>
      <c r="G11" s="39"/>
      <c r="H11" s="40"/>
      <c r="I11" s="39"/>
      <c r="J11" s="37">
        <f t="shared" si="0"/>
        <v>0</v>
      </c>
      <c r="K11" s="38">
        <f t="shared" si="1"/>
        <v>0</v>
      </c>
      <c r="L11" s="58">
        <f t="shared" si="2"/>
        <v>0</v>
      </c>
      <c r="M11" s="61">
        <f t="shared" si="3"/>
        <v>0</v>
      </c>
      <c r="N11" s="35">
        <f t="shared" si="4"/>
        <v>0</v>
      </c>
      <c r="O11" s="73">
        <f t="shared" si="5"/>
        <v>0</v>
      </c>
      <c r="P11" s="73">
        <f t="shared" si="6"/>
        <v>0</v>
      </c>
      <c r="Q11" s="74">
        <f t="shared" si="7"/>
        <v>0</v>
      </c>
    </row>
    <row r="12" spans="1:17" s="45" customFormat="1" x14ac:dyDescent="0.25">
      <c r="A12" s="44"/>
      <c r="B12" s="43"/>
      <c r="C12" s="34"/>
      <c r="D12" s="41"/>
      <c r="E12" s="39"/>
      <c r="F12" s="40"/>
      <c r="G12" s="39"/>
      <c r="H12" s="40"/>
      <c r="I12" s="39"/>
      <c r="J12" s="37"/>
      <c r="K12" s="38"/>
      <c r="L12" s="58"/>
      <c r="M12" s="61"/>
      <c r="N12" s="35"/>
      <c r="O12" s="73"/>
      <c r="P12" s="73"/>
      <c r="Q12" s="74"/>
    </row>
    <row r="13" spans="1:17" x14ac:dyDescent="0.25">
      <c r="A13" s="44" t="s">
        <v>182</v>
      </c>
      <c r="B13" s="43">
        <v>100</v>
      </c>
      <c r="C13" s="34"/>
      <c r="D13" s="41"/>
      <c r="E13" s="39"/>
      <c r="F13" s="40"/>
      <c r="G13" s="39"/>
      <c r="H13" s="40"/>
      <c r="I13" s="39"/>
      <c r="J13" s="37">
        <f t="shared" si="0"/>
        <v>0</v>
      </c>
      <c r="K13" s="38">
        <f t="shared" si="1"/>
        <v>0</v>
      </c>
      <c r="L13" s="58">
        <f t="shared" si="2"/>
        <v>0</v>
      </c>
      <c r="M13" s="61">
        <f t="shared" si="3"/>
        <v>0</v>
      </c>
      <c r="N13" s="35">
        <f t="shared" si="4"/>
        <v>0</v>
      </c>
      <c r="O13" s="73">
        <f t="shared" si="5"/>
        <v>0</v>
      </c>
      <c r="P13" s="73">
        <f t="shared" si="6"/>
        <v>0</v>
      </c>
      <c r="Q13" s="74">
        <f t="shared" si="7"/>
        <v>0</v>
      </c>
    </row>
    <row r="14" spans="1:17" x14ac:dyDescent="0.25">
      <c r="A14" s="44"/>
      <c r="B14" s="43"/>
      <c r="C14" s="34"/>
      <c r="D14" s="41"/>
      <c r="E14" s="39"/>
      <c r="F14" s="40"/>
      <c r="G14" s="39"/>
      <c r="H14" s="40"/>
      <c r="I14" s="39"/>
      <c r="J14" s="37"/>
      <c r="K14" s="38"/>
      <c r="L14" s="58"/>
      <c r="M14" s="61"/>
      <c r="N14" s="35"/>
      <c r="O14" s="73"/>
      <c r="P14" s="73"/>
      <c r="Q14" s="74"/>
    </row>
    <row r="15" spans="1:17" x14ac:dyDescent="0.25">
      <c r="A15" s="44" t="s">
        <v>367</v>
      </c>
      <c r="B15" s="43" t="s">
        <v>956</v>
      </c>
      <c r="C15" s="34"/>
      <c r="D15" s="41"/>
      <c r="E15" s="39"/>
      <c r="F15" s="40"/>
      <c r="G15" s="39"/>
      <c r="H15" s="40"/>
      <c r="I15" s="39"/>
      <c r="J15" s="37">
        <f t="shared" si="0"/>
        <v>0</v>
      </c>
      <c r="K15" s="38">
        <f t="shared" si="1"/>
        <v>0</v>
      </c>
      <c r="L15" s="58">
        <f t="shared" si="2"/>
        <v>0</v>
      </c>
      <c r="M15" s="61">
        <f t="shared" si="3"/>
        <v>0</v>
      </c>
      <c r="N15" s="35">
        <f t="shared" si="4"/>
        <v>0</v>
      </c>
      <c r="O15" s="73">
        <f t="shared" si="5"/>
        <v>0</v>
      </c>
      <c r="P15" s="73">
        <f t="shared" si="6"/>
        <v>0</v>
      </c>
      <c r="Q15" s="74">
        <f t="shared" si="7"/>
        <v>0</v>
      </c>
    </row>
    <row r="16" spans="1:17" x14ac:dyDescent="0.25">
      <c r="A16" s="44"/>
      <c r="B16" s="43"/>
      <c r="C16" s="34"/>
      <c r="D16" s="41"/>
      <c r="E16" s="39"/>
      <c r="F16" s="40"/>
      <c r="G16" s="39"/>
      <c r="H16" s="40"/>
      <c r="I16" s="39"/>
      <c r="J16" s="37"/>
      <c r="K16" s="38"/>
      <c r="L16" s="58"/>
      <c r="M16" s="61"/>
      <c r="N16" s="35"/>
      <c r="O16" s="73"/>
      <c r="P16" s="73"/>
      <c r="Q16" s="74"/>
    </row>
    <row r="17" spans="1:17" x14ac:dyDescent="0.25">
      <c r="A17" s="44" t="s">
        <v>181</v>
      </c>
      <c r="B17" s="43">
        <v>910</v>
      </c>
      <c r="C17" s="34"/>
      <c r="D17" s="41"/>
      <c r="E17" s="39"/>
      <c r="F17" s="40"/>
      <c r="G17" s="39"/>
      <c r="H17" s="40"/>
      <c r="I17" s="39"/>
      <c r="J17" s="37">
        <f t="shared" si="0"/>
        <v>0</v>
      </c>
      <c r="K17" s="38">
        <f t="shared" si="1"/>
        <v>0</v>
      </c>
      <c r="L17" s="58">
        <f t="shared" si="2"/>
        <v>0</v>
      </c>
      <c r="M17" s="61">
        <f t="shared" si="3"/>
        <v>0</v>
      </c>
      <c r="N17" s="35">
        <f t="shared" si="4"/>
        <v>0</v>
      </c>
      <c r="O17" s="73">
        <f t="shared" si="5"/>
        <v>0</v>
      </c>
      <c r="P17" s="73">
        <f t="shared" si="6"/>
        <v>0</v>
      </c>
      <c r="Q17" s="74">
        <f t="shared" si="7"/>
        <v>0</v>
      </c>
    </row>
    <row r="18" spans="1:17" x14ac:dyDescent="0.25">
      <c r="A18" s="44"/>
      <c r="B18" s="43"/>
      <c r="C18" s="34"/>
      <c r="D18" s="41"/>
      <c r="E18" s="39"/>
      <c r="F18" s="40"/>
      <c r="G18" s="39"/>
      <c r="H18" s="40"/>
      <c r="I18" s="39"/>
      <c r="J18" s="37"/>
      <c r="K18" s="38"/>
      <c r="L18" s="58"/>
      <c r="M18" s="61"/>
      <c r="N18" s="35"/>
      <c r="O18" s="73"/>
      <c r="P18" s="73"/>
      <c r="Q18" s="74"/>
    </row>
    <row r="19" spans="1:17" x14ac:dyDescent="0.25">
      <c r="A19" s="44" t="s">
        <v>180</v>
      </c>
      <c r="B19" s="43">
        <v>930</v>
      </c>
      <c r="C19" s="34"/>
      <c r="D19" s="41"/>
      <c r="E19" s="39"/>
      <c r="F19" s="40"/>
      <c r="G19" s="39"/>
      <c r="H19" s="40"/>
      <c r="I19" s="39"/>
      <c r="J19" s="37">
        <f t="shared" si="0"/>
        <v>0</v>
      </c>
      <c r="K19" s="38">
        <f t="shared" si="1"/>
        <v>0</v>
      </c>
      <c r="L19" s="58">
        <f t="shared" si="2"/>
        <v>0</v>
      </c>
      <c r="M19" s="61">
        <f t="shared" si="3"/>
        <v>0</v>
      </c>
      <c r="N19" s="35">
        <f t="shared" si="4"/>
        <v>0</v>
      </c>
      <c r="O19" s="73">
        <f t="shared" si="5"/>
        <v>0</v>
      </c>
      <c r="P19" s="73">
        <f t="shared" si="6"/>
        <v>0</v>
      </c>
      <c r="Q19" s="74">
        <f t="shared" si="7"/>
        <v>0</v>
      </c>
    </row>
    <row r="20" spans="1:17" x14ac:dyDescent="0.25">
      <c r="A20" s="44"/>
      <c r="B20" s="43"/>
      <c r="C20" s="34"/>
      <c r="D20" s="41"/>
      <c r="E20" s="39"/>
      <c r="F20" s="40"/>
      <c r="G20" s="39"/>
      <c r="H20" s="40"/>
      <c r="I20" s="39"/>
      <c r="J20" s="37"/>
      <c r="K20" s="38"/>
      <c r="L20" s="58"/>
      <c r="M20" s="61"/>
      <c r="N20" s="35"/>
      <c r="O20" s="73"/>
      <c r="P20" s="73"/>
      <c r="Q20" s="74"/>
    </row>
    <row r="21" spans="1:17" x14ac:dyDescent="0.25">
      <c r="A21" s="44" t="s">
        <v>179</v>
      </c>
      <c r="B21" s="43">
        <v>950</v>
      </c>
      <c r="C21" s="34"/>
      <c r="D21" s="41"/>
      <c r="E21" s="39"/>
      <c r="F21" s="40"/>
      <c r="G21" s="39"/>
      <c r="H21" s="40"/>
      <c r="I21" s="39"/>
      <c r="J21" s="37">
        <f t="shared" si="0"/>
        <v>0</v>
      </c>
      <c r="K21" s="38">
        <f t="shared" si="1"/>
        <v>0</v>
      </c>
      <c r="L21" s="58">
        <f t="shared" si="2"/>
        <v>0</v>
      </c>
      <c r="M21" s="61">
        <f t="shared" si="3"/>
        <v>0</v>
      </c>
      <c r="N21" s="35">
        <f t="shared" si="4"/>
        <v>0</v>
      </c>
      <c r="O21" s="73">
        <f t="shared" si="5"/>
        <v>0</v>
      </c>
      <c r="P21" s="73">
        <f t="shared" si="6"/>
        <v>0</v>
      </c>
      <c r="Q21" s="74">
        <f t="shared" si="7"/>
        <v>0</v>
      </c>
    </row>
    <row r="22" spans="1:17" x14ac:dyDescent="0.25">
      <c r="A22" s="44"/>
      <c r="B22" s="43"/>
      <c r="C22" s="34"/>
      <c r="D22" s="41"/>
      <c r="E22" s="39"/>
      <c r="F22" s="40"/>
      <c r="G22" s="39"/>
      <c r="H22" s="40"/>
      <c r="I22" s="39"/>
      <c r="J22" s="37"/>
      <c r="K22" s="38"/>
      <c r="L22" s="58"/>
      <c r="M22" s="61"/>
      <c r="N22" s="35"/>
      <c r="O22" s="73"/>
      <c r="P22" s="73"/>
      <c r="Q22" s="74"/>
    </row>
    <row r="23" spans="1:17" x14ac:dyDescent="0.25">
      <c r="A23" s="44" t="s">
        <v>178</v>
      </c>
      <c r="B23" s="43">
        <v>1060</v>
      </c>
      <c r="C23" s="34"/>
      <c r="D23" s="41"/>
      <c r="E23" s="39"/>
      <c r="F23" s="40"/>
      <c r="G23" s="39"/>
      <c r="H23" s="40"/>
      <c r="I23" s="39"/>
      <c r="J23" s="37">
        <f t="shared" si="0"/>
        <v>0</v>
      </c>
      <c r="K23" s="38">
        <f t="shared" si="1"/>
        <v>0</v>
      </c>
      <c r="L23" s="58">
        <f t="shared" si="2"/>
        <v>0</v>
      </c>
      <c r="M23" s="61">
        <f t="shared" si="3"/>
        <v>0</v>
      </c>
      <c r="N23" s="35">
        <f t="shared" si="4"/>
        <v>0</v>
      </c>
      <c r="O23" s="73">
        <f t="shared" si="5"/>
        <v>0</v>
      </c>
      <c r="P23" s="73">
        <f t="shared" si="6"/>
        <v>0</v>
      </c>
      <c r="Q23" s="74">
        <f t="shared" si="7"/>
        <v>0</v>
      </c>
    </row>
    <row r="24" spans="1:17" x14ac:dyDescent="0.25">
      <c r="A24" s="44"/>
      <c r="B24" s="43"/>
      <c r="C24" s="34"/>
      <c r="D24" s="41"/>
      <c r="E24" s="39"/>
      <c r="F24" s="40"/>
      <c r="G24" s="39"/>
      <c r="H24" s="40"/>
      <c r="I24" s="39"/>
      <c r="J24" s="37"/>
      <c r="K24" s="38"/>
      <c r="L24" s="58"/>
      <c r="M24" s="61"/>
      <c r="N24" s="35"/>
      <c r="O24" s="73"/>
      <c r="P24" s="73"/>
      <c r="Q24" s="74"/>
    </row>
    <row r="25" spans="1:17" x14ac:dyDescent="0.25">
      <c r="A25" s="44" t="s">
        <v>177</v>
      </c>
      <c r="B25" s="43">
        <v>1130</v>
      </c>
      <c r="C25" s="34"/>
      <c r="D25" s="41"/>
      <c r="E25" s="39"/>
      <c r="F25" s="40"/>
      <c r="G25" s="39"/>
      <c r="H25" s="40"/>
      <c r="I25" s="39"/>
      <c r="J25" s="37">
        <f t="shared" si="0"/>
        <v>0</v>
      </c>
      <c r="K25" s="38">
        <f t="shared" si="1"/>
        <v>0</v>
      </c>
      <c r="L25" s="58">
        <f t="shared" si="2"/>
        <v>0</v>
      </c>
      <c r="M25" s="61">
        <f t="shared" si="3"/>
        <v>0</v>
      </c>
      <c r="N25" s="35">
        <f t="shared" si="4"/>
        <v>0</v>
      </c>
      <c r="O25" s="73">
        <f t="shared" si="5"/>
        <v>0</v>
      </c>
      <c r="P25" s="73">
        <f t="shared" si="6"/>
        <v>0</v>
      </c>
      <c r="Q25" s="74">
        <f t="shared" si="7"/>
        <v>0</v>
      </c>
    </row>
    <row r="26" spans="1:17" x14ac:dyDescent="0.25">
      <c r="A26" s="44"/>
      <c r="B26" s="43"/>
      <c r="C26" s="34"/>
      <c r="D26" s="41"/>
      <c r="E26" s="39"/>
      <c r="F26" s="40"/>
      <c r="G26" s="39"/>
      <c r="H26" s="40"/>
      <c r="I26" s="39"/>
      <c r="J26" s="37"/>
      <c r="K26" s="38"/>
      <c r="L26" s="58"/>
      <c r="M26" s="61"/>
      <c r="N26" s="35"/>
      <c r="O26" s="73"/>
      <c r="P26" s="73"/>
      <c r="Q26" s="74"/>
    </row>
    <row r="27" spans="1:17" x14ac:dyDescent="0.25">
      <c r="A27" s="44" t="s">
        <v>176</v>
      </c>
      <c r="B27" s="43">
        <v>1160</v>
      </c>
      <c r="C27" s="34"/>
      <c r="D27" s="41"/>
      <c r="E27" s="39"/>
      <c r="F27" s="40"/>
      <c r="G27" s="39"/>
      <c r="H27" s="40"/>
      <c r="I27" s="39"/>
      <c r="J27" s="37">
        <f t="shared" si="0"/>
        <v>0</v>
      </c>
      <c r="K27" s="38">
        <f t="shared" si="1"/>
        <v>0</v>
      </c>
      <c r="L27" s="58">
        <f t="shared" si="2"/>
        <v>0</v>
      </c>
      <c r="M27" s="61">
        <f t="shared" si="3"/>
        <v>0</v>
      </c>
      <c r="N27" s="35">
        <f t="shared" si="4"/>
        <v>0</v>
      </c>
      <c r="O27" s="73">
        <f t="shared" si="5"/>
        <v>0</v>
      </c>
      <c r="P27" s="73">
        <f t="shared" si="6"/>
        <v>0</v>
      </c>
      <c r="Q27" s="74">
        <f t="shared" si="7"/>
        <v>0</v>
      </c>
    </row>
    <row r="28" spans="1:17" x14ac:dyDescent="0.25">
      <c r="A28" s="44"/>
      <c r="B28" s="43"/>
      <c r="C28" s="34"/>
      <c r="D28" s="41"/>
      <c r="E28" s="39"/>
      <c r="F28" s="40"/>
      <c r="G28" s="39"/>
      <c r="H28" s="40"/>
      <c r="I28" s="39"/>
      <c r="J28" s="37"/>
      <c r="K28" s="38"/>
      <c r="L28" s="58"/>
      <c r="M28" s="61"/>
      <c r="N28" s="35"/>
      <c r="O28" s="73"/>
      <c r="P28" s="73"/>
      <c r="Q28" s="74"/>
    </row>
    <row r="29" spans="1:17" x14ac:dyDescent="0.25">
      <c r="A29" s="44" t="s">
        <v>957</v>
      </c>
      <c r="B29" s="43" t="s">
        <v>958</v>
      </c>
      <c r="C29" s="34"/>
      <c r="D29" s="41"/>
      <c r="E29" s="39"/>
      <c r="F29" s="40"/>
      <c r="G29" s="39"/>
      <c r="H29" s="40"/>
      <c r="I29" s="39"/>
      <c r="J29" s="37">
        <f t="shared" si="0"/>
        <v>0</v>
      </c>
      <c r="K29" s="38">
        <f t="shared" si="1"/>
        <v>0</v>
      </c>
      <c r="L29" s="58">
        <f t="shared" si="2"/>
        <v>0</v>
      </c>
      <c r="M29" s="61">
        <f t="shared" si="3"/>
        <v>0</v>
      </c>
      <c r="N29" s="35">
        <f t="shared" si="4"/>
        <v>0</v>
      </c>
      <c r="O29" s="73">
        <f t="shared" si="5"/>
        <v>0</v>
      </c>
      <c r="P29" s="73">
        <f t="shared" si="6"/>
        <v>0</v>
      </c>
      <c r="Q29" s="74">
        <f t="shared" si="7"/>
        <v>0</v>
      </c>
    </row>
    <row r="30" spans="1:17" x14ac:dyDescent="0.25">
      <c r="A30" s="44"/>
      <c r="B30" s="43"/>
      <c r="C30" s="34"/>
      <c r="D30" s="41"/>
      <c r="E30" s="39"/>
      <c r="F30" s="40"/>
      <c r="G30" s="39"/>
      <c r="H30" s="40"/>
      <c r="I30" s="39"/>
      <c r="J30" s="37"/>
      <c r="K30" s="38"/>
      <c r="L30" s="58"/>
      <c r="M30" s="61"/>
      <c r="N30" s="35"/>
      <c r="O30" s="73"/>
      <c r="P30" s="73"/>
      <c r="Q30" s="74"/>
    </row>
    <row r="31" spans="1:17" x14ac:dyDescent="0.25">
      <c r="A31" s="44" t="s">
        <v>175</v>
      </c>
      <c r="B31" s="43" t="s">
        <v>959</v>
      </c>
      <c r="C31" s="34"/>
      <c r="D31" s="41"/>
      <c r="E31" s="39"/>
      <c r="F31" s="40"/>
      <c r="G31" s="39"/>
      <c r="H31" s="40"/>
      <c r="I31" s="39"/>
      <c r="J31" s="37">
        <f t="shared" si="0"/>
        <v>0</v>
      </c>
      <c r="K31" s="38">
        <f t="shared" si="1"/>
        <v>0</v>
      </c>
      <c r="L31" s="58">
        <f t="shared" si="2"/>
        <v>0</v>
      </c>
      <c r="M31" s="61">
        <f t="shared" si="3"/>
        <v>0</v>
      </c>
      <c r="N31" s="35">
        <f t="shared" si="4"/>
        <v>0</v>
      </c>
      <c r="O31" s="73">
        <f t="shared" si="5"/>
        <v>0</v>
      </c>
      <c r="P31" s="73">
        <f t="shared" si="6"/>
        <v>0</v>
      </c>
      <c r="Q31" s="74">
        <f t="shared" si="7"/>
        <v>0</v>
      </c>
    </row>
    <row r="32" spans="1:17" x14ac:dyDescent="0.25">
      <c r="A32" s="44"/>
      <c r="B32" s="43"/>
      <c r="C32" s="34"/>
      <c r="D32" s="41"/>
      <c r="E32" s="39"/>
      <c r="F32" s="40"/>
      <c r="G32" s="39"/>
      <c r="H32" s="40"/>
      <c r="I32" s="39"/>
      <c r="J32" s="37"/>
      <c r="K32" s="38"/>
      <c r="L32" s="58"/>
      <c r="M32" s="61"/>
      <c r="N32" s="35"/>
      <c r="O32" s="73"/>
      <c r="P32" s="73"/>
      <c r="Q32" s="74"/>
    </row>
    <row r="33" spans="1:17" x14ac:dyDescent="0.25">
      <c r="A33" s="44" t="s">
        <v>174</v>
      </c>
      <c r="B33" s="43">
        <v>1430</v>
      </c>
      <c r="C33" s="34"/>
      <c r="D33" s="41"/>
      <c r="E33" s="39"/>
      <c r="F33" s="40"/>
      <c r="G33" s="39"/>
      <c r="H33" s="40"/>
      <c r="I33" s="39"/>
      <c r="J33" s="37">
        <f t="shared" si="0"/>
        <v>0</v>
      </c>
      <c r="K33" s="38">
        <f t="shared" si="1"/>
        <v>0</v>
      </c>
      <c r="L33" s="58">
        <f t="shared" si="2"/>
        <v>0</v>
      </c>
      <c r="M33" s="61">
        <f t="shared" si="3"/>
        <v>0</v>
      </c>
      <c r="N33" s="35">
        <f t="shared" si="4"/>
        <v>0</v>
      </c>
      <c r="O33" s="73">
        <f t="shared" si="5"/>
        <v>0</v>
      </c>
      <c r="P33" s="73">
        <f t="shared" si="6"/>
        <v>0</v>
      </c>
      <c r="Q33" s="74">
        <f t="shared" si="7"/>
        <v>0</v>
      </c>
    </row>
    <row r="34" spans="1:17" x14ac:dyDescent="0.25">
      <c r="A34" s="44"/>
      <c r="B34" s="43"/>
      <c r="C34" s="34"/>
      <c r="D34" s="41"/>
      <c r="E34" s="39"/>
      <c r="F34" s="40"/>
      <c r="G34" s="39"/>
      <c r="H34" s="40"/>
      <c r="I34" s="39"/>
      <c r="J34" s="37"/>
      <c r="K34" s="38"/>
      <c r="L34" s="58"/>
      <c r="M34" s="61"/>
      <c r="N34" s="35"/>
      <c r="O34" s="73"/>
      <c r="P34" s="73"/>
      <c r="Q34" s="74"/>
    </row>
    <row r="35" spans="1:17" x14ac:dyDescent="0.25">
      <c r="A35" s="44" t="s">
        <v>173</v>
      </c>
      <c r="B35" s="43" t="s">
        <v>960</v>
      </c>
      <c r="C35" s="34"/>
      <c r="D35" s="41"/>
      <c r="E35" s="39"/>
      <c r="F35" s="40"/>
      <c r="G35" s="39"/>
      <c r="H35" s="40"/>
      <c r="I35" s="39"/>
      <c r="J35" s="37">
        <f t="shared" si="0"/>
        <v>0</v>
      </c>
      <c r="K35" s="38">
        <f t="shared" si="1"/>
        <v>0</v>
      </c>
      <c r="L35" s="58">
        <f t="shared" si="2"/>
        <v>0</v>
      </c>
      <c r="M35" s="61">
        <f t="shared" si="3"/>
        <v>0</v>
      </c>
      <c r="N35" s="35">
        <f t="shared" si="4"/>
        <v>0</v>
      </c>
      <c r="O35" s="73">
        <f t="shared" si="5"/>
        <v>0</v>
      </c>
      <c r="P35" s="73">
        <f t="shared" si="6"/>
        <v>0</v>
      </c>
      <c r="Q35" s="74">
        <f t="shared" si="7"/>
        <v>0</v>
      </c>
    </row>
    <row r="36" spans="1:17" x14ac:dyDescent="0.25">
      <c r="A36" s="44"/>
      <c r="B36" s="43"/>
      <c r="C36" s="34"/>
      <c r="D36" s="41"/>
      <c r="E36" s="39"/>
      <c r="F36" s="40"/>
      <c r="G36" s="39"/>
      <c r="H36" s="40"/>
      <c r="I36" s="39"/>
      <c r="J36" s="37"/>
      <c r="K36" s="38"/>
      <c r="L36" s="58"/>
      <c r="M36" s="61"/>
      <c r="N36" s="35"/>
      <c r="O36" s="73"/>
      <c r="P36" s="73"/>
      <c r="Q36" s="74"/>
    </row>
    <row r="37" spans="1:17" x14ac:dyDescent="0.25">
      <c r="A37" s="44" t="s">
        <v>961</v>
      </c>
      <c r="B37" s="43" t="s">
        <v>964</v>
      </c>
      <c r="C37" s="34"/>
      <c r="D37" s="41"/>
      <c r="E37" s="39"/>
      <c r="F37" s="40"/>
      <c r="G37" s="39"/>
      <c r="H37" s="40"/>
      <c r="I37" s="39"/>
      <c r="J37" s="37">
        <f t="shared" si="0"/>
        <v>0</v>
      </c>
      <c r="K37" s="38">
        <f t="shared" si="1"/>
        <v>0</v>
      </c>
      <c r="L37" s="58">
        <f t="shared" si="2"/>
        <v>0</v>
      </c>
      <c r="M37" s="61">
        <f t="shared" si="3"/>
        <v>0</v>
      </c>
      <c r="N37" s="35">
        <f t="shared" si="4"/>
        <v>0</v>
      </c>
      <c r="O37" s="73">
        <f t="shared" si="5"/>
        <v>0</v>
      </c>
      <c r="P37" s="73">
        <f t="shared" si="6"/>
        <v>0</v>
      </c>
      <c r="Q37" s="74">
        <f t="shared" si="7"/>
        <v>0</v>
      </c>
    </row>
    <row r="38" spans="1:17" x14ac:dyDescent="0.25">
      <c r="A38" s="44"/>
      <c r="B38" s="43"/>
      <c r="C38" s="34"/>
      <c r="D38" s="41"/>
      <c r="E38" s="39"/>
      <c r="F38" s="40"/>
      <c r="G38" s="39"/>
      <c r="H38" s="40"/>
      <c r="I38" s="39"/>
      <c r="J38" s="37"/>
      <c r="K38" s="38"/>
      <c r="L38" s="58"/>
      <c r="M38" s="61"/>
      <c r="N38" s="35"/>
      <c r="O38" s="73"/>
      <c r="P38" s="73"/>
      <c r="Q38" s="74"/>
    </row>
    <row r="39" spans="1:17" x14ac:dyDescent="0.25">
      <c r="A39" s="44" t="s">
        <v>962</v>
      </c>
      <c r="B39" s="43" t="s">
        <v>965</v>
      </c>
      <c r="C39" s="34"/>
      <c r="D39" s="41"/>
      <c r="E39" s="39"/>
      <c r="F39" s="40"/>
      <c r="G39" s="39"/>
      <c r="H39" s="40"/>
      <c r="I39" s="39"/>
      <c r="J39" s="37">
        <f t="shared" si="0"/>
        <v>0</v>
      </c>
      <c r="K39" s="38">
        <f t="shared" si="1"/>
        <v>0</v>
      </c>
      <c r="L39" s="58">
        <f t="shared" si="2"/>
        <v>0</v>
      </c>
      <c r="M39" s="61">
        <f t="shared" si="3"/>
        <v>0</v>
      </c>
      <c r="N39" s="35">
        <f t="shared" si="4"/>
        <v>0</v>
      </c>
      <c r="O39" s="73">
        <f t="shared" si="5"/>
        <v>0</v>
      </c>
      <c r="P39" s="73">
        <f t="shared" si="6"/>
        <v>0</v>
      </c>
      <c r="Q39" s="74">
        <f t="shared" si="7"/>
        <v>0</v>
      </c>
    </row>
    <row r="40" spans="1:17" x14ac:dyDescent="0.25">
      <c r="A40" s="44"/>
      <c r="B40" s="43"/>
      <c r="C40" s="34"/>
      <c r="D40" s="41"/>
      <c r="E40" s="39"/>
      <c r="F40" s="40"/>
      <c r="G40" s="39"/>
      <c r="H40" s="40"/>
      <c r="I40" s="39"/>
      <c r="J40" s="37"/>
      <c r="K40" s="38"/>
      <c r="L40" s="58"/>
      <c r="M40" s="61"/>
      <c r="N40" s="35"/>
      <c r="O40" s="73"/>
      <c r="P40" s="73"/>
      <c r="Q40" s="74"/>
    </row>
    <row r="41" spans="1:17" x14ac:dyDescent="0.25">
      <c r="A41" s="44" t="s">
        <v>963</v>
      </c>
      <c r="B41" s="43" t="s">
        <v>966</v>
      </c>
      <c r="C41" s="34"/>
      <c r="D41" s="41"/>
      <c r="E41" s="39"/>
      <c r="F41" s="40"/>
      <c r="G41" s="39"/>
      <c r="H41" s="40"/>
      <c r="I41" s="39"/>
      <c r="J41" s="37">
        <f t="shared" si="0"/>
        <v>0</v>
      </c>
      <c r="K41" s="38">
        <f t="shared" si="1"/>
        <v>0</v>
      </c>
      <c r="L41" s="58">
        <f t="shared" si="2"/>
        <v>0</v>
      </c>
      <c r="M41" s="61">
        <f t="shared" si="3"/>
        <v>0</v>
      </c>
      <c r="N41" s="35">
        <f t="shared" si="4"/>
        <v>0</v>
      </c>
      <c r="O41" s="73">
        <f t="shared" si="5"/>
        <v>0</v>
      </c>
      <c r="P41" s="73">
        <f t="shared" si="6"/>
        <v>0</v>
      </c>
      <c r="Q41" s="74">
        <f t="shared" si="7"/>
        <v>0</v>
      </c>
    </row>
    <row r="42" spans="1:17" x14ac:dyDescent="0.25">
      <c r="A42" s="44"/>
      <c r="B42" s="43"/>
      <c r="C42" s="34"/>
      <c r="D42" s="41"/>
      <c r="E42" s="39"/>
      <c r="F42" s="40"/>
      <c r="G42" s="39"/>
      <c r="H42" s="40"/>
      <c r="I42" s="39"/>
      <c r="J42" s="37"/>
      <c r="K42" s="38"/>
      <c r="L42" s="58"/>
      <c r="M42" s="61"/>
      <c r="N42" s="35"/>
      <c r="O42" s="73"/>
      <c r="P42" s="73"/>
      <c r="Q42" s="74"/>
    </row>
    <row r="43" spans="1:17" x14ac:dyDescent="0.25">
      <c r="A43" s="44" t="s">
        <v>968</v>
      </c>
      <c r="B43" s="43" t="s">
        <v>967</v>
      </c>
      <c r="C43" s="34"/>
      <c r="D43" s="41"/>
      <c r="E43" s="39"/>
      <c r="F43" s="40"/>
      <c r="G43" s="39"/>
      <c r="H43" s="40"/>
      <c r="I43" s="39"/>
      <c r="J43" s="37">
        <f t="shared" si="0"/>
        <v>0</v>
      </c>
      <c r="K43" s="38">
        <f t="shared" si="1"/>
        <v>0</v>
      </c>
      <c r="L43" s="58">
        <f t="shared" si="2"/>
        <v>0</v>
      </c>
      <c r="M43" s="61">
        <f t="shared" si="3"/>
        <v>0</v>
      </c>
      <c r="N43" s="35">
        <f t="shared" si="4"/>
        <v>0</v>
      </c>
      <c r="O43" s="73">
        <f t="shared" si="5"/>
        <v>0</v>
      </c>
      <c r="P43" s="73">
        <f t="shared" si="6"/>
        <v>0</v>
      </c>
      <c r="Q43" s="74">
        <f t="shared" si="7"/>
        <v>0</v>
      </c>
    </row>
    <row r="44" spans="1:17" x14ac:dyDescent="0.25">
      <c r="A44" s="44"/>
      <c r="B44" s="43"/>
      <c r="C44" s="34"/>
      <c r="D44" s="41"/>
      <c r="E44" s="39"/>
      <c r="F44" s="40"/>
      <c r="G44" s="39"/>
      <c r="H44" s="40"/>
      <c r="I44" s="39"/>
      <c r="J44" s="37"/>
      <c r="K44" s="38"/>
      <c r="L44" s="58"/>
      <c r="M44" s="61"/>
      <c r="N44" s="35"/>
      <c r="O44" s="73"/>
      <c r="P44" s="73"/>
      <c r="Q44" s="74"/>
    </row>
    <row r="45" spans="1:17" x14ac:dyDescent="0.25">
      <c r="A45" s="44" t="s">
        <v>238</v>
      </c>
      <c r="B45" s="43" t="s">
        <v>969</v>
      </c>
      <c r="C45" s="34"/>
      <c r="D45" s="41"/>
      <c r="E45" s="39"/>
      <c r="F45" s="40"/>
      <c r="G45" s="39"/>
      <c r="H45" s="40"/>
      <c r="I45" s="39"/>
      <c r="J45" s="37">
        <f t="shared" si="0"/>
        <v>0</v>
      </c>
      <c r="K45" s="38">
        <f t="shared" si="1"/>
        <v>0</v>
      </c>
      <c r="L45" s="58">
        <f t="shared" si="2"/>
        <v>0</v>
      </c>
      <c r="M45" s="61">
        <f t="shared" si="3"/>
        <v>0</v>
      </c>
      <c r="N45" s="35">
        <f t="shared" si="4"/>
        <v>0</v>
      </c>
      <c r="O45" s="73">
        <f t="shared" si="5"/>
        <v>0</v>
      </c>
      <c r="P45" s="73">
        <f t="shared" si="6"/>
        <v>0</v>
      </c>
      <c r="Q45" s="74">
        <f t="shared" si="7"/>
        <v>0</v>
      </c>
    </row>
    <row r="46" spans="1:17" x14ac:dyDescent="0.25">
      <c r="A46" s="44"/>
      <c r="B46" s="43"/>
      <c r="C46" s="34"/>
      <c r="D46" s="41"/>
      <c r="E46" s="39"/>
      <c r="F46" s="40"/>
      <c r="G46" s="39"/>
      <c r="H46" s="40"/>
      <c r="I46" s="39"/>
      <c r="J46" s="37"/>
      <c r="K46" s="38"/>
      <c r="L46" s="58"/>
      <c r="M46" s="61"/>
      <c r="N46" s="35"/>
      <c r="O46" s="73"/>
      <c r="P46" s="73"/>
      <c r="Q46" s="74"/>
    </row>
    <row r="47" spans="1:17" x14ac:dyDescent="0.25">
      <c r="A47" s="44" t="s">
        <v>239</v>
      </c>
      <c r="B47" s="43" t="s">
        <v>970</v>
      </c>
      <c r="C47" s="34"/>
      <c r="D47" s="41"/>
      <c r="E47" s="39"/>
      <c r="F47" s="40"/>
      <c r="G47" s="39"/>
      <c r="H47" s="40"/>
      <c r="I47" s="39"/>
      <c r="J47" s="37">
        <f t="shared" si="0"/>
        <v>0</v>
      </c>
      <c r="K47" s="38">
        <f t="shared" si="1"/>
        <v>0</v>
      </c>
      <c r="L47" s="58">
        <f t="shared" si="2"/>
        <v>0</v>
      </c>
      <c r="M47" s="61">
        <f t="shared" si="3"/>
        <v>0</v>
      </c>
      <c r="N47" s="35">
        <f t="shared" si="4"/>
        <v>0</v>
      </c>
      <c r="O47" s="73">
        <f t="shared" si="5"/>
        <v>0</v>
      </c>
      <c r="P47" s="73">
        <f t="shared" si="6"/>
        <v>0</v>
      </c>
      <c r="Q47" s="74">
        <f t="shared" si="7"/>
        <v>0</v>
      </c>
    </row>
    <row r="48" spans="1:17" x14ac:dyDescent="0.25">
      <c r="A48" s="44"/>
      <c r="B48" s="43"/>
      <c r="C48" s="34"/>
      <c r="D48" s="41"/>
      <c r="E48" s="39"/>
      <c r="F48" s="40"/>
      <c r="G48" s="39"/>
      <c r="H48" s="40"/>
      <c r="I48" s="39"/>
      <c r="J48" s="37"/>
      <c r="K48" s="38"/>
      <c r="L48" s="58"/>
      <c r="M48" s="61"/>
      <c r="N48" s="35"/>
      <c r="O48" s="73"/>
      <c r="P48" s="73"/>
      <c r="Q48" s="74"/>
    </row>
    <row r="49" spans="1:17" x14ac:dyDescent="0.25">
      <c r="A49" s="44" t="s">
        <v>240</v>
      </c>
      <c r="B49" s="43">
        <v>2170</v>
      </c>
      <c r="C49" s="34"/>
      <c r="D49" s="41"/>
      <c r="E49" s="39"/>
      <c r="F49" s="40"/>
      <c r="G49" s="39"/>
      <c r="H49" s="40"/>
      <c r="I49" s="39"/>
      <c r="J49" s="37">
        <f t="shared" si="0"/>
        <v>0</v>
      </c>
      <c r="K49" s="38">
        <f t="shared" si="1"/>
        <v>0</v>
      </c>
      <c r="L49" s="58">
        <f t="shared" si="2"/>
        <v>0</v>
      </c>
      <c r="M49" s="61">
        <f t="shared" si="3"/>
        <v>0</v>
      </c>
      <c r="N49" s="35">
        <f t="shared" si="4"/>
        <v>0</v>
      </c>
      <c r="O49" s="73">
        <f t="shared" si="5"/>
        <v>0</v>
      </c>
      <c r="P49" s="73">
        <f t="shared" si="6"/>
        <v>0</v>
      </c>
      <c r="Q49" s="74">
        <f t="shared" si="7"/>
        <v>0</v>
      </c>
    </row>
    <row r="50" spans="1:17" x14ac:dyDescent="0.25">
      <c r="A50" s="44"/>
      <c r="B50" s="43"/>
      <c r="C50" s="34"/>
      <c r="D50" s="41"/>
      <c r="E50" s="39"/>
      <c r="F50" s="40"/>
      <c r="G50" s="39"/>
      <c r="H50" s="40"/>
      <c r="I50" s="39"/>
      <c r="J50" s="37"/>
      <c r="K50" s="38"/>
      <c r="L50" s="58"/>
      <c r="M50" s="61"/>
      <c r="N50" s="35"/>
      <c r="O50" s="73"/>
      <c r="P50" s="73"/>
      <c r="Q50" s="74"/>
    </row>
    <row r="51" spans="1:17" x14ac:dyDescent="0.25">
      <c r="A51" s="44" t="s">
        <v>241</v>
      </c>
      <c r="B51" s="43" t="s">
        <v>971</v>
      </c>
      <c r="C51" s="34"/>
      <c r="D51" s="41"/>
      <c r="E51" s="39"/>
      <c r="F51" s="40"/>
      <c r="G51" s="39"/>
      <c r="H51" s="40"/>
      <c r="I51" s="39"/>
      <c r="J51" s="37">
        <f t="shared" si="0"/>
        <v>0</v>
      </c>
      <c r="K51" s="38">
        <f t="shared" si="1"/>
        <v>0</v>
      </c>
      <c r="L51" s="58">
        <f t="shared" si="2"/>
        <v>0</v>
      </c>
      <c r="M51" s="61">
        <f t="shared" si="3"/>
        <v>0</v>
      </c>
      <c r="N51" s="35">
        <f t="shared" si="4"/>
        <v>0</v>
      </c>
      <c r="O51" s="73">
        <f t="shared" si="5"/>
        <v>0</v>
      </c>
      <c r="P51" s="73">
        <f t="shared" si="6"/>
        <v>0</v>
      </c>
      <c r="Q51" s="74">
        <f t="shared" si="7"/>
        <v>0</v>
      </c>
    </row>
    <row r="52" spans="1:17" x14ac:dyDescent="0.25">
      <c r="A52" s="44"/>
      <c r="B52" s="43"/>
      <c r="C52" s="34"/>
      <c r="D52" s="41"/>
      <c r="E52" s="39"/>
      <c r="F52" s="40"/>
      <c r="G52" s="39"/>
      <c r="H52" s="40"/>
      <c r="I52" s="39"/>
      <c r="J52" s="37"/>
      <c r="K52" s="38"/>
      <c r="L52" s="58"/>
      <c r="M52" s="61"/>
      <c r="N52" s="35"/>
      <c r="O52" s="73"/>
      <c r="P52" s="73"/>
      <c r="Q52" s="74"/>
    </row>
    <row r="53" spans="1:17" x14ac:dyDescent="0.25">
      <c r="A53" s="44" t="s">
        <v>981</v>
      </c>
      <c r="B53" s="497" t="s">
        <v>21</v>
      </c>
      <c r="C53" s="34"/>
      <c r="D53" s="41"/>
      <c r="E53" s="39"/>
      <c r="F53" s="40"/>
      <c r="G53" s="39"/>
      <c r="H53" s="40"/>
      <c r="I53" s="39"/>
      <c r="J53" s="37">
        <f t="shared" si="0"/>
        <v>0</v>
      </c>
      <c r="K53" s="38">
        <f t="shared" si="1"/>
        <v>0</v>
      </c>
      <c r="L53" s="58">
        <f t="shared" si="2"/>
        <v>0</v>
      </c>
      <c r="M53" s="61">
        <f t="shared" si="3"/>
        <v>0</v>
      </c>
      <c r="N53" s="35">
        <f t="shared" si="4"/>
        <v>0</v>
      </c>
      <c r="O53" s="73">
        <f t="shared" si="5"/>
        <v>0</v>
      </c>
      <c r="P53" s="73">
        <f t="shared" si="6"/>
        <v>0</v>
      </c>
      <c r="Q53" s="74">
        <f t="shared" si="7"/>
        <v>0</v>
      </c>
    </row>
    <row r="54" spans="1:17" x14ac:dyDescent="0.25">
      <c r="A54" s="44"/>
      <c r="B54" s="43"/>
      <c r="C54" s="34"/>
      <c r="D54" s="41"/>
      <c r="E54" s="39"/>
      <c r="F54" s="40"/>
      <c r="G54" s="39"/>
      <c r="H54" s="40"/>
      <c r="I54" s="39"/>
      <c r="J54" s="37"/>
      <c r="K54" s="38"/>
      <c r="L54" s="58"/>
      <c r="M54" s="61"/>
      <c r="N54" s="35"/>
      <c r="O54" s="73"/>
      <c r="P54" s="73"/>
      <c r="Q54" s="74"/>
    </row>
    <row r="55" spans="1:17" x14ac:dyDescent="0.25">
      <c r="A55" s="44" t="s">
        <v>242</v>
      </c>
      <c r="B55" s="497" t="s">
        <v>21</v>
      </c>
      <c r="C55" s="34"/>
      <c r="D55" s="41"/>
      <c r="E55" s="39"/>
      <c r="F55" s="40"/>
      <c r="G55" s="39"/>
      <c r="H55" s="40"/>
      <c r="I55" s="39"/>
      <c r="J55" s="37">
        <f t="shared" si="0"/>
        <v>0</v>
      </c>
      <c r="K55" s="38">
        <f t="shared" si="1"/>
        <v>0</v>
      </c>
      <c r="L55" s="58">
        <f t="shared" si="2"/>
        <v>0</v>
      </c>
      <c r="M55" s="61">
        <f t="shared" si="3"/>
        <v>0</v>
      </c>
      <c r="N55" s="35">
        <f t="shared" si="4"/>
        <v>0</v>
      </c>
      <c r="O55" s="73">
        <f t="shared" si="5"/>
        <v>0</v>
      </c>
      <c r="P55" s="73">
        <f t="shared" si="6"/>
        <v>0</v>
      </c>
      <c r="Q55" s="74">
        <f t="shared" si="7"/>
        <v>0</v>
      </c>
    </row>
    <row r="56" spans="1:17" x14ac:dyDescent="0.25">
      <c r="A56" s="44"/>
      <c r="B56" s="43"/>
      <c r="C56" s="34"/>
      <c r="D56" s="41"/>
      <c r="E56" s="39"/>
      <c r="F56" s="40"/>
      <c r="G56" s="39"/>
      <c r="H56" s="40"/>
      <c r="I56" s="39"/>
      <c r="J56" s="37"/>
      <c r="K56" s="38"/>
      <c r="L56" s="58"/>
      <c r="M56" s="61"/>
      <c r="N56" s="35"/>
      <c r="O56" s="73"/>
      <c r="P56" s="73"/>
      <c r="Q56" s="74"/>
    </row>
    <row r="57" spans="1:17" x14ac:dyDescent="0.25">
      <c r="A57" s="44" t="s">
        <v>172</v>
      </c>
      <c r="B57" s="43" t="s">
        <v>972</v>
      </c>
      <c r="C57" s="34"/>
      <c r="D57" s="41"/>
      <c r="E57" s="39"/>
      <c r="F57" s="40"/>
      <c r="G57" s="39"/>
      <c r="H57" s="40"/>
      <c r="I57" s="39"/>
      <c r="J57" s="37">
        <f t="shared" si="0"/>
        <v>0</v>
      </c>
      <c r="K57" s="38">
        <f t="shared" si="1"/>
        <v>0</v>
      </c>
      <c r="L57" s="58">
        <f t="shared" si="2"/>
        <v>0</v>
      </c>
      <c r="M57" s="61">
        <f t="shared" si="3"/>
        <v>0</v>
      </c>
      <c r="N57" s="35">
        <f t="shared" si="4"/>
        <v>0</v>
      </c>
      <c r="O57" s="73">
        <f t="shared" si="5"/>
        <v>0</v>
      </c>
      <c r="P57" s="73">
        <f t="shared" si="6"/>
        <v>0</v>
      </c>
      <c r="Q57" s="74">
        <f t="shared" si="7"/>
        <v>0</v>
      </c>
    </row>
    <row r="58" spans="1:17" x14ac:dyDescent="0.25">
      <c r="A58" s="44"/>
      <c r="B58" s="43"/>
      <c r="C58" s="34"/>
      <c r="D58" s="41"/>
      <c r="E58" s="39"/>
      <c r="F58" s="40"/>
      <c r="G58" s="39"/>
      <c r="H58" s="40"/>
      <c r="I58" s="39"/>
      <c r="J58" s="37"/>
      <c r="K58" s="38"/>
      <c r="L58" s="58"/>
      <c r="M58" s="61"/>
      <c r="N58" s="35"/>
      <c r="O58" s="73"/>
      <c r="P58" s="73"/>
      <c r="Q58" s="74"/>
    </row>
    <row r="59" spans="1:17" x14ac:dyDescent="0.25">
      <c r="A59" s="44" t="s">
        <v>243</v>
      </c>
      <c r="B59" s="43" t="s">
        <v>973</v>
      </c>
      <c r="C59" s="34"/>
      <c r="D59" s="41"/>
      <c r="E59" s="39"/>
      <c r="F59" s="40"/>
      <c r="G59" s="39"/>
      <c r="H59" s="40"/>
      <c r="I59" s="39"/>
      <c r="J59" s="37">
        <f t="shared" si="0"/>
        <v>0</v>
      </c>
      <c r="K59" s="38">
        <f t="shared" si="1"/>
        <v>0</v>
      </c>
      <c r="L59" s="58">
        <f t="shared" si="2"/>
        <v>0</v>
      </c>
      <c r="M59" s="61">
        <f t="shared" si="3"/>
        <v>0</v>
      </c>
      <c r="N59" s="35">
        <f t="shared" si="4"/>
        <v>0</v>
      </c>
      <c r="O59" s="73">
        <f t="shared" si="5"/>
        <v>0</v>
      </c>
      <c r="P59" s="73">
        <f t="shared" si="6"/>
        <v>0</v>
      </c>
      <c r="Q59" s="74">
        <f t="shared" si="7"/>
        <v>0</v>
      </c>
    </row>
    <row r="60" spans="1:17" x14ac:dyDescent="0.25">
      <c r="A60" s="44"/>
      <c r="B60" s="43"/>
      <c r="C60" s="34"/>
      <c r="D60" s="41"/>
      <c r="E60" s="39"/>
      <c r="F60" s="40"/>
      <c r="G60" s="39"/>
      <c r="H60" s="40"/>
      <c r="I60" s="39"/>
      <c r="J60" s="37"/>
      <c r="K60" s="38"/>
      <c r="L60" s="58"/>
      <c r="M60" s="61"/>
      <c r="N60" s="35"/>
      <c r="O60" s="73"/>
      <c r="P60" s="73"/>
      <c r="Q60" s="74"/>
    </row>
    <row r="61" spans="1:17" x14ac:dyDescent="0.25">
      <c r="A61" s="44" t="s">
        <v>974</v>
      </c>
      <c r="B61" s="43" t="s">
        <v>976</v>
      </c>
      <c r="C61" s="34"/>
      <c r="D61" s="41"/>
      <c r="E61" s="39"/>
      <c r="F61" s="40"/>
      <c r="G61" s="39"/>
      <c r="H61" s="40"/>
      <c r="I61" s="39"/>
      <c r="J61" s="37">
        <f t="shared" si="0"/>
        <v>0</v>
      </c>
      <c r="K61" s="38">
        <f t="shared" si="1"/>
        <v>0</v>
      </c>
      <c r="L61" s="58">
        <f t="shared" si="2"/>
        <v>0</v>
      </c>
      <c r="M61" s="61">
        <f t="shared" si="3"/>
        <v>0</v>
      </c>
      <c r="N61" s="35">
        <f t="shared" si="4"/>
        <v>0</v>
      </c>
      <c r="O61" s="73">
        <f t="shared" si="5"/>
        <v>0</v>
      </c>
      <c r="P61" s="73">
        <f t="shared" si="6"/>
        <v>0</v>
      </c>
      <c r="Q61" s="74">
        <f t="shared" si="7"/>
        <v>0</v>
      </c>
    </row>
    <row r="62" spans="1:17" x14ac:dyDescent="0.25">
      <c r="A62" s="44"/>
      <c r="B62" s="43"/>
      <c r="C62" s="34"/>
      <c r="D62" s="41"/>
      <c r="E62" s="39"/>
      <c r="F62" s="40"/>
      <c r="G62" s="39"/>
      <c r="H62" s="40"/>
      <c r="I62" s="39"/>
      <c r="J62" s="37"/>
      <c r="K62" s="38"/>
      <c r="L62" s="58"/>
      <c r="M62" s="61"/>
      <c r="N62" s="35"/>
      <c r="O62" s="73"/>
      <c r="P62" s="73"/>
      <c r="Q62" s="74"/>
    </row>
    <row r="63" spans="1:17" x14ac:dyDescent="0.25">
      <c r="A63" s="44" t="s">
        <v>244</v>
      </c>
      <c r="B63" s="43" t="s">
        <v>975</v>
      </c>
      <c r="C63" s="34"/>
      <c r="D63" s="41"/>
      <c r="E63" s="39"/>
      <c r="F63" s="40"/>
      <c r="G63" s="39"/>
      <c r="H63" s="40"/>
      <c r="I63" s="39"/>
      <c r="J63" s="37">
        <f t="shared" si="0"/>
        <v>0</v>
      </c>
      <c r="K63" s="38">
        <f t="shared" si="1"/>
        <v>0</v>
      </c>
      <c r="L63" s="58">
        <f t="shared" si="2"/>
        <v>0</v>
      </c>
      <c r="M63" s="61">
        <f t="shared" si="3"/>
        <v>0</v>
      </c>
      <c r="N63" s="35">
        <f t="shared" si="4"/>
        <v>0</v>
      </c>
      <c r="O63" s="73">
        <f t="shared" si="5"/>
        <v>0</v>
      </c>
      <c r="P63" s="73">
        <f t="shared" si="6"/>
        <v>0</v>
      </c>
      <c r="Q63" s="74">
        <f t="shared" si="7"/>
        <v>0</v>
      </c>
    </row>
    <row r="64" spans="1:17" x14ac:dyDescent="0.25">
      <c r="A64" s="44"/>
      <c r="B64" s="43"/>
      <c r="C64" s="34"/>
      <c r="D64" s="41"/>
      <c r="E64" s="39"/>
      <c r="F64" s="40"/>
      <c r="G64" s="39"/>
      <c r="H64" s="40"/>
      <c r="I64" s="39"/>
      <c r="J64" s="37"/>
      <c r="K64" s="38"/>
      <c r="L64" s="58"/>
      <c r="M64" s="61"/>
      <c r="N64" s="35"/>
      <c r="O64" s="73"/>
      <c r="P64" s="73"/>
      <c r="Q64" s="74"/>
    </row>
    <row r="65" spans="1:17" x14ac:dyDescent="0.25">
      <c r="A65" s="44" t="s">
        <v>245</v>
      </c>
      <c r="B65" s="43" t="s">
        <v>977</v>
      </c>
      <c r="C65" s="34"/>
      <c r="D65" s="41"/>
      <c r="E65" s="39"/>
      <c r="F65" s="40"/>
      <c r="G65" s="39"/>
      <c r="H65" s="40"/>
      <c r="I65" s="39"/>
      <c r="J65" s="37">
        <f t="shared" si="0"/>
        <v>0</v>
      </c>
      <c r="K65" s="38">
        <f t="shared" si="1"/>
        <v>0</v>
      </c>
      <c r="L65" s="58">
        <f t="shared" si="2"/>
        <v>0</v>
      </c>
      <c r="M65" s="61">
        <f t="shared" si="3"/>
        <v>0</v>
      </c>
      <c r="N65" s="35">
        <f t="shared" si="4"/>
        <v>0</v>
      </c>
      <c r="O65" s="73">
        <f t="shared" si="5"/>
        <v>0</v>
      </c>
      <c r="P65" s="73">
        <f t="shared" si="6"/>
        <v>0</v>
      </c>
      <c r="Q65" s="74">
        <f t="shared" si="7"/>
        <v>0</v>
      </c>
    </row>
    <row r="66" spans="1:17" x14ac:dyDescent="0.25">
      <c r="A66" s="44"/>
      <c r="B66" s="43"/>
      <c r="C66" s="34"/>
      <c r="D66" s="41"/>
      <c r="E66" s="39"/>
      <c r="F66" s="40"/>
      <c r="G66" s="39"/>
      <c r="H66" s="40"/>
      <c r="I66" s="39"/>
      <c r="J66" s="37"/>
      <c r="K66" s="38"/>
      <c r="L66" s="58"/>
      <c r="M66" s="61"/>
      <c r="N66" s="35"/>
      <c r="O66" s="73"/>
      <c r="P66" s="73"/>
      <c r="Q66" s="74"/>
    </row>
    <row r="67" spans="1:17" x14ac:dyDescent="0.25">
      <c r="A67" s="44" t="s">
        <v>978</v>
      </c>
      <c r="B67" s="43" t="s">
        <v>979</v>
      </c>
      <c r="C67" s="34"/>
      <c r="D67" s="41"/>
      <c r="E67" s="39"/>
      <c r="F67" s="40"/>
      <c r="G67" s="39"/>
      <c r="H67" s="40"/>
      <c r="I67" s="39"/>
      <c r="J67" s="37">
        <f t="shared" si="0"/>
        <v>0</v>
      </c>
      <c r="K67" s="38">
        <f t="shared" si="1"/>
        <v>0</v>
      </c>
      <c r="L67" s="58">
        <f t="shared" si="2"/>
        <v>0</v>
      </c>
      <c r="M67" s="61">
        <f t="shared" si="3"/>
        <v>0</v>
      </c>
      <c r="N67" s="35">
        <f t="shared" si="4"/>
        <v>0</v>
      </c>
      <c r="O67" s="73">
        <f t="shared" si="5"/>
        <v>0</v>
      </c>
      <c r="P67" s="73">
        <f t="shared" si="6"/>
        <v>0</v>
      </c>
      <c r="Q67" s="74">
        <f t="shared" si="7"/>
        <v>0</v>
      </c>
    </row>
    <row r="68" spans="1:17" x14ac:dyDescent="0.25">
      <c r="A68" s="44"/>
      <c r="B68" s="43"/>
      <c r="C68" s="34"/>
      <c r="D68" s="41"/>
      <c r="E68" s="39"/>
      <c r="F68" s="40"/>
      <c r="G68" s="39"/>
      <c r="H68" s="40"/>
      <c r="I68" s="39"/>
      <c r="J68" s="37"/>
      <c r="K68" s="38"/>
      <c r="L68" s="58"/>
      <c r="M68" s="61"/>
      <c r="N68" s="35"/>
      <c r="O68" s="73"/>
      <c r="P68" s="73"/>
      <c r="Q68" s="74"/>
    </row>
    <row r="69" spans="1:17" x14ac:dyDescent="0.25">
      <c r="A69" s="44" t="s">
        <v>171</v>
      </c>
      <c r="B69" s="43">
        <v>2750</v>
      </c>
      <c r="C69" s="34"/>
      <c r="D69" s="41"/>
      <c r="E69" s="39"/>
      <c r="F69" s="40"/>
      <c r="G69" s="39"/>
      <c r="H69" s="40"/>
      <c r="I69" s="39"/>
      <c r="J69" s="37">
        <f t="shared" si="0"/>
        <v>0</v>
      </c>
      <c r="K69" s="38">
        <f t="shared" si="1"/>
        <v>0</v>
      </c>
      <c r="L69" s="58">
        <f t="shared" si="2"/>
        <v>0</v>
      </c>
      <c r="M69" s="61">
        <f t="shared" si="3"/>
        <v>0</v>
      </c>
      <c r="N69" s="35">
        <f t="shared" si="4"/>
        <v>0</v>
      </c>
      <c r="O69" s="73">
        <f t="shared" si="5"/>
        <v>0</v>
      </c>
      <c r="P69" s="73">
        <f t="shared" si="6"/>
        <v>0</v>
      </c>
      <c r="Q69" s="74">
        <f t="shared" si="7"/>
        <v>0</v>
      </c>
    </row>
    <row r="70" spans="1:17" x14ac:dyDescent="0.25">
      <c r="A70" s="44"/>
      <c r="B70" s="43"/>
      <c r="C70" s="34"/>
      <c r="D70" s="41"/>
      <c r="E70" s="39"/>
      <c r="F70" s="40"/>
      <c r="G70" s="39"/>
      <c r="H70" s="40"/>
      <c r="I70" s="39"/>
      <c r="J70" s="37"/>
      <c r="K70" s="38"/>
      <c r="L70" s="58"/>
      <c r="M70" s="61"/>
      <c r="N70" s="35"/>
      <c r="O70" s="73"/>
      <c r="P70" s="73"/>
      <c r="Q70" s="74"/>
    </row>
    <row r="71" spans="1:17" x14ac:dyDescent="0.25">
      <c r="A71" s="44" t="s">
        <v>247</v>
      </c>
      <c r="B71" s="43">
        <v>2755</v>
      </c>
      <c r="C71" s="34"/>
      <c r="D71" s="41"/>
      <c r="E71" s="39"/>
      <c r="F71" s="40"/>
      <c r="G71" s="39"/>
      <c r="H71" s="40"/>
      <c r="I71" s="39"/>
      <c r="J71" s="37">
        <f t="shared" si="0"/>
        <v>0</v>
      </c>
      <c r="K71" s="38">
        <f t="shared" si="1"/>
        <v>0</v>
      </c>
      <c r="L71" s="58">
        <f t="shared" si="2"/>
        <v>0</v>
      </c>
      <c r="M71" s="61">
        <f t="shared" si="3"/>
        <v>0</v>
      </c>
      <c r="N71" s="35">
        <f t="shared" si="4"/>
        <v>0</v>
      </c>
      <c r="O71" s="73">
        <f t="shared" si="5"/>
        <v>0</v>
      </c>
      <c r="P71" s="73">
        <f t="shared" si="6"/>
        <v>0</v>
      </c>
      <c r="Q71" s="74">
        <f t="shared" si="7"/>
        <v>0</v>
      </c>
    </row>
    <row r="72" spans="1:17" x14ac:dyDescent="0.25">
      <c r="B72" s="43"/>
      <c r="C72" s="34"/>
      <c r="D72" s="41"/>
      <c r="E72" s="39"/>
      <c r="F72" s="40"/>
      <c r="G72" s="39"/>
      <c r="H72" s="40"/>
      <c r="I72" s="39"/>
      <c r="J72" s="37"/>
      <c r="K72" s="38"/>
      <c r="L72" s="58"/>
      <c r="M72" s="61"/>
      <c r="N72" s="35"/>
      <c r="O72" s="73"/>
      <c r="P72" s="73"/>
      <c r="Q72" s="74"/>
    </row>
    <row r="73" spans="1:17" x14ac:dyDescent="0.25">
      <c r="A73" s="44" t="s">
        <v>246</v>
      </c>
      <c r="B73" s="43">
        <v>2940</v>
      </c>
      <c r="C73" s="34"/>
      <c r="D73" s="41"/>
      <c r="E73" s="39"/>
      <c r="F73" s="40"/>
      <c r="G73" s="39"/>
      <c r="H73" s="40"/>
      <c r="I73" s="39"/>
      <c r="J73" s="37">
        <f t="shared" si="0"/>
        <v>0</v>
      </c>
      <c r="K73" s="38">
        <f t="shared" si="1"/>
        <v>0</v>
      </c>
      <c r="L73" s="58">
        <f t="shared" si="2"/>
        <v>0</v>
      </c>
      <c r="M73" s="61">
        <f t="shared" si="3"/>
        <v>0</v>
      </c>
      <c r="N73" s="35">
        <f t="shared" si="4"/>
        <v>0</v>
      </c>
      <c r="O73" s="73">
        <f t="shared" si="5"/>
        <v>0</v>
      </c>
      <c r="P73" s="73">
        <f t="shared" si="6"/>
        <v>0</v>
      </c>
      <c r="Q73" s="74">
        <f t="shared" si="7"/>
        <v>0</v>
      </c>
    </row>
    <row r="74" spans="1:17" x14ac:dyDescent="0.25">
      <c r="A74" s="44"/>
      <c r="B74" s="43"/>
      <c r="C74" s="34"/>
      <c r="D74" s="41"/>
      <c r="E74" s="39"/>
      <c r="F74" s="40"/>
      <c r="G74" s="39"/>
      <c r="H74" s="40"/>
      <c r="I74" s="39"/>
      <c r="J74" s="37"/>
      <c r="K74" s="38"/>
      <c r="L74" s="58"/>
      <c r="M74" s="61"/>
      <c r="N74" s="35"/>
      <c r="O74" s="73"/>
      <c r="P74" s="73"/>
      <c r="Q74" s="74"/>
    </row>
    <row r="75" spans="1:17" x14ac:dyDescent="0.25">
      <c r="A75" s="44"/>
      <c r="B75" s="43"/>
      <c r="C75" s="34"/>
      <c r="D75" s="41"/>
      <c r="E75" s="39"/>
      <c r="F75" s="40"/>
      <c r="G75" s="39"/>
      <c r="H75" s="40"/>
      <c r="I75" s="39"/>
      <c r="J75" s="37">
        <f t="shared" si="0"/>
        <v>0</v>
      </c>
      <c r="K75" s="38">
        <f t="shared" si="1"/>
        <v>0</v>
      </c>
      <c r="L75" s="58">
        <f t="shared" si="2"/>
        <v>0</v>
      </c>
      <c r="M75" s="61">
        <f t="shared" si="3"/>
        <v>0</v>
      </c>
      <c r="N75" s="35">
        <f t="shared" si="4"/>
        <v>0</v>
      </c>
      <c r="O75" s="73">
        <f t="shared" si="5"/>
        <v>0</v>
      </c>
      <c r="P75" s="73">
        <f t="shared" si="6"/>
        <v>0</v>
      </c>
      <c r="Q75" s="74">
        <f t="shared" si="7"/>
        <v>0</v>
      </c>
    </row>
    <row r="76" spans="1:17" x14ac:dyDescent="0.25">
      <c r="A76" s="44"/>
      <c r="B76" s="43"/>
      <c r="C76" s="34"/>
      <c r="D76" s="41"/>
      <c r="E76" s="39"/>
      <c r="F76" s="40"/>
      <c r="G76" s="39"/>
      <c r="H76" s="40"/>
      <c r="I76" s="39"/>
      <c r="J76" s="37"/>
      <c r="K76" s="38"/>
      <c r="L76" s="58"/>
      <c r="M76" s="61"/>
      <c r="N76" s="35"/>
      <c r="O76" s="73"/>
      <c r="P76" s="73"/>
      <c r="Q76" s="74"/>
    </row>
    <row r="77" spans="1:17" x14ac:dyDescent="0.25">
      <c r="A77" s="44"/>
      <c r="B77" s="43"/>
      <c r="C77" s="34"/>
      <c r="D77" s="41"/>
      <c r="E77" s="39"/>
      <c r="F77" s="40"/>
      <c r="G77" s="39"/>
      <c r="H77" s="40"/>
      <c r="I77" s="39"/>
      <c r="J77" s="37">
        <f t="shared" si="0"/>
        <v>0</v>
      </c>
      <c r="K77" s="38">
        <f t="shared" si="1"/>
        <v>0</v>
      </c>
      <c r="L77" s="58">
        <f t="shared" si="2"/>
        <v>0</v>
      </c>
      <c r="M77" s="61">
        <f t="shared" si="3"/>
        <v>0</v>
      </c>
      <c r="N77" s="35">
        <f t="shared" si="4"/>
        <v>0</v>
      </c>
      <c r="O77" s="73">
        <f t="shared" si="5"/>
        <v>0</v>
      </c>
      <c r="P77" s="73">
        <f t="shared" si="6"/>
        <v>0</v>
      </c>
      <c r="Q77" s="74">
        <f t="shared" si="7"/>
        <v>0</v>
      </c>
    </row>
    <row r="78" spans="1:17" x14ac:dyDescent="0.25">
      <c r="A78" s="43"/>
      <c r="B78" s="43"/>
      <c r="C78" s="34"/>
      <c r="D78" s="41"/>
      <c r="E78" s="39"/>
      <c r="F78" s="40"/>
      <c r="G78" s="39"/>
      <c r="H78" s="40"/>
      <c r="I78" s="39"/>
      <c r="J78" s="37"/>
      <c r="K78" s="38"/>
      <c r="L78" s="58"/>
      <c r="M78" s="61"/>
      <c r="N78" s="35"/>
      <c r="O78" s="73"/>
      <c r="P78" s="73"/>
      <c r="Q78" s="74"/>
    </row>
    <row r="79" spans="1:17" x14ac:dyDescent="0.25">
      <c r="A79" s="43"/>
      <c r="B79" s="43"/>
      <c r="C79" s="34"/>
      <c r="D79" s="41"/>
      <c r="E79" s="39"/>
      <c r="F79" s="40"/>
      <c r="G79" s="39"/>
      <c r="H79" s="40"/>
      <c r="I79" s="39"/>
      <c r="J79" s="37"/>
      <c r="K79" s="38"/>
      <c r="L79" s="58"/>
      <c r="M79" s="61"/>
      <c r="N79" s="35"/>
      <c r="O79" s="73"/>
      <c r="P79" s="73"/>
      <c r="Q79" s="74"/>
    </row>
    <row r="80" spans="1:17" x14ac:dyDescent="0.25">
      <c r="A80" s="43"/>
      <c r="B80" s="43"/>
      <c r="C80" s="34"/>
      <c r="D80" s="41"/>
      <c r="E80" s="39"/>
      <c r="F80" s="40"/>
      <c r="G80" s="39"/>
      <c r="H80" s="40"/>
      <c r="I80" s="39"/>
      <c r="J80" s="37"/>
      <c r="K80" s="38"/>
      <c r="L80" s="58"/>
      <c r="M80" s="61"/>
      <c r="N80" s="35"/>
      <c r="O80" s="73"/>
      <c r="P80" s="73"/>
      <c r="Q80" s="74"/>
    </row>
    <row r="81" spans="1:17" x14ac:dyDescent="0.25">
      <c r="A81" s="43"/>
      <c r="B81" s="43"/>
      <c r="C81" s="34"/>
      <c r="D81" s="41"/>
      <c r="E81" s="39"/>
      <c r="F81" s="40"/>
      <c r="G81" s="39"/>
      <c r="H81" s="40"/>
      <c r="I81" s="39"/>
      <c r="J81" s="37"/>
      <c r="K81" s="38"/>
      <c r="L81" s="58"/>
      <c r="M81" s="61"/>
      <c r="N81" s="35"/>
      <c r="O81" s="73"/>
      <c r="P81" s="73"/>
      <c r="Q81" s="74"/>
    </row>
    <row r="82" spans="1:17" x14ac:dyDescent="0.25">
      <c r="A82" s="43"/>
      <c r="B82" s="43"/>
      <c r="C82" s="34"/>
      <c r="D82" s="41"/>
      <c r="E82" s="39"/>
      <c r="F82" s="40"/>
      <c r="G82" s="39"/>
      <c r="H82" s="40"/>
      <c r="I82" s="39"/>
      <c r="J82" s="37"/>
      <c r="K82" s="38"/>
      <c r="L82" s="58"/>
      <c r="M82" s="61"/>
      <c r="N82" s="35"/>
      <c r="O82" s="73"/>
      <c r="P82" s="73"/>
      <c r="Q82" s="74"/>
    </row>
    <row r="83" spans="1:17" x14ac:dyDescent="0.25">
      <c r="A83" s="43"/>
      <c r="B83" s="43"/>
      <c r="C83" s="34"/>
      <c r="D83" s="41"/>
      <c r="E83" s="39"/>
      <c r="F83" s="40"/>
      <c r="G83" s="39"/>
      <c r="H83" s="40"/>
      <c r="I83" s="39"/>
      <c r="J83" s="37"/>
      <c r="K83" s="38"/>
      <c r="L83" s="58"/>
      <c r="M83" s="61"/>
      <c r="N83" s="35"/>
      <c r="O83" s="73"/>
      <c r="P83" s="73"/>
      <c r="Q83" s="74"/>
    </row>
    <row r="84" spans="1:17" x14ac:dyDescent="0.25">
      <c r="A84" s="43"/>
      <c r="B84" s="43"/>
      <c r="C84" s="34"/>
      <c r="D84" s="41"/>
      <c r="E84" s="39"/>
      <c r="F84" s="40"/>
      <c r="G84" s="39"/>
      <c r="H84" s="40"/>
      <c r="I84" s="39"/>
      <c r="J84" s="37"/>
      <c r="K84" s="38"/>
      <c r="L84" s="58"/>
      <c r="M84" s="61"/>
      <c r="N84" s="35"/>
      <c r="O84" s="73"/>
      <c r="P84" s="73"/>
      <c r="Q84" s="74"/>
    </row>
    <row r="85" spans="1:17" x14ac:dyDescent="0.25">
      <c r="A85" s="43"/>
      <c r="B85" s="43"/>
      <c r="C85" s="34"/>
      <c r="D85" s="41"/>
      <c r="E85" s="39"/>
      <c r="F85" s="40"/>
      <c r="G85" s="39"/>
      <c r="H85" s="40"/>
      <c r="I85" s="39"/>
      <c r="J85" s="37"/>
      <c r="K85" s="38"/>
      <c r="L85" s="58"/>
      <c r="M85" s="61"/>
      <c r="N85" s="35"/>
      <c r="O85" s="73"/>
      <c r="P85" s="73"/>
      <c r="Q85" s="74"/>
    </row>
    <row r="86" spans="1:17" x14ac:dyDescent="0.25">
      <c r="A86" s="43"/>
      <c r="B86" s="43"/>
      <c r="C86" s="34"/>
      <c r="D86" s="41"/>
      <c r="E86" s="39"/>
      <c r="F86" s="40"/>
      <c r="G86" s="39"/>
      <c r="H86" s="40"/>
      <c r="I86" s="39"/>
      <c r="J86" s="37"/>
      <c r="K86" s="38"/>
      <c r="L86" s="58"/>
      <c r="M86" s="61"/>
      <c r="N86" s="35"/>
      <c r="O86" s="73"/>
      <c r="P86" s="73"/>
      <c r="Q86" s="74"/>
    </row>
    <row r="87" spans="1:17" x14ac:dyDescent="0.25">
      <c r="A87" s="43"/>
      <c r="B87" s="43"/>
      <c r="C87" s="34"/>
      <c r="D87" s="41"/>
      <c r="E87" s="39"/>
      <c r="F87" s="40"/>
      <c r="G87" s="39"/>
      <c r="H87" s="40"/>
      <c r="I87" s="39"/>
      <c r="J87" s="37"/>
      <c r="K87" s="38"/>
      <c r="L87" s="58"/>
      <c r="M87" s="61"/>
      <c r="N87" s="35"/>
      <c r="O87" s="73"/>
      <c r="P87" s="73"/>
      <c r="Q87" s="74"/>
    </row>
    <row r="88" spans="1:17" x14ac:dyDescent="0.25">
      <c r="A88" s="43"/>
      <c r="B88" s="43"/>
      <c r="C88" s="34"/>
      <c r="D88" s="41"/>
      <c r="E88" s="39"/>
      <c r="F88" s="40"/>
      <c r="G88" s="39"/>
      <c r="H88" s="40"/>
      <c r="I88" s="39"/>
      <c r="J88" s="37"/>
      <c r="K88" s="38"/>
      <c r="L88" s="58"/>
      <c r="M88" s="61"/>
      <c r="N88" s="35"/>
      <c r="O88" s="73"/>
      <c r="P88" s="73"/>
      <c r="Q88" s="74"/>
    </row>
    <row r="89" spans="1:17" x14ac:dyDescent="0.25">
      <c r="A89" s="43"/>
      <c r="B89" s="43"/>
      <c r="C89" s="34"/>
      <c r="D89" s="41"/>
      <c r="E89" s="39"/>
      <c r="F89" s="40"/>
      <c r="G89" s="39"/>
      <c r="H89" s="40"/>
      <c r="I89" s="39"/>
      <c r="J89" s="37"/>
      <c r="K89" s="38"/>
      <c r="L89" s="58"/>
      <c r="M89" s="61"/>
      <c r="N89" s="35"/>
      <c r="O89" s="73"/>
      <c r="P89" s="73"/>
      <c r="Q89" s="74"/>
    </row>
    <row r="90" spans="1:17" x14ac:dyDescent="0.25">
      <c r="A90" s="43"/>
      <c r="B90" s="43"/>
      <c r="C90" s="34"/>
      <c r="D90" s="41"/>
      <c r="E90" s="39"/>
      <c r="F90" s="40"/>
      <c r="G90" s="39"/>
      <c r="H90" s="40"/>
      <c r="I90" s="39"/>
      <c r="J90" s="37"/>
      <c r="K90" s="38"/>
      <c r="L90" s="58"/>
      <c r="M90" s="61"/>
      <c r="N90" s="35"/>
      <c r="O90" s="73"/>
      <c r="P90" s="73"/>
      <c r="Q90" s="74"/>
    </row>
    <row r="91" spans="1:17" x14ac:dyDescent="0.25">
      <c r="A91" s="42"/>
      <c r="B91" s="42"/>
      <c r="C91" s="34"/>
      <c r="D91" s="41"/>
      <c r="E91" s="39"/>
      <c r="F91" s="40"/>
      <c r="G91" s="39"/>
      <c r="H91" s="40"/>
      <c r="I91" s="39"/>
      <c r="J91" s="37"/>
      <c r="K91" s="38"/>
      <c r="L91" s="58"/>
      <c r="M91" s="61"/>
      <c r="N91" s="35"/>
      <c r="O91" s="73"/>
      <c r="P91" s="73"/>
      <c r="Q91" s="74"/>
    </row>
    <row r="92" spans="1:17" x14ac:dyDescent="0.25">
      <c r="G92" s="507" t="s">
        <v>170</v>
      </c>
      <c r="H92" s="507"/>
      <c r="I92" s="23">
        <f>SUM(I13:I77)</f>
        <v>0</v>
      </c>
    </row>
    <row r="93" spans="1:17" x14ac:dyDescent="0.25">
      <c r="G93" s="507" t="s">
        <v>169</v>
      </c>
      <c r="H93" s="507"/>
      <c r="I93">
        <f>I92*D3</f>
        <v>0</v>
      </c>
    </row>
  </sheetData>
  <mergeCells count="4">
    <mergeCell ref="A1:B1"/>
    <mergeCell ref="E5:I5"/>
    <mergeCell ref="G92:H92"/>
    <mergeCell ref="G93:H93"/>
  </mergeCells>
  <pageMargins left="0.7" right="0.7" top="0.75" bottom="0.75" header="0.3" footer="0.3"/>
  <pageSetup scale="57"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XFD30"/>
  <sheetViews>
    <sheetView workbookViewId="0">
      <pane xSplit="1" topLeftCell="D1" activePane="topRight" state="frozen"/>
      <selection pane="topRight" activeCell="H22" sqref="H22"/>
    </sheetView>
  </sheetViews>
  <sheetFormatPr defaultRowHeight="15" x14ac:dyDescent="0.25"/>
  <cols>
    <col min="1" max="1" width="35.7109375" bestFit="1" customWidth="1"/>
    <col min="2" max="11" width="26" style="17" bestFit="1" customWidth="1"/>
  </cols>
  <sheetData>
    <row r="2" spans="1:11 16384:16384" x14ac:dyDescent="0.25">
      <c r="A2" s="344" t="s">
        <v>134</v>
      </c>
      <c r="B2" s="164" t="e">
        <f>TestSummary!#REF!</f>
        <v>#REF!</v>
      </c>
      <c r="C2" s="164" t="e">
        <f>TestSummary!#REF!</f>
        <v>#REF!</v>
      </c>
      <c r="D2" s="164" t="e">
        <f>TestSummary!#REF!</f>
        <v>#REF!</v>
      </c>
      <c r="E2" s="164" t="e">
        <f>TestSummary!#REF!</f>
        <v>#REF!</v>
      </c>
      <c r="F2" s="164" t="e">
        <f>TestSummary!#REF!</f>
        <v>#REF!</v>
      </c>
      <c r="G2" s="164" t="e">
        <f>TestSummary!#REF!</f>
        <v>#REF!</v>
      </c>
      <c r="H2" s="164" t="e">
        <f>TestSummary!#REF!</f>
        <v>#REF!</v>
      </c>
      <c r="I2" s="164" t="e">
        <f>TestSummary!#REF!</f>
        <v>#REF!</v>
      </c>
      <c r="J2" s="347" t="e">
        <f>TestSummary!#REF!</f>
        <v>#REF!</v>
      </c>
      <c r="K2" s="347" t="e">
        <f>TestSummary!#REF!</f>
        <v>#REF!</v>
      </c>
    </row>
    <row r="3" spans="1:11 16384:16384" x14ac:dyDescent="0.25">
      <c r="A3" s="344" t="s">
        <v>396</v>
      </c>
      <c r="B3" s="255" t="e">
        <f>TestSummary!#REF!</f>
        <v>#REF!</v>
      </c>
      <c r="C3" s="255" t="e">
        <f>TestSummary!#REF!</f>
        <v>#REF!</v>
      </c>
      <c r="D3" s="255" t="e">
        <f>TestSummary!#REF!</f>
        <v>#REF!</v>
      </c>
      <c r="E3" s="255" t="e">
        <f>TestSummary!#REF!</f>
        <v>#REF!</v>
      </c>
      <c r="F3" s="255" t="e">
        <f>TestSummary!#REF!</f>
        <v>#REF!</v>
      </c>
      <c r="G3" s="255" t="e">
        <f>TestSummary!#REF!</f>
        <v>#REF!</v>
      </c>
      <c r="H3" s="255" t="e">
        <f>TestSummary!#REF!</f>
        <v>#REF!</v>
      </c>
      <c r="I3" s="255" t="e">
        <f>TestSummary!#REF!</f>
        <v>#REF!</v>
      </c>
      <c r="J3" s="348" t="e">
        <f>TestSummary!#REF!</f>
        <v>#REF!</v>
      </c>
      <c r="K3" s="348" t="e">
        <f>TestSummary!#REF!</f>
        <v>#REF!</v>
      </c>
    </row>
    <row r="4" spans="1:11 16384:16384" x14ac:dyDescent="0.25">
      <c r="A4" s="344" t="s">
        <v>401</v>
      </c>
      <c r="B4" s="17">
        <v>23</v>
      </c>
      <c r="C4" s="17">
        <v>23</v>
      </c>
      <c r="D4" s="17">
        <v>23</v>
      </c>
      <c r="E4" s="17">
        <v>35</v>
      </c>
      <c r="F4" s="17">
        <v>-7</v>
      </c>
      <c r="G4" s="17">
        <v>-7</v>
      </c>
      <c r="H4" s="17">
        <v>-17</v>
      </c>
      <c r="I4" s="17">
        <v>-17</v>
      </c>
      <c r="J4" s="343">
        <v>23</v>
      </c>
      <c r="K4" s="343">
        <v>23</v>
      </c>
    </row>
    <row r="5" spans="1:11 16384:16384" x14ac:dyDescent="0.25">
      <c r="A5" s="344" t="s">
        <v>397</v>
      </c>
      <c r="B5" s="17" t="s">
        <v>533</v>
      </c>
      <c r="C5" s="17" t="s">
        <v>533</v>
      </c>
      <c r="D5" s="17" t="s">
        <v>533</v>
      </c>
      <c r="E5" s="17" t="s">
        <v>533</v>
      </c>
      <c r="F5" s="17" t="s">
        <v>533</v>
      </c>
      <c r="G5" s="17" t="s">
        <v>533</v>
      </c>
      <c r="H5" s="17" t="s">
        <v>533</v>
      </c>
      <c r="I5" s="17" t="s">
        <v>533</v>
      </c>
      <c r="J5" s="343" t="s">
        <v>533</v>
      </c>
      <c r="K5" s="343" t="s">
        <v>533</v>
      </c>
    </row>
    <row r="6" spans="1:11 16384:16384" x14ac:dyDescent="0.25">
      <c r="A6" s="344" t="s">
        <v>80</v>
      </c>
      <c r="J6" s="343"/>
      <c r="K6" s="343"/>
    </row>
    <row r="7" spans="1:11 16384:16384" x14ac:dyDescent="0.25">
      <c r="A7" s="344" t="s">
        <v>102</v>
      </c>
      <c r="B7" s="17" t="s">
        <v>398</v>
      </c>
      <c r="C7" s="17" t="s">
        <v>398</v>
      </c>
      <c r="D7" s="17" t="s">
        <v>398</v>
      </c>
      <c r="E7" s="17" t="s">
        <v>398</v>
      </c>
      <c r="F7" s="17" t="s">
        <v>398</v>
      </c>
      <c r="G7" s="17" t="s">
        <v>398</v>
      </c>
      <c r="H7" s="17" t="s">
        <v>398</v>
      </c>
      <c r="I7" s="17" t="s">
        <v>398</v>
      </c>
      <c r="J7" s="343" t="s">
        <v>398</v>
      </c>
      <c r="K7" s="343" t="s">
        <v>398</v>
      </c>
    </row>
    <row r="8" spans="1:11 16384:16384" x14ac:dyDescent="0.25">
      <c r="A8" s="344" t="s">
        <v>399</v>
      </c>
      <c r="B8" s="17">
        <v>2</v>
      </c>
      <c r="C8" s="17">
        <v>2</v>
      </c>
      <c r="D8" s="17">
        <v>1</v>
      </c>
      <c r="E8" s="17">
        <v>2</v>
      </c>
      <c r="F8" s="17">
        <v>2</v>
      </c>
      <c r="G8" s="17">
        <v>2</v>
      </c>
      <c r="H8" s="17">
        <v>2</v>
      </c>
      <c r="I8" s="17">
        <v>2</v>
      </c>
      <c r="J8" s="343">
        <v>2</v>
      </c>
      <c r="K8" s="343">
        <v>2</v>
      </c>
    </row>
    <row r="9" spans="1:11 16384:16384" x14ac:dyDescent="0.25">
      <c r="A9" s="344" t="s">
        <v>400</v>
      </c>
      <c r="B9" s="17" t="s">
        <v>534</v>
      </c>
      <c r="C9" s="17" t="s">
        <v>534</v>
      </c>
      <c r="D9" s="17" t="s">
        <v>547</v>
      </c>
      <c r="E9" s="17" t="s">
        <v>534</v>
      </c>
      <c r="F9" s="17" t="s">
        <v>534</v>
      </c>
      <c r="G9" s="17" t="s">
        <v>534</v>
      </c>
      <c r="H9" s="17" t="s">
        <v>534</v>
      </c>
      <c r="I9" s="17" t="s">
        <v>534</v>
      </c>
      <c r="J9" s="343" t="s">
        <v>534</v>
      </c>
      <c r="K9" s="343" t="s">
        <v>534</v>
      </c>
    </row>
    <row r="10" spans="1:11 16384:16384" x14ac:dyDescent="0.25">
      <c r="A10" s="344" t="s">
        <v>402</v>
      </c>
      <c r="B10" s="17">
        <v>23</v>
      </c>
      <c r="C10" s="17">
        <v>23</v>
      </c>
      <c r="D10" s="17">
        <v>23</v>
      </c>
      <c r="E10" s="17">
        <v>35</v>
      </c>
      <c r="F10" s="17">
        <v>-7</v>
      </c>
      <c r="G10" s="17">
        <v>-17</v>
      </c>
      <c r="H10" s="17">
        <v>-7</v>
      </c>
      <c r="I10" s="17">
        <v>-17</v>
      </c>
      <c r="J10" s="343">
        <v>23</v>
      </c>
      <c r="K10" s="343">
        <v>23</v>
      </c>
    </row>
    <row r="11" spans="1:11 16384:16384" x14ac:dyDescent="0.25">
      <c r="A11" s="344" t="s">
        <v>508</v>
      </c>
      <c r="B11" s="255" t="e">
        <f>TestSummary!#REF!</f>
        <v>#REF!</v>
      </c>
      <c r="C11" s="255" t="e">
        <f>TestSummary!#REF!</f>
        <v>#REF!</v>
      </c>
      <c r="D11" s="255" t="e">
        <f>TestSummary!#REF!</f>
        <v>#REF!</v>
      </c>
      <c r="E11" s="255" t="e">
        <f>TestSummary!#REF!</f>
        <v>#REF!</v>
      </c>
      <c r="F11" s="255" t="e">
        <f>TestSummary!#REF!</f>
        <v>#REF!</v>
      </c>
      <c r="G11" s="255" t="e">
        <f>TestSummary!#REF!</f>
        <v>#REF!</v>
      </c>
      <c r="H11" s="255" t="e">
        <f>TestSummary!#REF!</f>
        <v>#REF!</v>
      </c>
      <c r="I11" s="255" t="e">
        <f>TestSummary!#REF!</f>
        <v>#REF!</v>
      </c>
      <c r="J11" s="348" t="e">
        <f>TestSummary!#REF!</f>
        <v>#REF!</v>
      </c>
      <c r="K11" s="348" t="e">
        <f>TestSummary!#REF!</f>
        <v>#REF!</v>
      </c>
    </row>
    <row r="12" spans="1:11 16384:16384" x14ac:dyDescent="0.25">
      <c r="A12" s="344" t="s">
        <v>509</v>
      </c>
      <c r="B12" s="255" t="e">
        <f>TestSummary!#REF!</f>
        <v>#REF!</v>
      </c>
      <c r="C12" s="255" t="e">
        <f>TestSummary!#REF!</f>
        <v>#REF!</v>
      </c>
      <c r="D12" s="255" t="e">
        <f>TestSummary!#REF!</f>
        <v>#REF!</v>
      </c>
      <c r="E12" s="255" t="e">
        <f>TestSummary!#REF!</f>
        <v>#REF!</v>
      </c>
      <c r="F12" s="255" t="e">
        <f>TestSummary!#REF!</f>
        <v>#REF!</v>
      </c>
      <c r="G12" s="255" t="e">
        <f>TestSummary!#REF!</f>
        <v>#REF!</v>
      </c>
      <c r="H12" s="255" t="e">
        <f>TestSummary!#REF!</f>
        <v>#REF!</v>
      </c>
      <c r="I12" s="255" t="e">
        <f>TestSummary!#REF!</f>
        <v>#REF!</v>
      </c>
      <c r="J12" s="348" t="e">
        <f>TestSummary!#REF!</f>
        <v>#REF!</v>
      </c>
      <c r="K12" s="348" t="e">
        <f>TestSummary!#REF!</f>
        <v>#REF!</v>
      </c>
    </row>
    <row r="13" spans="1:11 16384:16384" x14ac:dyDescent="0.25">
      <c r="A13" s="344" t="s">
        <v>542</v>
      </c>
      <c r="B13" s="255"/>
      <c r="C13" s="255" t="e">
        <f>TestSummary!#REF!</f>
        <v>#REF!</v>
      </c>
      <c r="D13" s="255" t="e">
        <f>TestSummary!#REF!</f>
        <v>#REF!</v>
      </c>
      <c r="E13" s="255" t="e">
        <f>TestSummary!#REF!</f>
        <v>#REF!</v>
      </c>
      <c r="F13" s="255" t="e">
        <f>TestSummary!#REF!</f>
        <v>#REF!</v>
      </c>
      <c r="G13" s="255" t="e">
        <f>TestSummary!#REF!</f>
        <v>#REF!</v>
      </c>
      <c r="H13" s="255" t="e">
        <f>TestSummary!#REF!</f>
        <v>#REF!</v>
      </c>
      <c r="I13" s="255" t="e">
        <f>TestSummary!#REF!</f>
        <v>#REF!</v>
      </c>
      <c r="J13" s="348"/>
      <c r="K13" s="348"/>
      <c r="XFD13" s="255"/>
    </row>
    <row r="14" spans="1:11 16384:16384" x14ac:dyDescent="0.25">
      <c r="A14" s="344" t="s">
        <v>541</v>
      </c>
      <c r="B14" s="255" t="e">
        <f>TestSummary!#REF!</f>
        <v>#REF!</v>
      </c>
      <c r="C14" s="255" t="e">
        <f>TestSummary!#REF!</f>
        <v>#REF!</v>
      </c>
      <c r="D14" s="255" t="e">
        <f>TestSummary!#REF!</f>
        <v>#REF!</v>
      </c>
      <c r="E14" s="255" t="e">
        <f>TestSummary!#REF!</f>
        <v>#REF!</v>
      </c>
      <c r="F14" s="255" t="e">
        <f>TestSummary!#REF!</f>
        <v>#REF!</v>
      </c>
      <c r="G14" s="255" t="e">
        <f>TestSummary!#REF!</f>
        <v>#REF!</v>
      </c>
      <c r="H14" s="255" t="e">
        <f>TestSummary!#REF!</f>
        <v>#REF!</v>
      </c>
      <c r="I14" s="255" t="e">
        <f>TestSummary!#REF!</f>
        <v>#REF!</v>
      </c>
      <c r="J14" s="348" t="e">
        <f>TestSummary!#REF!</f>
        <v>#REF!</v>
      </c>
      <c r="K14" s="348" t="e">
        <f>TestSummary!#REF!</f>
        <v>#REF!</v>
      </c>
    </row>
    <row r="15" spans="1:11 16384:16384" x14ac:dyDescent="0.25">
      <c r="A15" s="344" t="s">
        <v>536</v>
      </c>
      <c r="B15" s="17" t="e">
        <f>TestSummary!#REF!</f>
        <v>#REF!</v>
      </c>
      <c r="C15" s="17" t="e">
        <f>TestSummary!#REF!</f>
        <v>#REF!</v>
      </c>
      <c r="D15" s="17" t="e">
        <f>TestSummary!#REF!</f>
        <v>#REF!</v>
      </c>
      <c r="E15" s="17" t="e">
        <f>TestSummary!#REF!</f>
        <v>#REF!</v>
      </c>
      <c r="F15" s="17" t="e">
        <f>TestSummary!#REF!</f>
        <v>#REF!</v>
      </c>
      <c r="G15" s="17" t="e">
        <f>TestSummary!#REF!</f>
        <v>#REF!</v>
      </c>
      <c r="H15" s="17" t="e">
        <f>TestSummary!#REF!</f>
        <v>#REF!</v>
      </c>
      <c r="I15" s="17" t="e">
        <f>TestSummary!#REF!</f>
        <v>#REF!</v>
      </c>
      <c r="J15" s="343" t="e">
        <f>TestSummary!#REF!</f>
        <v>#REF!</v>
      </c>
      <c r="K15" s="343" t="e">
        <f>TestSummary!#REF!</f>
        <v>#REF!</v>
      </c>
    </row>
    <row r="16" spans="1:11 16384:16384" x14ac:dyDescent="0.25">
      <c r="A16" s="344" t="s">
        <v>535</v>
      </c>
      <c r="B16" s="17" t="e">
        <f>TestSummary!#REF!</f>
        <v>#REF!</v>
      </c>
      <c r="C16" s="17" t="e">
        <f>TestSummary!#REF!</f>
        <v>#REF!</v>
      </c>
      <c r="D16" s="17" t="e">
        <f>TestSummary!#REF!</f>
        <v>#REF!</v>
      </c>
      <c r="E16" s="17" t="e">
        <f>TestSummary!#REF!</f>
        <v>#REF!</v>
      </c>
      <c r="F16" s="17" t="e">
        <f>TestSummary!#REF!</f>
        <v>#REF!</v>
      </c>
      <c r="G16" s="17" t="e">
        <f>TestSummary!#REF!</f>
        <v>#REF!</v>
      </c>
      <c r="H16" s="17" t="e">
        <f>TestSummary!#REF!</f>
        <v>#REF!</v>
      </c>
      <c r="I16" s="17" t="e">
        <f>TestSummary!#REF!</f>
        <v>#REF!</v>
      </c>
      <c r="J16" s="343" t="e">
        <f>TestSummary!#REF!</f>
        <v>#REF!</v>
      </c>
      <c r="K16" s="343" t="e">
        <f>TestSummary!#REF!</f>
        <v>#REF!</v>
      </c>
    </row>
    <row r="17" spans="1:11 16384:16384" x14ac:dyDescent="0.25">
      <c r="A17" s="344" t="s">
        <v>537</v>
      </c>
      <c r="B17" s="17" t="e">
        <f>TestSummary!#REF!</f>
        <v>#REF!</v>
      </c>
      <c r="C17" s="17" t="e">
        <f>TestSummary!#REF!</f>
        <v>#REF!</v>
      </c>
      <c r="D17" s="17" t="e">
        <f>TestSummary!#REF!</f>
        <v>#REF!</v>
      </c>
      <c r="E17" s="17" t="e">
        <f>TestSummary!#REF!</f>
        <v>#REF!</v>
      </c>
      <c r="F17" s="17" t="e">
        <f>TestSummary!#REF!</f>
        <v>#REF!</v>
      </c>
      <c r="G17" s="17" t="e">
        <f>TestSummary!#REF!</f>
        <v>#REF!</v>
      </c>
      <c r="H17" s="17" t="e">
        <f>TestSummary!#REF!</f>
        <v>#REF!</v>
      </c>
      <c r="I17" s="17" t="e">
        <f>TestSummary!#REF!</f>
        <v>#REF!</v>
      </c>
      <c r="J17" s="343" t="e">
        <f>TestSummary!#REF!</f>
        <v>#REF!</v>
      </c>
      <c r="K17" s="343" t="e">
        <f>TestSummary!#REF!</f>
        <v>#REF!</v>
      </c>
    </row>
    <row r="18" spans="1:11 16384:16384" x14ac:dyDescent="0.25">
      <c r="A18" s="344" t="s">
        <v>538</v>
      </c>
      <c r="B18" s="17" t="e">
        <f>TestSummary!#REF!</f>
        <v>#REF!</v>
      </c>
      <c r="C18" s="17" t="e">
        <f>TestSummary!#REF!</f>
        <v>#REF!</v>
      </c>
      <c r="D18" s="17" t="e">
        <f>TestSummary!#REF!</f>
        <v>#REF!</v>
      </c>
      <c r="E18" s="17" t="e">
        <f>TestSummary!#REF!</f>
        <v>#REF!</v>
      </c>
      <c r="F18" s="17" t="e">
        <f>TestSummary!#REF!</f>
        <v>#REF!</v>
      </c>
      <c r="G18" s="17" t="e">
        <f>TestSummary!#REF!</f>
        <v>#REF!</v>
      </c>
      <c r="H18" s="17" t="e">
        <f>TestSummary!#REF!</f>
        <v>#REF!</v>
      </c>
      <c r="I18" s="17" t="e">
        <f>TestSummary!#REF!</f>
        <v>#REF!</v>
      </c>
      <c r="J18" s="343" t="e">
        <f>TestSummary!#REF!</f>
        <v>#REF!</v>
      </c>
      <c r="K18" s="343" t="e">
        <f>TestSummary!#REF!</f>
        <v>#REF!</v>
      </c>
    </row>
    <row r="19" spans="1:11 16384:16384" x14ac:dyDescent="0.25">
      <c r="A19" s="344" t="s">
        <v>540</v>
      </c>
      <c r="B19" s="17" t="e">
        <f>TestSummary!#REF!</f>
        <v>#REF!</v>
      </c>
      <c r="C19" s="17" t="e">
        <f>TestSummary!#REF!</f>
        <v>#REF!</v>
      </c>
      <c r="D19" s="17" t="e">
        <f>TestSummary!#REF!</f>
        <v>#REF!</v>
      </c>
      <c r="E19" s="17" t="e">
        <f>TestSummary!#REF!</f>
        <v>#REF!</v>
      </c>
      <c r="F19" s="17" t="e">
        <f>TestSummary!#REF!</f>
        <v>#REF!</v>
      </c>
      <c r="G19" s="17" t="e">
        <f>TestSummary!#REF!</f>
        <v>#REF!</v>
      </c>
      <c r="H19" s="17" t="e">
        <f>TestSummary!#REF!</f>
        <v>#REF!</v>
      </c>
      <c r="I19" s="17" t="e">
        <f>TestSummary!#REF!</f>
        <v>#REF!</v>
      </c>
      <c r="J19" s="343" t="e">
        <f>TestSummary!#REF!</f>
        <v>#REF!</v>
      </c>
      <c r="K19" s="343" t="e">
        <f>TestSummary!#REF!</f>
        <v>#REF!</v>
      </c>
    </row>
    <row r="20" spans="1:11 16384:16384" x14ac:dyDescent="0.25">
      <c r="A20" s="344" t="s">
        <v>539</v>
      </c>
      <c r="B20" s="17" t="e">
        <f>TestSummary!#REF!</f>
        <v>#REF!</v>
      </c>
      <c r="C20" s="17" t="e">
        <f>TestSummary!#REF!</f>
        <v>#REF!</v>
      </c>
      <c r="D20" s="17" t="e">
        <f>TestSummary!#REF!</f>
        <v>#REF!</v>
      </c>
      <c r="E20" s="17" t="e">
        <f>TestSummary!#REF!</f>
        <v>#REF!</v>
      </c>
      <c r="F20" s="17" t="e">
        <f>TestSummary!#REF!</f>
        <v>#REF!</v>
      </c>
      <c r="G20" s="17" t="e">
        <f>TestSummary!#REF!</f>
        <v>#REF!</v>
      </c>
      <c r="H20" s="17" t="e">
        <f>TestSummary!#REF!</f>
        <v>#REF!</v>
      </c>
      <c r="I20" s="17" t="e">
        <f>TestSummary!#REF!</f>
        <v>#REF!</v>
      </c>
      <c r="J20" s="343" t="e">
        <f>TestSummary!#REF!</f>
        <v>#REF!</v>
      </c>
      <c r="K20" s="343" t="e">
        <f>TestSummary!#REF!</f>
        <v>#REF!</v>
      </c>
    </row>
    <row r="21" spans="1:11 16384:16384" x14ac:dyDescent="0.25">
      <c r="A21" s="344" t="s">
        <v>416</v>
      </c>
      <c r="B21" s="17" t="e">
        <f>TestSummary!#REF!</f>
        <v>#REF!</v>
      </c>
      <c r="C21" s="17" t="e">
        <f>TestSummary!#REF!</f>
        <v>#REF!</v>
      </c>
      <c r="D21" s="17" t="e">
        <f>TestSummary!#REF!</f>
        <v>#REF!</v>
      </c>
      <c r="E21" s="17" t="e">
        <f>TestSummary!#REF!</f>
        <v>#REF!</v>
      </c>
      <c r="F21" s="17" t="e">
        <f>TestSummary!#REF!</f>
        <v>#REF!</v>
      </c>
      <c r="G21" s="17" t="e">
        <f>TestSummary!#REF!</f>
        <v>#REF!</v>
      </c>
      <c r="H21" s="17" t="e">
        <f>TestSummary!#REF!</f>
        <v>#REF!</v>
      </c>
      <c r="I21" s="17" t="e">
        <f>TestSummary!#REF!</f>
        <v>#REF!</v>
      </c>
      <c r="J21" s="343" t="e">
        <f>TestSummary!#REF!</f>
        <v>#REF!</v>
      </c>
      <c r="K21" s="343" t="e">
        <f>TestSummary!#REF!</f>
        <v>#REF!</v>
      </c>
    </row>
    <row r="22" spans="1:11 16384:16384" x14ac:dyDescent="0.25">
      <c r="A22" s="344" t="s">
        <v>404</v>
      </c>
      <c r="B22" s="17" t="e">
        <f>TestSummary!#REF!</f>
        <v>#REF!</v>
      </c>
      <c r="C22" s="17" t="e">
        <f>TestSummary!#REF!</f>
        <v>#REF!</v>
      </c>
      <c r="D22" s="17" t="e">
        <f>TestSummary!#REF!</f>
        <v>#REF!</v>
      </c>
      <c r="E22" s="17" t="e">
        <f>TestSummary!#REF!</f>
        <v>#REF!</v>
      </c>
      <c r="F22" s="17" t="e">
        <f>TestSummary!#REF!</f>
        <v>#REF!</v>
      </c>
      <c r="G22" s="17" t="e">
        <f>TestSummary!#REF!</f>
        <v>#REF!</v>
      </c>
      <c r="H22" s="17" t="e">
        <f>TestSummary!#REF!</f>
        <v>#REF!</v>
      </c>
      <c r="I22" s="17" t="e">
        <f>TestSummary!#REF!</f>
        <v>#REF!</v>
      </c>
      <c r="J22" s="343" t="e">
        <f>TestSummary!#REF!</f>
        <v>#REF!</v>
      </c>
      <c r="K22" s="343" t="e">
        <f>TestSummary!#REF!</f>
        <v>#REF!</v>
      </c>
    </row>
    <row r="23" spans="1:11 16384:16384" x14ac:dyDescent="0.25">
      <c r="A23" s="344" t="s">
        <v>546</v>
      </c>
      <c r="B23" s="17" t="e">
        <f>TestSummary!#REF!</f>
        <v>#REF!</v>
      </c>
      <c r="C23" s="17" t="e">
        <f>TestSummary!#REF!</f>
        <v>#REF!</v>
      </c>
      <c r="D23" s="17" t="e">
        <f>TestSummary!#REF!</f>
        <v>#REF!</v>
      </c>
      <c r="E23" s="17" t="e">
        <f>TestSummary!#REF!</f>
        <v>#REF!</v>
      </c>
      <c r="F23" s="17" t="e">
        <f>TestSummary!#REF!</f>
        <v>#REF!</v>
      </c>
      <c r="G23" s="17" t="e">
        <f>TestSummary!#REF!</f>
        <v>#REF!</v>
      </c>
      <c r="H23" s="17" t="e">
        <f>TestSummary!#REF!</f>
        <v>#REF!</v>
      </c>
      <c r="I23" s="17" t="e">
        <f>TestSummary!#REF!</f>
        <v>#REF!</v>
      </c>
      <c r="J23" s="343" t="e">
        <f>TestSummary!#REF!</f>
        <v>#REF!</v>
      </c>
      <c r="K23" s="343" t="e">
        <f>TestSummary!#REF!</f>
        <v>#REF!</v>
      </c>
    </row>
    <row r="24" spans="1:11 16384:16384" x14ac:dyDescent="0.25">
      <c r="J24" s="343"/>
      <c r="K24" s="343"/>
    </row>
    <row r="25" spans="1:11 16384:16384" x14ac:dyDescent="0.25">
      <c r="A25" s="344" t="s">
        <v>545</v>
      </c>
      <c r="B25" s="345" t="e">
        <f t="shared" ref="B25:I25" si="0">B16/B13</f>
        <v>#REF!</v>
      </c>
      <c r="C25" s="345" t="e">
        <f t="shared" si="0"/>
        <v>#REF!</v>
      </c>
      <c r="D25" s="345" t="e">
        <f t="shared" si="0"/>
        <v>#REF!</v>
      </c>
      <c r="E25" s="345" t="e">
        <f t="shared" si="0"/>
        <v>#REF!</v>
      </c>
      <c r="F25" s="345" t="e">
        <f t="shared" si="0"/>
        <v>#REF!</v>
      </c>
      <c r="G25" s="345" t="e">
        <f t="shared" si="0"/>
        <v>#REF!</v>
      </c>
      <c r="H25" s="345" t="e">
        <f t="shared" si="0"/>
        <v>#REF!</v>
      </c>
      <c r="I25" s="345" t="e">
        <f t="shared" si="0"/>
        <v>#REF!</v>
      </c>
      <c r="J25" s="349" t="e">
        <f>J16/J14</f>
        <v>#REF!</v>
      </c>
      <c r="K25" s="349" t="e">
        <f>K16/K14</f>
        <v>#REF!</v>
      </c>
      <c r="XFD25" s="17"/>
    </row>
    <row r="26" spans="1:11 16384:16384" x14ac:dyDescent="0.25">
      <c r="A26" s="344" t="s">
        <v>543</v>
      </c>
      <c r="B26" s="346" t="e">
        <f>-B15/B16</f>
        <v>#REF!</v>
      </c>
      <c r="C26" s="346" t="e">
        <f>-C15/C16</f>
        <v>#REF!</v>
      </c>
      <c r="D26" s="346" t="e">
        <f>-D15/D16</f>
        <v>#REF!</v>
      </c>
      <c r="E26" s="346" t="e">
        <f>-E15/E16</f>
        <v>#REF!</v>
      </c>
      <c r="F26" s="346" t="e">
        <f>-F15/F16</f>
        <v>#REF!</v>
      </c>
      <c r="G26" s="346" t="e">
        <f>-G15/G16</f>
        <v>#REF!</v>
      </c>
      <c r="H26" s="346" t="e">
        <f>-H15/H16</f>
        <v>#REF!</v>
      </c>
      <c r="I26" s="351" t="e">
        <f>-I15/I16</f>
        <v>#REF!</v>
      </c>
      <c r="J26" s="350" t="e">
        <f>-J15/J16</f>
        <v>#REF!</v>
      </c>
      <c r="K26" s="350" t="e">
        <f>-K15/K16</f>
        <v>#REF!</v>
      </c>
    </row>
    <row r="27" spans="1:11 16384:16384" x14ac:dyDescent="0.25">
      <c r="A27" s="344" t="s">
        <v>544</v>
      </c>
      <c r="B27" s="346" t="e">
        <f>B19/B16</f>
        <v>#REF!</v>
      </c>
      <c r="C27" s="346" t="e">
        <f t="shared" ref="C27:K27" si="1">C19/C16</f>
        <v>#REF!</v>
      </c>
      <c r="D27" s="346" t="e">
        <f t="shared" si="1"/>
        <v>#REF!</v>
      </c>
      <c r="E27" s="346" t="e">
        <f t="shared" si="1"/>
        <v>#REF!</v>
      </c>
      <c r="F27" s="346" t="e">
        <f t="shared" si="1"/>
        <v>#REF!</v>
      </c>
      <c r="G27" s="346" t="e">
        <f t="shared" si="1"/>
        <v>#REF!</v>
      </c>
      <c r="H27" s="346" t="e">
        <f t="shared" si="1"/>
        <v>#REF!</v>
      </c>
      <c r="I27" s="351" t="e">
        <f t="shared" si="1"/>
        <v>#REF!</v>
      </c>
      <c r="J27" s="350" t="e">
        <f t="shared" si="1"/>
        <v>#REF!</v>
      </c>
      <c r="K27" s="350" t="e">
        <f t="shared" si="1"/>
        <v>#REF!</v>
      </c>
    </row>
    <row r="28" spans="1:11 16384:16384" x14ac:dyDescent="0.25">
      <c r="A28" s="344" t="s">
        <v>549</v>
      </c>
      <c r="B28" s="346" t="e">
        <f t="shared" ref="B28:I28" si="2">B14/B19</f>
        <v>#REF!</v>
      </c>
      <c r="C28" s="346" t="e">
        <f t="shared" si="2"/>
        <v>#REF!</v>
      </c>
      <c r="D28" s="346" t="e">
        <f t="shared" si="2"/>
        <v>#REF!</v>
      </c>
      <c r="E28" s="346" t="e">
        <f t="shared" si="2"/>
        <v>#REF!</v>
      </c>
      <c r="F28" s="346" t="e">
        <f t="shared" si="2"/>
        <v>#REF!</v>
      </c>
      <c r="G28" s="346" t="e">
        <f t="shared" si="2"/>
        <v>#REF!</v>
      </c>
      <c r="H28" s="346" t="e">
        <f t="shared" si="2"/>
        <v>#REF!</v>
      </c>
      <c r="I28" s="346" t="e">
        <f t="shared" si="2"/>
        <v>#REF!</v>
      </c>
      <c r="J28" s="350"/>
      <c r="K28" s="350"/>
    </row>
    <row r="30" spans="1:11 16384:16384" x14ac:dyDescent="0.25">
      <c r="A30" s="344" t="s">
        <v>439</v>
      </c>
      <c r="C30" s="17" t="s">
        <v>548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TestPlan</vt:lpstr>
      <vt:lpstr>TestSummary</vt:lpstr>
      <vt:lpstr>J1634 Calcs</vt:lpstr>
      <vt:lpstr>J1634 Calcs no precondition</vt:lpstr>
      <vt:lpstr>AVTEReporting</vt:lpstr>
      <vt:lpstr>TestInfoInstru</vt:lpstr>
      <vt:lpstr>EPA Test Data</vt:lpstr>
      <vt:lpstr>J1634ShortcutWorksheet</vt:lpstr>
      <vt:lpstr>Vehicle Distance</vt:lpstr>
      <vt:lpstr>Accessory Load</vt:lpstr>
      <vt:lpstr>Charge Summary</vt:lpstr>
      <vt:lpstr>'Accessory Load'!Print_Area</vt:lpstr>
      <vt:lpstr>TestPlan!Print_Area</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Michael Stutenberg</dc:creator>
  <cp:lastModifiedBy>Stutenberg, Kevin M.</cp:lastModifiedBy>
  <cp:lastPrinted>2020-08-20T13:28:04Z</cp:lastPrinted>
  <dcterms:created xsi:type="dcterms:W3CDTF">2011-08-29T21:53:01Z</dcterms:created>
  <dcterms:modified xsi:type="dcterms:W3CDTF">2023-01-18T23:35:17Z</dcterms:modified>
</cp:coreProperties>
</file>