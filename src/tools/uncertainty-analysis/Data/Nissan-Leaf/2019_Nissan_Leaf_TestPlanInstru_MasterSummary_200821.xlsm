
<file path=[Content_Types].xml><?xml version="1.0" encoding="utf-8"?>
<Types xmlns="http://schemas.openxmlformats.org/package/2006/content-types">
  <Default Extension="bin" ContentType="application/vnd.openxmlformats-officedocument.spreadsheetml.printerSettings"/>
  <Default Extension="jpeg" ContentType="image/jpeg"/>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6.xml" ContentType="application/vnd.openxmlformats-officedocument.drawing+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scend.egs.anl.gov\groups\aptf_docs\vehicles\2003- 2019 Nissan Leaf E+ (NHTSA)\2-Instrumentation_and_Test_Plan\"/>
    </mc:Choice>
  </mc:AlternateContent>
  <bookViews>
    <workbookView xWindow="0" yWindow="0" windowWidth="25200" windowHeight="11850" activeTab="3"/>
  </bookViews>
  <sheets>
    <sheet name="TestPlan" sheetId="51" r:id="rId1"/>
    <sheet name="TestSummary" sheetId="49" r:id="rId2"/>
    <sheet name="J1634 Calcs" sheetId="74" r:id="rId3"/>
    <sheet name="J1634 Calcs no precondition" sheetId="75" r:id="rId4"/>
    <sheet name="AVTEReporting" sheetId="50" r:id="rId5"/>
    <sheet name="TestInfoInstru" sheetId="52" r:id="rId6"/>
    <sheet name="EPA Test Data" sheetId="71" r:id="rId7"/>
    <sheet name="J1634ShortcutWorksheet" sheetId="32" r:id="rId8"/>
    <sheet name="Vehicle Distance" sheetId="36" r:id="rId9"/>
    <sheet name="Accessory Load" sheetId="34" r:id="rId10"/>
    <sheet name="Charge Summary" sheetId="70" r:id="rId11"/>
  </sheets>
  <externalReferences>
    <externalReference r:id="rId12"/>
  </externalReferences>
  <definedNames>
    <definedName name="A" localSheetId="2">[1]SpdtoABCcalcFocus!$Q$2</definedName>
    <definedName name="A" localSheetId="3">[1]SpdtoABCcalcFocus!$Q$2</definedName>
    <definedName name="A" localSheetId="5">[1]SpdtoABCcalcFocus!$Q$2</definedName>
    <definedName name="A" localSheetId="0">[1]SpdtoABCcalcFocus!$Q$2</definedName>
    <definedName name="A">[1]SpdtoABCcalcFocus!$Q$2</definedName>
    <definedName name="Acold" localSheetId="2">[1]SpdtoABCcalcFocus!$Q$3</definedName>
    <definedName name="Acold" localSheetId="3">[1]SpdtoABCcalcFocus!$Q$3</definedName>
    <definedName name="Acold" localSheetId="5">[1]SpdtoABCcalcFocus!$Q$3</definedName>
    <definedName name="Acold" localSheetId="0">[1]SpdtoABCcalcFocus!$Q$3</definedName>
    <definedName name="Acold">[1]SpdtoABCcalcFocus!$Q$3</definedName>
    <definedName name="B" localSheetId="2">[1]SpdtoABCcalcFocus!$R$2</definedName>
    <definedName name="B" localSheetId="3">[1]SpdtoABCcalcFocus!$R$2</definedName>
    <definedName name="B" localSheetId="5">[1]SpdtoABCcalcFocus!$R$2</definedName>
    <definedName name="B" localSheetId="0">[1]SpdtoABCcalcFocus!$R$2</definedName>
    <definedName name="B">[1]SpdtoABCcalcFocus!$R$2</definedName>
    <definedName name="Bcold" localSheetId="2">[1]SpdtoABCcalcFocus!$R$3</definedName>
    <definedName name="Bcold" localSheetId="3">[1]SpdtoABCcalcFocus!$R$3</definedName>
    <definedName name="Bcold" localSheetId="5">[1]SpdtoABCcalcFocus!$R$3</definedName>
    <definedName name="Bcold" localSheetId="0">[1]SpdtoABCcalcFocus!$R$3</definedName>
    <definedName name="Bcold">[1]SpdtoABCcalcFocus!$R$3</definedName>
    <definedName name="Ccoef" localSheetId="2">[1]SpdtoABCcalcFocus!$S$2</definedName>
    <definedName name="Ccoef" localSheetId="3">[1]SpdtoABCcalcFocus!$S$2</definedName>
    <definedName name="Ccoef" localSheetId="5">[1]SpdtoABCcalcFocus!$S$2</definedName>
    <definedName name="Ccoef" localSheetId="0">[1]SpdtoABCcalcFocus!$S$2</definedName>
    <definedName name="Ccoef">[1]SpdtoABCcalcFocus!$S$2</definedName>
    <definedName name="Ccold" localSheetId="2">[1]SpdtoABCcalcFocus!$S$3</definedName>
    <definedName name="Ccold" localSheetId="3">[1]SpdtoABCcalcFocus!$S$3</definedName>
    <definedName name="Ccold" localSheetId="5">[1]SpdtoABCcalcFocus!$S$3</definedName>
    <definedName name="Ccold" localSheetId="0">[1]SpdtoABCcalcFocus!$S$3</definedName>
    <definedName name="Ccold">[1]SpdtoABCcalcFocus!$S$3</definedName>
    <definedName name="m" localSheetId="2">[1]SpdtoABCcalcFocus!$P$2</definedName>
    <definedName name="m" localSheetId="3">[1]SpdtoABCcalcFocus!$P$2</definedName>
    <definedName name="m" localSheetId="5">[1]SpdtoABCcalcFocus!$P$2</definedName>
    <definedName name="m" localSheetId="0">[1]SpdtoABCcalcFocus!$P$2</definedName>
    <definedName name="m">[1]SpdtoABCcalcFocus!$P$2</definedName>
    <definedName name="_xlnm.Print_Area" localSheetId="9">'Accessory Load'!$A$1:$B$77</definedName>
    <definedName name="_xlnm.Print_Area" localSheetId="0">TestPlan!$A$1:$P$42</definedName>
  </definedNames>
  <calcPr calcId="162913"/>
</workbook>
</file>

<file path=xl/calcChain.xml><?xml version="1.0" encoding="utf-8"?>
<calcChain xmlns="http://schemas.openxmlformats.org/spreadsheetml/2006/main">
  <c r="AF18" i="75" l="1"/>
  <c r="AF19" i="75"/>
  <c r="AF20" i="75"/>
  <c r="AF13" i="75"/>
  <c r="AF14" i="75"/>
  <c r="AF15" i="75"/>
  <c r="O25" i="74"/>
  <c r="O17" i="75"/>
  <c r="AP75" i="75"/>
  <c r="AO75" i="75"/>
  <c r="AY74" i="75"/>
  <c r="AU74" i="75"/>
  <c r="AS74" i="75"/>
  <c r="AQ74" i="75"/>
  <c r="AM74" i="75"/>
  <c r="AY73" i="75"/>
  <c r="AU73" i="75"/>
  <c r="AS73" i="75"/>
  <c r="AQ73" i="75"/>
  <c r="AM73" i="75"/>
  <c r="T65" i="75"/>
  <c r="T64" i="75"/>
  <c r="A62" i="75"/>
  <c r="I62" i="75" s="1"/>
  <c r="K61" i="75"/>
  <c r="J61" i="75"/>
  <c r="I61" i="75"/>
  <c r="H61" i="75"/>
  <c r="G61" i="75"/>
  <c r="F61" i="75"/>
  <c r="E61" i="75"/>
  <c r="D61" i="75"/>
  <c r="C61" i="75"/>
  <c r="B61" i="75"/>
  <c r="AQ58" i="75"/>
  <c r="AM58" i="75"/>
  <c r="AQ57" i="75"/>
  <c r="AM57" i="75"/>
  <c r="T57" i="75"/>
  <c r="AQ56" i="75"/>
  <c r="AM56" i="75"/>
  <c r="T56" i="75"/>
  <c r="K56" i="75"/>
  <c r="AH10" i="75" s="1"/>
  <c r="J56" i="75"/>
  <c r="I56" i="75"/>
  <c r="H56" i="75"/>
  <c r="G56" i="75"/>
  <c r="F56" i="75"/>
  <c r="E56" i="75"/>
  <c r="D56" i="75"/>
  <c r="C56" i="75"/>
  <c r="B56" i="75"/>
  <c r="AQ55" i="75"/>
  <c r="AM55" i="75"/>
  <c r="O55" i="75"/>
  <c r="K55" i="75"/>
  <c r="J55" i="75"/>
  <c r="I55" i="75"/>
  <c r="H55" i="75"/>
  <c r="G55" i="75"/>
  <c r="F55" i="75"/>
  <c r="E55" i="75"/>
  <c r="D55" i="75"/>
  <c r="C55" i="75"/>
  <c r="B55" i="75"/>
  <c r="AQ54" i="75"/>
  <c r="AM54" i="75"/>
  <c r="O54" i="75"/>
  <c r="O62" i="75" s="1"/>
  <c r="K54" i="75"/>
  <c r="W56" i="75" s="1"/>
  <c r="J54" i="75"/>
  <c r="I54" i="75"/>
  <c r="H54" i="75"/>
  <c r="G54" i="75"/>
  <c r="F54" i="75"/>
  <c r="E54" i="75"/>
  <c r="D54" i="75"/>
  <c r="C54" i="75"/>
  <c r="B54" i="75"/>
  <c r="AQ53" i="75"/>
  <c r="AM53" i="75"/>
  <c r="K53" i="75"/>
  <c r="J53" i="75"/>
  <c r="I53" i="75"/>
  <c r="H53" i="75"/>
  <c r="G53" i="75"/>
  <c r="F53" i="75"/>
  <c r="E53" i="75"/>
  <c r="D53" i="75"/>
  <c r="C53" i="75"/>
  <c r="B53" i="75"/>
  <c r="T45" i="75"/>
  <c r="O45" i="75"/>
  <c r="T44" i="75"/>
  <c r="O43" i="75"/>
  <c r="J43" i="75"/>
  <c r="AX57" i="75" s="1"/>
  <c r="AY57" i="75" s="1"/>
  <c r="D43" i="75"/>
  <c r="A43" i="75"/>
  <c r="I43" i="75" s="1"/>
  <c r="AW57" i="75" s="1"/>
  <c r="AF42" i="75"/>
  <c r="O42" i="75"/>
  <c r="K42" i="75"/>
  <c r="J42" i="75"/>
  <c r="AX53" i="75" s="1"/>
  <c r="I42" i="75"/>
  <c r="AW53" i="75" s="1"/>
  <c r="H42" i="75"/>
  <c r="G42" i="75"/>
  <c r="F42" i="75"/>
  <c r="E42" i="75"/>
  <c r="D42" i="75"/>
  <c r="C42" i="75"/>
  <c r="B42" i="75"/>
  <c r="AF41" i="75"/>
  <c r="AO37" i="75"/>
  <c r="AK37" i="75"/>
  <c r="T35" i="75"/>
  <c r="O35" i="75"/>
  <c r="P35" i="75" s="1"/>
  <c r="T34" i="75"/>
  <c r="O33" i="75"/>
  <c r="P45" i="75" s="1"/>
  <c r="A33" i="75"/>
  <c r="O32" i="75"/>
  <c r="P17" i="75" s="1"/>
  <c r="K32" i="75"/>
  <c r="J32" i="75"/>
  <c r="AT53" i="75" s="1"/>
  <c r="I32" i="75"/>
  <c r="AS53" i="75" s="1"/>
  <c r="H32" i="75"/>
  <c r="G32" i="75"/>
  <c r="F32" i="75"/>
  <c r="E32" i="75"/>
  <c r="D32" i="75"/>
  <c r="C32" i="75"/>
  <c r="B32" i="75"/>
  <c r="T28" i="75"/>
  <c r="T27" i="75"/>
  <c r="O26" i="75"/>
  <c r="K25" i="75"/>
  <c r="A25" i="75"/>
  <c r="J25" i="75" s="1"/>
  <c r="L24" i="75"/>
  <c r="K24" i="75"/>
  <c r="J24" i="75"/>
  <c r="I24" i="75"/>
  <c r="H24" i="75"/>
  <c r="G24" i="75"/>
  <c r="F24" i="75"/>
  <c r="E24" i="75"/>
  <c r="D24" i="75"/>
  <c r="C24" i="75"/>
  <c r="B24" i="75"/>
  <c r="T20" i="75"/>
  <c r="T19" i="75"/>
  <c r="P18" i="75"/>
  <c r="O18" i="75"/>
  <c r="J18" i="75"/>
  <c r="D18" i="75"/>
  <c r="A18" i="75"/>
  <c r="I18" i="75" s="1"/>
  <c r="O25" i="75"/>
  <c r="L17" i="75"/>
  <c r="K17" i="75"/>
  <c r="J17" i="75"/>
  <c r="I17" i="75"/>
  <c r="U18" i="75" s="1"/>
  <c r="V18" i="75" s="1"/>
  <c r="H17" i="75"/>
  <c r="G17" i="75"/>
  <c r="F17" i="75"/>
  <c r="E17" i="75"/>
  <c r="D17" i="75"/>
  <c r="C17" i="75"/>
  <c r="B17" i="75"/>
  <c r="T13" i="75"/>
  <c r="T12" i="75"/>
  <c r="P11" i="75"/>
  <c r="O11" i="75"/>
  <c r="G11" i="75"/>
  <c r="C11" i="75"/>
  <c r="A11" i="75"/>
  <c r="J11" i="75" s="1"/>
  <c r="O10" i="75"/>
  <c r="L10" i="75"/>
  <c r="K10" i="75"/>
  <c r="J10" i="75"/>
  <c r="I10" i="75"/>
  <c r="U11" i="75" s="1"/>
  <c r="H10" i="75"/>
  <c r="G10" i="75"/>
  <c r="F10" i="75"/>
  <c r="E10" i="75"/>
  <c r="D10" i="75"/>
  <c r="C10" i="75"/>
  <c r="B10" i="75"/>
  <c r="AH9" i="75"/>
  <c r="AH8" i="75"/>
  <c r="AI7" i="75"/>
  <c r="AH7" i="75"/>
  <c r="AG7" i="75"/>
  <c r="AG31" i="75" s="1"/>
  <c r="L6" i="75"/>
  <c r="K6" i="75"/>
  <c r="J6" i="75"/>
  <c r="I6" i="75"/>
  <c r="H6" i="75"/>
  <c r="G6" i="75"/>
  <c r="F6" i="75"/>
  <c r="E6" i="75"/>
  <c r="D6" i="75"/>
  <c r="C6" i="75"/>
  <c r="B6" i="75"/>
  <c r="O11" i="74"/>
  <c r="K61" i="74"/>
  <c r="AI7" i="74" s="1"/>
  <c r="T46" i="75" l="1"/>
  <c r="AI31" i="75"/>
  <c r="AE7" i="75"/>
  <c r="K18" i="75"/>
  <c r="W19" i="75" s="1"/>
  <c r="F43" i="75"/>
  <c r="K11" i="75"/>
  <c r="B18" i="75"/>
  <c r="G18" i="75"/>
  <c r="L18" i="75"/>
  <c r="A19" i="75"/>
  <c r="E19" i="75" s="1"/>
  <c r="C25" i="75"/>
  <c r="U33" i="75"/>
  <c r="V33" i="75" s="1"/>
  <c r="B43" i="75"/>
  <c r="G43" i="75"/>
  <c r="T58" i="75"/>
  <c r="AH74" i="75" s="1"/>
  <c r="F18" i="75"/>
  <c r="A26" i="75"/>
  <c r="P26" i="75"/>
  <c r="P33" i="75"/>
  <c r="K43" i="75"/>
  <c r="AD7" i="75"/>
  <c r="AD31" i="75" s="1"/>
  <c r="T14" i="75"/>
  <c r="AD74" i="75" s="1"/>
  <c r="C18" i="75"/>
  <c r="H18" i="75"/>
  <c r="AF7" i="75"/>
  <c r="G25" i="75"/>
  <c r="C43" i="75"/>
  <c r="H43" i="75"/>
  <c r="A44" i="75"/>
  <c r="W57" i="75"/>
  <c r="Y57" i="75" s="1"/>
  <c r="AH15" i="75" s="1"/>
  <c r="E62" i="75"/>
  <c r="AE31" i="75"/>
  <c r="AF31" i="75"/>
  <c r="AH31" i="75"/>
  <c r="T29" i="75"/>
  <c r="AF74" i="75" s="1"/>
  <c r="V11" i="75"/>
  <c r="U26" i="75"/>
  <c r="L26" i="75"/>
  <c r="H26" i="75"/>
  <c r="G26" i="75"/>
  <c r="C26" i="75"/>
  <c r="B26" i="75"/>
  <c r="P54" i="75"/>
  <c r="P42" i="75"/>
  <c r="H33" i="75"/>
  <c r="D33" i="75"/>
  <c r="AU53" i="75"/>
  <c r="D11" i="75"/>
  <c r="H11" i="75"/>
  <c r="L11" i="75"/>
  <c r="W12" i="75" s="1"/>
  <c r="A12" i="75"/>
  <c r="E18" i="75"/>
  <c r="H19" i="75"/>
  <c r="D25" i="75"/>
  <c r="H25" i="75"/>
  <c r="L25" i="75"/>
  <c r="W27" i="75" s="1"/>
  <c r="P32" i="75"/>
  <c r="B33" i="75"/>
  <c r="G33" i="75"/>
  <c r="O63" i="75"/>
  <c r="T66" i="75" s="1"/>
  <c r="AI74" i="75" s="1"/>
  <c r="K33" i="75"/>
  <c r="W34" i="75" s="1"/>
  <c r="X34" i="75" s="1"/>
  <c r="AG38" i="75" s="1"/>
  <c r="AY53" i="75"/>
  <c r="E11" i="75"/>
  <c r="I11" i="75"/>
  <c r="T21" i="75"/>
  <c r="AE74" i="75" s="1"/>
  <c r="E25" i="75"/>
  <c r="I25" i="75"/>
  <c r="C33" i="75"/>
  <c r="I33" i="75"/>
  <c r="AS57" i="75" s="1"/>
  <c r="U55" i="75"/>
  <c r="Y56" i="75"/>
  <c r="AH14" i="75" s="1"/>
  <c r="P62" i="75"/>
  <c r="F33" i="75"/>
  <c r="P10" i="75"/>
  <c r="B11" i="75"/>
  <c r="F11" i="75"/>
  <c r="B25" i="75"/>
  <c r="F25" i="75"/>
  <c r="P25" i="75"/>
  <c r="E33" i="75"/>
  <c r="J33" i="75"/>
  <c r="AT57" i="75" s="1"/>
  <c r="A34" i="75"/>
  <c r="T36" i="75"/>
  <c r="AG74" i="75" s="1"/>
  <c r="H62" i="75"/>
  <c r="D62" i="75"/>
  <c r="K62" i="75"/>
  <c r="G62" i="75"/>
  <c r="C62" i="75"/>
  <c r="A63" i="75"/>
  <c r="J62" i="75"/>
  <c r="F62" i="75"/>
  <c r="B62" i="75"/>
  <c r="E43" i="75"/>
  <c r="P43" i="75"/>
  <c r="G44" i="75"/>
  <c r="K44" i="75"/>
  <c r="AG9" i="75" s="1"/>
  <c r="AG33" i="75" s="1"/>
  <c r="P55" i="75"/>
  <c r="P63" i="75"/>
  <c r="U43" i="75"/>
  <c r="D44" i="75"/>
  <c r="E44" i="75"/>
  <c r="U63" i="74"/>
  <c r="U55" i="74"/>
  <c r="U43" i="74"/>
  <c r="U33" i="74"/>
  <c r="U26" i="74"/>
  <c r="U11" i="74"/>
  <c r="AD8" i="75" l="1"/>
  <c r="I44" i="75"/>
  <c r="AW54" i="75" s="1"/>
  <c r="B44" i="75"/>
  <c r="J44" i="75"/>
  <c r="AX54" i="75" s="1"/>
  <c r="F44" i="75"/>
  <c r="I26" i="75"/>
  <c r="E26" i="75"/>
  <c r="A45" i="75"/>
  <c r="B45" i="75" s="1"/>
  <c r="F19" i="75"/>
  <c r="F26" i="75"/>
  <c r="K26" i="75"/>
  <c r="AF9" i="75" s="1"/>
  <c r="AF33" i="75" s="1"/>
  <c r="A27" i="75"/>
  <c r="H27" i="75" s="1"/>
  <c r="W44" i="75"/>
  <c r="Y44" i="75" s="1"/>
  <c r="AG14" i="75" s="1"/>
  <c r="AG19" i="75" s="1"/>
  <c r="AG8" i="75"/>
  <c r="AE8" i="75"/>
  <c r="AE32" i="75" s="1"/>
  <c r="J19" i="75"/>
  <c r="A20" i="75"/>
  <c r="C19" i="75"/>
  <c r="K19" i="75"/>
  <c r="G19" i="75"/>
  <c r="I19" i="75"/>
  <c r="D19" i="75"/>
  <c r="C44" i="75"/>
  <c r="H44" i="75"/>
  <c r="B19" i="75"/>
  <c r="L19" i="75"/>
  <c r="J26" i="75"/>
  <c r="D26" i="75"/>
  <c r="Y12" i="75"/>
  <c r="AD14" i="75" s="1"/>
  <c r="AD19" i="75" s="1"/>
  <c r="X12" i="75"/>
  <c r="AD38" i="75" s="1"/>
  <c r="AD54" i="75" s="1"/>
  <c r="Y27" i="75"/>
  <c r="X27" i="75"/>
  <c r="AF38" i="75" s="1"/>
  <c r="V43" i="75"/>
  <c r="BD53" i="75"/>
  <c r="BC53" i="75"/>
  <c r="L27" i="75"/>
  <c r="H45" i="75"/>
  <c r="K12" i="75"/>
  <c r="G12" i="75"/>
  <c r="C12" i="75"/>
  <c r="J12" i="75"/>
  <c r="F12" i="75"/>
  <c r="B12" i="75"/>
  <c r="A13" i="75"/>
  <c r="I12" i="75"/>
  <c r="E12" i="75"/>
  <c r="L12" i="75"/>
  <c r="H12" i="75"/>
  <c r="D12" i="75"/>
  <c r="U63" i="75"/>
  <c r="V26" i="75"/>
  <c r="W26" i="75"/>
  <c r="X44" i="75"/>
  <c r="W64" i="75"/>
  <c r="Y64" i="75" s="1"/>
  <c r="AI14" i="75" s="1"/>
  <c r="AI19" i="75" s="1"/>
  <c r="AI8" i="75"/>
  <c r="AI32" i="75" s="1"/>
  <c r="AH19" i="75"/>
  <c r="AU57" i="75"/>
  <c r="Y34" i="75"/>
  <c r="AF8" i="75"/>
  <c r="AF32" i="75" s="1"/>
  <c r="X57" i="75"/>
  <c r="AH39" i="75" s="1"/>
  <c r="X56" i="75"/>
  <c r="AH38" i="75" s="1"/>
  <c r="AH54" i="75" s="1"/>
  <c r="A64" i="75"/>
  <c r="K63" i="75"/>
  <c r="AI9" i="75" s="1"/>
  <c r="AI33" i="75" s="1"/>
  <c r="G63" i="75"/>
  <c r="C63" i="75"/>
  <c r="J63" i="75"/>
  <c r="F63" i="75"/>
  <c r="B63" i="75"/>
  <c r="I63" i="75"/>
  <c r="E63" i="75"/>
  <c r="D63" i="75"/>
  <c r="H63" i="75"/>
  <c r="H34" i="75"/>
  <c r="D34" i="75"/>
  <c r="K34" i="75"/>
  <c r="F34" i="75"/>
  <c r="J34" i="75"/>
  <c r="AT54" i="75" s="1"/>
  <c r="E34" i="75"/>
  <c r="B34" i="75"/>
  <c r="I34" i="75"/>
  <c r="AS54" i="75" s="1"/>
  <c r="C34" i="75"/>
  <c r="A35" i="75"/>
  <c r="G34" i="75"/>
  <c r="V55" i="75"/>
  <c r="W55" i="75" s="1"/>
  <c r="Y19" i="75"/>
  <c r="AE14" i="75" s="1"/>
  <c r="AE19" i="75" s="1"/>
  <c r="X19" i="75"/>
  <c r="AE38" i="75" s="1"/>
  <c r="AE54" i="75" s="1"/>
  <c r="AH33" i="75"/>
  <c r="AG14" i="74"/>
  <c r="AG15" i="74"/>
  <c r="AG8" i="74"/>
  <c r="AG9" i="74"/>
  <c r="AG7" i="74"/>
  <c r="F45" i="75" l="1"/>
  <c r="AE9" i="75"/>
  <c r="AE33" i="75" s="1"/>
  <c r="B27" i="75"/>
  <c r="K45" i="75"/>
  <c r="W45" i="75" s="1"/>
  <c r="Y45" i="75" s="1"/>
  <c r="AG15" i="75" s="1"/>
  <c r="AG20" i="75" s="1"/>
  <c r="G27" i="75"/>
  <c r="E45" i="75"/>
  <c r="F27" i="75"/>
  <c r="G45" i="75"/>
  <c r="I45" i="75"/>
  <c r="A46" i="75"/>
  <c r="J27" i="75"/>
  <c r="D27" i="75"/>
  <c r="I27" i="75"/>
  <c r="W18" i="75"/>
  <c r="AG32" i="75"/>
  <c r="AH32" i="75"/>
  <c r="AY54" i="75"/>
  <c r="AW37" i="75"/>
  <c r="C45" i="75"/>
  <c r="J45" i="75"/>
  <c r="K27" i="75"/>
  <c r="AF10" i="75" s="1"/>
  <c r="E27" i="75"/>
  <c r="D45" i="75"/>
  <c r="C27" i="75"/>
  <c r="I20" i="75"/>
  <c r="D20" i="75"/>
  <c r="J20" i="75"/>
  <c r="G20" i="75"/>
  <c r="H20" i="75"/>
  <c r="E20" i="75"/>
  <c r="K20" i="75"/>
  <c r="F20" i="75"/>
  <c r="L20" i="75"/>
  <c r="B20" i="75"/>
  <c r="C20" i="75"/>
  <c r="AD32" i="75"/>
  <c r="Y55" i="75"/>
  <c r="AH13" i="75" s="1"/>
  <c r="X55" i="75"/>
  <c r="AH37" i="75" s="1"/>
  <c r="H35" i="75"/>
  <c r="D35" i="75"/>
  <c r="K35" i="75"/>
  <c r="G35" i="75"/>
  <c r="C35" i="75"/>
  <c r="F35" i="75"/>
  <c r="I35" i="75"/>
  <c r="A36" i="75"/>
  <c r="E35" i="75"/>
  <c r="J35" i="75"/>
  <c r="B35" i="75"/>
  <c r="I64" i="75"/>
  <c r="E64" i="75"/>
  <c r="H64" i="75"/>
  <c r="D64" i="75"/>
  <c r="K64" i="75"/>
  <c r="G64" i="75"/>
  <c r="C64" i="75"/>
  <c r="B64" i="75"/>
  <c r="J64" i="75"/>
  <c r="F64" i="75"/>
  <c r="AH20" i="75"/>
  <c r="AD9" i="75"/>
  <c r="AD33" i="75" s="1"/>
  <c r="W11" i="75"/>
  <c r="AS37" i="75"/>
  <c r="AU54" i="75"/>
  <c r="Y26" i="75"/>
  <c r="X26" i="75"/>
  <c r="AF37" i="75" s="1"/>
  <c r="K13" i="75"/>
  <c r="G13" i="75"/>
  <c r="C13" i="75"/>
  <c r="J13" i="75"/>
  <c r="F13" i="75"/>
  <c r="B13" i="75"/>
  <c r="I13" i="75"/>
  <c r="E13" i="75"/>
  <c r="H13" i="75"/>
  <c r="L13" i="75"/>
  <c r="D13" i="75"/>
  <c r="X64" i="75"/>
  <c r="AI38" i="75" s="1"/>
  <c r="A47" i="75"/>
  <c r="I46" i="75"/>
  <c r="E46" i="75"/>
  <c r="H46" i="75"/>
  <c r="D46" i="75"/>
  <c r="K46" i="75"/>
  <c r="G46" i="75"/>
  <c r="C46" i="75"/>
  <c r="J46" i="75"/>
  <c r="F46" i="75"/>
  <c r="B46" i="75"/>
  <c r="V63" i="75"/>
  <c r="W63" i="75" s="1"/>
  <c r="BD57" i="75"/>
  <c r="BC57" i="75"/>
  <c r="F279" i="49"/>
  <c r="F280" i="49"/>
  <c r="F281" i="49"/>
  <c r="F282" i="49"/>
  <c r="F283" i="49"/>
  <c r="F284" i="49"/>
  <c r="F285" i="49"/>
  <c r="F286" i="49"/>
  <c r="F287" i="49"/>
  <c r="F288" i="49"/>
  <c r="F289" i="49"/>
  <c r="F290" i="49"/>
  <c r="F278" i="49"/>
  <c r="AU292" i="49"/>
  <c r="AR292" i="49"/>
  <c r="AN292" i="49"/>
  <c r="AO292" i="49" s="1"/>
  <c r="AK292" i="49"/>
  <c r="AJ292" i="49"/>
  <c r="AF292" i="49"/>
  <c r="AG292" i="49" s="1"/>
  <c r="AB292" i="49"/>
  <c r="AC292" i="49" s="1"/>
  <c r="X292" i="49"/>
  <c r="Y292" i="49" s="1"/>
  <c r="S292" i="49"/>
  <c r="AU290" i="49"/>
  <c r="AR290" i="49"/>
  <c r="AN290" i="49"/>
  <c r="AO290" i="49" s="1"/>
  <c r="AJ290" i="49"/>
  <c r="AK290" i="49" s="1"/>
  <c r="AF290" i="49"/>
  <c r="AG290" i="49" s="1"/>
  <c r="AB290" i="49"/>
  <c r="AC290" i="49" s="1"/>
  <c r="X290" i="49"/>
  <c r="Y290" i="49" s="1"/>
  <c r="S290" i="49"/>
  <c r="AU289" i="49"/>
  <c r="AR289" i="49"/>
  <c r="AN289" i="49"/>
  <c r="AO289" i="49" s="1"/>
  <c r="AJ289" i="49"/>
  <c r="AK289" i="49" s="1"/>
  <c r="AF289" i="49"/>
  <c r="AG289" i="49" s="1"/>
  <c r="AB289" i="49"/>
  <c r="AC289" i="49" s="1"/>
  <c r="X289" i="49"/>
  <c r="Y289" i="49" s="1"/>
  <c r="S289" i="49"/>
  <c r="AU288" i="49"/>
  <c r="AR288" i="49"/>
  <c r="AN288" i="49"/>
  <c r="AO288" i="49" s="1"/>
  <c r="AJ288" i="49"/>
  <c r="AK288" i="49" s="1"/>
  <c r="AF288" i="49"/>
  <c r="AG288" i="49" s="1"/>
  <c r="AB288" i="49"/>
  <c r="AC288" i="49" s="1"/>
  <c r="X288" i="49"/>
  <c r="Y288" i="49" s="1"/>
  <c r="AT287" i="49"/>
  <c r="AS287" i="49"/>
  <c r="AM287" i="49"/>
  <c r="AL287" i="49"/>
  <c r="AI287" i="49"/>
  <c r="AH287" i="49"/>
  <c r="AE287" i="49"/>
  <c r="AD287" i="49"/>
  <c r="AA287" i="49"/>
  <c r="Z287" i="49"/>
  <c r="W287" i="49"/>
  <c r="V287" i="49"/>
  <c r="U287" i="49"/>
  <c r="T287" i="49"/>
  <c r="R287" i="49"/>
  <c r="S288" i="49" s="1"/>
  <c r="M287" i="49"/>
  <c r="L287" i="49"/>
  <c r="K287" i="49"/>
  <c r="J287" i="49"/>
  <c r="AU286" i="49"/>
  <c r="AR286" i="49"/>
  <c r="AR285" i="49" s="1"/>
  <c r="AR287" i="49" s="1"/>
  <c r="AN286" i="49"/>
  <c r="AO286" i="49" s="1"/>
  <c r="AJ286" i="49"/>
  <c r="AK286" i="49" s="1"/>
  <c r="AF286" i="49"/>
  <c r="AG286" i="49" s="1"/>
  <c r="AB286" i="49"/>
  <c r="AC286" i="49" s="1"/>
  <c r="X286" i="49"/>
  <c r="Y286" i="49" s="1"/>
  <c r="S286" i="49"/>
  <c r="S287" i="49" s="1"/>
  <c r="AU285" i="49"/>
  <c r="AU287" i="49" s="1"/>
  <c r="AT284" i="49"/>
  <c r="AS284" i="49"/>
  <c r="AM284" i="49"/>
  <c r="AL284" i="49"/>
  <c r="AI284" i="49"/>
  <c r="AH284" i="49"/>
  <c r="AE284" i="49"/>
  <c r="AD284" i="49"/>
  <c r="AA284" i="49"/>
  <c r="Z284" i="49"/>
  <c r="W284" i="49"/>
  <c r="V284" i="49"/>
  <c r="U284" i="49"/>
  <c r="T284" i="49"/>
  <c r="R284" i="49"/>
  <c r="S285" i="49" s="1"/>
  <c r="M284" i="49"/>
  <c r="L284" i="49"/>
  <c r="K284" i="49"/>
  <c r="J284" i="49"/>
  <c r="AU283" i="49"/>
  <c r="AR283" i="49"/>
  <c r="AN283" i="49"/>
  <c r="AO283" i="49" s="1"/>
  <c r="AJ283" i="49"/>
  <c r="AK283" i="49" s="1"/>
  <c r="AF283" i="49"/>
  <c r="AG283" i="49" s="1"/>
  <c r="AB283" i="49"/>
  <c r="AC283" i="49" s="1"/>
  <c r="X283" i="49"/>
  <c r="Y283" i="49" s="1"/>
  <c r="S283" i="49"/>
  <c r="S284" i="49" s="1"/>
  <c r="AU282" i="49"/>
  <c r="AR282" i="49"/>
  <c r="AN282" i="49"/>
  <c r="AO282" i="49" s="1"/>
  <c r="AJ282" i="49"/>
  <c r="AK282" i="49" s="1"/>
  <c r="AF282" i="49"/>
  <c r="AF284" i="49" s="1"/>
  <c r="AB282" i="49"/>
  <c r="X282" i="49"/>
  <c r="Y282" i="49" s="1"/>
  <c r="S282" i="49"/>
  <c r="AU281" i="49"/>
  <c r="AR281" i="49"/>
  <c r="AN281" i="49"/>
  <c r="AO281" i="49" s="1"/>
  <c r="AJ281" i="49"/>
  <c r="AK281" i="49" s="1"/>
  <c r="AF281" i="49"/>
  <c r="AG281" i="49" s="1"/>
  <c r="AB281" i="49"/>
  <c r="AC281" i="49" s="1"/>
  <c r="X281" i="49"/>
  <c r="Y281" i="49" s="1"/>
  <c r="AT280" i="49"/>
  <c r="AS280" i="49"/>
  <c r="AM280" i="49"/>
  <c r="AL280" i="49"/>
  <c r="AI280" i="49"/>
  <c r="AH280" i="49"/>
  <c r="AE280" i="49"/>
  <c r="AD280" i="49"/>
  <c r="AA280" i="49"/>
  <c r="Z280" i="49"/>
  <c r="W280" i="49"/>
  <c r="V280" i="49"/>
  <c r="U280" i="49"/>
  <c r="T280" i="49"/>
  <c r="R280" i="49"/>
  <c r="S281" i="49" s="1"/>
  <c r="M280" i="49"/>
  <c r="L280" i="49"/>
  <c r="K280" i="49"/>
  <c r="J280" i="49"/>
  <c r="AU279" i="49"/>
  <c r="AR279" i="49"/>
  <c r="AO279" i="49"/>
  <c r="AN279" i="49"/>
  <c r="AJ279" i="49"/>
  <c r="AK279" i="49" s="1"/>
  <c r="AF279" i="49"/>
  <c r="AG279" i="49" s="1"/>
  <c r="AB279" i="49"/>
  <c r="AC279" i="49" s="1"/>
  <c r="X279" i="49"/>
  <c r="Y279" i="49" s="1"/>
  <c r="S279" i="49"/>
  <c r="S280" i="49" s="1"/>
  <c r="A279" i="49"/>
  <c r="A280" i="49" s="1"/>
  <c r="A281" i="49" s="1"/>
  <c r="A282" i="49" s="1"/>
  <c r="A283" i="49" s="1"/>
  <c r="A284" i="49" s="1"/>
  <c r="A285" i="49" s="1"/>
  <c r="A286" i="49" s="1"/>
  <c r="A287" i="49" s="1"/>
  <c r="AU278" i="49"/>
  <c r="AR278" i="49"/>
  <c r="AN278" i="49"/>
  <c r="AJ278" i="49"/>
  <c r="AF278" i="49"/>
  <c r="AB278" i="49"/>
  <c r="X278" i="49"/>
  <c r="S278" i="49"/>
  <c r="X45" i="75" l="1"/>
  <c r="W28" i="75"/>
  <c r="AE10" i="75"/>
  <c r="W20" i="75"/>
  <c r="X18" i="75"/>
  <c r="AE37" i="75" s="1"/>
  <c r="Y18" i="75"/>
  <c r="AE13" i="75" s="1"/>
  <c r="Y63" i="75"/>
  <c r="AI13" i="75" s="1"/>
  <c r="X63" i="75"/>
  <c r="AI37" i="75" s="1"/>
  <c r="Y11" i="75"/>
  <c r="AD13" i="75" s="1"/>
  <c r="X11" i="75"/>
  <c r="AD37" i="75" s="1"/>
  <c r="AG10" i="75"/>
  <c r="W35" i="75"/>
  <c r="W65" i="75"/>
  <c r="AI10" i="75"/>
  <c r="K36" i="75"/>
  <c r="G36" i="75"/>
  <c r="C36" i="75"/>
  <c r="J36" i="75"/>
  <c r="F36" i="75"/>
  <c r="B36" i="75"/>
  <c r="D36" i="75"/>
  <c r="A37" i="75"/>
  <c r="I36" i="75"/>
  <c r="H36" i="75"/>
  <c r="E36" i="75"/>
  <c r="Y28" i="75"/>
  <c r="X28" i="75"/>
  <c r="AF39" i="75" s="1"/>
  <c r="I47" i="75"/>
  <c r="E47" i="75"/>
  <c r="A48" i="75"/>
  <c r="H47" i="75"/>
  <c r="D47" i="75"/>
  <c r="K47" i="75"/>
  <c r="G47" i="75"/>
  <c r="C47" i="75"/>
  <c r="B47" i="75"/>
  <c r="J47" i="75"/>
  <c r="F47" i="75"/>
  <c r="W13" i="75"/>
  <c r="AD10" i="75"/>
  <c r="AD34" i="75" s="1"/>
  <c r="BD54" i="75"/>
  <c r="BC54" i="75"/>
  <c r="AU284" i="49"/>
  <c r="AR284" i="49"/>
  <c r="AB284" i="49"/>
  <c r="AC284" i="49" s="1"/>
  <c r="AN284" i="49"/>
  <c r="AJ284" i="49"/>
  <c r="AK284" i="49" s="1"/>
  <c r="AG282" i="49"/>
  <c r="AC282" i="49"/>
  <c r="X284" i="49"/>
  <c r="Y284" i="49" s="1"/>
  <c r="AO284" i="49"/>
  <c r="AG284" i="49"/>
  <c r="AU280" i="49"/>
  <c r="AR280" i="49"/>
  <c r="AN280" i="49"/>
  <c r="AO280" i="49" s="1"/>
  <c r="AJ280" i="49"/>
  <c r="AK280" i="49" s="1"/>
  <c r="AF280" i="49"/>
  <c r="AG280" i="49" s="1"/>
  <c r="AB280" i="49"/>
  <c r="AC280" i="49" s="1"/>
  <c r="X280" i="49"/>
  <c r="Y280" i="49" s="1"/>
  <c r="Y278" i="49"/>
  <c r="AG278" i="49"/>
  <c r="AO278" i="49"/>
  <c r="AB285" i="49"/>
  <c r="AJ285" i="49"/>
  <c r="AC278" i="49"/>
  <c r="AK278" i="49"/>
  <c r="X285" i="49"/>
  <c r="AF285" i="49"/>
  <c r="AN285" i="49"/>
  <c r="Y20" i="75" l="1"/>
  <c r="AE15" i="75" s="1"/>
  <c r="AE20" i="75" s="1"/>
  <c r="X20" i="75"/>
  <c r="AE39" i="75" s="1"/>
  <c r="AI34" i="75"/>
  <c r="AX58" i="75"/>
  <c r="AX55" i="75"/>
  <c r="AW58" i="75"/>
  <c r="AW55" i="75"/>
  <c r="Y35" i="75"/>
  <c r="X35" i="75"/>
  <c r="AG39" i="75" s="1"/>
  <c r="AG34" i="75"/>
  <c r="AH34" i="75"/>
  <c r="AE34" i="75"/>
  <c r="Y65" i="75"/>
  <c r="AI15" i="75" s="1"/>
  <c r="AI20" i="75" s="1"/>
  <c r="X65" i="75"/>
  <c r="AI39" i="75" s="1"/>
  <c r="Y13" i="75"/>
  <c r="AD15" i="75" s="1"/>
  <c r="AD20" i="75" s="1"/>
  <c r="X13" i="75"/>
  <c r="AD39" i="75" s="1"/>
  <c r="AD55" i="75" s="1"/>
  <c r="J48" i="75"/>
  <c r="F48" i="75"/>
  <c r="B48" i="75"/>
  <c r="I48" i="75"/>
  <c r="E48" i="75"/>
  <c r="A49" i="75"/>
  <c r="H48" i="75"/>
  <c r="D48" i="75"/>
  <c r="G48" i="75"/>
  <c r="C48" i="75"/>
  <c r="K48" i="75"/>
  <c r="H37" i="75"/>
  <c r="D37" i="75"/>
  <c r="K37" i="75"/>
  <c r="G37" i="75"/>
  <c r="C37" i="75"/>
  <c r="A38" i="75"/>
  <c r="J37" i="75"/>
  <c r="AT55" i="75" s="1"/>
  <c r="F37" i="75"/>
  <c r="B37" i="75"/>
  <c r="I37" i="75"/>
  <c r="AS55" i="75" s="1"/>
  <c r="E37" i="75"/>
  <c r="AF34" i="75"/>
  <c r="X287" i="49"/>
  <c r="Y287" i="49" s="1"/>
  <c r="Y285" i="49"/>
  <c r="AN287" i="49"/>
  <c r="AO287" i="49" s="1"/>
  <c r="AO285" i="49"/>
  <c r="AB287" i="49"/>
  <c r="AC287" i="49" s="1"/>
  <c r="AC285" i="49"/>
  <c r="AF287" i="49"/>
  <c r="AG287" i="49" s="1"/>
  <c r="AG285" i="49"/>
  <c r="AJ287" i="49"/>
  <c r="AK287" i="49" s="1"/>
  <c r="AK285" i="49"/>
  <c r="AY58" i="75" l="1"/>
  <c r="AU55" i="75"/>
  <c r="K38" i="75"/>
  <c r="G38" i="75"/>
  <c r="C38" i="75"/>
  <c r="A39" i="75"/>
  <c r="J38" i="75"/>
  <c r="AT58" i="75" s="1"/>
  <c r="F38" i="75"/>
  <c r="B38" i="75"/>
  <c r="I38" i="75"/>
  <c r="AS58" i="75" s="1"/>
  <c r="E38" i="75"/>
  <c r="D38" i="75"/>
  <c r="H38" i="75"/>
  <c r="AG55" i="75"/>
  <c r="AH55" i="75"/>
  <c r="AE55" i="75"/>
  <c r="K49" i="75"/>
  <c r="W43" i="75" s="1"/>
  <c r="G49" i="75"/>
  <c r="C49" i="75"/>
  <c r="J49" i="75"/>
  <c r="AX56" i="75" s="1"/>
  <c r="F49" i="75"/>
  <c r="B49" i="75"/>
  <c r="I49" i="75"/>
  <c r="AW56" i="75" s="1"/>
  <c r="E49" i="75"/>
  <c r="H49" i="75"/>
  <c r="D49" i="75"/>
  <c r="AY55" i="75"/>
  <c r="O55" i="74"/>
  <c r="O63" i="74" s="1"/>
  <c r="O43" i="74"/>
  <c r="O35" i="74"/>
  <c r="O33" i="74"/>
  <c r="O18" i="74"/>
  <c r="AY56" i="75" l="1"/>
  <c r="AU58" i="75"/>
  <c r="BD58" i="75" s="1"/>
  <c r="Y43" i="75"/>
  <c r="AG13" i="75" s="1"/>
  <c r="X43" i="75"/>
  <c r="J39" i="75"/>
  <c r="AT56" i="75" s="1"/>
  <c r="F39" i="75"/>
  <c r="B39" i="75"/>
  <c r="I39" i="75"/>
  <c r="AS56" i="75" s="1"/>
  <c r="E39" i="75"/>
  <c r="H39" i="75"/>
  <c r="D39" i="75"/>
  <c r="C39" i="75"/>
  <c r="K39" i="75"/>
  <c r="W33" i="75" s="1"/>
  <c r="G39" i="75"/>
  <c r="BC55" i="75"/>
  <c r="BD55" i="75"/>
  <c r="F269" i="49"/>
  <c r="F270" i="49"/>
  <c r="F271" i="49"/>
  <c r="F272" i="49"/>
  <c r="F273" i="49"/>
  <c r="F274" i="49"/>
  <c r="F275" i="49"/>
  <c r="F276" i="49"/>
  <c r="F255" i="49"/>
  <c r="F256" i="49"/>
  <c r="F257" i="49"/>
  <c r="F258" i="49"/>
  <c r="F259" i="49"/>
  <c r="F260" i="49"/>
  <c r="F261" i="49"/>
  <c r="F262" i="49"/>
  <c r="F263" i="49"/>
  <c r="F264" i="49"/>
  <c r="F265" i="49"/>
  <c r="F266" i="49"/>
  <c r="F267" i="49"/>
  <c r="F268" i="49"/>
  <c r="F254" i="49"/>
  <c r="F241" i="49"/>
  <c r="F246" i="49"/>
  <c r="AU276" i="49"/>
  <c r="AR276" i="49"/>
  <c r="AN276" i="49"/>
  <c r="AO276" i="49" s="1"/>
  <c r="AJ276" i="49"/>
  <c r="AK276" i="49" s="1"/>
  <c r="AF276" i="49"/>
  <c r="AG276" i="49" s="1"/>
  <c r="AB276" i="49"/>
  <c r="AC276" i="49" s="1"/>
  <c r="X276" i="49"/>
  <c r="Y276" i="49" s="1"/>
  <c r="S276" i="49"/>
  <c r="AU275" i="49"/>
  <c r="AR275" i="49"/>
  <c r="AN275" i="49"/>
  <c r="AO275" i="49" s="1"/>
  <c r="AJ275" i="49"/>
  <c r="AK275" i="49" s="1"/>
  <c r="AF275" i="49"/>
  <c r="AG275" i="49" s="1"/>
  <c r="AB275" i="49"/>
  <c r="AC275" i="49" s="1"/>
  <c r="X275" i="49"/>
  <c r="Y275" i="49" s="1"/>
  <c r="AT274" i="49"/>
  <c r="AS274" i="49"/>
  <c r="AM274" i="49"/>
  <c r="AL274" i="49"/>
  <c r="AI274" i="49"/>
  <c r="AH274" i="49"/>
  <c r="AE274" i="49"/>
  <c r="AD274" i="49"/>
  <c r="AA274" i="49"/>
  <c r="Z274" i="49"/>
  <c r="W274" i="49"/>
  <c r="V274" i="49"/>
  <c r="U274" i="49"/>
  <c r="T274" i="49"/>
  <c r="R274" i="49"/>
  <c r="S275" i="49" s="1"/>
  <c r="M274" i="49"/>
  <c r="L274" i="49"/>
  <c r="K274" i="49"/>
  <c r="J274" i="49"/>
  <c r="AU273" i="49"/>
  <c r="AR273" i="49"/>
  <c r="AN273" i="49"/>
  <c r="AO273" i="49" s="1"/>
  <c r="AJ273" i="49"/>
  <c r="AK273" i="49" s="1"/>
  <c r="AF273" i="49"/>
  <c r="AG273" i="49" s="1"/>
  <c r="AB273" i="49"/>
  <c r="AC273" i="49" s="1"/>
  <c r="X273" i="49"/>
  <c r="Y273" i="49" s="1"/>
  <c r="S273" i="49"/>
  <c r="S274" i="49" s="1"/>
  <c r="AU272" i="49"/>
  <c r="AR272" i="49"/>
  <c r="AN272" i="49"/>
  <c r="AO272" i="49" s="1"/>
  <c r="AJ272" i="49"/>
  <c r="AK272" i="49" s="1"/>
  <c r="AF272" i="49"/>
  <c r="AG272" i="49" s="1"/>
  <c r="AB272" i="49"/>
  <c r="AC272" i="49" s="1"/>
  <c r="X272" i="49"/>
  <c r="Y272" i="49" s="1"/>
  <c r="S272" i="49"/>
  <c r="AU271" i="49"/>
  <c r="AR271" i="49"/>
  <c r="AN271" i="49"/>
  <c r="AO271" i="49" s="1"/>
  <c r="AJ271" i="49"/>
  <c r="AK271" i="49" s="1"/>
  <c r="AF271" i="49"/>
  <c r="AG271" i="49" s="1"/>
  <c r="AB271" i="49"/>
  <c r="AC271" i="49" s="1"/>
  <c r="X271" i="49"/>
  <c r="Y271" i="49" s="1"/>
  <c r="AT270" i="49"/>
  <c r="AS270" i="49"/>
  <c r="AM270" i="49"/>
  <c r="AL270" i="49"/>
  <c r="AI270" i="49"/>
  <c r="AH270" i="49"/>
  <c r="AE270" i="49"/>
  <c r="AD270" i="49"/>
  <c r="AA270" i="49"/>
  <c r="Z270" i="49"/>
  <c r="W270" i="49"/>
  <c r="V270" i="49"/>
  <c r="U270" i="49"/>
  <c r="T270" i="49"/>
  <c r="R270" i="49"/>
  <c r="S271" i="49" s="1"/>
  <c r="M270" i="49"/>
  <c r="L270" i="49"/>
  <c r="K270" i="49"/>
  <c r="J270" i="49"/>
  <c r="AU269" i="49"/>
  <c r="AR269" i="49"/>
  <c r="AN269" i="49"/>
  <c r="AO269" i="49" s="1"/>
  <c r="AJ269" i="49"/>
  <c r="AK269" i="49" s="1"/>
  <c r="AF269" i="49"/>
  <c r="AG269" i="49" s="1"/>
  <c r="AB269" i="49"/>
  <c r="AC269" i="49" s="1"/>
  <c r="X269" i="49"/>
  <c r="Y269" i="49" s="1"/>
  <c r="S269" i="49"/>
  <c r="S270" i="49" s="1"/>
  <c r="AU268" i="49"/>
  <c r="AR268" i="49"/>
  <c r="AR270" i="49" s="1"/>
  <c r="AN268" i="49"/>
  <c r="AO268" i="49" s="1"/>
  <c r="AJ268" i="49"/>
  <c r="AK268" i="49" s="1"/>
  <c r="AF268" i="49"/>
  <c r="AG268" i="49" s="1"/>
  <c r="AB268" i="49"/>
  <c r="AC268" i="49" s="1"/>
  <c r="X268" i="49"/>
  <c r="Y268" i="49" s="1"/>
  <c r="AT267" i="49"/>
  <c r="AS267" i="49"/>
  <c r="AM267" i="49"/>
  <c r="AL267" i="49"/>
  <c r="AI267" i="49"/>
  <c r="AH267" i="49"/>
  <c r="AE267" i="49"/>
  <c r="AD267" i="49"/>
  <c r="AA267" i="49"/>
  <c r="Z267" i="49"/>
  <c r="W267" i="49"/>
  <c r="V267" i="49"/>
  <c r="U267" i="49"/>
  <c r="T267" i="49"/>
  <c r="R267" i="49"/>
  <c r="S268" i="49" s="1"/>
  <c r="M267" i="49"/>
  <c r="L267" i="49"/>
  <c r="K267" i="49"/>
  <c r="J267" i="49"/>
  <c r="AU266" i="49"/>
  <c r="AU265" i="49" s="1"/>
  <c r="AU267" i="49" s="1"/>
  <c r="AR266" i="49"/>
  <c r="AR265" i="49" s="1"/>
  <c r="AR267" i="49" s="1"/>
  <c r="AN266" i="49"/>
  <c r="AN265" i="49" s="1"/>
  <c r="AO265" i="49" s="1"/>
  <c r="AJ266" i="49"/>
  <c r="AK266" i="49" s="1"/>
  <c r="AF266" i="49"/>
  <c r="AG266" i="49" s="1"/>
  <c r="AB266" i="49"/>
  <c r="AC266" i="49" s="1"/>
  <c r="X266" i="49"/>
  <c r="X265" i="49" s="1"/>
  <c r="Y265" i="49" s="1"/>
  <c r="S266" i="49"/>
  <c r="S267" i="49" s="1"/>
  <c r="S265" i="49"/>
  <c r="AU264" i="49"/>
  <c r="AR264" i="49"/>
  <c r="AN264" i="49"/>
  <c r="AO264" i="49" s="1"/>
  <c r="AJ264" i="49"/>
  <c r="AK264" i="49" s="1"/>
  <c r="AF264" i="49"/>
  <c r="AG264" i="49" s="1"/>
  <c r="AB264" i="49"/>
  <c r="AC264" i="49" s="1"/>
  <c r="X264" i="49"/>
  <c r="Y264" i="49" s="1"/>
  <c r="AT263" i="49"/>
  <c r="AS263" i="49"/>
  <c r="AM263" i="49"/>
  <c r="AL263" i="49"/>
  <c r="AI263" i="49"/>
  <c r="AH263" i="49"/>
  <c r="AE263" i="49"/>
  <c r="AD263" i="49"/>
  <c r="AA263" i="49"/>
  <c r="Z263" i="49"/>
  <c r="W263" i="49"/>
  <c r="V263" i="49"/>
  <c r="U263" i="49"/>
  <c r="T263" i="49"/>
  <c r="R263" i="49"/>
  <c r="S264" i="49" s="1"/>
  <c r="M263" i="49"/>
  <c r="L263" i="49"/>
  <c r="K263" i="49"/>
  <c r="J263" i="49"/>
  <c r="AU262" i="49"/>
  <c r="AU261" i="49" s="1"/>
  <c r="AU263" i="49" s="1"/>
  <c r="AR262" i="49"/>
  <c r="AR261" i="49" s="1"/>
  <c r="AR263" i="49" s="1"/>
  <c r="AN262" i="49"/>
  <c r="AN261" i="49" s="1"/>
  <c r="AO261" i="49" s="1"/>
  <c r="AJ262" i="49"/>
  <c r="AK262" i="49" s="1"/>
  <c r="AF262" i="49"/>
  <c r="AG262" i="49" s="1"/>
  <c r="AB262" i="49"/>
  <c r="AC262" i="49" s="1"/>
  <c r="X262" i="49"/>
  <c r="X261" i="49" s="1"/>
  <c r="Y261" i="49" s="1"/>
  <c r="S262" i="49"/>
  <c r="S263" i="49" s="1"/>
  <c r="AT260" i="49"/>
  <c r="AS260" i="49"/>
  <c r="AM260" i="49"/>
  <c r="AL260" i="49"/>
  <c r="AI260" i="49"/>
  <c r="AH260" i="49"/>
  <c r="AE260" i="49"/>
  <c r="AD260" i="49"/>
  <c r="AA260" i="49"/>
  <c r="Z260" i="49"/>
  <c r="W260" i="49"/>
  <c r="V260" i="49"/>
  <c r="U260" i="49"/>
  <c r="T260" i="49"/>
  <c r="R260" i="49"/>
  <c r="S261" i="49" s="1"/>
  <c r="M260" i="49"/>
  <c r="L260" i="49"/>
  <c r="K260" i="49"/>
  <c r="J260" i="49"/>
  <c r="AU259" i="49"/>
  <c r="AR259" i="49"/>
  <c r="AN259" i="49"/>
  <c r="AO259" i="49" s="1"/>
  <c r="AJ259" i="49"/>
  <c r="AK259" i="49" s="1"/>
  <c r="AF259" i="49"/>
  <c r="AG259" i="49" s="1"/>
  <c r="AB259" i="49"/>
  <c r="AC259" i="49" s="1"/>
  <c r="X259" i="49"/>
  <c r="Y259" i="49" s="1"/>
  <c r="S259" i="49"/>
  <c r="S260" i="49" s="1"/>
  <c r="AU258" i="49"/>
  <c r="AR258" i="49"/>
  <c r="AN258" i="49"/>
  <c r="AO258" i="49" s="1"/>
  <c r="AJ258" i="49"/>
  <c r="AK258" i="49" s="1"/>
  <c r="AF258" i="49"/>
  <c r="AG258" i="49" s="1"/>
  <c r="AB258" i="49"/>
  <c r="AC258" i="49" s="1"/>
  <c r="X258" i="49"/>
  <c r="Y258" i="49" s="1"/>
  <c r="S258" i="49"/>
  <c r="AU257" i="49"/>
  <c r="AR257" i="49"/>
  <c r="AN257" i="49"/>
  <c r="AO257" i="49" s="1"/>
  <c r="AJ257" i="49"/>
  <c r="AK257" i="49" s="1"/>
  <c r="AF257" i="49"/>
  <c r="AG257" i="49" s="1"/>
  <c r="AB257" i="49"/>
  <c r="AC257" i="49" s="1"/>
  <c r="X257" i="49"/>
  <c r="Y257" i="49" s="1"/>
  <c r="AT256" i="49"/>
  <c r="AS256" i="49"/>
  <c r="AM256" i="49"/>
  <c r="AL256" i="49"/>
  <c r="AI256" i="49"/>
  <c r="AH256" i="49"/>
  <c r="AE256" i="49"/>
  <c r="AD256" i="49"/>
  <c r="AA256" i="49"/>
  <c r="Z256" i="49"/>
  <c r="W256" i="49"/>
  <c r="V256" i="49"/>
  <c r="U256" i="49"/>
  <c r="T256" i="49"/>
  <c r="R256" i="49"/>
  <c r="M256" i="49"/>
  <c r="L256" i="49"/>
  <c r="K256" i="49"/>
  <c r="J256" i="49"/>
  <c r="AU255" i="49"/>
  <c r="AR255" i="49"/>
  <c r="AN255" i="49"/>
  <c r="AO255" i="49" s="1"/>
  <c r="AJ255" i="49"/>
  <c r="AK255" i="49" s="1"/>
  <c r="AF255" i="49"/>
  <c r="AG255" i="49" s="1"/>
  <c r="AB255" i="49"/>
  <c r="AC255" i="49" s="1"/>
  <c r="X255" i="49"/>
  <c r="Y255" i="49" s="1"/>
  <c r="S255" i="49"/>
  <c r="S256" i="49" s="1"/>
  <c r="AU254" i="49"/>
  <c r="AR254" i="49"/>
  <c r="AN254" i="49"/>
  <c r="AO254" i="49" s="1"/>
  <c r="AJ254" i="49"/>
  <c r="AK254" i="49" s="1"/>
  <c r="AF254" i="49"/>
  <c r="AG254" i="49" s="1"/>
  <c r="AB254" i="49"/>
  <c r="AC254" i="49" s="1"/>
  <c r="X254" i="49"/>
  <c r="Y254" i="49" s="1"/>
  <c r="S254" i="49"/>
  <c r="AU241" i="49"/>
  <c r="AR241" i="49"/>
  <c r="AN241" i="49"/>
  <c r="AO241" i="49" s="1"/>
  <c r="AJ241" i="49"/>
  <c r="AK241" i="49" s="1"/>
  <c r="AF241" i="49"/>
  <c r="AG241" i="49" s="1"/>
  <c r="AB241" i="49"/>
  <c r="AC241" i="49" s="1"/>
  <c r="X241" i="49"/>
  <c r="Y241" i="49" s="1"/>
  <c r="S241" i="49"/>
  <c r="BC58" i="75" l="1"/>
  <c r="AU56" i="75"/>
  <c r="AS75" i="75"/>
  <c r="Y33" i="75"/>
  <c r="X33" i="75"/>
  <c r="AG37" i="75" s="1"/>
  <c r="AG18" i="75"/>
  <c r="AE18" i="75"/>
  <c r="AH18" i="75"/>
  <c r="AI18" i="75"/>
  <c r="AD18" i="75"/>
  <c r="AU274" i="49"/>
  <c r="AR274" i="49"/>
  <c r="AU270" i="49"/>
  <c r="AJ261" i="49"/>
  <c r="AK261" i="49" s="1"/>
  <c r="AU260" i="49"/>
  <c r="AR260" i="49"/>
  <c r="AU256" i="49"/>
  <c r="AR256" i="49"/>
  <c r="AN274" i="49"/>
  <c r="AO274" i="49" s="1"/>
  <c r="AJ274" i="49"/>
  <c r="AK274" i="49" s="1"/>
  <c r="AF274" i="49"/>
  <c r="AG274" i="49" s="1"/>
  <c r="AB274" i="49"/>
  <c r="AC274" i="49" s="1"/>
  <c r="X274" i="49"/>
  <c r="Y274" i="49" s="1"/>
  <c r="AN270" i="49"/>
  <c r="AO270" i="49" s="1"/>
  <c r="AJ270" i="49"/>
  <c r="AK270" i="49" s="1"/>
  <c r="AF270" i="49"/>
  <c r="AG270" i="49" s="1"/>
  <c r="AB270" i="49"/>
  <c r="AC270" i="49" s="1"/>
  <c r="X270" i="49"/>
  <c r="Y270" i="49" s="1"/>
  <c r="AJ265" i="49"/>
  <c r="AK265" i="49" s="1"/>
  <c r="AB265" i="49"/>
  <c r="AC265" i="49" s="1"/>
  <c r="AN267" i="49"/>
  <c r="AO267" i="49" s="1"/>
  <c r="X267" i="49"/>
  <c r="Y267" i="49" s="1"/>
  <c r="AB261" i="49"/>
  <c r="AC261" i="49" s="1"/>
  <c r="AN263" i="49"/>
  <c r="AO263" i="49" s="1"/>
  <c r="X263" i="49"/>
  <c r="Y263" i="49" s="1"/>
  <c r="AN260" i="49"/>
  <c r="AO260" i="49" s="1"/>
  <c r="AJ260" i="49"/>
  <c r="AK260" i="49" s="1"/>
  <c r="AF260" i="49"/>
  <c r="AG260" i="49" s="1"/>
  <c r="AB260" i="49"/>
  <c r="AC260" i="49" s="1"/>
  <c r="X260" i="49"/>
  <c r="Y260" i="49" s="1"/>
  <c r="AN256" i="49"/>
  <c r="AO256" i="49" s="1"/>
  <c r="AJ256" i="49"/>
  <c r="AK256" i="49" s="1"/>
  <c r="AF256" i="49"/>
  <c r="AG256" i="49" s="1"/>
  <c r="AB256" i="49"/>
  <c r="AC256" i="49" s="1"/>
  <c r="X256" i="49"/>
  <c r="Y256" i="49" s="1"/>
  <c r="S257" i="49"/>
  <c r="AF265" i="49"/>
  <c r="Y266" i="49"/>
  <c r="AO266" i="49"/>
  <c r="AF261" i="49"/>
  <c r="Y262" i="49"/>
  <c r="AO262" i="49"/>
  <c r="BD75" i="75" l="1"/>
  <c r="BC75" i="75"/>
  <c r="AG53" i="75"/>
  <c r="AG54" i="75"/>
  <c r="AE53" i="75"/>
  <c r="AH53" i="75"/>
  <c r="AD53" i="75"/>
  <c r="BC56" i="75"/>
  <c r="BD56" i="75"/>
  <c r="AJ263" i="49"/>
  <c r="AK263" i="49" s="1"/>
  <c r="AJ267" i="49"/>
  <c r="AK267" i="49" s="1"/>
  <c r="AB267" i="49"/>
  <c r="AC267" i="49" s="1"/>
  <c r="AG265" i="49"/>
  <c r="AF267" i="49"/>
  <c r="AG267" i="49" s="1"/>
  <c r="AB263" i="49"/>
  <c r="AC263" i="49" s="1"/>
  <c r="AG261" i="49"/>
  <c r="AF263" i="49"/>
  <c r="AG263" i="49" s="1"/>
  <c r="A25" i="74"/>
  <c r="A26" i="74" s="1"/>
  <c r="A27" i="74" s="1"/>
  <c r="O26" i="74"/>
  <c r="L6" i="74"/>
  <c r="E6" i="74"/>
  <c r="E10" i="74"/>
  <c r="E17" i="74"/>
  <c r="E32" i="74"/>
  <c r="E42" i="74"/>
  <c r="E53" i="74"/>
  <c r="E54" i="74"/>
  <c r="E55" i="74"/>
  <c r="E56" i="74"/>
  <c r="E61" i="74"/>
  <c r="E24" i="74"/>
  <c r="E25" i="74"/>
  <c r="A11" i="74"/>
  <c r="A12" i="74" s="1"/>
  <c r="A13" i="74" s="1"/>
  <c r="E13" i="74" s="1"/>
  <c r="E26" i="74" l="1"/>
  <c r="E12" i="74"/>
  <c r="E11" i="74"/>
  <c r="F242" i="49"/>
  <c r="F243" i="49"/>
  <c r="F244" i="49"/>
  <c r="F245" i="49"/>
  <c r="F247" i="49"/>
  <c r="F248" i="49"/>
  <c r="F249" i="49"/>
  <c r="F250" i="49"/>
  <c r="F251" i="49"/>
  <c r="F252" i="49"/>
  <c r="F238" i="49"/>
  <c r="O10" i="74"/>
  <c r="E27" i="74" l="1"/>
  <c r="AT312" i="49"/>
  <c r="AS312" i="49"/>
  <c r="AM312" i="49"/>
  <c r="AL312" i="49"/>
  <c r="AI312" i="49"/>
  <c r="AH312" i="49"/>
  <c r="AE312" i="49"/>
  <c r="AD312" i="49"/>
  <c r="AA312" i="49"/>
  <c r="Z312" i="49"/>
  <c r="W312" i="49"/>
  <c r="V312" i="49"/>
  <c r="U312" i="49"/>
  <c r="T312" i="49"/>
  <c r="R312" i="49"/>
  <c r="M312" i="49"/>
  <c r="L312" i="49"/>
  <c r="K312" i="49"/>
  <c r="J312" i="49"/>
  <c r="F312" i="49"/>
  <c r="S311" i="49"/>
  <c r="S312" i="49" s="1"/>
  <c r="F311" i="49"/>
  <c r="AU310" i="49"/>
  <c r="AU312" i="49" s="1"/>
  <c r="AU311" i="49" s="1"/>
  <c r="AR310" i="49"/>
  <c r="AR312" i="49" s="1"/>
  <c r="AR311" i="49" s="1"/>
  <c r="AN310" i="49"/>
  <c r="AN312" i="49" s="1"/>
  <c r="AJ310" i="49"/>
  <c r="AJ312" i="49" s="1"/>
  <c r="AF310" i="49"/>
  <c r="AF312" i="49" s="1"/>
  <c r="AB310" i="49"/>
  <c r="AB312" i="49" s="1"/>
  <c r="X310" i="49"/>
  <c r="X312" i="49" s="1"/>
  <c r="S310" i="49"/>
  <c r="F310" i="49"/>
  <c r="D309" i="49"/>
  <c r="AK310" i="49" l="1"/>
  <c r="AC310" i="49"/>
  <c r="AC312" i="49"/>
  <c r="AB311" i="49"/>
  <c r="AC311" i="49" s="1"/>
  <c r="AO312" i="49"/>
  <c r="AN311" i="49"/>
  <c r="AO311" i="49" s="1"/>
  <c r="AG312" i="49"/>
  <c r="AF311" i="49"/>
  <c r="AG311" i="49" s="1"/>
  <c r="Y312" i="49"/>
  <c r="X311" i="49"/>
  <c r="Y311" i="49" s="1"/>
  <c r="AK312" i="49"/>
  <c r="AJ311" i="49"/>
  <c r="AK311" i="49" s="1"/>
  <c r="Y310" i="49"/>
  <c r="AG310" i="49"/>
  <c r="AO310" i="49"/>
  <c r="A266" i="49" l="1"/>
  <c r="A267" i="49" s="1"/>
  <c r="A268" i="49" s="1"/>
  <c r="A269" i="49" s="1"/>
  <c r="A270" i="49" s="1"/>
  <c r="A271" i="49" s="1"/>
  <c r="A272" i="49" s="1"/>
  <c r="A273" i="49" s="1"/>
  <c r="A274" i="49" s="1"/>
  <c r="F221" i="49"/>
  <c r="F222" i="49"/>
  <c r="F223" i="49"/>
  <c r="F224" i="49"/>
  <c r="F225" i="49"/>
  <c r="F226" i="49"/>
  <c r="F227" i="49"/>
  <c r="F228" i="49"/>
  <c r="F229" i="49"/>
  <c r="F230" i="49"/>
  <c r="F231" i="49"/>
  <c r="F232" i="49"/>
  <c r="F233" i="49"/>
  <c r="F234" i="49"/>
  <c r="F235" i="49"/>
  <c r="F236" i="49"/>
  <c r="F237" i="49"/>
  <c r="F239" i="49"/>
  <c r="F220" i="49"/>
  <c r="F208" i="49"/>
  <c r="F209" i="49"/>
  <c r="F210" i="49"/>
  <c r="F211" i="49"/>
  <c r="F212" i="49"/>
  <c r="F213" i="49"/>
  <c r="F214" i="49"/>
  <c r="F215" i="49"/>
  <c r="F216" i="49"/>
  <c r="F217" i="49"/>
  <c r="F218" i="49"/>
  <c r="F207" i="49"/>
  <c r="F206" i="49"/>
  <c r="F205" i="49"/>
  <c r="F204" i="49"/>
  <c r="F203" i="49"/>
  <c r="F202" i="49"/>
  <c r="F201" i="49"/>
  <c r="F200" i="49"/>
  <c r="F199" i="49"/>
  <c r="F198" i="49"/>
  <c r="F197" i="49"/>
  <c r="F187" i="49"/>
  <c r="F188" i="49"/>
  <c r="F189" i="49"/>
  <c r="F190" i="49"/>
  <c r="F191" i="49"/>
  <c r="F192" i="49"/>
  <c r="F193" i="49"/>
  <c r="F194" i="49"/>
  <c r="F195" i="49"/>
  <c r="F186" i="49"/>
  <c r="AT252" i="49"/>
  <c r="AS252" i="49"/>
  <c r="AM252" i="49"/>
  <c r="AL252" i="49"/>
  <c r="AI252" i="49"/>
  <c r="AH252" i="49"/>
  <c r="AE252" i="49"/>
  <c r="AD252" i="49"/>
  <c r="AA252" i="49"/>
  <c r="Z252" i="49"/>
  <c r="W252" i="49"/>
  <c r="V252" i="49"/>
  <c r="U252" i="49"/>
  <c r="T252" i="49"/>
  <c r="R252" i="49"/>
  <c r="M252" i="49"/>
  <c r="L252" i="49"/>
  <c r="K252" i="49"/>
  <c r="J252" i="49"/>
  <c r="AU251" i="49"/>
  <c r="AU250" i="49" s="1"/>
  <c r="AU252" i="49" s="1"/>
  <c r="AR251" i="49"/>
  <c r="AR250" i="49" s="1"/>
  <c r="AR252" i="49" s="1"/>
  <c r="AN251" i="49"/>
  <c r="AN250" i="49" s="1"/>
  <c r="AO250" i="49" s="1"/>
  <c r="AJ251" i="49"/>
  <c r="AK251" i="49" s="1"/>
  <c r="AF251" i="49"/>
  <c r="AG251" i="49" s="1"/>
  <c r="AB251" i="49"/>
  <c r="AC251" i="49" s="1"/>
  <c r="X251" i="49"/>
  <c r="X250" i="49" s="1"/>
  <c r="Y250" i="49" s="1"/>
  <c r="S251" i="49"/>
  <c r="S252" i="49" s="1"/>
  <c r="AT249" i="49"/>
  <c r="AS249" i="49"/>
  <c r="AM249" i="49"/>
  <c r="AL249" i="49"/>
  <c r="AI249" i="49"/>
  <c r="AH249" i="49"/>
  <c r="AE249" i="49"/>
  <c r="AD249" i="49"/>
  <c r="AA249" i="49"/>
  <c r="Z249" i="49"/>
  <c r="W249" i="49"/>
  <c r="V249" i="49"/>
  <c r="U249" i="49"/>
  <c r="T249" i="49"/>
  <c r="R249" i="49"/>
  <c r="S250" i="49" s="1"/>
  <c r="M249" i="49"/>
  <c r="L249" i="49"/>
  <c r="K249" i="49"/>
  <c r="J249" i="49"/>
  <c r="AU248" i="49"/>
  <c r="AR248" i="49"/>
  <c r="AN248" i="49"/>
  <c r="AO248" i="49" s="1"/>
  <c r="AJ248" i="49"/>
  <c r="AK248" i="49" s="1"/>
  <c r="AF248" i="49"/>
  <c r="AG248" i="49" s="1"/>
  <c r="AB248" i="49"/>
  <c r="AC248" i="49" s="1"/>
  <c r="X248" i="49"/>
  <c r="Y248" i="49" s="1"/>
  <c r="S248" i="49"/>
  <c r="S249" i="49" s="1"/>
  <c r="AU247" i="49"/>
  <c r="AU249" i="49" s="1"/>
  <c r="AR247" i="49"/>
  <c r="AR249" i="49" s="1"/>
  <c r="AN247" i="49"/>
  <c r="AO247" i="49" s="1"/>
  <c r="AJ247" i="49"/>
  <c r="AK247" i="49" s="1"/>
  <c r="AF247" i="49"/>
  <c r="AG247" i="49" s="1"/>
  <c r="AB247" i="49"/>
  <c r="AC247" i="49" s="1"/>
  <c r="X247" i="49"/>
  <c r="Y247" i="49" s="1"/>
  <c r="S247" i="49"/>
  <c r="AU246" i="49"/>
  <c r="AR246" i="49"/>
  <c r="AN246" i="49"/>
  <c r="AO246" i="49" s="1"/>
  <c r="AJ246" i="49"/>
  <c r="AK246" i="49" s="1"/>
  <c r="AF246" i="49"/>
  <c r="AG246" i="49" s="1"/>
  <c r="AB246" i="49"/>
  <c r="AC246" i="49" s="1"/>
  <c r="X246" i="49"/>
  <c r="Y246" i="49" s="1"/>
  <c r="AT245" i="49"/>
  <c r="AS245" i="49"/>
  <c r="AM245" i="49"/>
  <c r="AL245" i="49"/>
  <c r="AI245" i="49"/>
  <c r="AH245" i="49"/>
  <c r="AE245" i="49"/>
  <c r="AD245" i="49"/>
  <c r="AA245" i="49"/>
  <c r="Z245" i="49"/>
  <c r="W245" i="49"/>
  <c r="V245" i="49"/>
  <c r="U245" i="49"/>
  <c r="T245" i="49"/>
  <c r="R245" i="49"/>
  <c r="S246" i="49" s="1"/>
  <c r="M245" i="49"/>
  <c r="L245" i="49"/>
  <c r="K245" i="49"/>
  <c r="J245" i="49"/>
  <c r="AU244" i="49"/>
  <c r="AR244" i="49"/>
  <c r="AN244" i="49"/>
  <c r="AO244" i="49" s="1"/>
  <c r="AJ244" i="49"/>
  <c r="AK244" i="49" s="1"/>
  <c r="AF244" i="49"/>
  <c r="AG244" i="49" s="1"/>
  <c r="AB244" i="49"/>
  <c r="AC244" i="49" s="1"/>
  <c r="X244" i="49"/>
  <c r="Y244" i="49" s="1"/>
  <c r="S244" i="49"/>
  <c r="S245" i="49" s="1"/>
  <c r="AU243" i="49"/>
  <c r="AU245" i="49" s="1"/>
  <c r="AR243" i="49"/>
  <c r="AR245" i="49" s="1"/>
  <c r="AN243" i="49"/>
  <c r="AO243" i="49" s="1"/>
  <c r="AJ243" i="49"/>
  <c r="AK243" i="49" s="1"/>
  <c r="AF243" i="49"/>
  <c r="AG243" i="49" s="1"/>
  <c r="AB243" i="49"/>
  <c r="AC243" i="49" s="1"/>
  <c r="X243" i="49"/>
  <c r="Y243" i="49" s="1"/>
  <c r="S243" i="49"/>
  <c r="AU242" i="49"/>
  <c r="AR242" i="49"/>
  <c r="AN242" i="49"/>
  <c r="AO242" i="49" s="1"/>
  <c r="AJ242" i="49"/>
  <c r="AK242" i="49" s="1"/>
  <c r="AF242" i="49"/>
  <c r="AG242" i="49" s="1"/>
  <c r="AB242" i="49"/>
  <c r="AC242" i="49" s="1"/>
  <c r="X242" i="49"/>
  <c r="Y242" i="49" s="1"/>
  <c r="S242" i="49"/>
  <c r="X245" i="49" l="1"/>
  <c r="AJ250" i="49"/>
  <c r="AK250" i="49" s="1"/>
  <c r="AB250" i="49"/>
  <c r="AC250" i="49" s="1"/>
  <c r="AN252" i="49"/>
  <c r="AO252" i="49" s="1"/>
  <c r="X252" i="49"/>
  <c r="Y252" i="49" s="1"/>
  <c r="AN249" i="49"/>
  <c r="AO249" i="49" s="1"/>
  <c r="AJ249" i="49"/>
  <c r="AK249" i="49" s="1"/>
  <c r="AF249" i="49"/>
  <c r="AG249" i="49" s="1"/>
  <c r="AB249" i="49"/>
  <c r="AC249" i="49" s="1"/>
  <c r="X249" i="49"/>
  <c r="Y249" i="49" s="1"/>
  <c r="Y245" i="49"/>
  <c r="K10" i="74" s="1"/>
  <c r="AN245" i="49"/>
  <c r="AO245" i="49" s="1"/>
  <c r="L10" i="74" s="1"/>
  <c r="AJ245" i="49"/>
  <c r="AK245" i="49" s="1"/>
  <c r="AF245" i="49"/>
  <c r="AG245" i="49" s="1"/>
  <c r="AB245" i="49"/>
  <c r="AC245" i="49" s="1"/>
  <c r="AF250" i="49"/>
  <c r="Y251" i="49"/>
  <c r="AO251" i="49"/>
  <c r="L13" i="74" s="1"/>
  <c r="AU239" i="49"/>
  <c r="O17" i="74" s="1"/>
  <c r="AR239" i="49"/>
  <c r="AN239" i="49"/>
  <c r="AO239" i="49" s="1"/>
  <c r="AJ239" i="49"/>
  <c r="AK239" i="49" s="1"/>
  <c r="AF239" i="49"/>
  <c r="AG239" i="49" s="1"/>
  <c r="AB239" i="49"/>
  <c r="AC239" i="49" s="1"/>
  <c r="X239" i="49"/>
  <c r="Y239" i="49" s="1"/>
  <c r="S239" i="49"/>
  <c r="L11" i="74" l="1"/>
  <c r="L12" i="74"/>
  <c r="AD7" i="74"/>
  <c r="AJ252" i="49"/>
  <c r="AK252" i="49" s="1"/>
  <c r="AB252" i="49"/>
  <c r="AC252" i="49" s="1"/>
  <c r="AG250" i="49"/>
  <c r="AF252" i="49"/>
  <c r="AG252" i="49" s="1"/>
  <c r="A62" i="74"/>
  <c r="A18" i="74"/>
  <c r="A19" i="74" l="1"/>
  <c r="E18" i="74"/>
  <c r="A63" i="74"/>
  <c r="E62" i="74"/>
  <c r="AU238" i="49"/>
  <c r="AR238" i="49"/>
  <c r="AN238" i="49"/>
  <c r="AO238" i="49" s="1"/>
  <c r="L27" i="74" s="1"/>
  <c r="AJ238" i="49"/>
  <c r="AK238" i="49" s="1"/>
  <c r="AF238" i="49"/>
  <c r="AG238" i="49" s="1"/>
  <c r="AB238" i="49"/>
  <c r="AC238" i="49" s="1"/>
  <c r="X238" i="49"/>
  <c r="Y238" i="49" s="1"/>
  <c r="S238" i="49"/>
  <c r="AU237" i="49"/>
  <c r="AR237" i="49"/>
  <c r="AN237" i="49"/>
  <c r="AO237" i="49" s="1"/>
  <c r="AJ237" i="49"/>
  <c r="AK237" i="49" s="1"/>
  <c r="AF237" i="49"/>
  <c r="AG237" i="49" s="1"/>
  <c r="AB237" i="49"/>
  <c r="AC237" i="49" s="1"/>
  <c r="X237" i="49"/>
  <c r="Y237" i="49" s="1"/>
  <c r="AT236" i="49"/>
  <c r="AS236" i="49"/>
  <c r="AM236" i="49"/>
  <c r="AL236" i="49"/>
  <c r="AI236" i="49"/>
  <c r="AH236" i="49"/>
  <c r="AE236" i="49"/>
  <c r="AD236" i="49"/>
  <c r="AA236" i="49"/>
  <c r="Z236" i="49"/>
  <c r="W236" i="49"/>
  <c r="V236" i="49"/>
  <c r="U236" i="49"/>
  <c r="T236" i="49"/>
  <c r="R236" i="49"/>
  <c r="M236" i="49"/>
  <c r="L236" i="49"/>
  <c r="K236" i="49"/>
  <c r="J236" i="49"/>
  <c r="AU235" i="49"/>
  <c r="AR235" i="49"/>
  <c r="AN235" i="49"/>
  <c r="AO235" i="49" s="1"/>
  <c r="AJ235" i="49"/>
  <c r="AK235" i="49" s="1"/>
  <c r="AF235" i="49"/>
  <c r="AG235" i="49" s="1"/>
  <c r="AB235" i="49"/>
  <c r="AC235" i="49" s="1"/>
  <c r="X235" i="49"/>
  <c r="Y235" i="49" s="1"/>
  <c r="S235" i="49"/>
  <c r="S236" i="49" s="1"/>
  <c r="AU234" i="49"/>
  <c r="AR234" i="49"/>
  <c r="AN234" i="49"/>
  <c r="AO234" i="49" s="1"/>
  <c r="AJ234" i="49"/>
  <c r="AK234" i="49" s="1"/>
  <c r="AF234" i="49"/>
  <c r="AG234" i="49" s="1"/>
  <c r="AB234" i="49"/>
  <c r="AC234" i="49" s="1"/>
  <c r="X234" i="49"/>
  <c r="Y234" i="49" s="1"/>
  <c r="AT233" i="49"/>
  <c r="AS233" i="49"/>
  <c r="AM233" i="49"/>
  <c r="AL233" i="49"/>
  <c r="AI233" i="49"/>
  <c r="AH233" i="49"/>
  <c r="AE233" i="49"/>
  <c r="AD233" i="49"/>
  <c r="AA233" i="49"/>
  <c r="Z233" i="49"/>
  <c r="W233" i="49"/>
  <c r="V233" i="49"/>
  <c r="U233" i="49"/>
  <c r="T233" i="49"/>
  <c r="R233" i="49"/>
  <c r="S234" i="49" s="1"/>
  <c r="M233" i="49"/>
  <c r="L233" i="49"/>
  <c r="K233" i="49"/>
  <c r="J233" i="49"/>
  <c r="AU232" i="49"/>
  <c r="AU231" i="49" s="1"/>
  <c r="AU233" i="49" s="1"/>
  <c r="AR232" i="49"/>
  <c r="AR231" i="49" s="1"/>
  <c r="AR233" i="49" s="1"/>
  <c r="AN232" i="49"/>
  <c r="AO232" i="49" s="1"/>
  <c r="AJ232" i="49"/>
  <c r="AK232" i="49" s="1"/>
  <c r="AF232" i="49"/>
  <c r="AG232" i="49" s="1"/>
  <c r="AB232" i="49"/>
  <c r="AC232" i="49" s="1"/>
  <c r="X232" i="49"/>
  <c r="X231" i="49" s="1"/>
  <c r="Y231" i="49" s="1"/>
  <c r="S232" i="49"/>
  <c r="S233" i="49" s="1"/>
  <c r="S231" i="49"/>
  <c r="AU230" i="49"/>
  <c r="AR230" i="49"/>
  <c r="AN230" i="49"/>
  <c r="AO230" i="49" s="1"/>
  <c r="AJ230" i="49"/>
  <c r="AK230" i="49" s="1"/>
  <c r="AF230" i="49"/>
  <c r="AG230" i="49" s="1"/>
  <c r="AB230" i="49"/>
  <c r="AC230" i="49" s="1"/>
  <c r="X230" i="49"/>
  <c r="Y230" i="49" s="1"/>
  <c r="AT229" i="49"/>
  <c r="AS229" i="49"/>
  <c r="AM229" i="49"/>
  <c r="AL229" i="49"/>
  <c r="AI229" i="49"/>
  <c r="AH229" i="49"/>
  <c r="AE229" i="49"/>
  <c r="AD229" i="49"/>
  <c r="AA229" i="49"/>
  <c r="Z229" i="49"/>
  <c r="W229" i="49"/>
  <c r="V229" i="49"/>
  <c r="U229" i="49"/>
  <c r="T229" i="49"/>
  <c r="R229" i="49"/>
  <c r="M229" i="49"/>
  <c r="L229" i="49"/>
  <c r="K229" i="49"/>
  <c r="J229" i="49"/>
  <c r="AU228" i="49"/>
  <c r="AU227" i="49" s="1"/>
  <c r="AU229" i="49" s="1"/>
  <c r="AR228" i="49"/>
  <c r="AR227" i="49" s="1"/>
  <c r="AR229" i="49" s="1"/>
  <c r="AN228" i="49"/>
  <c r="AO228" i="49" s="1"/>
  <c r="AJ228" i="49"/>
  <c r="AK228" i="49" s="1"/>
  <c r="AF228" i="49"/>
  <c r="AG228" i="49" s="1"/>
  <c r="AB228" i="49"/>
  <c r="AC228" i="49" s="1"/>
  <c r="X228" i="49"/>
  <c r="X227" i="49" s="1"/>
  <c r="Y227" i="49" s="1"/>
  <c r="S228" i="49"/>
  <c r="S229" i="49" s="1"/>
  <c r="AT226" i="49"/>
  <c r="AS226" i="49"/>
  <c r="AM226" i="49"/>
  <c r="AL226" i="49"/>
  <c r="AI226" i="49"/>
  <c r="AH226" i="49"/>
  <c r="AE226" i="49"/>
  <c r="AD226" i="49"/>
  <c r="AA226" i="49"/>
  <c r="Z226" i="49"/>
  <c r="W226" i="49"/>
  <c r="V226" i="49"/>
  <c r="U226" i="49"/>
  <c r="T226" i="49"/>
  <c r="R226" i="49"/>
  <c r="M226" i="49"/>
  <c r="L226" i="49"/>
  <c r="K226" i="49"/>
  <c r="J226" i="49"/>
  <c r="AU225" i="49"/>
  <c r="AR225" i="49"/>
  <c r="AN225" i="49"/>
  <c r="AO225" i="49" s="1"/>
  <c r="AJ225" i="49"/>
  <c r="AK225" i="49" s="1"/>
  <c r="AF225" i="49"/>
  <c r="AG225" i="49" s="1"/>
  <c r="AB225" i="49"/>
  <c r="AC225" i="49" s="1"/>
  <c r="X225" i="49"/>
  <c r="Y225" i="49" s="1"/>
  <c r="S225" i="49"/>
  <c r="S226" i="49" s="1"/>
  <c r="AU224" i="49"/>
  <c r="AU226" i="49" s="1"/>
  <c r="AR224" i="49"/>
  <c r="AN224" i="49"/>
  <c r="AO224" i="49" s="1"/>
  <c r="AJ224" i="49"/>
  <c r="AK224" i="49" s="1"/>
  <c r="AF224" i="49"/>
  <c r="AG224" i="49" s="1"/>
  <c r="AB224" i="49"/>
  <c r="AC224" i="49" s="1"/>
  <c r="X224" i="49"/>
  <c r="Y224" i="49" s="1"/>
  <c r="S224" i="49"/>
  <c r="AU223" i="49"/>
  <c r="AR223" i="49"/>
  <c r="AN223" i="49"/>
  <c r="AO223" i="49" s="1"/>
  <c r="AJ223" i="49"/>
  <c r="AK223" i="49" s="1"/>
  <c r="AF223" i="49"/>
  <c r="AG223" i="49" s="1"/>
  <c r="AB223" i="49"/>
  <c r="AC223" i="49" s="1"/>
  <c r="X223" i="49"/>
  <c r="Y223" i="49" s="1"/>
  <c r="AT222" i="49"/>
  <c r="AS222" i="49"/>
  <c r="AM222" i="49"/>
  <c r="AL222" i="49"/>
  <c r="AI222" i="49"/>
  <c r="AH222" i="49"/>
  <c r="AE222" i="49"/>
  <c r="AD222" i="49"/>
  <c r="AA222" i="49"/>
  <c r="Z222" i="49"/>
  <c r="W222" i="49"/>
  <c r="V222" i="49"/>
  <c r="U222" i="49"/>
  <c r="T222" i="49"/>
  <c r="R222" i="49"/>
  <c r="S223" i="49" s="1"/>
  <c r="M222" i="49"/>
  <c r="L222" i="49"/>
  <c r="K222" i="49"/>
  <c r="J222" i="49"/>
  <c r="AU221" i="49"/>
  <c r="AR221" i="49"/>
  <c r="AN221" i="49"/>
  <c r="AO221" i="49" s="1"/>
  <c r="AJ221" i="49"/>
  <c r="AK221" i="49" s="1"/>
  <c r="AF221" i="49"/>
  <c r="AG221" i="49" s="1"/>
  <c r="AB221" i="49"/>
  <c r="AC221" i="49" s="1"/>
  <c r="X221" i="49"/>
  <c r="Y221" i="49" s="1"/>
  <c r="S221" i="49"/>
  <c r="S222" i="49" s="1"/>
  <c r="AU220" i="49"/>
  <c r="AR220" i="49"/>
  <c r="AR222" i="49" s="1"/>
  <c r="AN220" i="49"/>
  <c r="AJ220" i="49"/>
  <c r="AK220" i="49" s="1"/>
  <c r="AF220" i="49"/>
  <c r="AG220" i="49" s="1"/>
  <c r="AB220" i="49"/>
  <c r="AC220" i="49" s="1"/>
  <c r="X220" i="49"/>
  <c r="Y220" i="49" s="1"/>
  <c r="S220" i="49"/>
  <c r="AU218" i="49"/>
  <c r="AR218" i="49"/>
  <c r="AN218" i="49"/>
  <c r="AO218" i="49" s="1"/>
  <c r="AJ218" i="49"/>
  <c r="AK218" i="49" s="1"/>
  <c r="AF218" i="49"/>
  <c r="AG218" i="49" s="1"/>
  <c r="AB218" i="49"/>
  <c r="AC218" i="49" s="1"/>
  <c r="X218" i="49"/>
  <c r="Y218" i="49" s="1"/>
  <c r="AT217" i="49"/>
  <c r="AS217" i="49"/>
  <c r="AM217" i="49"/>
  <c r="AL217" i="49"/>
  <c r="AI217" i="49"/>
  <c r="AH217" i="49"/>
  <c r="AE217" i="49"/>
  <c r="AD217" i="49"/>
  <c r="AA217" i="49"/>
  <c r="Z217" i="49"/>
  <c r="W217" i="49"/>
  <c r="V217" i="49"/>
  <c r="U217" i="49"/>
  <c r="T217" i="49"/>
  <c r="R217" i="49"/>
  <c r="S218" i="49" s="1"/>
  <c r="M217" i="49"/>
  <c r="L217" i="49"/>
  <c r="K217" i="49"/>
  <c r="J217" i="49"/>
  <c r="AU216" i="49"/>
  <c r="AR216" i="49"/>
  <c r="AN216" i="49"/>
  <c r="AO216" i="49" s="1"/>
  <c r="AJ216" i="49"/>
  <c r="AK216" i="49" s="1"/>
  <c r="AF216" i="49"/>
  <c r="AG216" i="49" s="1"/>
  <c r="AB216" i="49"/>
  <c r="AC216" i="49" s="1"/>
  <c r="X216" i="49"/>
  <c r="Y216" i="49" s="1"/>
  <c r="S216" i="49"/>
  <c r="S217" i="49" s="1"/>
  <c r="AU215" i="49"/>
  <c r="AR215" i="49"/>
  <c r="AN215" i="49"/>
  <c r="AO215" i="49" s="1"/>
  <c r="AJ215" i="49"/>
  <c r="AK215" i="49" s="1"/>
  <c r="AF215" i="49"/>
  <c r="AG215" i="49" s="1"/>
  <c r="AB215" i="49"/>
  <c r="AC215" i="49" s="1"/>
  <c r="X215" i="49"/>
  <c r="Y215" i="49" s="1"/>
  <c r="S215" i="49"/>
  <c r="AU214" i="49"/>
  <c r="AR214" i="49"/>
  <c r="AN214" i="49"/>
  <c r="AO214" i="49" s="1"/>
  <c r="AJ214" i="49"/>
  <c r="AK214" i="49" s="1"/>
  <c r="AF214" i="49"/>
  <c r="AG214" i="49" s="1"/>
  <c r="AB214" i="49"/>
  <c r="AC214" i="49" s="1"/>
  <c r="X214" i="49"/>
  <c r="Y214" i="49" s="1"/>
  <c r="AT213" i="49"/>
  <c r="AS213" i="49"/>
  <c r="AM213" i="49"/>
  <c r="AL213" i="49"/>
  <c r="AI213" i="49"/>
  <c r="AH213" i="49"/>
  <c r="AE213" i="49"/>
  <c r="AD213" i="49"/>
  <c r="AA213" i="49"/>
  <c r="Z213" i="49"/>
  <c r="W213" i="49"/>
  <c r="V213" i="49"/>
  <c r="U213" i="49"/>
  <c r="T213" i="49"/>
  <c r="R213" i="49"/>
  <c r="S214" i="49" s="1"/>
  <c r="M213" i="49"/>
  <c r="L213" i="49"/>
  <c r="K213" i="49"/>
  <c r="J213" i="49"/>
  <c r="AU212" i="49"/>
  <c r="AR212" i="49"/>
  <c r="AN212" i="49"/>
  <c r="AO212" i="49" s="1"/>
  <c r="AJ212" i="49"/>
  <c r="AK212" i="49" s="1"/>
  <c r="AF212" i="49"/>
  <c r="AG212" i="49" s="1"/>
  <c r="AB212" i="49"/>
  <c r="AC212" i="49" s="1"/>
  <c r="X212" i="49"/>
  <c r="Y212" i="49" s="1"/>
  <c r="S212" i="49"/>
  <c r="S213" i="49" s="1"/>
  <c r="AU211" i="49"/>
  <c r="AR211" i="49"/>
  <c r="AN211" i="49"/>
  <c r="AO211" i="49" s="1"/>
  <c r="AJ211" i="49"/>
  <c r="AK211" i="49" s="1"/>
  <c r="AF211" i="49"/>
  <c r="AG211" i="49" s="1"/>
  <c r="AB211" i="49"/>
  <c r="AC211" i="49" s="1"/>
  <c r="X211" i="49"/>
  <c r="Y211" i="49" s="1"/>
  <c r="AT210" i="49"/>
  <c r="AS210" i="49"/>
  <c r="AM210" i="49"/>
  <c r="AL210" i="49"/>
  <c r="AI210" i="49"/>
  <c r="AH210" i="49"/>
  <c r="AE210" i="49"/>
  <c r="AD210" i="49"/>
  <c r="AA210" i="49"/>
  <c r="Z210" i="49"/>
  <c r="W210" i="49"/>
  <c r="V210" i="49"/>
  <c r="U210" i="49"/>
  <c r="T210" i="49"/>
  <c r="R210" i="49"/>
  <c r="M210" i="49"/>
  <c r="L210" i="49"/>
  <c r="K210" i="49"/>
  <c r="J210" i="49"/>
  <c r="AU209" i="49"/>
  <c r="AU208" i="49" s="1"/>
  <c r="AU210" i="49" s="1"/>
  <c r="AR209" i="49"/>
  <c r="AR208" i="49" s="1"/>
  <c r="AR210" i="49" s="1"/>
  <c r="AN209" i="49"/>
  <c r="AO209" i="49" s="1"/>
  <c r="AJ209" i="49"/>
  <c r="AK209" i="49" s="1"/>
  <c r="AF209" i="49"/>
  <c r="AF208" i="49" s="1"/>
  <c r="AG208" i="49" s="1"/>
  <c r="AB209" i="49"/>
  <c r="AC209" i="49" s="1"/>
  <c r="X209" i="49"/>
  <c r="X208" i="49" s="1"/>
  <c r="Y208" i="49" s="1"/>
  <c r="S209" i="49"/>
  <c r="S210" i="49" s="1"/>
  <c r="S208" i="49"/>
  <c r="AU207" i="49"/>
  <c r="AR207" i="49"/>
  <c r="AN207" i="49"/>
  <c r="AO207" i="49" s="1"/>
  <c r="AJ207" i="49"/>
  <c r="AK207" i="49" s="1"/>
  <c r="AF207" i="49"/>
  <c r="AG207" i="49" s="1"/>
  <c r="AB207" i="49"/>
  <c r="AC207" i="49" s="1"/>
  <c r="X207" i="49"/>
  <c r="Y207" i="49" s="1"/>
  <c r="AT206" i="49"/>
  <c r="AS206" i="49"/>
  <c r="AM206" i="49"/>
  <c r="AL206" i="49"/>
  <c r="AI206" i="49"/>
  <c r="AH206" i="49"/>
  <c r="AE206" i="49"/>
  <c r="AD206" i="49"/>
  <c r="AA206" i="49"/>
  <c r="Z206" i="49"/>
  <c r="W206" i="49"/>
  <c r="V206" i="49"/>
  <c r="U206" i="49"/>
  <c r="T206" i="49"/>
  <c r="R206" i="49"/>
  <c r="S207" i="49" s="1"/>
  <c r="M206" i="49"/>
  <c r="L206" i="49"/>
  <c r="K206" i="49"/>
  <c r="J206" i="49"/>
  <c r="AU205" i="49"/>
  <c r="AU204" i="49" s="1"/>
  <c r="AU206" i="49" s="1"/>
  <c r="AR205" i="49"/>
  <c r="AR204" i="49" s="1"/>
  <c r="AR206" i="49" s="1"/>
  <c r="AN205" i="49"/>
  <c r="AO205" i="49" s="1"/>
  <c r="AJ205" i="49"/>
  <c r="AK205" i="49" s="1"/>
  <c r="AF205" i="49"/>
  <c r="AF204" i="49" s="1"/>
  <c r="AG204" i="49" s="1"/>
  <c r="AB205" i="49"/>
  <c r="AB204" i="49" s="1"/>
  <c r="AC204" i="49" s="1"/>
  <c r="X205" i="49"/>
  <c r="X204" i="49" s="1"/>
  <c r="Y204" i="49" s="1"/>
  <c r="S205" i="49"/>
  <c r="S206" i="49" s="1"/>
  <c r="AT203" i="49"/>
  <c r="AS203" i="49"/>
  <c r="AM203" i="49"/>
  <c r="AL203" i="49"/>
  <c r="AI203" i="49"/>
  <c r="AH203" i="49"/>
  <c r="AE203" i="49"/>
  <c r="AD203" i="49"/>
  <c r="AA203" i="49"/>
  <c r="Z203" i="49"/>
  <c r="W203" i="49"/>
  <c r="V203" i="49"/>
  <c r="U203" i="49"/>
  <c r="T203" i="49"/>
  <c r="R203" i="49"/>
  <c r="S204" i="49" s="1"/>
  <c r="M203" i="49"/>
  <c r="L203" i="49"/>
  <c r="K203" i="49"/>
  <c r="J203" i="49"/>
  <c r="AU202" i="49"/>
  <c r="AR202" i="49"/>
  <c r="AN202" i="49"/>
  <c r="AO202" i="49" s="1"/>
  <c r="AJ202" i="49"/>
  <c r="AK202" i="49" s="1"/>
  <c r="AF202" i="49"/>
  <c r="AG202" i="49" s="1"/>
  <c r="AB202" i="49"/>
  <c r="AC202" i="49" s="1"/>
  <c r="X202" i="49"/>
  <c r="Y202" i="49" s="1"/>
  <c r="S202" i="49"/>
  <c r="S203" i="49" s="1"/>
  <c r="AU201" i="49"/>
  <c r="AR201" i="49"/>
  <c r="AN201" i="49"/>
  <c r="AO201" i="49" s="1"/>
  <c r="AJ201" i="49"/>
  <c r="AK201" i="49" s="1"/>
  <c r="AF201" i="49"/>
  <c r="AG201" i="49" s="1"/>
  <c r="AB201" i="49"/>
  <c r="AC201" i="49" s="1"/>
  <c r="X201" i="49"/>
  <c r="Y201" i="49" s="1"/>
  <c r="S201" i="49"/>
  <c r="AU200" i="49"/>
  <c r="AR200" i="49"/>
  <c r="AN200" i="49"/>
  <c r="AO200" i="49" s="1"/>
  <c r="AJ200" i="49"/>
  <c r="AK200" i="49" s="1"/>
  <c r="AF200" i="49"/>
  <c r="AG200" i="49" s="1"/>
  <c r="AB200" i="49"/>
  <c r="AC200" i="49" s="1"/>
  <c r="X200" i="49"/>
  <c r="Y200" i="49" s="1"/>
  <c r="AT199" i="49"/>
  <c r="AS199" i="49"/>
  <c r="AM199" i="49"/>
  <c r="AL199" i="49"/>
  <c r="AI199" i="49"/>
  <c r="AH199" i="49"/>
  <c r="AE199" i="49"/>
  <c r="AD199" i="49"/>
  <c r="AA199" i="49"/>
  <c r="Z199" i="49"/>
  <c r="W199" i="49"/>
  <c r="V199" i="49"/>
  <c r="U199" i="49"/>
  <c r="T199" i="49"/>
  <c r="R199" i="49"/>
  <c r="M199" i="49"/>
  <c r="L199" i="49"/>
  <c r="K199" i="49"/>
  <c r="J199" i="49"/>
  <c r="AU198" i="49"/>
  <c r="AR198" i="49"/>
  <c r="AN198" i="49"/>
  <c r="AO198" i="49" s="1"/>
  <c r="AJ198" i="49"/>
  <c r="AK198" i="49" s="1"/>
  <c r="AF198" i="49"/>
  <c r="AG198" i="49" s="1"/>
  <c r="AB198" i="49"/>
  <c r="AC198" i="49" s="1"/>
  <c r="X198" i="49"/>
  <c r="Y198" i="49" s="1"/>
  <c r="S198" i="49"/>
  <c r="S199" i="49" s="1"/>
  <c r="AU197" i="49"/>
  <c r="AR197" i="49"/>
  <c r="AN197" i="49"/>
  <c r="AO197" i="49" s="1"/>
  <c r="AJ197" i="49"/>
  <c r="AK197" i="49" s="1"/>
  <c r="AF197" i="49"/>
  <c r="AG197" i="49" s="1"/>
  <c r="AB197" i="49"/>
  <c r="AC197" i="49" s="1"/>
  <c r="X197" i="49"/>
  <c r="Y197" i="49" s="1"/>
  <c r="S197" i="49"/>
  <c r="A232" i="49"/>
  <c r="A233" i="49" s="1"/>
  <c r="A234" i="49" s="1"/>
  <c r="A235" i="49" s="1"/>
  <c r="A236" i="49" s="1"/>
  <c r="A237" i="49" s="1"/>
  <c r="A221" i="49"/>
  <c r="A222" i="49" s="1"/>
  <c r="A223" i="49" s="1"/>
  <c r="A224" i="49" s="1"/>
  <c r="A225" i="49" s="1"/>
  <c r="A226" i="49" s="1"/>
  <c r="A227" i="49" s="1"/>
  <c r="A228" i="49" s="1"/>
  <c r="A229" i="49" s="1"/>
  <c r="A209" i="49"/>
  <c r="A210" i="49" s="1"/>
  <c r="A211" i="49" s="1"/>
  <c r="A212" i="49" s="1"/>
  <c r="A213" i="49" s="1"/>
  <c r="A214" i="49" s="1"/>
  <c r="A215" i="49" s="1"/>
  <c r="A216" i="49" s="1"/>
  <c r="A217" i="49" s="1"/>
  <c r="A198" i="49"/>
  <c r="A199" i="49" s="1"/>
  <c r="A200" i="49" s="1"/>
  <c r="A201" i="49" s="1"/>
  <c r="A202" i="49" s="1"/>
  <c r="A203" i="49" s="1"/>
  <c r="A204" i="49" s="1"/>
  <c r="A205" i="49" s="1"/>
  <c r="A206" i="49" s="1"/>
  <c r="AB231" i="49" l="1"/>
  <c r="AC231" i="49" s="1"/>
  <c r="AJ222" i="49"/>
  <c r="AK222" i="49" s="1"/>
  <c r="A64" i="74"/>
  <c r="E64" i="74" s="1"/>
  <c r="E63" i="74"/>
  <c r="A20" i="74"/>
  <c r="H20" i="74" s="1"/>
  <c r="E19" i="74"/>
  <c r="AU199" i="49"/>
  <c r="AB199" i="49"/>
  <c r="AC199" i="49" s="1"/>
  <c r="AR226" i="49"/>
  <c r="AU236" i="49"/>
  <c r="AR236" i="49"/>
  <c r="AJ236" i="49"/>
  <c r="AK236" i="49" s="1"/>
  <c r="AF236" i="49"/>
  <c r="AG236" i="49" s="1"/>
  <c r="AJ227" i="49"/>
  <c r="AK227" i="49" s="1"/>
  <c r="AN226" i="49"/>
  <c r="AO226" i="49" s="1"/>
  <c r="AJ226" i="49"/>
  <c r="AK226" i="49" s="1"/>
  <c r="AU222" i="49"/>
  <c r="AN222" i="49"/>
  <c r="AO222" i="49" s="1"/>
  <c r="AF222" i="49"/>
  <c r="AG222" i="49" s="1"/>
  <c r="AB222" i="49"/>
  <c r="AC222" i="49" s="1"/>
  <c r="AU217" i="49"/>
  <c r="AR217" i="49"/>
  <c r="AN217" i="49"/>
  <c r="AO217" i="49" s="1"/>
  <c r="X217" i="49"/>
  <c r="Y217" i="49" s="1"/>
  <c r="AU213" i="49"/>
  <c r="AR213" i="49"/>
  <c r="AN213" i="49"/>
  <c r="AO213" i="49" s="1"/>
  <c r="AJ213" i="49"/>
  <c r="AK213" i="49" s="1"/>
  <c r="AN208" i="49"/>
  <c r="AO208" i="49" s="1"/>
  <c r="AB206" i="49"/>
  <c r="AC206" i="49" s="1"/>
  <c r="X206" i="49"/>
  <c r="Y206" i="49" s="1"/>
  <c r="AU203" i="49"/>
  <c r="AR203" i="49"/>
  <c r="AN203" i="49"/>
  <c r="AO203" i="49" s="1"/>
  <c r="AJ203" i="49"/>
  <c r="AK203" i="49" s="1"/>
  <c r="AR199" i="49"/>
  <c r="AF199" i="49"/>
  <c r="AG199" i="49" s="1"/>
  <c r="AJ199" i="49"/>
  <c r="AK199" i="49" s="1"/>
  <c r="AN236" i="49"/>
  <c r="AO236" i="49" s="1"/>
  <c r="L26" i="74" s="1"/>
  <c r="AB236" i="49"/>
  <c r="AC236" i="49" s="1"/>
  <c r="X236" i="49"/>
  <c r="Y236" i="49" s="1"/>
  <c r="S237" i="49"/>
  <c r="AJ231" i="49"/>
  <c r="AK231" i="49" s="1"/>
  <c r="X233" i="49"/>
  <c r="Y233" i="49" s="1"/>
  <c r="G24" i="74" s="1"/>
  <c r="AB233" i="49"/>
  <c r="AC233" i="49" s="1"/>
  <c r="AB227" i="49"/>
  <c r="AC227" i="49" s="1"/>
  <c r="X229" i="49"/>
  <c r="Y229" i="49" s="1"/>
  <c r="S230" i="49"/>
  <c r="AF226" i="49"/>
  <c r="AG226" i="49" s="1"/>
  <c r="AB226" i="49"/>
  <c r="AC226" i="49" s="1"/>
  <c r="X226" i="49"/>
  <c r="Y226" i="49" s="1"/>
  <c r="S227" i="49"/>
  <c r="AO220" i="49"/>
  <c r="X222" i="49"/>
  <c r="Y222" i="49" s="1"/>
  <c r="AJ217" i="49"/>
  <c r="AK217" i="49" s="1"/>
  <c r="AF217" i="49"/>
  <c r="AG217" i="49" s="1"/>
  <c r="AB217" i="49"/>
  <c r="AC217" i="49" s="1"/>
  <c r="AF213" i="49"/>
  <c r="AG213" i="49" s="1"/>
  <c r="AB213" i="49"/>
  <c r="AC213" i="49" s="1"/>
  <c r="X213" i="49"/>
  <c r="Y213" i="49" s="1"/>
  <c r="AJ208" i="49"/>
  <c r="AK208" i="49" s="1"/>
  <c r="X210" i="49"/>
  <c r="Y210" i="49" s="1"/>
  <c r="AF210" i="49"/>
  <c r="AG210" i="49" s="1"/>
  <c r="S211" i="49"/>
  <c r="AN204" i="49"/>
  <c r="AO204" i="49" s="1"/>
  <c r="AJ204" i="49"/>
  <c r="AK204" i="49" s="1"/>
  <c r="AF206" i="49"/>
  <c r="AG206" i="49" s="1"/>
  <c r="AF203" i="49"/>
  <c r="AG203" i="49" s="1"/>
  <c r="AB203" i="49"/>
  <c r="AC203" i="49" s="1"/>
  <c r="X203" i="49"/>
  <c r="Y203" i="49" s="1"/>
  <c r="AN199" i="49"/>
  <c r="AO199" i="49" s="1"/>
  <c r="X199" i="49"/>
  <c r="Y199" i="49" s="1"/>
  <c r="S200" i="49"/>
  <c r="Y232" i="49"/>
  <c r="AF231" i="49"/>
  <c r="AN231" i="49"/>
  <c r="Y228" i="49"/>
  <c r="AF227" i="49"/>
  <c r="AN227" i="49"/>
  <c r="AB208" i="49"/>
  <c r="Y209" i="49"/>
  <c r="AG209" i="49"/>
  <c r="AC205" i="49"/>
  <c r="Y205" i="49"/>
  <c r="AG205" i="49"/>
  <c r="AT195" i="49"/>
  <c r="AS195" i="49"/>
  <c r="AM195" i="49"/>
  <c r="AL195" i="49"/>
  <c r="AI195" i="49"/>
  <c r="AH195" i="49"/>
  <c r="AE195" i="49"/>
  <c r="AD195" i="49"/>
  <c r="AA195" i="49"/>
  <c r="Z195" i="49"/>
  <c r="W195" i="49"/>
  <c r="I64" i="74" s="1"/>
  <c r="V195" i="49"/>
  <c r="H64" i="74" s="1"/>
  <c r="U195" i="49"/>
  <c r="J64" i="74" s="1"/>
  <c r="T195" i="49"/>
  <c r="R195" i="49"/>
  <c r="M195" i="49"/>
  <c r="L195" i="49"/>
  <c r="K195" i="49"/>
  <c r="J195" i="49"/>
  <c r="F64" i="74" s="1"/>
  <c r="AU194" i="49"/>
  <c r="AU193" i="49" s="1"/>
  <c r="AU195" i="49" s="1"/>
  <c r="AR194" i="49"/>
  <c r="AR193" i="49" s="1"/>
  <c r="AR195" i="49" s="1"/>
  <c r="AN194" i="49"/>
  <c r="AN193" i="49" s="1"/>
  <c r="AO193" i="49" s="1"/>
  <c r="AJ194" i="49"/>
  <c r="AK194" i="49" s="1"/>
  <c r="AF194" i="49"/>
  <c r="AG194" i="49" s="1"/>
  <c r="AB194" i="49"/>
  <c r="AC194" i="49" s="1"/>
  <c r="X194" i="49"/>
  <c r="Y194" i="49" s="1"/>
  <c r="S194" i="49"/>
  <c r="S195" i="49" s="1"/>
  <c r="AT192" i="49"/>
  <c r="AS192" i="49"/>
  <c r="AM192" i="49"/>
  <c r="AL192" i="49"/>
  <c r="AI192" i="49"/>
  <c r="AH192" i="49"/>
  <c r="AE192" i="49"/>
  <c r="AD192" i="49"/>
  <c r="AA192" i="49"/>
  <c r="Z192" i="49"/>
  <c r="W192" i="49"/>
  <c r="I63" i="74" s="1"/>
  <c r="V192" i="49"/>
  <c r="H63" i="74" s="1"/>
  <c r="U192" i="49"/>
  <c r="J63" i="74" s="1"/>
  <c r="T192" i="49"/>
  <c r="R192" i="49"/>
  <c r="S193" i="49" s="1"/>
  <c r="M192" i="49"/>
  <c r="L192" i="49"/>
  <c r="K192" i="49"/>
  <c r="J192" i="49"/>
  <c r="F63" i="74" s="1"/>
  <c r="AU191" i="49"/>
  <c r="AR191" i="49"/>
  <c r="AN191" i="49"/>
  <c r="AO191" i="49" s="1"/>
  <c r="AJ191" i="49"/>
  <c r="AK191" i="49" s="1"/>
  <c r="AF191" i="49"/>
  <c r="AG191" i="49" s="1"/>
  <c r="AB191" i="49"/>
  <c r="AC191" i="49" s="1"/>
  <c r="X191" i="49"/>
  <c r="Y191" i="49" s="1"/>
  <c r="S191" i="49"/>
  <c r="S192" i="49" s="1"/>
  <c r="AU190" i="49"/>
  <c r="AR190" i="49"/>
  <c r="AN190" i="49"/>
  <c r="AO190" i="49" s="1"/>
  <c r="AJ190" i="49"/>
  <c r="AK190" i="49" s="1"/>
  <c r="AF190" i="49"/>
  <c r="AG190" i="49" s="1"/>
  <c r="AB190" i="49"/>
  <c r="AC190" i="49" s="1"/>
  <c r="X190" i="49"/>
  <c r="Y190" i="49" s="1"/>
  <c r="S190" i="49"/>
  <c r="AU189" i="49"/>
  <c r="AR189" i="49"/>
  <c r="AN189" i="49"/>
  <c r="AO189" i="49" s="1"/>
  <c r="AJ189" i="49"/>
  <c r="AK189" i="49" s="1"/>
  <c r="AF189" i="49"/>
  <c r="AG189" i="49" s="1"/>
  <c r="AB189" i="49"/>
  <c r="AC189" i="49" s="1"/>
  <c r="X189" i="49"/>
  <c r="Y189" i="49" s="1"/>
  <c r="K62" i="74" s="1"/>
  <c r="AT188" i="49"/>
  <c r="AS188" i="49"/>
  <c r="AM188" i="49"/>
  <c r="AL188" i="49"/>
  <c r="AI188" i="49"/>
  <c r="AH188" i="49"/>
  <c r="AE188" i="49"/>
  <c r="AD188" i="49"/>
  <c r="AA188" i="49"/>
  <c r="Z188" i="49"/>
  <c r="W188" i="49"/>
  <c r="I61" i="74" s="1"/>
  <c r="V188" i="49"/>
  <c r="H61" i="74" s="1"/>
  <c r="U188" i="49"/>
  <c r="J61" i="74" s="1"/>
  <c r="T188" i="49"/>
  <c r="R188" i="49"/>
  <c r="S189" i="49" s="1"/>
  <c r="M188" i="49"/>
  <c r="L188" i="49"/>
  <c r="K188" i="49"/>
  <c r="J188" i="49"/>
  <c r="F61" i="74" s="1"/>
  <c r="AU187" i="49"/>
  <c r="AR187" i="49"/>
  <c r="AN187" i="49"/>
  <c r="AO187" i="49" s="1"/>
  <c r="AJ187" i="49"/>
  <c r="AK187" i="49" s="1"/>
  <c r="AF187" i="49"/>
  <c r="AG187" i="49" s="1"/>
  <c r="AB187" i="49"/>
  <c r="AC187" i="49" s="1"/>
  <c r="X187" i="49"/>
  <c r="Y187" i="49" s="1"/>
  <c r="S187" i="49"/>
  <c r="S188" i="49" s="1"/>
  <c r="AU186" i="49"/>
  <c r="AR186" i="49"/>
  <c r="AN186" i="49"/>
  <c r="AO186" i="49" s="1"/>
  <c r="AJ186" i="49"/>
  <c r="AK186" i="49" s="1"/>
  <c r="AF186" i="49"/>
  <c r="AG186" i="49" s="1"/>
  <c r="AB186" i="49"/>
  <c r="AC186" i="49" s="1"/>
  <c r="X186" i="49"/>
  <c r="Y186" i="49" s="1"/>
  <c r="S186" i="49"/>
  <c r="AM73" i="74"/>
  <c r="AQ73" i="74"/>
  <c r="AS73" i="74"/>
  <c r="AU73" i="74"/>
  <c r="AY73" i="74"/>
  <c r="D64" i="74"/>
  <c r="D63" i="74"/>
  <c r="J62" i="74"/>
  <c r="I62" i="74"/>
  <c r="H62" i="74"/>
  <c r="F62" i="74"/>
  <c r="D62" i="74"/>
  <c r="D61" i="74"/>
  <c r="K27" i="74"/>
  <c r="J27" i="74"/>
  <c r="I27" i="74"/>
  <c r="H27" i="74"/>
  <c r="G27" i="74"/>
  <c r="F27" i="74"/>
  <c r="D27" i="74"/>
  <c r="B27" i="74"/>
  <c r="K26" i="74"/>
  <c r="J26" i="74"/>
  <c r="I26" i="74"/>
  <c r="H26" i="74"/>
  <c r="G26" i="74"/>
  <c r="F26" i="74"/>
  <c r="D26" i="74"/>
  <c r="B26" i="74"/>
  <c r="K25" i="74"/>
  <c r="J25" i="74"/>
  <c r="I25" i="74"/>
  <c r="H25" i="74"/>
  <c r="G25" i="74"/>
  <c r="F25" i="74"/>
  <c r="D25" i="74"/>
  <c r="B25" i="74"/>
  <c r="J24" i="74"/>
  <c r="I24" i="74"/>
  <c r="H24" i="74"/>
  <c r="F24" i="74"/>
  <c r="D24" i="74"/>
  <c r="B24" i="74"/>
  <c r="D56" i="74"/>
  <c r="C56" i="74"/>
  <c r="B56" i="74"/>
  <c r="D55" i="74"/>
  <c r="C55" i="74"/>
  <c r="B55" i="74"/>
  <c r="J54" i="74"/>
  <c r="I54" i="74"/>
  <c r="H54" i="74"/>
  <c r="F54" i="74"/>
  <c r="D54" i="74"/>
  <c r="C54" i="74"/>
  <c r="B54" i="74"/>
  <c r="D53" i="74"/>
  <c r="C53" i="74"/>
  <c r="B53" i="74"/>
  <c r="D42" i="74"/>
  <c r="C42" i="74"/>
  <c r="D32" i="74"/>
  <c r="C32" i="74"/>
  <c r="J20" i="74"/>
  <c r="I20" i="74"/>
  <c r="D20" i="74"/>
  <c r="B20" i="74"/>
  <c r="J19" i="74"/>
  <c r="I19" i="74"/>
  <c r="H19" i="74"/>
  <c r="F19" i="74"/>
  <c r="D19" i="74"/>
  <c r="B19" i="74"/>
  <c r="J18" i="74"/>
  <c r="I18" i="74"/>
  <c r="H18" i="74"/>
  <c r="F18" i="74"/>
  <c r="D18" i="74"/>
  <c r="B18" i="74"/>
  <c r="K17" i="74"/>
  <c r="J17" i="74"/>
  <c r="I17" i="74"/>
  <c r="H17" i="74"/>
  <c r="G17" i="74"/>
  <c r="F17" i="74"/>
  <c r="D17" i="74"/>
  <c r="B17" i="74"/>
  <c r="K13" i="74"/>
  <c r="W13" i="74" s="1"/>
  <c r="J13" i="74"/>
  <c r="I13" i="74"/>
  <c r="H13" i="74"/>
  <c r="G13" i="74"/>
  <c r="F13" i="74"/>
  <c r="D13" i="74"/>
  <c r="C13" i="74"/>
  <c r="B13" i="74"/>
  <c r="K12" i="74"/>
  <c r="AD9" i="74" s="1"/>
  <c r="J12" i="74"/>
  <c r="I12" i="74"/>
  <c r="H12" i="74"/>
  <c r="G12" i="74"/>
  <c r="F12" i="74"/>
  <c r="D12" i="74"/>
  <c r="C12" i="74"/>
  <c r="B12" i="74"/>
  <c r="K11" i="74"/>
  <c r="W12" i="74" s="1"/>
  <c r="J11" i="74"/>
  <c r="I11" i="74"/>
  <c r="H11" i="74"/>
  <c r="G11" i="74"/>
  <c r="F11" i="74"/>
  <c r="D11" i="74"/>
  <c r="C11" i="74"/>
  <c r="B11" i="74"/>
  <c r="J10" i="74"/>
  <c r="I10" i="74"/>
  <c r="H10" i="74"/>
  <c r="G10" i="74"/>
  <c r="F10" i="74"/>
  <c r="D10" i="74"/>
  <c r="C10" i="74"/>
  <c r="B10" i="74"/>
  <c r="K6" i="74"/>
  <c r="J6" i="74"/>
  <c r="I6" i="74"/>
  <c r="H6" i="74"/>
  <c r="G6" i="74"/>
  <c r="F6" i="74"/>
  <c r="D6" i="74"/>
  <c r="C6" i="74"/>
  <c r="B6" i="74"/>
  <c r="A187" i="49"/>
  <c r="A188" i="49" s="1"/>
  <c r="A189" i="49" s="1"/>
  <c r="A190" i="49" s="1"/>
  <c r="A191" i="49" s="1"/>
  <c r="A192" i="49" s="1"/>
  <c r="A193" i="49" s="1"/>
  <c r="A194" i="49" s="1"/>
  <c r="A195" i="49" s="1"/>
  <c r="F174" i="49"/>
  <c r="F175" i="49"/>
  <c r="F176" i="49"/>
  <c r="F177" i="49"/>
  <c r="F178" i="49"/>
  <c r="F179" i="49"/>
  <c r="F180" i="49"/>
  <c r="F181" i="49"/>
  <c r="F182" i="49"/>
  <c r="F183" i="49"/>
  <c r="F184" i="49"/>
  <c r="F173" i="49"/>
  <c r="F172" i="49"/>
  <c r="F171" i="49"/>
  <c r="F170" i="49"/>
  <c r="F169" i="49"/>
  <c r="F168" i="49"/>
  <c r="F167" i="49"/>
  <c r="F166" i="49"/>
  <c r="F165" i="49"/>
  <c r="F164" i="49"/>
  <c r="F163" i="49"/>
  <c r="F162" i="49"/>
  <c r="F150" i="49"/>
  <c r="F151" i="49"/>
  <c r="F152" i="49"/>
  <c r="F153" i="49"/>
  <c r="F154" i="49"/>
  <c r="F155" i="49"/>
  <c r="F156" i="49"/>
  <c r="F157" i="49"/>
  <c r="F158" i="49"/>
  <c r="F159" i="49"/>
  <c r="F160" i="49"/>
  <c r="F149" i="49"/>
  <c r="F147" i="49"/>
  <c r="AU184" i="49"/>
  <c r="AR184" i="49"/>
  <c r="AN184" i="49"/>
  <c r="AO184" i="49" s="1"/>
  <c r="AJ184" i="49"/>
  <c r="AK184" i="49" s="1"/>
  <c r="AF184" i="49"/>
  <c r="AG184" i="49" s="1"/>
  <c r="AB184" i="49"/>
  <c r="AC184" i="49" s="1"/>
  <c r="X184" i="49"/>
  <c r="Y184" i="49" s="1"/>
  <c r="S184" i="49"/>
  <c r="AU183" i="49"/>
  <c r="AR183" i="49"/>
  <c r="AN183" i="49"/>
  <c r="AO183" i="49" s="1"/>
  <c r="AJ183" i="49"/>
  <c r="AK183" i="49" s="1"/>
  <c r="AF183" i="49"/>
  <c r="AG183" i="49" s="1"/>
  <c r="AB183" i="49"/>
  <c r="AC183" i="49" s="1"/>
  <c r="X183" i="49"/>
  <c r="Y183" i="49" s="1"/>
  <c r="AT182" i="49"/>
  <c r="AS182" i="49"/>
  <c r="AM182" i="49"/>
  <c r="AL182" i="49"/>
  <c r="AI182" i="49"/>
  <c r="AH182" i="49"/>
  <c r="AE182" i="49"/>
  <c r="AD182" i="49"/>
  <c r="AA182" i="49"/>
  <c r="Z182" i="49"/>
  <c r="W182" i="49"/>
  <c r="V182" i="49"/>
  <c r="U182" i="49"/>
  <c r="T182" i="49"/>
  <c r="R182" i="49"/>
  <c r="S183" i="49" s="1"/>
  <c r="M182" i="49"/>
  <c r="L182" i="49"/>
  <c r="K182" i="49"/>
  <c r="J182" i="49"/>
  <c r="AU181" i="49"/>
  <c r="AR181" i="49"/>
  <c r="AN181" i="49"/>
  <c r="AO181" i="49" s="1"/>
  <c r="AJ181" i="49"/>
  <c r="AK181" i="49" s="1"/>
  <c r="AF181" i="49"/>
  <c r="AG181" i="49" s="1"/>
  <c r="AB181" i="49"/>
  <c r="AC181" i="49" s="1"/>
  <c r="X181" i="49"/>
  <c r="Y181" i="49" s="1"/>
  <c r="S181" i="49"/>
  <c r="S182" i="49" s="1"/>
  <c r="AU180" i="49"/>
  <c r="AR180" i="49"/>
  <c r="AN180" i="49"/>
  <c r="AO180" i="49" s="1"/>
  <c r="AJ180" i="49"/>
  <c r="AK180" i="49" s="1"/>
  <c r="AF180" i="49"/>
  <c r="AG180" i="49" s="1"/>
  <c r="AB180" i="49"/>
  <c r="AC180" i="49" s="1"/>
  <c r="X180" i="49"/>
  <c r="Y180" i="49" s="1"/>
  <c r="S180" i="49"/>
  <c r="A184" i="49"/>
  <c r="AU179" i="49"/>
  <c r="AR179" i="49"/>
  <c r="AN179" i="49"/>
  <c r="AO179" i="49" s="1"/>
  <c r="AJ179" i="49"/>
  <c r="AK179" i="49" s="1"/>
  <c r="AF179" i="49"/>
  <c r="AG179" i="49" s="1"/>
  <c r="AB179" i="49"/>
  <c r="AC179" i="49" s="1"/>
  <c r="X179" i="49"/>
  <c r="Y179" i="49" s="1"/>
  <c r="S179" i="49"/>
  <c r="AU178" i="49"/>
  <c r="AR178" i="49"/>
  <c r="AN178" i="49"/>
  <c r="AO178" i="49" s="1"/>
  <c r="AJ178" i="49"/>
  <c r="AK178" i="49" s="1"/>
  <c r="AF178" i="49"/>
  <c r="AG178" i="49" s="1"/>
  <c r="AB178" i="49"/>
  <c r="AC178" i="49" s="1"/>
  <c r="X178" i="49"/>
  <c r="Y178" i="49" s="1"/>
  <c r="S178" i="49"/>
  <c r="AU177" i="49"/>
  <c r="AR177" i="49"/>
  <c r="AN177" i="49"/>
  <c r="AO177" i="49" s="1"/>
  <c r="AJ177" i="49"/>
  <c r="AK177" i="49" s="1"/>
  <c r="AF177" i="49"/>
  <c r="AG177" i="49" s="1"/>
  <c r="AB177" i="49"/>
  <c r="AC177" i="49" s="1"/>
  <c r="X177" i="49"/>
  <c r="Y177" i="49" s="1"/>
  <c r="S177" i="49"/>
  <c r="AU176" i="49"/>
  <c r="AR176" i="49"/>
  <c r="AN176" i="49"/>
  <c r="AO176" i="49" s="1"/>
  <c r="AJ176" i="49"/>
  <c r="AK176" i="49" s="1"/>
  <c r="AF176" i="49"/>
  <c r="AG176" i="49" s="1"/>
  <c r="AB176" i="49"/>
  <c r="AC176" i="49" s="1"/>
  <c r="X176" i="49"/>
  <c r="Y176" i="49" s="1"/>
  <c r="AT175" i="49"/>
  <c r="AS175" i="49"/>
  <c r="AM175" i="49"/>
  <c r="AL175" i="49"/>
  <c r="AI175" i="49"/>
  <c r="AH175" i="49"/>
  <c r="AE175" i="49"/>
  <c r="AD175" i="49"/>
  <c r="AA175" i="49"/>
  <c r="Z175" i="49"/>
  <c r="W175" i="49"/>
  <c r="V175" i="49"/>
  <c r="U175" i="49"/>
  <c r="T175" i="49"/>
  <c r="R175" i="49"/>
  <c r="S176" i="49" s="1"/>
  <c r="M175" i="49"/>
  <c r="L175" i="49"/>
  <c r="K175" i="49"/>
  <c r="J175" i="49"/>
  <c r="AU174" i="49"/>
  <c r="AU173" i="49" s="1"/>
  <c r="AU175" i="49" s="1"/>
  <c r="AR174" i="49"/>
  <c r="AR173" i="49" s="1"/>
  <c r="AR175" i="49" s="1"/>
  <c r="AN174" i="49"/>
  <c r="AN173" i="49" s="1"/>
  <c r="AO173" i="49" s="1"/>
  <c r="AJ174" i="49"/>
  <c r="AK174" i="49" s="1"/>
  <c r="AF174" i="49"/>
  <c r="AG174" i="49" s="1"/>
  <c r="AB174" i="49"/>
  <c r="AC174" i="49" s="1"/>
  <c r="X174" i="49"/>
  <c r="X173" i="49" s="1"/>
  <c r="Y173" i="49" s="1"/>
  <c r="S174" i="49"/>
  <c r="S175" i="49" s="1"/>
  <c r="S173" i="49"/>
  <c r="AU172" i="49"/>
  <c r="AR172" i="49"/>
  <c r="AN172" i="49"/>
  <c r="AO172" i="49" s="1"/>
  <c r="AJ172" i="49"/>
  <c r="AK172" i="49" s="1"/>
  <c r="AF172" i="49"/>
  <c r="AG172" i="49" s="1"/>
  <c r="AB172" i="49"/>
  <c r="AC172" i="49" s="1"/>
  <c r="X172" i="49"/>
  <c r="Y172" i="49" s="1"/>
  <c r="AT171" i="49"/>
  <c r="AS171" i="49"/>
  <c r="AM171" i="49"/>
  <c r="AL171" i="49"/>
  <c r="AI171" i="49"/>
  <c r="AH171" i="49"/>
  <c r="AE171" i="49"/>
  <c r="AD171" i="49"/>
  <c r="AA171" i="49"/>
  <c r="Z171" i="49"/>
  <c r="W171" i="49"/>
  <c r="I56" i="74" s="1"/>
  <c r="V171" i="49"/>
  <c r="H56" i="74" s="1"/>
  <c r="U171" i="49"/>
  <c r="J56" i="74" s="1"/>
  <c r="T171" i="49"/>
  <c r="R171" i="49"/>
  <c r="S172" i="49" s="1"/>
  <c r="M171" i="49"/>
  <c r="L171" i="49"/>
  <c r="K171" i="49"/>
  <c r="J171" i="49"/>
  <c r="F56" i="74" s="1"/>
  <c r="AU170" i="49"/>
  <c r="AU169" i="49" s="1"/>
  <c r="AU171" i="49" s="1"/>
  <c r="AR170" i="49"/>
  <c r="AR169" i="49" s="1"/>
  <c r="AR171" i="49" s="1"/>
  <c r="AN170" i="49"/>
  <c r="AN169" i="49" s="1"/>
  <c r="AO169" i="49" s="1"/>
  <c r="AJ170" i="49"/>
  <c r="AK170" i="49" s="1"/>
  <c r="AF170" i="49"/>
  <c r="AG170" i="49" s="1"/>
  <c r="AB170" i="49"/>
  <c r="AC170" i="49" s="1"/>
  <c r="X170" i="49"/>
  <c r="X169" i="49" s="1"/>
  <c r="Y169" i="49" s="1"/>
  <c r="S170" i="49"/>
  <c r="S171" i="49" s="1"/>
  <c r="AT168" i="49"/>
  <c r="AS168" i="49"/>
  <c r="AM168" i="49"/>
  <c r="AL168" i="49"/>
  <c r="AI168" i="49"/>
  <c r="AH168" i="49"/>
  <c r="AE168" i="49"/>
  <c r="AD168" i="49"/>
  <c r="AA168" i="49"/>
  <c r="Z168" i="49"/>
  <c r="W168" i="49"/>
  <c r="I55" i="74" s="1"/>
  <c r="V168" i="49"/>
  <c r="H55" i="74" s="1"/>
  <c r="U168" i="49"/>
  <c r="J55" i="74" s="1"/>
  <c r="T168" i="49"/>
  <c r="R168" i="49"/>
  <c r="S169" i="49" s="1"/>
  <c r="M168" i="49"/>
  <c r="L168" i="49"/>
  <c r="K168" i="49"/>
  <c r="J168" i="49"/>
  <c r="F55" i="74" s="1"/>
  <c r="AU167" i="49"/>
  <c r="AR167" i="49"/>
  <c r="AN167" i="49"/>
  <c r="AO167" i="49" s="1"/>
  <c r="AJ167" i="49"/>
  <c r="AK167" i="49" s="1"/>
  <c r="AF167" i="49"/>
  <c r="AG167" i="49" s="1"/>
  <c r="AB167" i="49"/>
  <c r="AC167" i="49" s="1"/>
  <c r="X167" i="49"/>
  <c r="Y167" i="49" s="1"/>
  <c r="S167" i="49"/>
  <c r="S168" i="49" s="1"/>
  <c r="AU166" i="49"/>
  <c r="AR166" i="49"/>
  <c r="AN166" i="49"/>
  <c r="AO166" i="49" s="1"/>
  <c r="AJ166" i="49"/>
  <c r="AF166" i="49"/>
  <c r="AG166" i="49" s="1"/>
  <c r="AB166" i="49"/>
  <c r="X166" i="49"/>
  <c r="Y166" i="49" s="1"/>
  <c r="S166" i="49"/>
  <c r="AU165" i="49"/>
  <c r="AR165" i="49"/>
  <c r="AN165" i="49"/>
  <c r="AO165" i="49" s="1"/>
  <c r="AJ165" i="49"/>
  <c r="AK165" i="49" s="1"/>
  <c r="AF165" i="49"/>
  <c r="AG165" i="49" s="1"/>
  <c r="AB165" i="49"/>
  <c r="AC165" i="49" s="1"/>
  <c r="X165" i="49"/>
  <c r="Y165" i="49" s="1"/>
  <c r="K54" i="74" s="1"/>
  <c r="AT164" i="49"/>
  <c r="AS164" i="49"/>
  <c r="AM164" i="49"/>
  <c r="AL164" i="49"/>
  <c r="AI164" i="49"/>
  <c r="AH164" i="49"/>
  <c r="AE164" i="49"/>
  <c r="AD164" i="49"/>
  <c r="AA164" i="49"/>
  <c r="Z164" i="49"/>
  <c r="W164" i="49"/>
  <c r="I53" i="74" s="1"/>
  <c r="V164" i="49"/>
  <c r="H53" i="74" s="1"/>
  <c r="U164" i="49"/>
  <c r="J53" i="74" s="1"/>
  <c r="T164" i="49"/>
  <c r="R164" i="49"/>
  <c r="S165" i="49" s="1"/>
  <c r="M164" i="49"/>
  <c r="L164" i="49"/>
  <c r="K164" i="49"/>
  <c r="J164" i="49"/>
  <c r="F53" i="74" s="1"/>
  <c r="AU163" i="49"/>
  <c r="AR163" i="49"/>
  <c r="AN163" i="49"/>
  <c r="AO163" i="49" s="1"/>
  <c r="AJ163" i="49"/>
  <c r="AK163" i="49" s="1"/>
  <c r="AF163" i="49"/>
  <c r="AG163" i="49" s="1"/>
  <c r="AB163" i="49"/>
  <c r="AC163" i="49" s="1"/>
  <c r="X163" i="49"/>
  <c r="Y163" i="49" s="1"/>
  <c r="S163" i="49"/>
  <c r="S164" i="49" s="1"/>
  <c r="AU162" i="49"/>
  <c r="AR162" i="49"/>
  <c r="AN162" i="49"/>
  <c r="AO162" i="49" s="1"/>
  <c r="AJ162" i="49"/>
  <c r="AK162" i="49" s="1"/>
  <c r="AF162" i="49"/>
  <c r="AG162" i="49" s="1"/>
  <c r="AB162" i="49"/>
  <c r="AC162" i="49" s="1"/>
  <c r="X162" i="49"/>
  <c r="Y162" i="49" s="1"/>
  <c r="S162" i="49"/>
  <c r="U18" i="74" l="1"/>
  <c r="F20" i="74"/>
  <c r="AF10" i="74"/>
  <c r="W28" i="74"/>
  <c r="K20" i="74"/>
  <c r="G19" i="74"/>
  <c r="K19" i="74"/>
  <c r="G20" i="74"/>
  <c r="K24" i="74"/>
  <c r="AF9" i="74"/>
  <c r="L18" i="74"/>
  <c r="G18" i="74"/>
  <c r="K18" i="74"/>
  <c r="AD10" i="74"/>
  <c r="AD8" i="74"/>
  <c r="G62" i="74"/>
  <c r="E20" i="74"/>
  <c r="B61" i="74"/>
  <c r="B64" i="74"/>
  <c r="B62" i="74"/>
  <c r="O54" i="74"/>
  <c r="O62" i="74" s="1"/>
  <c r="B63" i="74"/>
  <c r="AJ229" i="49"/>
  <c r="AK229" i="49" s="1"/>
  <c r="AN210" i="49"/>
  <c r="AO210" i="49" s="1"/>
  <c r="L17" i="74" s="1"/>
  <c r="AE7" i="74" s="1"/>
  <c r="AJ233" i="49"/>
  <c r="AK233" i="49" s="1"/>
  <c r="AO231" i="49"/>
  <c r="AN233" i="49"/>
  <c r="AO233" i="49" s="1"/>
  <c r="L25" i="74" s="1"/>
  <c r="AF8" i="74" s="1"/>
  <c r="AG231" i="49"/>
  <c r="AF233" i="49"/>
  <c r="AG233" i="49" s="1"/>
  <c r="AB229" i="49"/>
  <c r="AC229" i="49" s="1"/>
  <c r="AO227" i="49"/>
  <c r="L19" i="74" s="1"/>
  <c r="AN229" i="49"/>
  <c r="AO229" i="49" s="1"/>
  <c r="AG227" i="49"/>
  <c r="AF229" i="49"/>
  <c r="AG229" i="49" s="1"/>
  <c r="AJ210" i="49"/>
  <c r="AK210" i="49" s="1"/>
  <c r="AC208" i="49"/>
  <c r="AB210" i="49"/>
  <c r="AC210" i="49" s="1"/>
  <c r="AN206" i="49"/>
  <c r="AO206" i="49" s="1"/>
  <c r="AJ206" i="49"/>
  <c r="AK206" i="49" s="1"/>
  <c r="AB193" i="49"/>
  <c r="AC193" i="49" s="1"/>
  <c r="AR188" i="49"/>
  <c r="AU192" i="49"/>
  <c r="AU168" i="49"/>
  <c r="AJ168" i="49"/>
  <c r="AK168" i="49" s="1"/>
  <c r="AU188" i="49"/>
  <c r="AR192" i="49"/>
  <c r="AJ193" i="49"/>
  <c r="AK193" i="49" s="1"/>
  <c r="X188" i="49"/>
  <c r="Y188" i="49" s="1"/>
  <c r="AN188" i="49"/>
  <c r="AO188" i="49" s="1"/>
  <c r="AF193" i="49"/>
  <c r="AG193" i="49" s="1"/>
  <c r="AN195" i="49"/>
  <c r="AO195" i="49" s="1"/>
  <c r="AN192" i="49"/>
  <c r="AO192" i="49" s="1"/>
  <c r="AJ192" i="49"/>
  <c r="AK192" i="49" s="1"/>
  <c r="AF192" i="49"/>
  <c r="AG192" i="49" s="1"/>
  <c r="AB192" i="49"/>
  <c r="AC192" i="49" s="1"/>
  <c r="X192" i="49"/>
  <c r="Y192" i="49" s="1"/>
  <c r="AJ188" i="49"/>
  <c r="AK188" i="49" s="1"/>
  <c r="AF188" i="49"/>
  <c r="AG188" i="49" s="1"/>
  <c r="AB188" i="49"/>
  <c r="AC188" i="49" s="1"/>
  <c r="X193" i="49"/>
  <c r="AO194" i="49"/>
  <c r="G54" i="74"/>
  <c r="AU182" i="49"/>
  <c r="AR182" i="49"/>
  <c r="AN182" i="49"/>
  <c r="AO182" i="49" s="1"/>
  <c r="AJ182" i="49"/>
  <c r="AK182" i="49" s="1"/>
  <c r="AF182" i="49"/>
  <c r="AG182" i="49" s="1"/>
  <c r="AB182" i="49"/>
  <c r="AC182" i="49" s="1"/>
  <c r="X182" i="49"/>
  <c r="Y182" i="49" s="1"/>
  <c r="AJ173" i="49"/>
  <c r="AK173" i="49" s="1"/>
  <c r="AR168" i="49"/>
  <c r="AB168" i="49"/>
  <c r="AC168" i="49" s="1"/>
  <c r="AU164" i="49"/>
  <c r="AR164" i="49"/>
  <c r="AB173" i="49"/>
  <c r="AC173" i="49" s="1"/>
  <c r="AN175" i="49"/>
  <c r="AO175" i="49" s="1"/>
  <c r="X175" i="49"/>
  <c r="Y175" i="49" s="1"/>
  <c r="AJ169" i="49"/>
  <c r="AK169" i="49" s="1"/>
  <c r="AB169" i="49"/>
  <c r="AC169" i="49" s="1"/>
  <c r="AN171" i="49"/>
  <c r="AO171" i="49" s="1"/>
  <c r="X171" i="49"/>
  <c r="Y171" i="49" s="1"/>
  <c r="AN168" i="49"/>
  <c r="AO168" i="49" s="1"/>
  <c r="AK166" i="49"/>
  <c r="AF168" i="49"/>
  <c r="AG168" i="49" s="1"/>
  <c r="AC166" i="49"/>
  <c r="X168" i="49"/>
  <c r="Y168" i="49" s="1"/>
  <c r="AN164" i="49"/>
  <c r="AO164" i="49" s="1"/>
  <c r="AJ164" i="49"/>
  <c r="AK164" i="49" s="1"/>
  <c r="AF164" i="49"/>
  <c r="AG164" i="49" s="1"/>
  <c r="AB164" i="49"/>
  <c r="AC164" i="49" s="1"/>
  <c r="X164" i="49"/>
  <c r="Y164" i="49" s="1"/>
  <c r="AF173" i="49"/>
  <c r="Y174" i="49"/>
  <c r="AO174" i="49"/>
  <c r="AF169" i="49"/>
  <c r="Y170" i="49"/>
  <c r="AO170" i="49"/>
  <c r="W27" i="74" l="1"/>
  <c r="W19" i="74"/>
  <c r="AE9" i="74"/>
  <c r="L20" i="74"/>
  <c r="W20" i="74" s="1"/>
  <c r="L24" i="74"/>
  <c r="AF7" i="74" s="1"/>
  <c r="AE8" i="74"/>
  <c r="G61" i="74"/>
  <c r="K63" i="74"/>
  <c r="G63" i="74"/>
  <c r="AB195" i="49"/>
  <c r="AC195" i="49" s="1"/>
  <c r="AJ195" i="49"/>
  <c r="AK195" i="49" s="1"/>
  <c r="AJ175" i="49"/>
  <c r="AK175" i="49" s="1"/>
  <c r="AF195" i="49"/>
  <c r="AG195" i="49" s="1"/>
  <c r="Y193" i="49"/>
  <c r="X195" i="49"/>
  <c r="Y195" i="49" s="1"/>
  <c r="K55" i="74"/>
  <c r="G55" i="74"/>
  <c r="K56" i="74"/>
  <c r="G56" i="74"/>
  <c r="K53" i="74"/>
  <c r="G53" i="74"/>
  <c r="AB175" i="49"/>
  <c r="AC175" i="49" s="1"/>
  <c r="AJ171" i="49"/>
  <c r="AK171" i="49" s="1"/>
  <c r="AB171" i="49"/>
  <c r="AC171" i="49" s="1"/>
  <c r="AG173" i="49"/>
  <c r="AF175" i="49"/>
  <c r="AG175" i="49" s="1"/>
  <c r="AG169" i="49"/>
  <c r="AF171" i="49"/>
  <c r="AG171" i="49" s="1"/>
  <c r="AU147" i="49"/>
  <c r="AR147" i="49"/>
  <c r="AN147" i="49"/>
  <c r="AO147" i="49" s="1"/>
  <c r="AJ147" i="49"/>
  <c r="AK147" i="49" s="1"/>
  <c r="AF147" i="49"/>
  <c r="AG147" i="49" s="1"/>
  <c r="AB147" i="49"/>
  <c r="AC147" i="49" s="1"/>
  <c r="X147" i="49"/>
  <c r="Y147" i="49" s="1"/>
  <c r="S147" i="49"/>
  <c r="AU160" i="49"/>
  <c r="AR160" i="49"/>
  <c r="AN160" i="49"/>
  <c r="AO160" i="49" s="1"/>
  <c r="AJ160" i="49"/>
  <c r="AK160" i="49" s="1"/>
  <c r="AF160" i="49"/>
  <c r="AG160" i="49" s="1"/>
  <c r="AB160" i="49"/>
  <c r="AC160" i="49" s="1"/>
  <c r="X160" i="49"/>
  <c r="Y160" i="49" s="1"/>
  <c r="S160" i="49"/>
  <c r="AU159" i="49"/>
  <c r="AR159" i="49"/>
  <c r="AN159" i="49"/>
  <c r="AO159" i="49" s="1"/>
  <c r="AJ159" i="49"/>
  <c r="AK159" i="49" s="1"/>
  <c r="AF159" i="49"/>
  <c r="AG159" i="49" s="1"/>
  <c r="AB159" i="49"/>
  <c r="AC159" i="49" s="1"/>
  <c r="X159" i="49"/>
  <c r="Y159" i="49" s="1"/>
  <c r="AT158" i="49"/>
  <c r="AS158" i="49"/>
  <c r="AM158" i="49"/>
  <c r="AL158" i="49"/>
  <c r="AI158" i="49"/>
  <c r="AH158" i="49"/>
  <c r="AE158" i="49"/>
  <c r="AD158" i="49"/>
  <c r="AA158" i="49"/>
  <c r="Z158" i="49"/>
  <c r="W158" i="49"/>
  <c r="V158" i="49"/>
  <c r="U158" i="49"/>
  <c r="T158" i="49"/>
  <c r="R158" i="49"/>
  <c r="S159" i="49" s="1"/>
  <c r="M158" i="49"/>
  <c r="L158" i="49"/>
  <c r="K158" i="49"/>
  <c r="J158" i="49"/>
  <c r="AU157" i="49"/>
  <c r="AU156" i="49" s="1"/>
  <c r="AU158" i="49" s="1"/>
  <c r="AR157" i="49"/>
  <c r="AR156" i="49" s="1"/>
  <c r="AR158" i="49" s="1"/>
  <c r="AN157" i="49"/>
  <c r="AO157" i="49" s="1"/>
  <c r="AJ157" i="49"/>
  <c r="AJ156" i="49" s="1"/>
  <c r="AK156" i="49" s="1"/>
  <c r="AF157" i="49"/>
  <c r="AG157" i="49" s="1"/>
  <c r="AB157" i="49"/>
  <c r="AC157" i="49" s="1"/>
  <c r="X157" i="49"/>
  <c r="Y157" i="49" s="1"/>
  <c r="S157" i="49"/>
  <c r="S158" i="49" s="1"/>
  <c r="AT155" i="49"/>
  <c r="AS155" i="49"/>
  <c r="AM155" i="49"/>
  <c r="AL155" i="49"/>
  <c r="AI155" i="49"/>
  <c r="AH155" i="49"/>
  <c r="AE155" i="49"/>
  <c r="AD155" i="49"/>
  <c r="AA155" i="49"/>
  <c r="Z155" i="49"/>
  <c r="W155" i="49"/>
  <c r="V155" i="49"/>
  <c r="U155" i="49"/>
  <c r="T155" i="49"/>
  <c r="R155" i="49"/>
  <c r="S156" i="49" s="1"/>
  <c r="M155" i="49"/>
  <c r="L155" i="49"/>
  <c r="K155" i="49"/>
  <c r="J155" i="49"/>
  <c r="AU154" i="49"/>
  <c r="AR154" i="49"/>
  <c r="AN154" i="49"/>
  <c r="AO154" i="49" s="1"/>
  <c r="AJ154" i="49"/>
  <c r="AK154" i="49" s="1"/>
  <c r="AF154" i="49"/>
  <c r="AG154" i="49" s="1"/>
  <c r="AB154" i="49"/>
  <c r="AC154" i="49" s="1"/>
  <c r="X154" i="49"/>
  <c r="Y154" i="49" s="1"/>
  <c r="S154" i="49"/>
  <c r="S155" i="49" s="1"/>
  <c r="AU153" i="49"/>
  <c r="AR153" i="49"/>
  <c r="AN153" i="49"/>
  <c r="AO153" i="49" s="1"/>
  <c r="AJ153" i="49"/>
  <c r="AF153" i="49"/>
  <c r="AG153" i="49" s="1"/>
  <c r="AB153" i="49"/>
  <c r="X153" i="49"/>
  <c r="Y153" i="49" s="1"/>
  <c r="S153" i="49"/>
  <c r="AU152" i="49"/>
  <c r="AR152" i="49"/>
  <c r="AN152" i="49"/>
  <c r="AO152" i="49" s="1"/>
  <c r="AJ152" i="49"/>
  <c r="AK152" i="49" s="1"/>
  <c r="AF152" i="49"/>
  <c r="AG152" i="49" s="1"/>
  <c r="AB152" i="49"/>
  <c r="AC152" i="49" s="1"/>
  <c r="X152" i="49"/>
  <c r="Y152" i="49" s="1"/>
  <c r="AT151" i="49"/>
  <c r="AS151" i="49"/>
  <c r="AM151" i="49"/>
  <c r="AL151" i="49"/>
  <c r="AI151" i="49"/>
  <c r="AH151" i="49"/>
  <c r="AE151" i="49"/>
  <c r="AD151" i="49"/>
  <c r="AA151" i="49"/>
  <c r="Z151" i="49"/>
  <c r="W151" i="49"/>
  <c r="V151" i="49"/>
  <c r="U151" i="49"/>
  <c r="T151" i="49"/>
  <c r="R151" i="49"/>
  <c r="S152" i="49" s="1"/>
  <c r="M151" i="49"/>
  <c r="L151" i="49"/>
  <c r="K151" i="49"/>
  <c r="J151" i="49"/>
  <c r="AU150" i="49"/>
  <c r="AR150" i="49"/>
  <c r="AN150" i="49"/>
  <c r="AO150" i="49" s="1"/>
  <c r="AJ150" i="49"/>
  <c r="AK150" i="49" s="1"/>
  <c r="AF150" i="49"/>
  <c r="AG150" i="49" s="1"/>
  <c r="AB150" i="49"/>
  <c r="AC150" i="49" s="1"/>
  <c r="X150" i="49"/>
  <c r="Y150" i="49" s="1"/>
  <c r="S150" i="49"/>
  <c r="S151" i="49" s="1"/>
  <c r="AU149" i="49"/>
  <c r="AR149" i="49"/>
  <c r="AN149" i="49"/>
  <c r="AO149" i="49" s="1"/>
  <c r="AJ149" i="49"/>
  <c r="AK149" i="49" s="1"/>
  <c r="AF149" i="49"/>
  <c r="AG149" i="49" s="1"/>
  <c r="AB149" i="49"/>
  <c r="AC149" i="49" s="1"/>
  <c r="X149" i="49"/>
  <c r="Y149" i="49" s="1"/>
  <c r="S149" i="49"/>
  <c r="AE10" i="74" l="1"/>
  <c r="K64" i="74"/>
  <c r="G64" i="74"/>
  <c r="AN156" i="49"/>
  <c r="AO156" i="49" s="1"/>
  <c r="AU155" i="49"/>
  <c r="AR155" i="49"/>
  <c r="AJ155" i="49"/>
  <c r="AK155" i="49" s="1"/>
  <c r="AB155" i="49"/>
  <c r="AC155" i="49" s="1"/>
  <c r="AU151" i="49"/>
  <c r="AR151" i="49"/>
  <c r="AK157" i="49"/>
  <c r="AF156" i="49"/>
  <c r="AG156" i="49" s="1"/>
  <c r="AB156" i="49"/>
  <c r="AC156" i="49" s="1"/>
  <c r="AJ158" i="49"/>
  <c r="AK158" i="49" s="1"/>
  <c r="AN155" i="49"/>
  <c r="AO155" i="49" s="1"/>
  <c r="AK153" i="49"/>
  <c r="AF155" i="49"/>
  <c r="AG155" i="49" s="1"/>
  <c r="AC153" i="49"/>
  <c r="X155" i="49"/>
  <c r="Y155" i="49" s="1"/>
  <c r="AN151" i="49"/>
  <c r="AO151" i="49" s="1"/>
  <c r="AJ151" i="49"/>
  <c r="AK151" i="49" s="1"/>
  <c r="AF151" i="49"/>
  <c r="AG151" i="49" s="1"/>
  <c r="AB151" i="49"/>
  <c r="AC151" i="49" s="1"/>
  <c r="X151" i="49"/>
  <c r="Y151" i="49" s="1"/>
  <c r="X156" i="49"/>
  <c r="A150" i="49"/>
  <c r="A151" i="49" s="1"/>
  <c r="A152" i="49" s="1"/>
  <c r="A153" i="49" s="1"/>
  <c r="A154" i="49" s="1"/>
  <c r="A155" i="49" s="1"/>
  <c r="A156" i="49" s="1"/>
  <c r="A157" i="49" s="1"/>
  <c r="A158" i="49" s="1"/>
  <c r="AN158" i="49" l="1"/>
  <c r="AO158" i="49" s="1"/>
  <c r="AF158" i="49"/>
  <c r="AG158" i="49" s="1"/>
  <c r="AB158" i="49"/>
  <c r="AC158" i="49" s="1"/>
  <c r="Y156" i="49"/>
  <c r="X158" i="49"/>
  <c r="Y158" i="49" s="1"/>
  <c r="P35" i="74"/>
  <c r="P45" i="74"/>
  <c r="P33" i="74" l="1"/>
  <c r="P11" i="74"/>
  <c r="P26" i="74"/>
  <c r="P43" i="74"/>
  <c r="P18" i="74"/>
  <c r="P55" i="74"/>
  <c r="P63" i="74"/>
  <c r="X27" i="74" l="1"/>
  <c r="X28" i="74"/>
  <c r="AI10" i="74"/>
  <c r="AI9" i="74"/>
  <c r="AH10" i="74"/>
  <c r="AH9" i="74"/>
  <c r="AH8" i="74"/>
  <c r="AH7" i="74"/>
  <c r="A43" i="74"/>
  <c r="E43" i="74" s="1"/>
  <c r="A33" i="74"/>
  <c r="E33" i="74" s="1"/>
  <c r="O45" i="74"/>
  <c r="AY74" i="74"/>
  <c r="AU74" i="74"/>
  <c r="AS74" i="74"/>
  <c r="T21" i="74"/>
  <c r="AE74" i="74" s="1"/>
  <c r="T65" i="74"/>
  <c r="T64" i="74"/>
  <c r="T28" i="74"/>
  <c r="T27" i="74"/>
  <c r="T45" i="74"/>
  <c r="T44" i="74"/>
  <c r="AF42" i="74"/>
  <c r="AF41" i="74"/>
  <c r="AP75" i="74"/>
  <c r="AO75" i="74"/>
  <c r="AQ74" i="74"/>
  <c r="AM74" i="74"/>
  <c r="AQ58" i="74"/>
  <c r="AM58" i="74"/>
  <c r="AQ57" i="74"/>
  <c r="AM57" i="74"/>
  <c r="T57" i="74"/>
  <c r="AQ56" i="74"/>
  <c r="AM56" i="74"/>
  <c r="T56" i="74"/>
  <c r="AQ55" i="74"/>
  <c r="AM55" i="74"/>
  <c r="AQ54" i="74"/>
  <c r="AM54" i="74"/>
  <c r="AQ53" i="74"/>
  <c r="AM53" i="74"/>
  <c r="AO37" i="74"/>
  <c r="AK37" i="74"/>
  <c r="T35" i="74"/>
  <c r="T34" i="74"/>
  <c r="T20" i="74"/>
  <c r="T19" i="74"/>
  <c r="T13" i="74"/>
  <c r="T12" i="74"/>
  <c r="V11" i="74" l="1"/>
  <c r="W11" i="74" s="1"/>
  <c r="A34" i="74"/>
  <c r="C33" i="74"/>
  <c r="J33" i="74"/>
  <c r="AT57" i="74" s="1"/>
  <c r="F33" i="74"/>
  <c r="H33" i="74"/>
  <c r="D33" i="74"/>
  <c r="I33" i="74"/>
  <c r="AS57" i="74" s="1"/>
  <c r="C43" i="74"/>
  <c r="J43" i="74"/>
  <c r="AX57" i="74" s="1"/>
  <c r="F43" i="74"/>
  <c r="D43" i="74"/>
  <c r="I43" i="74"/>
  <c r="AW57" i="74" s="1"/>
  <c r="H43" i="74"/>
  <c r="W57" i="74"/>
  <c r="X57" i="74" s="1"/>
  <c r="AH39" i="74" s="1"/>
  <c r="W65" i="74"/>
  <c r="T58" i="74"/>
  <c r="AH74" i="74" s="1"/>
  <c r="T29" i="74"/>
  <c r="AF74" i="74" s="1"/>
  <c r="V55" i="74"/>
  <c r="W55" i="74" s="1"/>
  <c r="AF39" i="74"/>
  <c r="X12" i="74"/>
  <c r="AD38" i="74" s="1"/>
  <c r="A44" i="74"/>
  <c r="W64" i="74"/>
  <c r="AF38" i="74"/>
  <c r="W56" i="74"/>
  <c r="AI8" i="74"/>
  <c r="X19" i="74"/>
  <c r="AE38" i="74" s="1"/>
  <c r="T66" i="74"/>
  <c r="AI74" i="74" s="1"/>
  <c r="V18" i="74" l="1"/>
  <c r="W18" i="74" s="1"/>
  <c r="V26" i="74"/>
  <c r="W26" i="74" s="1"/>
  <c r="X26" i="74" s="1"/>
  <c r="A45" i="74"/>
  <c r="E45" i="74" s="1"/>
  <c r="E44" i="74"/>
  <c r="A35" i="74"/>
  <c r="E35" i="74" s="1"/>
  <c r="E34" i="74"/>
  <c r="D45" i="74"/>
  <c r="C45" i="74"/>
  <c r="D34" i="74"/>
  <c r="C34" i="74"/>
  <c r="D44" i="74"/>
  <c r="C44" i="74"/>
  <c r="Y56" i="74"/>
  <c r="AH14" i="74" s="1"/>
  <c r="Y27" i="74"/>
  <c r="AF14" i="74" s="1"/>
  <c r="Y28" i="74"/>
  <c r="AF15" i="74" s="1"/>
  <c r="Y57" i="74"/>
  <c r="AH15" i="74" s="1"/>
  <c r="AY57" i="74"/>
  <c r="AU57" i="74"/>
  <c r="BD57" i="74" s="1"/>
  <c r="X13" i="74"/>
  <c r="AD39" i="74" s="1"/>
  <c r="X56" i="74"/>
  <c r="AH38" i="74" s="1"/>
  <c r="A46" i="74"/>
  <c r="E46" i="74" s="1"/>
  <c r="A36" i="74"/>
  <c r="E36" i="74" s="1"/>
  <c r="Y19" i="74"/>
  <c r="AE14" i="74" s="1"/>
  <c r="Y55" i="74"/>
  <c r="AH13" i="74" s="1"/>
  <c r="X55" i="74"/>
  <c r="AH37" i="74" s="1"/>
  <c r="Y20" i="74"/>
  <c r="AE15" i="74" s="1"/>
  <c r="X20" i="74"/>
  <c r="AE39" i="74" s="1"/>
  <c r="Y65" i="74"/>
  <c r="AI15" i="74" s="1"/>
  <c r="Y64" i="74"/>
  <c r="AI14" i="74" s="1"/>
  <c r="X11" i="74"/>
  <c r="AD37" i="74" s="1"/>
  <c r="X65" i="74"/>
  <c r="AI39" i="74" s="1"/>
  <c r="X64" i="74"/>
  <c r="AI38" i="74" s="1"/>
  <c r="AF37" i="74" l="1"/>
  <c r="Y18" i="74"/>
  <c r="AE13" i="74" s="1"/>
  <c r="X18" i="74"/>
  <c r="AE37" i="74" s="1"/>
  <c r="C35" i="74"/>
  <c r="D35" i="74"/>
  <c r="D36" i="74"/>
  <c r="C36" i="74"/>
  <c r="D46" i="74"/>
  <c r="C46" i="74"/>
  <c r="BC57" i="74"/>
  <c r="A47" i="74"/>
  <c r="E47" i="74" s="1"/>
  <c r="A37" i="74"/>
  <c r="E37" i="74" s="1"/>
  <c r="V63" i="74"/>
  <c r="W63" i="74" s="1"/>
  <c r="Y26" i="74" l="1"/>
  <c r="AF13" i="74" s="1"/>
  <c r="C37" i="74"/>
  <c r="D37" i="74"/>
  <c r="C47" i="74"/>
  <c r="D47" i="74"/>
  <c r="A48" i="74"/>
  <c r="E48" i="74" s="1"/>
  <c r="A38" i="74"/>
  <c r="E38" i="74" s="1"/>
  <c r="Y63" i="74"/>
  <c r="AI13" i="74" s="1"/>
  <c r="X63" i="74"/>
  <c r="AI37" i="74" s="1"/>
  <c r="H38" i="74" l="1"/>
  <c r="D38" i="74"/>
  <c r="C38" i="74"/>
  <c r="I38" i="74"/>
  <c r="AS58" i="74" s="1"/>
  <c r="F38" i="74"/>
  <c r="J38" i="74"/>
  <c r="AT58" i="74" s="1"/>
  <c r="H48" i="74"/>
  <c r="D48" i="74"/>
  <c r="C48" i="74"/>
  <c r="J48" i="74"/>
  <c r="F48" i="74"/>
  <c r="I48" i="74"/>
  <c r="A49" i="74"/>
  <c r="E49" i="74" s="1"/>
  <c r="A39" i="74"/>
  <c r="E39" i="74" s="1"/>
  <c r="D39" i="74" l="1"/>
  <c r="C39" i="74"/>
  <c r="D49" i="74"/>
  <c r="C49" i="74"/>
  <c r="AU58" i="74"/>
  <c r="BD58" i="74" s="1"/>
  <c r="BC58" i="74" l="1"/>
  <c r="F130" i="49"/>
  <c r="F131" i="49"/>
  <c r="F132" i="49"/>
  <c r="F133" i="49"/>
  <c r="F134" i="49"/>
  <c r="F135" i="49"/>
  <c r="F136" i="49"/>
  <c r="F137" i="49"/>
  <c r="F138" i="49"/>
  <c r="F139" i="49"/>
  <c r="F140" i="49"/>
  <c r="F141" i="49"/>
  <c r="F142" i="49"/>
  <c r="F143" i="49"/>
  <c r="F144" i="49"/>
  <c r="F145" i="49"/>
  <c r="F146" i="49"/>
  <c r="F129" i="49"/>
  <c r="F112" i="49"/>
  <c r="F113" i="49"/>
  <c r="F114" i="49"/>
  <c r="F115" i="49"/>
  <c r="F116" i="49"/>
  <c r="F117" i="49"/>
  <c r="F118" i="49"/>
  <c r="F119" i="49"/>
  <c r="F120" i="49"/>
  <c r="F121" i="49"/>
  <c r="F122" i="49"/>
  <c r="F123" i="49"/>
  <c r="F124" i="49"/>
  <c r="F125" i="49"/>
  <c r="F126" i="49"/>
  <c r="F127" i="49"/>
  <c r="F111" i="49"/>
  <c r="F110" i="49"/>
  <c r="F109" i="49"/>
  <c r="F108" i="49"/>
  <c r="F107" i="49"/>
  <c r="F106" i="49"/>
  <c r="F105" i="49"/>
  <c r="F104" i="49"/>
  <c r="F103" i="49"/>
  <c r="F102" i="49"/>
  <c r="F101" i="49"/>
  <c r="F100" i="49"/>
  <c r="F88" i="49"/>
  <c r="F89" i="49"/>
  <c r="F90" i="49"/>
  <c r="F91" i="49"/>
  <c r="F92" i="49"/>
  <c r="F93" i="49"/>
  <c r="F94" i="49"/>
  <c r="F95" i="49"/>
  <c r="F96" i="49"/>
  <c r="F97" i="49"/>
  <c r="F98" i="49"/>
  <c r="F87" i="49"/>
  <c r="F64" i="49"/>
  <c r="F65" i="49"/>
  <c r="F66" i="49"/>
  <c r="F67" i="49"/>
  <c r="F68" i="49"/>
  <c r="F69" i="49"/>
  <c r="F70" i="49"/>
  <c r="F71" i="49"/>
  <c r="F72" i="49"/>
  <c r="F73" i="49"/>
  <c r="F74" i="49"/>
  <c r="F75" i="49"/>
  <c r="F76" i="49"/>
  <c r="F77" i="49"/>
  <c r="F78" i="49"/>
  <c r="F79" i="49"/>
  <c r="F80" i="49"/>
  <c r="F81" i="49"/>
  <c r="F82" i="49"/>
  <c r="F83" i="49"/>
  <c r="F84" i="49"/>
  <c r="F85" i="49"/>
  <c r="F63" i="49"/>
  <c r="F40" i="49"/>
  <c r="F41" i="49"/>
  <c r="F42" i="49"/>
  <c r="F43" i="49"/>
  <c r="F44" i="49"/>
  <c r="F45" i="49"/>
  <c r="F46" i="49"/>
  <c r="F47" i="49"/>
  <c r="F48" i="49"/>
  <c r="F49" i="49"/>
  <c r="F50" i="49"/>
  <c r="F51" i="49"/>
  <c r="F52" i="49"/>
  <c r="F53" i="49"/>
  <c r="F54" i="49"/>
  <c r="F55" i="49"/>
  <c r="F56" i="49"/>
  <c r="F57" i="49"/>
  <c r="F58" i="49"/>
  <c r="F59" i="49"/>
  <c r="F60" i="49"/>
  <c r="F61" i="49"/>
  <c r="F39" i="49"/>
  <c r="F15" i="49"/>
  <c r="F16" i="49"/>
  <c r="F17" i="49"/>
  <c r="F18" i="49"/>
  <c r="F19" i="49"/>
  <c r="F20" i="49"/>
  <c r="F21" i="49"/>
  <c r="F22" i="49"/>
  <c r="F23" i="49"/>
  <c r="F24" i="49"/>
  <c r="F25" i="49"/>
  <c r="F26" i="49"/>
  <c r="F27" i="49"/>
  <c r="F28" i="49"/>
  <c r="F29" i="49"/>
  <c r="F30" i="49"/>
  <c r="F31" i="49"/>
  <c r="F32" i="49"/>
  <c r="F33" i="49"/>
  <c r="F34" i="49"/>
  <c r="F35" i="49"/>
  <c r="F36" i="49"/>
  <c r="F37" i="49"/>
  <c r="F14" i="49"/>
  <c r="A147" i="49" l="1"/>
  <c r="AU146" i="49"/>
  <c r="AR146" i="49"/>
  <c r="AN146" i="49"/>
  <c r="AO146" i="49" s="1"/>
  <c r="AJ146" i="49"/>
  <c r="AK146" i="49" s="1"/>
  <c r="AF146" i="49"/>
  <c r="AG146" i="49" s="1"/>
  <c r="AB146" i="49"/>
  <c r="AC146" i="49" s="1"/>
  <c r="X146" i="49"/>
  <c r="Y146" i="49" s="1"/>
  <c r="AT145" i="49"/>
  <c r="AS145" i="49"/>
  <c r="AM145" i="49"/>
  <c r="AL145" i="49"/>
  <c r="AI145" i="49"/>
  <c r="AH145" i="49"/>
  <c r="AE145" i="49"/>
  <c r="AD145" i="49"/>
  <c r="AA145" i="49"/>
  <c r="Z145" i="49"/>
  <c r="W145" i="49"/>
  <c r="V145" i="49"/>
  <c r="U145" i="49"/>
  <c r="T145" i="49"/>
  <c r="R145" i="49"/>
  <c r="S146" i="49" s="1"/>
  <c r="M145" i="49"/>
  <c r="L145" i="49"/>
  <c r="K145" i="49"/>
  <c r="J145" i="49"/>
  <c r="AU144" i="49"/>
  <c r="AR144" i="49"/>
  <c r="AN144" i="49"/>
  <c r="AO144" i="49" s="1"/>
  <c r="AJ144" i="49"/>
  <c r="AK144" i="49" s="1"/>
  <c r="AF144" i="49"/>
  <c r="AG144" i="49" s="1"/>
  <c r="AB144" i="49"/>
  <c r="AC144" i="49" s="1"/>
  <c r="X144" i="49"/>
  <c r="Y144" i="49" s="1"/>
  <c r="S144" i="49"/>
  <c r="S145" i="49" s="1"/>
  <c r="AU143" i="49"/>
  <c r="AR143" i="49"/>
  <c r="AN143" i="49"/>
  <c r="AO143" i="49" s="1"/>
  <c r="AJ143" i="49"/>
  <c r="AK143" i="49" s="1"/>
  <c r="AF143" i="49"/>
  <c r="AG143" i="49" s="1"/>
  <c r="AB143" i="49"/>
  <c r="AC143" i="49" s="1"/>
  <c r="X143" i="49"/>
  <c r="Y143" i="49" s="1"/>
  <c r="AT142" i="49"/>
  <c r="AS142" i="49"/>
  <c r="AM142" i="49"/>
  <c r="AL142" i="49"/>
  <c r="AH142" i="49"/>
  <c r="AE142" i="49"/>
  <c r="AD142" i="49"/>
  <c r="AA142" i="49"/>
  <c r="Z142" i="49"/>
  <c r="W142" i="49"/>
  <c r="V142" i="49"/>
  <c r="U142" i="49"/>
  <c r="T142" i="49"/>
  <c r="R142" i="49"/>
  <c r="S143" i="49" s="1"/>
  <c r="M142" i="49"/>
  <c r="L142" i="49"/>
  <c r="K142" i="49"/>
  <c r="J142" i="49"/>
  <c r="AU141" i="49"/>
  <c r="AR141" i="49"/>
  <c r="AN141" i="49"/>
  <c r="AO141" i="49" s="1"/>
  <c r="AJ141" i="49"/>
  <c r="AK141" i="49" s="1"/>
  <c r="AF141" i="49"/>
  <c r="AG141" i="49" s="1"/>
  <c r="AB141" i="49"/>
  <c r="AC141" i="49" s="1"/>
  <c r="X141" i="49"/>
  <c r="Y141" i="49" s="1"/>
  <c r="S141" i="49"/>
  <c r="S142" i="49" s="1"/>
  <c r="AU140" i="49"/>
  <c r="AR140" i="49"/>
  <c r="AN140" i="49"/>
  <c r="AO140" i="49" s="1"/>
  <c r="AJ140" i="49"/>
  <c r="AK140" i="49" s="1"/>
  <c r="AF140" i="49"/>
  <c r="AG140" i="49" s="1"/>
  <c r="AB140" i="49"/>
  <c r="AC140" i="49" s="1"/>
  <c r="X140" i="49"/>
  <c r="Y140" i="49" s="1"/>
  <c r="S140" i="49"/>
  <c r="AU139" i="49"/>
  <c r="AR139" i="49"/>
  <c r="AN139" i="49"/>
  <c r="AO139" i="49" s="1"/>
  <c r="AJ139" i="49"/>
  <c r="AK139" i="49" s="1"/>
  <c r="AF139" i="49"/>
  <c r="AG139" i="49" s="1"/>
  <c r="AB139" i="49"/>
  <c r="AC139" i="49" s="1"/>
  <c r="X139" i="49"/>
  <c r="Y139" i="49" s="1"/>
  <c r="AT138" i="49"/>
  <c r="AS138" i="49"/>
  <c r="AM138" i="49"/>
  <c r="AL138" i="49"/>
  <c r="AI138" i="49"/>
  <c r="AH138" i="49"/>
  <c r="AE138" i="49"/>
  <c r="AD138" i="49"/>
  <c r="AA138" i="49"/>
  <c r="Z138" i="49"/>
  <c r="W138" i="49"/>
  <c r="V138" i="49"/>
  <c r="U138" i="49"/>
  <c r="T138" i="49"/>
  <c r="R138" i="49"/>
  <c r="S139" i="49" s="1"/>
  <c r="M138" i="49"/>
  <c r="L138" i="49"/>
  <c r="K138" i="49"/>
  <c r="J138" i="49"/>
  <c r="AU137" i="49"/>
  <c r="AU136" i="49" s="1"/>
  <c r="AU138" i="49" s="1"/>
  <c r="AR137" i="49"/>
  <c r="AR136" i="49" s="1"/>
  <c r="AR138" i="49" s="1"/>
  <c r="AN137" i="49"/>
  <c r="AN136" i="49" s="1"/>
  <c r="AO136" i="49" s="1"/>
  <c r="AJ137" i="49"/>
  <c r="AK137" i="49" s="1"/>
  <c r="AF137" i="49"/>
  <c r="AG137" i="49" s="1"/>
  <c r="AB137" i="49"/>
  <c r="AC137" i="49" s="1"/>
  <c r="X137" i="49"/>
  <c r="Y137" i="49" s="1"/>
  <c r="S137" i="49"/>
  <c r="S138" i="49" s="1"/>
  <c r="S136" i="49"/>
  <c r="AU135" i="49"/>
  <c r="AR135" i="49"/>
  <c r="AN135" i="49"/>
  <c r="AO135" i="49" s="1"/>
  <c r="AJ135" i="49"/>
  <c r="AK135" i="49" s="1"/>
  <c r="AF135" i="49"/>
  <c r="AG135" i="49" s="1"/>
  <c r="AB135" i="49"/>
  <c r="AC135" i="49" s="1"/>
  <c r="X135" i="49"/>
  <c r="Y135" i="49" s="1"/>
  <c r="AT134" i="49"/>
  <c r="AS134" i="49"/>
  <c r="AM134" i="49"/>
  <c r="AL134" i="49"/>
  <c r="AI134" i="49"/>
  <c r="AH134" i="49"/>
  <c r="AE134" i="49"/>
  <c r="AD134" i="49"/>
  <c r="AA134" i="49"/>
  <c r="Z134" i="49"/>
  <c r="W134" i="49"/>
  <c r="V134" i="49"/>
  <c r="U134" i="49"/>
  <c r="T134" i="49"/>
  <c r="R134" i="49"/>
  <c r="M134" i="49"/>
  <c r="L134" i="49"/>
  <c r="K134" i="49"/>
  <c r="J134" i="49"/>
  <c r="AU133" i="49"/>
  <c r="AR133" i="49"/>
  <c r="AN133" i="49"/>
  <c r="AO133" i="49" s="1"/>
  <c r="AJ133" i="49"/>
  <c r="AK133" i="49" s="1"/>
  <c r="AF133" i="49"/>
  <c r="AG133" i="49" s="1"/>
  <c r="AB133" i="49"/>
  <c r="AC133" i="49" s="1"/>
  <c r="X133" i="49"/>
  <c r="Y133" i="49" s="1"/>
  <c r="S133" i="49"/>
  <c r="S134" i="49" s="1"/>
  <c r="AU132" i="49"/>
  <c r="AR132" i="49"/>
  <c r="AN132" i="49"/>
  <c r="AO132" i="49" s="1"/>
  <c r="AJ132" i="49"/>
  <c r="AK132" i="49" s="1"/>
  <c r="AF132" i="49"/>
  <c r="AG132" i="49" s="1"/>
  <c r="AB132" i="49"/>
  <c r="AC132" i="49" s="1"/>
  <c r="X132" i="49"/>
  <c r="Y132" i="49" s="1"/>
  <c r="AT131" i="49"/>
  <c r="AS131" i="49"/>
  <c r="AM131" i="49"/>
  <c r="AL131" i="49"/>
  <c r="AI131" i="49"/>
  <c r="AH131" i="49"/>
  <c r="AE131" i="49"/>
  <c r="AD131" i="49"/>
  <c r="AA131" i="49"/>
  <c r="Z131" i="49"/>
  <c r="W131" i="49"/>
  <c r="V131" i="49"/>
  <c r="U131" i="49"/>
  <c r="T131" i="49"/>
  <c r="R131" i="49"/>
  <c r="S132" i="49" s="1"/>
  <c r="M131" i="49"/>
  <c r="L131" i="49"/>
  <c r="K131" i="49"/>
  <c r="J131" i="49"/>
  <c r="AU130" i="49"/>
  <c r="AR130" i="49"/>
  <c r="AN130" i="49"/>
  <c r="AO130" i="49" s="1"/>
  <c r="AJ130" i="49"/>
  <c r="AK130" i="49" s="1"/>
  <c r="AF130" i="49"/>
  <c r="AG130" i="49" s="1"/>
  <c r="AB130" i="49"/>
  <c r="AC130" i="49" s="1"/>
  <c r="X130" i="49"/>
  <c r="Y130" i="49" s="1"/>
  <c r="S130" i="49"/>
  <c r="S131" i="49" s="1"/>
  <c r="AU129" i="49"/>
  <c r="AR129" i="49"/>
  <c r="AN129" i="49"/>
  <c r="AO129" i="49" s="1"/>
  <c r="AJ129" i="49"/>
  <c r="AK129" i="49" s="1"/>
  <c r="AF129" i="49"/>
  <c r="AG129" i="49" s="1"/>
  <c r="AB129" i="49"/>
  <c r="AC129" i="49" s="1"/>
  <c r="X129" i="49"/>
  <c r="Y129" i="49" s="1"/>
  <c r="S129" i="49"/>
  <c r="AU127" i="49"/>
  <c r="AR127" i="49"/>
  <c r="AN127" i="49"/>
  <c r="AO127" i="49" s="1"/>
  <c r="AJ127" i="49"/>
  <c r="AK127" i="49" s="1"/>
  <c r="AF127" i="49"/>
  <c r="AG127" i="49" s="1"/>
  <c r="AB127" i="49"/>
  <c r="AC127" i="49" s="1"/>
  <c r="X127" i="49"/>
  <c r="Y127" i="49" s="1"/>
  <c r="S127" i="49"/>
  <c r="AU126" i="49"/>
  <c r="AR126" i="49"/>
  <c r="AN126" i="49"/>
  <c r="AO126" i="49" s="1"/>
  <c r="AJ126" i="49"/>
  <c r="AK126" i="49" s="1"/>
  <c r="AF126" i="49"/>
  <c r="AG126" i="49" s="1"/>
  <c r="AB126" i="49"/>
  <c r="AC126" i="49" s="1"/>
  <c r="X126" i="49"/>
  <c r="Y126" i="49" s="1"/>
  <c r="S126" i="49"/>
  <c r="AU125" i="49"/>
  <c r="AR125" i="49"/>
  <c r="AN125" i="49"/>
  <c r="AO125" i="49" s="1"/>
  <c r="AJ125" i="49"/>
  <c r="AK125" i="49" s="1"/>
  <c r="AF125" i="49"/>
  <c r="AG125" i="49" s="1"/>
  <c r="AB125" i="49"/>
  <c r="AC125" i="49" s="1"/>
  <c r="X125" i="49"/>
  <c r="Y125" i="49" s="1"/>
  <c r="S125" i="49"/>
  <c r="AU124" i="49"/>
  <c r="AR124" i="49"/>
  <c r="AN124" i="49"/>
  <c r="AO124" i="49" s="1"/>
  <c r="AJ124" i="49"/>
  <c r="AK124" i="49" s="1"/>
  <c r="AF124" i="49"/>
  <c r="AG124" i="49" s="1"/>
  <c r="AB124" i="49"/>
  <c r="AC124" i="49" s="1"/>
  <c r="X124" i="49"/>
  <c r="Y124" i="49" s="1"/>
  <c r="S124" i="49"/>
  <c r="AU123" i="49"/>
  <c r="AR123" i="49"/>
  <c r="AN123" i="49"/>
  <c r="AO123" i="49" s="1"/>
  <c r="AJ123" i="49"/>
  <c r="AK123" i="49" s="1"/>
  <c r="AF123" i="49"/>
  <c r="AG123" i="49" s="1"/>
  <c r="AB123" i="49"/>
  <c r="AC123" i="49" s="1"/>
  <c r="X123" i="49"/>
  <c r="Y123" i="49" s="1"/>
  <c r="S123" i="49"/>
  <c r="AU122" i="49"/>
  <c r="AR122" i="49"/>
  <c r="AN122" i="49"/>
  <c r="AO122" i="49" s="1"/>
  <c r="AJ122" i="49"/>
  <c r="AK122" i="49" s="1"/>
  <c r="AF122" i="49"/>
  <c r="AG122" i="49" s="1"/>
  <c r="AB122" i="49"/>
  <c r="AC122" i="49" s="1"/>
  <c r="X122" i="49"/>
  <c r="Y122" i="49" s="1"/>
  <c r="S122" i="49"/>
  <c r="AU121" i="49"/>
  <c r="AR121" i="49"/>
  <c r="AN121" i="49"/>
  <c r="AO121" i="49" s="1"/>
  <c r="AJ121" i="49"/>
  <c r="AK121" i="49" s="1"/>
  <c r="AF121" i="49"/>
  <c r="AG121" i="49" s="1"/>
  <c r="AB121" i="49"/>
  <c r="AC121" i="49" s="1"/>
  <c r="X121" i="49"/>
  <c r="Y121" i="49" s="1"/>
  <c r="S121" i="49"/>
  <c r="AU120" i="49"/>
  <c r="AR120" i="49"/>
  <c r="AN120" i="49"/>
  <c r="AO120" i="49" s="1"/>
  <c r="AJ120" i="49"/>
  <c r="AK120" i="49" s="1"/>
  <c r="AF120" i="49"/>
  <c r="AG120" i="49" s="1"/>
  <c r="AB120" i="49"/>
  <c r="AC120" i="49" s="1"/>
  <c r="X120" i="49"/>
  <c r="Y120" i="49" s="1"/>
  <c r="S120" i="49"/>
  <c r="AU119" i="49"/>
  <c r="AR119" i="49"/>
  <c r="AN119" i="49"/>
  <c r="AO119" i="49" s="1"/>
  <c r="AJ119" i="49"/>
  <c r="AK119" i="49" s="1"/>
  <c r="AF119" i="49"/>
  <c r="AG119" i="49" s="1"/>
  <c r="AB119" i="49"/>
  <c r="AC119" i="49" s="1"/>
  <c r="X119" i="49"/>
  <c r="Y119" i="49" s="1"/>
  <c r="S119" i="49"/>
  <c r="AU118" i="49"/>
  <c r="AR118" i="49"/>
  <c r="AN118" i="49"/>
  <c r="AO118" i="49" s="1"/>
  <c r="AJ118" i="49"/>
  <c r="AK118" i="49" s="1"/>
  <c r="AF118" i="49"/>
  <c r="AG118" i="49" s="1"/>
  <c r="AB118" i="49"/>
  <c r="AC118" i="49" s="1"/>
  <c r="X118" i="49"/>
  <c r="Y118" i="49" s="1"/>
  <c r="S118" i="49"/>
  <c r="AU117" i="49"/>
  <c r="AR117" i="49"/>
  <c r="AN117" i="49"/>
  <c r="AO117" i="49" s="1"/>
  <c r="AJ117" i="49"/>
  <c r="AK117" i="49" s="1"/>
  <c r="AF117" i="49"/>
  <c r="AG117" i="49" s="1"/>
  <c r="AB117" i="49"/>
  <c r="AC117" i="49" s="1"/>
  <c r="X117" i="49"/>
  <c r="Y117" i="49" s="1"/>
  <c r="S117" i="49"/>
  <c r="AU116" i="49"/>
  <c r="AR116" i="49"/>
  <c r="AN116" i="49"/>
  <c r="AO116" i="49" s="1"/>
  <c r="AJ116" i="49"/>
  <c r="AK116" i="49" s="1"/>
  <c r="AF116" i="49"/>
  <c r="AG116" i="49" s="1"/>
  <c r="AB116" i="49"/>
  <c r="AC116" i="49" s="1"/>
  <c r="X116" i="49"/>
  <c r="Y116" i="49" s="1"/>
  <c r="S116" i="49"/>
  <c r="AU115" i="49"/>
  <c r="AR115" i="49"/>
  <c r="AN115" i="49"/>
  <c r="AO115" i="49" s="1"/>
  <c r="AJ115" i="49"/>
  <c r="AK115" i="49" s="1"/>
  <c r="AF115" i="49"/>
  <c r="AG115" i="49" s="1"/>
  <c r="AB115" i="49"/>
  <c r="AC115" i="49" s="1"/>
  <c r="X115" i="49"/>
  <c r="Y115" i="49" s="1"/>
  <c r="S115" i="49"/>
  <c r="AU114" i="49"/>
  <c r="AR114" i="49"/>
  <c r="AN114" i="49"/>
  <c r="AO114" i="49" s="1"/>
  <c r="AJ114" i="49"/>
  <c r="AK114" i="49" s="1"/>
  <c r="AF114" i="49"/>
  <c r="AG114" i="49" s="1"/>
  <c r="AB114" i="49"/>
  <c r="AC114" i="49" s="1"/>
  <c r="X114" i="49"/>
  <c r="Y114" i="49" s="1"/>
  <c r="S114" i="49"/>
  <c r="AU113" i="49"/>
  <c r="AR113" i="49"/>
  <c r="AN113" i="49"/>
  <c r="AO113" i="49" s="1"/>
  <c r="AJ113" i="49"/>
  <c r="AK113" i="49" s="1"/>
  <c r="AF113" i="49"/>
  <c r="AG113" i="49" s="1"/>
  <c r="AB113" i="49"/>
  <c r="AC113" i="49" s="1"/>
  <c r="X113" i="49"/>
  <c r="Y113" i="49" s="1"/>
  <c r="S113" i="49"/>
  <c r="AU112" i="49"/>
  <c r="AR112" i="49"/>
  <c r="AN112" i="49"/>
  <c r="AO112" i="49" s="1"/>
  <c r="AJ112" i="49"/>
  <c r="AK112" i="49" s="1"/>
  <c r="AF112" i="49"/>
  <c r="AG112" i="49" s="1"/>
  <c r="AB112" i="49"/>
  <c r="AC112" i="49" s="1"/>
  <c r="X112" i="49"/>
  <c r="Y112" i="49" s="1"/>
  <c r="S112" i="49"/>
  <c r="AU111" i="49"/>
  <c r="AR111" i="49"/>
  <c r="AN111" i="49"/>
  <c r="AO111" i="49" s="1"/>
  <c r="AJ111" i="49"/>
  <c r="AK111" i="49" s="1"/>
  <c r="AF111" i="49"/>
  <c r="AG111" i="49" s="1"/>
  <c r="AB111" i="49"/>
  <c r="AC111" i="49" s="1"/>
  <c r="X111" i="49"/>
  <c r="Y111" i="49" s="1"/>
  <c r="S111" i="49"/>
  <c r="AU110" i="49"/>
  <c r="AR110" i="49"/>
  <c r="AN110" i="49"/>
  <c r="AO110" i="49" s="1"/>
  <c r="AJ110" i="49"/>
  <c r="AK110" i="49" s="1"/>
  <c r="AF110" i="49"/>
  <c r="AG110" i="49" s="1"/>
  <c r="AB110" i="49"/>
  <c r="AC110" i="49" s="1"/>
  <c r="X110" i="49"/>
  <c r="Y110" i="49" s="1"/>
  <c r="AT109" i="49"/>
  <c r="AS109" i="49"/>
  <c r="AM109" i="49"/>
  <c r="AL109" i="49"/>
  <c r="AI109" i="49"/>
  <c r="AH109" i="49"/>
  <c r="AE109" i="49"/>
  <c r="AD109" i="49"/>
  <c r="AA109" i="49"/>
  <c r="Z109" i="49"/>
  <c r="W109" i="49"/>
  <c r="V109" i="49"/>
  <c r="U109" i="49"/>
  <c r="T109" i="49"/>
  <c r="R109" i="49"/>
  <c r="S110" i="49" s="1"/>
  <c r="M109" i="49"/>
  <c r="L109" i="49"/>
  <c r="K109" i="49"/>
  <c r="J109" i="49"/>
  <c r="AU108" i="49"/>
  <c r="AU107" i="49" s="1"/>
  <c r="AU109" i="49" s="1"/>
  <c r="AR108" i="49"/>
  <c r="AR107" i="49" s="1"/>
  <c r="AR109" i="49" s="1"/>
  <c r="AN108" i="49"/>
  <c r="AN107" i="49" s="1"/>
  <c r="AN109" i="49" s="1"/>
  <c r="AJ108" i="49"/>
  <c r="AK108" i="49" s="1"/>
  <c r="AF108" i="49"/>
  <c r="AG108" i="49" s="1"/>
  <c r="AB108" i="49"/>
  <c r="AC108" i="49" s="1"/>
  <c r="X108" i="49"/>
  <c r="X107" i="49" s="1"/>
  <c r="Y107" i="49" s="1"/>
  <c r="S108" i="49"/>
  <c r="S109" i="49" s="1"/>
  <c r="AT106" i="49"/>
  <c r="AS106" i="49"/>
  <c r="AM106" i="49"/>
  <c r="AL106" i="49"/>
  <c r="AI106" i="49"/>
  <c r="AH106" i="49"/>
  <c r="AE106" i="49"/>
  <c r="AD106" i="49"/>
  <c r="AA106" i="49"/>
  <c r="Z106" i="49"/>
  <c r="W106" i="49"/>
  <c r="V106" i="49"/>
  <c r="U106" i="49"/>
  <c r="T106" i="49"/>
  <c r="R106" i="49"/>
  <c r="S107" i="49" s="1"/>
  <c r="M106" i="49"/>
  <c r="L106" i="49"/>
  <c r="K106" i="49"/>
  <c r="J106" i="49"/>
  <c r="AU105" i="49"/>
  <c r="AR105" i="49"/>
  <c r="AN105" i="49"/>
  <c r="AO105" i="49" s="1"/>
  <c r="AJ105" i="49"/>
  <c r="AK105" i="49" s="1"/>
  <c r="AF105" i="49"/>
  <c r="AG105" i="49" s="1"/>
  <c r="AB105" i="49"/>
  <c r="AC105" i="49" s="1"/>
  <c r="X105" i="49"/>
  <c r="Y105" i="49" s="1"/>
  <c r="S105" i="49"/>
  <c r="S106" i="49" s="1"/>
  <c r="AU104" i="49"/>
  <c r="AR104" i="49"/>
  <c r="AN104" i="49"/>
  <c r="AJ104" i="49"/>
  <c r="AK104" i="49" s="1"/>
  <c r="AF104" i="49"/>
  <c r="AG104" i="49" s="1"/>
  <c r="AB104" i="49"/>
  <c r="AC104" i="49" s="1"/>
  <c r="X104" i="49"/>
  <c r="Y104" i="49" s="1"/>
  <c r="S104" i="49"/>
  <c r="AU103" i="49"/>
  <c r="AR103" i="49"/>
  <c r="AN103" i="49"/>
  <c r="AO103" i="49" s="1"/>
  <c r="AJ103" i="49"/>
  <c r="AK103" i="49" s="1"/>
  <c r="AF103" i="49"/>
  <c r="AG103" i="49" s="1"/>
  <c r="AB103" i="49"/>
  <c r="AC103" i="49" s="1"/>
  <c r="X103" i="49"/>
  <c r="Y103" i="49" s="1"/>
  <c r="AT102" i="49"/>
  <c r="AS102" i="49"/>
  <c r="AM102" i="49"/>
  <c r="AL102" i="49"/>
  <c r="AI102" i="49"/>
  <c r="AH102" i="49"/>
  <c r="AE102" i="49"/>
  <c r="AD102" i="49"/>
  <c r="AA102" i="49"/>
  <c r="Z102" i="49"/>
  <c r="W102" i="49"/>
  <c r="V102" i="49"/>
  <c r="U102" i="49"/>
  <c r="T102" i="49"/>
  <c r="R102" i="49"/>
  <c r="S103" i="49" s="1"/>
  <c r="M102" i="49"/>
  <c r="L102" i="49"/>
  <c r="K102" i="49"/>
  <c r="J102" i="49"/>
  <c r="AU101" i="49"/>
  <c r="AR101" i="49"/>
  <c r="AN101" i="49"/>
  <c r="AO101" i="49" s="1"/>
  <c r="AJ101" i="49"/>
  <c r="AK101" i="49" s="1"/>
  <c r="AF101" i="49"/>
  <c r="AG101" i="49" s="1"/>
  <c r="AB101" i="49"/>
  <c r="AC101" i="49" s="1"/>
  <c r="X101" i="49"/>
  <c r="Y101" i="49" s="1"/>
  <c r="S101" i="49"/>
  <c r="S102" i="49" s="1"/>
  <c r="AU100" i="49"/>
  <c r="AR100" i="49"/>
  <c r="AN100" i="49"/>
  <c r="AO100" i="49" s="1"/>
  <c r="AJ100" i="49"/>
  <c r="AK100" i="49" s="1"/>
  <c r="AF100" i="49"/>
  <c r="AG100" i="49" s="1"/>
  <c r="AB100" i="49"/>
  <c r="AC100" i="49" s="1"/>
  <c r="X100" i="49"/>
  <c r="Y100" i="49" s="1"/>
  <c r="S100" i="49"/>
  <c r="AU98" i="49"/>
  <c r="AR98" i="49"/>
  <c r="AN98" i="49"/>
  <c r="AO98" i="49" s="1"/>
  <c r="AJ98" i="49"/>
  <c r="AK98" i="49" s="1"/>
  <c r="AF98" i="49"/>
  <c r="AG98" i="49" s="1"/>
  <c r="AB98" i="49"/>
  <c r="AC98" i="49" s="1"/>
  <c r="X98" i="49"/>
  <c r="Y98" i="49" s="1"/>
  <c r="S98" i="49"/>
  <c r="AU97" i="49"/>
  <c r="AR97" i="49"/>
  <c r="AN97" i="49"/>
  <c r="AO97" i="49" s="1"/>
  <c r="AJ97" i="49"/>
  <c r="AK97" i="49" s="1"/>
  <c r="AF97" i="49"/>
  <c r="AG97" i="49" s="1"/>
  <c r="AB97" i="49"/>
  <c r="AC97" i="49" s="1"/>
  <c r="X97" i="49"/>
  <c r="Y97" i="49" s="1"/>
  <c r="S97" i="49"/>
  <c r="AU96" i="49"/>
  <c r="AR96" i="49"/>
  <c r="AN96" i="49"/>
  <c r="AO96" i="49" s="1"/>
  <c r="AJ96" i="49"/>
  <c r="AK96" i="49" s="1"/>
  <c r="AF96" i="49"/>
  <c r="AG96" i="49" s="1"/>
  <c r="AB96" i="49"/>
  <c r="AC96" i="49" s="1"/>
  <c r="X96" i="49"/>
  <c r="Y96" i="49" s="1"/>
  <c r="S96" i="49"/>
  <c r="AU95" i="49"/>
  <c r="AR95" i="49"/>
  <c r="AN95" i="49"/>
  <c r="AO95" i="49" s="1"/>
  <c r="AJ95" i="49"/>
  <c r="AK95" i="49" s="1"/>
  <c r="AF95" i="49"/>
  <c r="AG95" i="49" s="1"/>
  <c r="AB95" i="49"/>
  <c r="AC95" i="49" s="1"/>
  <c r="X95" i="49"/>
  <c r="Y95" i="49" s="1"/>
  <c r="S95" i="49"/>
  <c r="AU94" i="49"/>
  <c r="AR94" i="49"/>
  <c r="AN94" i="49"/>
  <c r="AO94" i="49" s="1"/>
  <c r="AJ94" i="49"/>
  <c r="AK94" i="49" s="1"/>
  <c r="AF94" i="49"/>
  <c r="AG94" i="49" s="1"/>
  <c r="AB94" i="49"/>
  <c r="AC94" i="49" s="1"/>
  <c r="X94" i="49"/>
  <c r="Y94" i="49" s="1"/>
  <c r="S94" i="49"/>
  <c r="AU93" i="49"/>
  <c r="AR93" i="49"/>
  <c r="AN93" i="49"/>
  <c r="AO93" i="49" s="1"/>
  <c r="AJ93" i="49"/>
  <c r="AK93" i="49" s="1"/>
  <c r="AF93" i="49"/>
  <c r="AG93" i="49" s="1"/>
  <c r="AB93" i="49"/>
  <c r="AC93" i="49" s="1"/>
  <c r="X93" i="49"/>
  <c r="Y93" i="49" s="1"/>
  <c r="S93" i="49"/>
  <c r="AU92" i="49"/>
  <c r="AR92" i="49"/>
  <c r="AN92" i="49"/>
  <c r="AO92" i="49" s="1"/>
  <c r="AJ92" i="49"/>
  <c r="AK92" i="49" s="1"/>
  <c r="AF92" i="49"/>
  <c r="AG92" i="49" s="1"/>
  <c r="AB92" i="49"/>
  <c r="AC92" i="49" s="1"/>
  <c r="X92" i="49"/>
  <c r="Y92" i="49" s="1"/>
  <c r="S92" i="49"/>
  <c r="AU91" i="49"/>
  <c r="AR91" i="49"/>
  <c r="AN91" i="49"/>
  <c r="AO91" i="49" s="1"/>
  <c r="AJ91" i="49"/>
  <c r="AK91" i="49" s="1"/>
  <c r="AF91" i="49"/>
  <c r="AG91" i="49" s="1"/>
  <c r="AB91" i="49"/>
  <c r="AC91" i="49" s="1"/>
  <c r="X91" i="49"/>
  <c r="Y91" i="49" s="1"/>
  <c r="S91" i="49"/>
  <c r="AU90" i="49"/>
  <c r="AR90" i="49"/>
  <c r="AN90" i="49"/>
  <c r="AO90" i="49" s="1"/>
  <c r="AJ90" i="49"/>
  <c r="AK90" i="49" s="1"/>
  <c r="AF90" i="49"/>
  <c r="AG90" i="49" s="1"/>
  <c r="AB90" i="49"/>
  <c r="AC90" i="49" s="1"/>
  <c r="X90" i="49"/>
  <c r="Y90" i="49" s="1"/>
  <c r="S90" i="49"/>
  <c r="AU89" i="49"/>
  <c r="AR89" i="49"/>
  <c r="AN89" i="49"/>
  <c r="AO89" i="49" s="1"/>
  <c r="AJ89" i="49"/>
  <c r="AK89" i="49" s="1"/>
  <c r="AF89" i="49"/>
  <c r="AG89" i="49" s="1"/>
  <c r="AB89" i="49"/>
  <c r="AC89" i="49" s="1"/>
  <c r="X89" i="49"/>
  <c r="Y89" i="49" s="1"/>
  <c r="S89" i="49"/>
  <c r="AU88" i="49"/>
  <c r="AR88" i="49"/>
  <c r="AN88" i="49"/>
  <c r="AO88" i="49" s="1"/>
  <c r="AJ88" i="49"/>
  <c r="AK88" i="49" s="1"/>
  <c r="AF88" i="49"/>
  <c r="AG88" i="49" s="1"/>
  <c r="AB88" i="49"/>
  <c r="AC88" i="49" s="1"/>
  <c r="X88" i="49"/>
  <c r="Y88" i="49" s="1"/>
  <c r="S88" i="49"/>
  <c r="AU87" i="49"/>
  <c r="AR87" i="49"/>
  <c r="AN87" i="49"/>
  <c r="AO87" i="49" s="1"/>
  <c r="AJ87" i="49"/>
  <c r="AK87" i="49" s="1"/>
  <c r="AF87" i="49"/>
  <c r="AG87" i="49" s="1"/>
  <c r="AB87" i="49"/>
  <c r="AC87" i="49" s="1"/>
  <c r="X87" i="49"/>
  <c r="Y87" i="49" s="1"/>
  <c r="S87" i="49"/>
  <c r="AU85" i="49"/>
  <c r="O42" i="74" s="1"/>
  <c r="T46" i="74" s="1"/>
  <c r="AR85" i="49"/>
  <c r="AN85" i="49"/>
  <c r="AO85" i="49" s="1"/>
  <c r="AJ85" i="49"/>
  <c r="AK85" i="49" s="1"/>
  <c r="AF85" i="49"/>
  <c r="AG85" i="49" s="1"/>
  <c r="AB85" i="49"/>
  <c r="AC85" i="49" s="1"/>
  <c r="X85" i="49"/>
  <c r="Y85" i="49" s="1"/>
  <c r="S85" i="49"/>
  <c r="AU84" i="49"/>
  <c r="AR84" i="49"/>
  <c r="AN84" i="49"/>
  <c r="AO84" i="49" s="1"/>
  <c r="AJ84" i="49"/>
  <c r="AK84" i="49" s="1"/>
  <c r="AF84" i="49"/>
  <c r="AG84" i="49" s="1"/>
  <c r="AB84" i="49"/>
  <c r="AC84" i="49" s="1"/>
  <c r="X84" i="49"/>
  <c r="Y84" i="49" s="1"/>
  <c r="AT83" i="49"/>
  <c r="AS83" i="49"/>
  <c r="AM83" i="49"/>
  <c r="AL83" i="49"/>
  <c r="AI83" i="49"/>
  <c r="AH83" i="49"/>
  <c r="AE83" i="49"/>
  <c r="AD83" i="49"/>
  <c r="AA83" i="49"/>
  <c r="Z83" i="49"/>
  <c r="W83" i="49"/>
  <c r="V83" i="49"/>
  <c r="H49" i="74" s="1"/>
  <c r="U83" i="49"/>
  <c r="T83" i="49"/>
  <c r="R83" i="49"/>
  <c r="M83" i="49"/>
  <c r="L83" i="49"/>
  <c r="K83" i="49"/>
  <c r="J83" i="49"/>
  <c r="F49" i="74" s="1"/>
  <c r="AU82" i="49"/>
  <c r="AR82" i="49"/>
  <c r="AN82" i="49"/>
  <c r="AO82" i="49" s="1"/>
  <c r="AJ82" i="49"/>
  <c r="AK82" i="49" s="1"/>
  <c r="AF82" i="49"/>
  <c r="AG82" i="49" s="1"/>
  <c r="AB82" i="49"/>
  <c r="AC82" i="49" s="1"/>
  <c r="X82" i="49"/>
  <c r="Y82" i="49" s="1"/>
  <c r="S82" i="49"/>
  <c r="S83" i="49" s="1"/>
  <c r="AU81" i="49"/>
  <c r="AR81" i="49"/>
  <c r="AN81" i="49"/>
  <c r="AO81" i="49" s="1"/>
  <c r="AJ81" i="49"/>
  <c r="AK81" i="49" s="1"/>
  <c r="AF81" i="49"/>
  <c r="AG81" i="49" s="1"/>
  <c r="AB81" i="49"/>
  <c r="AC81" i="49" s="1"/>
  <c r="X81" i="49"/>
  <c r="S81" i="49"/>
  <c r="AU80" i="49"/>
  <c r="AR80" i="49"/>
  <c r="AN80" i="49"/>
  <c r="AO80" i="49" s="1"/>
  <c r="AJ80" i="49"/>
  <c r="AK80" i="49" s="1"/>
  <c r="AF80" i="49"/>
  <c r="AG80" i="49" s="1"/>
  <c r="AB80" i="49"/>
  <c r="AC80" i="49" s="1"/>
  <c r="X80" i="49"/>
  <c r="Y80" i="49" s="1"/>
  <c r="AT79" i="49"/>
  <c r="AS79" i="49"/>
  <c r="AM79" i="49"/>
  <c r="AL79" i="49"/>
  <c r="AI79" i="49"/>
  <c r="AH79" i="49"/>
  <c r="AE79" i="49"/>
  <c r="AD79" i="49"/>
  <c r="AA79" i="49"/>
  <c r="Z79" i="49"/>
  <c r="W79" i="49"/>
  <c r="I47" i="74" s="1"/>
  <c r="V79" i="49"/>
  <c r="H47" i="74" s="1"/>
  <c r="U79" i="49"/>
  <c r="J47" i="74" s="1"/>
  <c r="T79" i="49"/>
  <c r="R79" i="49"/>
  <c r="S80" i="49" s="1"/>
  <c r="M79" i="49"/>
  <c r="L79" i="49"/>
  <c r="K79" i="49"/>
  <c r="J79" i="49"/>
  <c r="F47" i="74" s="1"/>
  <c r="AU78" i="49"/>
  <c r="AR78" i="49"/>
  <c r="AN78" i="49"/>
  <c r="AO78" i="49" s="1"/>
  <c r="AJ78" i="49"/>
  <c r="AK78" i="49" s="1"/>
  <c r="AF78" i="49"/>
  <c r="AG78" i="49" s="1"/>
  <c r="AB78" i="49"/>
  <c r="AC78" i="49" s="1"/>
  <c r="X78" i="49"/>
  <c r="Y78" i="49" s="1"/>
  <c r="S78" i="49"/>
  <c r="S79" i="49" s="1"/>
  <c r="AU77" i="49"/>
  <c r="AR77" i="49"/>
  <c r="AN77" i="49"/>
  <c r="AO77" i="49" s="1"/>
  <c r="AJ77" i="49"/>
  <c r="AK77" i="49" s="1"/>
  <c r="AF77" i="49"/>
  <c r="AG77" i="49" s="1"/>
  <c r="AB77" i="49"/>
  <c r="AC77" i="49" s="1"/>
  <c r="X77" i="49"/>
  <c r="Y77" i="49" s="1"/>
  <c r="AT76" i="49"/>
  <c r="AS76" i="49"/>
  <c r="AM76" i="49"/>
  <c r="AL76" i="49"/>
  <c r="AI76" i="49"/>
  <c r="AH76" i="49"/>
  <c r="AE76" i="49"/>
  <c r="AD76" i="49"/>
  <c r="AA76" i="49"/>
  <c r="Z76" i="49"/>
  <c r="W76" i="49"/>
  <c r="I46" i="74" s="1"/>
  <c r="V76" i="49"/>
  <c r="H46" i="74" s="1"/>
  <c r="U76" i="49"/>
  <c r="J46" i="74" s="1"/>
  <c r="T76" i="49"/>
  <c r="R76" i="49"/>
  <c r="S77" i="49" s="1"/>
  <c r="M76" i="49"/>
  <c r="L76" i="49"/>
  <c r="K76" i="49"/>
  <c r="J76" i="49"/>
  <c r="F46" i="74" s="1"/>
  <c r="AU75" i="49"/>
  <c r="AU74" i="49" s="1"/>
  <c r="AU76" i="49" s="1"/>
  <c r="AR75" i="49"/>
  <c r="AR74" i="49" s="1"/>
  <c r="AR76" i="49" s="1"/>
  <c r="AN75" i="49"/>
  <c r="AN74" i="49" s="1"/>
  <c r="AO74" i="49" s="1"/>
  <c r="AJ75" i="49"/>
  <c r="AK75" i="49" s="1"/>
  <c r="AF75" i="49"/>
  <c r="AG75" i="49" s="1"/>
  <c r="AB75" i="49"/>
  <c r="AC75" i="49" s="1"/>
  <c r="X75" i="49"/>
  <c r="X74" i="49" s="1"/>
  <c r="Y74" i="49" s="1"/>
  <c r="S75" i="49"/>
  <c r="S76" i="49" s="1"/>
  <c r="S74" i="49"/>
  <c r="AU73" i="49"/>
  <c r="AR73" i="49"/>
  <c r="AN73" i="49"/>
  <c r="AO73" i="49" s="1"/>
  <c r="AJ73" i="49"/>
  <c r="AK73" i="49" s="1"/>
  <c r="AF73" i="49"/>
  <c r="AG73" i="49" s="1"/>
  <c r="AB73" i="49"/>
  <c r="AC73" i="49" s="1"/>
  <c r="X73" i="49"/>
  <c r="Y73" i="49" s="1"/>
  <c r="AT72" i="49"/>
  <c r="AS72" i="49"/>
  <c r="AM72" i="49"/>
  <c r="AL72" i="49"/>
  <c r="AI72" i="49"/>
  <c r="AH72" i="49"/>
  <c r="AE72" i="49"/>
  <c r="AD72" i="49"/>
  <c r="AA72" i="49"/>
  <c r="Z72" i="49"/>
  <c r="W72" i="49"/>
  <c r="I45" i="74" s="1"/>
  <c r="V72" i="49"/>
  <c r="H45" i="74" s="1"/>
  <c r="U72" i="49"/>
  <c r="J45" i="74" s="1"/>
  <c r="T72" i="49"/>
  <c r="R72" i="49"/>
  <c r="S73" i="49" s="1"/>
  <c r="M72" i="49"/>
  <c r="L72" i="49"/>
  <c r="K72" i="49"/>
  <c r="J72" i="49"/>
  <c r="F45" i="74" s="1"/>
  <c r="AU71" i="49"/>
  <c r="AU70" i="49" s="1"/>
  <c r="AU72" i="49" s="1"/>
  <c r="AR71" i="49"/>
  <c r="AR70" i="49" s="1"/>
  <c r="AR72" i="49" s="1"/>
  <c r="AN71" i="49"/>
  <c r="AN70" i="49" s="1"/>
  <c r="AO70" i="49" s="1"/>
  <c r="AJ71" i="49"/>
  <c r="AK71" i="49" s="1"/>
  <c r="AF71" i="49"/>
  <c r="AG71" i="49" s="1"/>
  <c r="AB71" i="49"/>
  <c r="AC71" i="49" s="1"/>
  <c r="X71" i="49"/>
  <c r="X70" i="49" s="1"/>
  <c r="Y70" i="49" s="1"/>
  <c r="S71" i="49"/>
  <c r="S72" i="49" s="1"/>
  <c r="AT69" i="49"/>
  <c r="AS69" i="49"/>
  <c r="AM69" i="49"/>
  <c r="AL69" i="49"/>
  <c r="AI69" i="49"/>
  <c r="AH69" i="49"/>
  <c r="AE69" i="49"/>
  <c r="AD69" i="49"/>
  <c r="AA69" i="49"/>
  <c r="Z69" i="49"/>
  <c r="W69" i="49"/>
  <c r="V69" i="49"/>
  <c r="H44" i="74" s="1"/>
  <c r="U69" i="49"/>
  <c r="T69" i="49"/>
  <c r="R69" i="49"/>
  <c r="S70" i="49" s="1"/>
  <c r="M69" i="49"/>
  <c r="L69" i="49"/>
  <c r="K69" i="49"/>
  <c r="J69" i="49"/>
  <c r="F44" i="74" s="1"/>
  <c r="AU68" i="49"/>
  <c r="AR68" i="49"/>
  <c r="AN68" i="49"/>
  <c r="AO68" i="49" s="1"/>
  <c r="AJ68" i="49"/>
  <c r="AK68" i="49" s="1"/>
  <c r="AF68" i="49"/>
  <c r="AG68" i="49" s="1"/>
  <c r="AB68" i="49"/>
  <c r="AC68" i="49" s="1"/>
  <c r="X68" i="49"/>
  <c r="Y68" i="49" s="1"/>
  <c r="S68" i="49"/>
  <c r="S69" i="49" s="1"/>
  <c r="AU67" i="49"/>
  <c r="AR67" i="49"/>
  <c r="AN67" i="49"/>
  <c r="AO67" i="49" s="1"/>
  <c r="AJ67" i="49"/>
  <c r="AF67" i="49"/>
  <c r="AG67" i="49" s="1"/>
  <c r="AB67" i="49"/>
  <c r="X67" i="49"/>
  <c r="Y67" i="49" s="1"/>
  <c r="S67" i="49"/>
  <c r="AU66" i="49"/>
  <c r="AR66" i="49"/>
  <c r="AN66" i="49"/>
  <c r="AO66" i="49" s="1"/>
  <c r="AJ66" i="49"/>
  <c r="AK66" i="49" s="1"/>
  <c r="AF66" i="49"/>
  <c r="AG66" i="49" s="1"/>
  <c r="AB66" i="49"/>
  <c r="AC66" i="49" s="1"/>
  <c r="X66" i="49"/>
  <c r="Y66" i="49" s="1"/>
  <c r="AT65" i="49"/>
  <c r="AS65" i="49"/>
  <c r="AM65" i="49"/>
  <c r="AL65" i="49"/>
  <c r="AI65" i="49"/>
  <c r="AH65" i="49"/>
  <c r="AE65" i="49"/>
  <c r="AD65" i="49"/>
  <c r="AA65" i="49"/>
  <c r="Z65" i="49"/>
  <c r="W65" i="49"/>
  <c r="I42" i="74" s="1"/>
  <c r="V65" i="49"/>
  <c r="H42" i="74" s="1"/>
  <c r="U65" i="49"/>
  <c r="T65" i="49"/>
  <c r="R65" i="49"/>
  <c r="S66" i="49" s="1"/>
  <c r="M65" i="49"/>
  <c r="L65" i="49"/>
  <c r="K65" i="49"/>
  <c r="J65" i="49"/>
  <c r="F42" i="74" s="1"/>
  <c r="AU64" i="49"/>
  <c r="AR64" i="49"/>
  <c r="AN64" i="49"/>
  <c r="AO64" i="49" s="1"/>
  <c r="AJ64" i="49"/>
  <c r="AK64" i="49" s="1"/>
  <c r="AF64" i="49"/>
  <c r="AG64" i="49" s="1"/>
  <c r="AB64" i="49"/>
  <c r="AC64" i="49" s="1"/>
  <c r="X64" i="49"/>
  <c r="Y64" i="49" s="1"/>
  <c r="S64" i="49"/>
  <c r="S65" i="49" s="1"/>
  <c r="AU63" i="49"/>
  <c r="AR63" i="49"/>
  <c r="AN63" i="49"/>
  <c r="AO63" i="49" s="1"/>
  <c r="AJ63" i="49"/>
  <c r="AF63" i="49"/>
  <c r="AG63" i="49" s="1"/>
  <c r="AB63" i="49"/>
  <c r="X63" i="49"/>
  <c r="Y63" i="49" s="1"/>
  <c r="S63" i="49"/>
  <c r="AU61" i="49"/>
  <c r="O32" i="74" s="1"/>
  <c r="AR61" i="49"/>
  <c r="AN61" i="49"/>
  <c r="AO61" i="49" s="1"/>
  <c r="AJ61" i="49"/>
  <c r="AK61" i="49" s="1"/>
  <c r="AF61" i="49"/>
  <c r="AG61" i="49" s="1"/>
  <c r="AB61" i="49"/>
  <c r="AC61" i="49" s="1"/>
  <c r="X61" i="49"/>
  <c r="Y61" i="49" s="1"/>
  <c r="S61" i="49"/>
  <c r="AU60" i="49"/>
  <c r="AR60" i="49"/>
  <c r="AN60" i="49"/>
  <c r="AO60" i="49" s="1"/>
  <c r="AJ60" i="49"/>
  <c r="AK60" i="49" s="1"/>
  <c r="AF60" i="49"/>
  <c r="AG60" i="49" s="1"/>
  <c r="AB60" i="49"/>
  <c r="AC60" i="49" s="1"/>
  <c r="X60" i="49"/>
  <c r="Y60" i="49" s="1"/>
  <c r="AT59" i="49"/>
  <c r="AS59" i="49"/>
  <c r="AM59" i="49"/>
  <c r="AL59" i="49"/>
  <c r="AI59" i="49"/>
  <c r="AH59" i="49"/>
  <c r="AE59" i="49"/>
  <c r="AD59" i="49"/>
  <c r="AA59" i="49"/>
  <c r="Z59" i="49"/>
  <c r="W59" i="49"/>
  <c r="V59" i="49"/>
  <c r="H39" i="74" s="1"/>
  <c r="U59" i="49"/>
  <c r="T59" i="49"/>
  <c r="R59" i="49"/>
  <c r="S60" i="49" s="1"/>
  <c r="M59" i="49"/>
  <c r="L59" i="49"/>
  <c r="K59" i="49"/>
  <c r="J59" i="49"/>
  <c r="F39" i="74" s="1"/>
  <c r="AU58" i="49"/>
  <c r="AR58" i="49"/>
  <c r="AN58" i="49"/>
  <c r="AO58" i="49" s="1"/>
  <c r="AJ58" i="49"/>
  <c r="AK58" i="49" s="1"/>
  <c r="AF58" i="49"/>
  <c r="AG58" i="49" s="1"/>
  <c r="AB58" i="49"/>
  <c r="AC58" i="49" s="1"/>
  <c r="X58" i="49"/>
  <c r="Y58" i="49" s="1"/>
  <c r="S58" i="49"/>
  <c r="S59" i="49" s="1"/>
  <c r="AU57" i="49"/>
  <c r="AR57" i="49"/>
  <c r="AN57" i="49"/>
  <c r="AO57" i="49" s="1"/>
  <c r="AJ57" i="49"/>
  <c r="AK57" i="49" s="1"/>
  <c r="AF57" i="49"/>
  <c r="AG57" i="49" s="1"/>
  <c r="AB57" i="49"/>
  <c r="AC57" i="49" s="1"/>
  <c r="X57" i="49"/>
  <c r="Y57" i="49" s="1"/>
  <c r="S57" i="49"/>
  <c r="AU56" i="49"/>
  <c r="AR56" i="49"/>
  <c r="AN56" i="49"/>
  <c r="AO56" i="49" s="1"/>
  <c r="AJ56" i="49"/>
  <c r="AK56" i="49" s="1"/>
  <c r="AF56" i="49"/>
  <c r="AG56" i="49" s="1"/>
  <c r="AB56" i="49"/>
  <c r="AC56" i="49" s="1"/>
  <c r="X56" i="49"/>
  <c r="AT55" i="49"/>
  <c r="AS55" i="49"/>
  <c r="AM55" i="49"/>
  <c r="AL55" i="49"/>
  <c r="AI55" i="49"/>
  <c r="AH55" i="49"/>
  <c r="AE55" i="49"/>
  <c r="AD55" i="49"/>
  <c r="AA55" i="49"/>
  <c r="Z55" i="49"/>
  <c r="W55" i="49"/>
  <c r="V55" i="49"/>
  <c r="H37" i="74" s="1"/>
  <c r="U55" i="49"/>
  <c r="T55" i="49"/>
  <c r="R55" i="49"/>
  <c r="S56" i="49" s="1"/>
  <c r="M55" i="49"/>
  <c r="L55" i="49"/>
  <c r="K55" i="49"/>
  <c r="J55" i="49"/>
  <c r="F37" i="74" s="1"/>
  <c r="AU54" i="49"/>
  <c r="AR54" i="49"/>
  <c r="AN54" i="49"/>
  <c r="AO54" i="49" s="1"/>
  <c r="AJ54" i="49"/>
  <c r="AK54" i="49" s="1"/>
  <c r="AF54" i="49"/>
  <c r="AG54" i="49" s="1"/>
  <c r="AB54" i="49"/>
  <c r="AC54" i="49" s="1"/>
  <c r="X54" i="49"/>
  <c r="Y54" i="49" s="1"/>
  <c r="S54" i="49"/>
  <c r="S55" i="49" s="1"/>
  <c r="AU53" i="49"/>
  <c r="AR53" i="49"/>
  <c r="AN53" i="49"/>
  <c r="AO53" i="49" s="1"/>
  <c r="AJ53" i="49"/>
  <c r="AK53" i="49" s="1"/>
  <c r="AF53" i="49"/>
  <c r="AG53" i="49" s="1"/>
  <c r="AB53" i="49"/>
  <c r="AC53" i="49" s="1"/>
  <c r="X53" i="49"/>
  <c r="Y53" i="49" s="1"/>
  <c r="AT52" i="49"/>
  <c r="AS52" i="49"/>
  <c r="AM52" i="49"/>
  <c r="AL52" i="49"/>
  <c r="AI52" i="49"/>
  <c r="AH52" i="49"/>
  <c r="AE52" i="49"/>
  <c r="AD52" i="49"/>
  <c r="AA52" i="49"/>
  <c r="Z52" i="49"/>
  <c r="W52" i="49"/>
  <c r="I36" i="74" s="1"/>
  <c r="V52" i="49"/>
  <c r="H36" i="74" s="1"/>
  <c r="U52" i="49"/>
  <c r="J36" i="74" s="1"/>
  <c r="T52" i="49"/>
  <c r="R52" i="49"/>
  <c r="S53" i="49" s="1"/>
  <c r="M52" i="49"/>
  <c r="L52" i="49"/>
  <c r="K52" i="49"/>
  <c r="J52" i="49"/>
  <c r="F36" i="74" s="1"/>
  <c r="AU51" i="49"/>
  <c r="AU50" i="49" s="1"/>
  <c r="AU52" i="49" s="1"/>
  <c r="AR51" i="49"/>
  <c r="AR50" i="49" s="1"/>
  <c r="AR52" i="49" s="1"/>
  <c r="AN51" i="49"/>
  <c r="AN50" i="49" s="1"/>
  <c r="AO50" i="49" s="1"/>
  <c r="AJ51" i="49"/>
  <c r="AK51" i="49" s="1"/>
  <c r="AF51" i="49"/>
  <c r="AG51" i="49" s="1"/>
  <c r="AB51" i="49"/>
  <c r="AC51" i="49" s="1"/>
  <c r="X51" i="49"/>
  <c r="X50" i="49" s="1"/>
  <c r="Y50" i="49" s="1"/>
  <c r="S51" i="49"/>
  <c r="S52" i="49" s="1"/>
  <c r="S50" i="49"/>
  <c r="AU49" i="49"/>
  <c r="AR49" i="49"/>
  <c r="AN49" i="49"/>
  <c r="AO49" i="49" s="1"/>
  <c r="AJ49" i="49"/>
  <c r="AK49" i="49" s="1"/>
  <c r="AF49" i="49"/>
  <c r="AG49" i="49" s="1"/>
  <c r="AB49" i="49"/>
  <c r="AC49" i="49" s="1"/>
  <c r="X49" i="49"/>
  <c r="Y49" i="49" s="1"/>
  <c r="AT48" i="49"/>
  <c r="AS48" i="49"/>
  <c r="AM48" i="49"/>
  <c r="AL48" i="49"/>
  <c r="AI48" i="49"/>
  <c r="AH48" i="49"/>
  <c r="AE48" i="49"/>
  <c r="AD48" i="49"/>
  <c r="AA48" i="49"/>
  <c r="Z48" i="49"/>
  <c r="W48" i="49"/>
  <c r="I35" i="74" s="1"/>
  <c r="V48" i="49"/>
  <c r="H35" i="74" s="1"/>
  <c r="U48" i="49"/>
  <c r="J35" i="74" s="1"/>
  <c r="T48" i="49"/>
  <c r="R48" i="49"/>
  <c r="S49" i="49" s="1"/>
  <c r="M48" i="49"/>
  <c r="L48" i="49"/>
  <c r="K48" i="49"/>
  <c r="J48" i="49"/>
  <c r="F35" i="74" s="1"/>
  <c r="AU47" i="49"/>
  <c r="AU46" i="49" s="1"/>
  <c r="AU48" i="49" s="1"/>
  <c r="AR47" i="49"/>
  <c r="AR46" i="49" s="1"/>
  <c r="AR48" i="49" s="1"/>
  <c r="AN47" i="49"/>
  <c r="AN46" i="49" s="1"/>
  <c r="AO46" i="49" s="1"/>
  <c r="AJ47" i="49"/>
  <c r="AK47" i="49" s="1"/>
  <c r="AF47" i="49"/>
  <c r="AF46" i="49" s="1"/>
  <c r="AG46" i="49" s="1"/>
  <c r="AB47" i="49"/>
  <c r="AC47" i="49" s="1"/>
  <c r="X47" i="49"/>
  <c r="X46" i="49" s="1"/>
  <c r="Y46" i="49" s="1"/>
  <c r="S47" i="49"/>
  <c r="S48" i="49" s="1"/>
  <c r="AT45" i="49"/>
  <c r="AS45" i="49"/>
  <c r="AM45" i="49"/>
  <c r="AL45" i="49"/>
  <c r="AI45" i="49"/>
  <c r="AH45" i="49"/>
  <c r="AE45" i="49"/>
  <c r="AD45" i="49"/>
  <c r="AA45" i="49"/>
  <c r="Z45" i="49"/>
  <c r="W45" i="49"/>
  <c r="V45" i="49"/>
  <c r="H34" i="74" s="1"/>
  <c r="U45" i="49"/>
  <c r="T45" i="49"/>
  <c r="R45" i="49"/>
  <c r="S46" i="49" s="1"/>
  <c r="M45" i="49"/>
  <c r="L45" i="49"/>
  <c r="K45" i="49"/>
  <c r="J45" i="49"/>
  <c r="F34" i="74" s="1"/>
  <c r="AU44" i="49"/>
  <c r="AR44" i="49"/>
  <c r="AN44" i="49"/>
  <c r="AO44" i="49" s="1"/>
  <c r="AJ44" i="49"/>
  <c r="AK44" i="49" s="1"/>
  <c r="AF44" i="49"/>
  <c r="AG44" i="49" s="1"/>
  <c r="AB44" i="49"/>
  <c r="AC44" i="49" s="1"/>
  <c r="X44" i="49"/>
  <c r="S44" i="49"/>
  <c r="S45" i="49" s="1"/>
  <c r="AU43" i="49"/>
  <c r="AR43" i="49"/>
  <c r="AN43" i="49"/>
  <c r="AO43" i="49" s="1"/>
  <c r="AJ43" i="49"/>
  <c r="AK43" i="49" s="1"/>
  <c r="AF43" i="49"/>
  <c r="AG43" i="49" s="1"/>
  <c r="AB43" i="49"/>
  <c r="AC43" i="49" s="1"/>
  <c r="X43" i="49"/>
  <c r="S43" i="49"/>
  <c r="AU42" i="49"/>
  <c r="AR42" i="49"/>
  <c r="AN42" i="49"/>
  <c r="AO42" i="49" s="1"/>
  <c r="AJ42" i="49"/>
  <c r="AK42" i="49" s="1"/>
  <c r="AF42" i="49"/>
  <c r="AG42" i="49" s="1"/>
  <c r="AB42" i="49"/>
  <c r="AC42" i="49" s="1"/>
  <c r="X42" i="49"/>
  <c r="AT41" i="49"/>
  <c r="AS41" i="49"/>
  <c r="AM41" i="49"/>
  <c r="AL41" i="49"/>
  <c r="AI41" i="49"/>
  <c r="AH41" i="49"/>
  <c r="AE41" i="49"/>
  <c r="AD41" i="49"/>
  <c r="AA41" i="49"/>
  <c r="Z41" i="49"/>
  <c r="W41" i="49"/>
  <c r="I32" i="74" s="1"/>
  <c r="V41" i="49"/>
  <c r="H32" i="74" s="1"/>
  <c r="U41" i="49"/>
  <c r="T41" i="49"/>
  <c r="R41" i="49"/>
  <c r="S42" i="49" s="1"/>
  <c r="M41" i="49"/>
  <c r="L41" i="49"/>
  <c r="K41" i="49"/>
  <c r="J41" i="49"/>
  <c r="F32" i="74" s="1"/>
  <c r="AU40" i="49"/>
  <c r="AR40" i="49"/>
  <c r="AN40" i="49"/>
  <c r="AO40" i="49" s="1"/>
  <c r="AJ40" i="49"/>
  <c r="AK40" i="49" s="1"/>
  <c r="AF40" i="49"/>
  <c r="AG40" i="49" s="1"/>
  <c r="AB40" i="49"/>
  <c r="AC40" i="49" s="1"/>
  <c r="X40" i="49"/>
  <c r="S40" i="49"/>
  <c r="S41" i="49" s="1"/>
  <c r="AU39" i="49"/>
  <c r="AR39" i="49"/>
  <c r="AN39" i="49"/>
  <c r="AO39" i="49" s="1"/>
  <c r="AJ39" i="49"/>
  <c r="AK39" i="49" s="1"/>
  <c r="AF39" i="49"/>
  <c r="AG39" i="49" s="1"/>
  <c r="AB39" i="49"/>
  <c r="AC39" i="49" s="1"/>
  <c r="X39" i="49"/>
  <c r="Y39" i="49" s="1"/>
  <c r="S39" i="49"/>
  <c r="AU37" i="49"/>
  <c r="AR37" i="49"/>
  <c r="AN37" i="49"/>
  <c r="AO37" i="49" s="1"/>
  <c r="AJ37" i="49"/>
  <c r="AK37" i="49" s="1"/>
  <c r="AF37" i="49"/>
  <c r="AG37" i="49" s="1"/>
  <c r="AB37" i="49"/>
  <c r="AC37" i="49" s="1"/>
  <c r="X37" i="49"/>
  <c r="S37" i="49"/>
  <c r="AU36" i="49"/>
  <c r="AR36" i="49"/>
  <c r="AN36" i="49"/>
  <c r="AO36" i="49" s="1"/>
  <c r="AJ36" i="49"/>
  <c r="AK36" i="49" s="1"/>
  <c r="AF36" i="49"/>
  <c r="AG36" i="49" s="1"/>
  <c r="AB36" i="49"/>
  <c r="AC36" i="49" s="1"/>
  <c r="X36" i="49"/>
  <c r="S36" i="49"/>
  <c r="AU35" i="49"/>
  <c r="AR35" i="49"/>
  <c r="AN35" i="49"/>
  <c r="AO35" i="49" s="1"/>
  <c r="AJ35" i="49"/>
  <c r="AK35" i="49" s="1"/>
  <c r="AF35" i="49"/>
  <c r="AG35" i="49" s="1"/>
  <c r="AB35" i="49"/>
  <c r="AC35" i="49" s="1"/>
  <c r="X35" i="49"/>
  <c r="S35" i="49"/>
  <c r="AU34" i="49"/>
  <c r="AR34" i="49"/>
  <c r="AN34" i="49"/>
  <c r="AO34" i="49" s="1"/>
  <c r="AJ34" i="49"/>
  <c r="AK34" i="49" s="1"/>
  <c r="AF34" i="49"/>
  <c r="AG34" i="49" s="1"/>
  <c r="AB34" i="49"/>
  <c r="AC34" i="49" s="1"/>
  <c r="X34" i="49"/>
  <c r="S34" i="49"/>
  <c r="AU33" i="49"/>
  <c r="AR33" i="49"/>
  <c r="AN33" i="49"/>
  <c r="AO33" i="49" s="1"/>
  <c r="AJ33" i="49"/>
  <c r="AK33" i="49" s="1"/>
  <c r="AF33" i="49"/>
  <c r="AG33" i="49" s="1"/>
  <c r="AB33" i="49"/>
  <c r="AC33" i="49" s="1"/>
  <c r="X33" i="49"/>
  <c r="S33" i="49"/>
  <c r="AU32" i="49"/>
  <c r="AR32" i="49"/>
  <c r="AN32" i="49"/>
  <c r="AO32" i="49" s="1"/>
  <c r="AJ32" i="49"/>
  <c r="AK32" i="49" s="1"/>
  <c r="AF32" i="49"/>
  <c r="AG32" i="49" s="1"/>
  <c r="AB32" i="49"/>
  <c r="AC32" i="49" s="1"/>
  <c r="X32" i="49"/>
  <c r="Y32" i="49" s="1"/>
  <c r="S32" i="49"/>
  <c r="AU31" i="49"/>
  <c r="AR31" i="49"/>
  <c r="AN31" i="49"/>
  <c r="AO31" i="49" s="1"/>
  <c r="AJ31" i="49"/>
  <c r="AK31" i="49" s="1"/>
  <c r="AF31" i="49"/>
  <c r="AG31" i="49" s="1"/>
  <c r="AB31" i="49"/>
  <c r="AC31" i="49" s="1"/>
  <c r="X31" i="49"/>
  <c r="Y31" i="49" s="1"/>
  <c r="S31" i="49"/>
  <c r="AU30" i="49"/>
  <c r="AR30" i="49"/>
  <c r="AN30" i="49"/>
  <c r="AO30" i="49" s="1"/>
  <c r="AJ30" i="49"/>
  <c r="AK30" i="49" s="1"/>
  <c r="AF30" i="49"/>
  <c r="AG30" i="49" s="1"/>
  <c r="AB30" i="49"/>
  <c r="AC30" i="49" s="1"/>
  <c r="X30" i="49"/>
  <c r="S30" i="49"/>
  <c r="AU29" i="49"/>
  <c r="AR29" i="49"/>
  <c r="AN29" i="49"/>
  <c r="AO29" i="49" s="1"/>
  <c r="AJ29" i="49"/>
  <c r="AK29" i="49" s="1"/>
  <c r="AF29" i="49"/>
  <c r="AG29" i="49" s="1"/>
  <c r="AB29" i="49"/>
  <c r="AC29" i="49" s="1"/>
  <c r="X29" i="49"/>
  <c r="Y29" i="49" s="1"/>
  <c r="S29" i="49"/>
  <c r="AU28" i="49"/>
  <c r="AR28" i="49"/>
  <c r="AN28" i="49"/>
  <c r="AO28" i="49" s="1"/>
  <c r="AJ28" i="49"/>
  <c r="AK28" i="49" s="1"/>
  <c r="AF28" i="49"/>
  <c r="AG28" i="49" s="1"/>
  <c r="AB28" i="49"/>
  <c r="AC28" i="49" s="1"/>
  <c r="X28" i="49"/>
  <c r="Y28" i="49" s="1"/>
  <c r="S28" i="49"/>
  <c r="AU27" i="49"/>
  <c r="AR27" i="49"/>
  <c r="AN27" i="49"/>
  <c r="AO27" i="49" s="1"/>
  <c r="AJ27" i="49"/>
  <c r="AK27" i="49" s="1"/>
  <c r="AF27" i="49"/>
  <c r="AG27" i="49" s="1"/>
  <c r="AB27" i="49"/>
  <c r="AC27" i="49" s="1"/>
  <c r="X27" i="49"/>
  <c r="S27" i="49"/>
  <c r="AU26" i="49"/>
  <c r="AR26" i="49"/>
  <c r="AN26" i="49"/>
  <c r="AO26" i="49" s="1"/>
  <c r="AJ26" i="49"/>
  <c r="AK26" i="49" s="1"/>
  <c r="AF26" i="49"/>
  <c r="AG26" i="49" s="1"/>
  <c r="AB26" i="49"/>
  <c r="AC26" i="49" s="1"/>
  <c r="X26" i="49"/>
  <c r="S26" i="49"/>
  <c r="AU25" i="49"/>
  <c r="AR25" i="49"/>
  <c r="AN25" i="49"/>
  <c r="AO25" i="49" s="1"/>
  <c r="AJ25" i="49"/>
  <c r="AK25" i="49" s="1"/>
  <c r="AF25" i="49"/>
  <c r="AG25" i="49" s="1"/>
  <c r="AB25" i="49"/>
  <c r="AC25" i="49" s="1"/>
  <c r="X25" i="49"/>
  <c r="Y25" i="49" s="1"/>
  <c r="S25" i="49"/>
  <c r="AU24" i="49"/>
  <c r="AR24" i="49"/>
  <c r="AN24" i="49"/>
  <c r="AO24" i="49" s="1"/>
  <c r="AJ24" i="49"/>
  <c r="AK24" i="49" s="1"/>
  <c r="AF24" i="49"/>
  <c r="AG24" i="49" s="1"/>
  <c r="AB24" i="49"/>
  <c r="AC24" i="49" s="1"/>
  <c r="X24" i="49"/>
  <c r="Y24" i="49" s="1"/>
  <c r="S24" i="49"/>
  <c r="AU23" i="49"/>
  <c r="AR23" i="49"/>
  <c r="AN23" i="49"/>
  <c r="AO23" i="49" s="1"/>
  <c r="AJ23" i="49"/>
  <c r="AK23" i="49" s="1"/>
  <c r="AF23" i="49"/>
  <c r="AG23" i="49" s="1"/>
  <c r="AB23" i="49"/>
  <c r="AC23" i="49" s="1"/>
  <c r="X23" i="49"/>
  <c r="Y23" i="49" s="1"/>
  <c r="S23" i="49"/>
  <c r="AU22" i="49"/>
  <c r="AR22" i="49"/>
  <c r="AN22" i="49"/>
  <c r="AO22" i="49" s="1"/>
  <c r="AJ22" i="49"/>
  <c r="AK22" i="49" s="1"/>
  <c r="AF22" i="49"/>
  <c r="AG22" i="49" s="1"/>
  <c r="AB22" i="49"/>
  <c r="AC22" i="49" s="1"/>
  <c r="X22" i="49"/>
  <c r="Y22" i="49" s="1"/>
  <c r="S22" i="49"/>
  <c r="AU21" i="49"/>
  <c r="AR21" i="49"/>
  <c r="AN21" i="49"/>
  <c r="AO21" i="49" s="1"/>
  <c r="AJ21" i="49"/>
  <c r="AK21" i="49" s="1"/>
  <c r="AF21" i="49"/>
  <c r="AG21" i="49" s="1"/>
  <c r="AB21" i="49"/>
  <c r="AC21" i="49" s="1"/>
  <c r="X21" i="49"/>
  <c r="Y21" i="49" s="1"/>
  <c r="S21" i="49"/>
  <c r="AU20" i="49"/>
  <c r="AR20" i="49"/>
  <c r="AN20" i="49"/>
  <c r="AO20" i="49" s="1"/>
  <c r="AJ20" i="49"/>
  <c r="AK20" i="49" s="1"/>
  <c r="AF20" i="49"/>
  <c r="AG20" i="49" s="1"/>
  <c r="AB20" i="49"/>
  <c r="AC20" i="49" s="1"/>
  <c r="X20" i="49"/>
  <c r="S20" i="49"/>
  <c r="AU19" i="49"/>
  <c r="AR19" i="49"/>
  <c r="AN19" i="49"/>
  <c r="AO19" i="49" s="1"/>
  <c r="AJ19" i="49"/>
  <c r="AK19" i="49" s="1"/>
  <c r="AF19" i="49"/>
  <c r="AG19" i="49" s="1"/>
  <c r="AB19" i="49"/>
  <c r="AC19" i="49" s="1"/>
  <c r="X19" i="49"/>
  <c r="S19" i="49"/>
  <c r="AU18" i="49"/>
  <c r="AR18" i="49"/>
  <c r="AN18" i="49"/>
  <c r="AO18" i="49" s="1"/>
  <c r="AJ18" i="49"/>
  <c r="AK18" i="49" s="1"/>
  <c r="AF18" i="49"/>
  <c r="AG18" i="49" s="1"/>
  <c r="AB18" i="49"/>
  <c r="AC18" i="49" s="1"/>
  <c r="X18" i="49"/>
  <c r="S18" i="49"/>
  <c r="AU17" i="49"/>
  <c r="AR17" i="49"/>
  <c r="AN17" i="49"/>
  <c r="AO17" i="49" s="1"/>
  <c r="AJ17" i="49"/>
  <c r="AK17" i="49" s="1"/>
  <c r="AF17" i="49"/>
  <c r="AG17" i="49" s="1"/>
  <c r="AB17" i="49"/>
  <c r="AC17" i="49" s="1"/>
  <c r="X17" i="49"/>
  <c r="S17" i="49"/>
  <c r="AU16" i="49"/>
  <c r="AR16" i="49"/>
  <c r="AN16" i="49"/>
  <c r="AO16" i="49" s="1"/>
  <c r="AJ16" i="49"/>
  <c r="AK16" i="49" s="1"/>
  <c r="AF16" i="49"/>
  <c r="AG16" i="49" s="1"/>
  <c r="AB16" i="49"/>
  <c r="AC16" i="49" s="1"/>
  <c r="X16" i="49"/>
  <c r="Y16" i="49" s="1"/>
  <c r="S16" i="49"/>
  <c r="AU15" i="49"/>
  <c r="AR15" i="49"/>
  <c r="AN15" i="49"/>
  <c r="AO15" i="49" s="1"/>
  <c r="AJ15" i="49"/>
  <c r="AK15" i="49" s="1"/>
  <c r="AF15" i="49"/>
  <c r="AG15" i="49" s="1"/>
  <c r="AB15" i="49"/>
  <c r="AC15" i="49" s="1"/>
  <c r="X15" i="49"/>
  <c r="Y15" i="49" s="1"/>
  <c r="S15" i="49"/>
  <c r="AU14" i="49"/>
  <c r="AR14" i="49"/>
  <c r="AN14" i="49"/>
  <c r="AO14" i="49" s="1"/>
  <c r="AJ14" i="49"/>
  <c r="AK14" i="49" s="1"/>
  <c r="AF14" i="49"/>
  <c r="AG14" i="49" s="1"/>
  <c r="AB14" i="49"/>
  <c r="AC14" i="49" s="1"/>
  <c r="X14" i="49"/>
  <c r="Y14" i="49" s="1"/>
  <c r="S14" i="49"/>
  <c r="A64" i="49"/>
  <c r="A65" i="49" s="1"/>
  <c r="B42" i="74" s="1"/>
  <c r="A40" i="49"/>
  <c r="AR142" i="49" l="1"/>
  <c r="AJ69" i="49"/>
  <c r="AK69" i="49" s="1"/>
  <c r="AU131" i="49"/>
  <c r="AB65" i="49"/>
  <c r="AC65" i="49" s="1"/>
  <c r="AR83" i="49"/>
  <c r="AB69" i="49"/>
  <c r="AC69" i="49" s="1"/>
  <c r="AU142" i="49"/>
  <c r="AU106" i="49"/>
  <c r="AU45" i="49"/>
  <c r="AR79" i="49"/>
  <c r="AN106" i="49"/>
  <c r="AO106" i="49" s="1"/>
  <c r="AJ65" i="49"/>
  <c r="AK65" i="49" s="1"/>
  <c r="AR106" i="49"/>
  <c r="AR134" i="49"/>
  <c r="AU59" i="49"/>
  <c r="AU134" i="49"/>
  <c r="AR65" i="49"/>
  <c r="AR131" i="49"/>
  <c r="I37" i="74"/>
  <c r="AS55" i="74" s="1"/>
  <c r="J39" i="74"/>
  <c r="AT56" i="74" s="1"/>
  <c r="J44" i="74"/>
  <c r="AX54" i="74" s="1"/>
  <c r="J49" i="74"/>
  <c r="AX56" i="74" s="1"/>
  <c r="J32" i="74"/>
  <c r="AT53" i="74" s="1"/>
  <c r="G43" i="74"/>
  <c r="K43" i="74"/>
  <c r="W44" i="74" s="1"/>
  <c r="K48" i="74"/>
  <c r="G48" i="74"/>
  <c r="I34" i="74"/>
  <c r="AS54" i="74" s="1"/>
  <c r="J34" i="74"/>
  <c r="AT54" i="74" s="1"/>
  <c r="J37" i="74"/>
  <c r="AT55" i="74" s="1"/>
  <c r="I39" i="74"/>
  <c r="AS56" i="74" s="1"/>
  <c r="J42" i="74"/>
  <c r="AX53" i="74" s="1"/>
  <c r="I44" i="74"/>
  <c r="AW54" i="74" s="1"/>
  <c r="I49" i="74"/>
  <c r="AW56" i="74" s="1"/>
  <c r="AU79" i="49"/>
  <c r="AU102" i="49"/>
  <c r="AU65" i="49"/>
  <c r="AR69" i="49"/>
  <c r="AR41" i="49"/>
  <c r="AU145" i="49"/>
  <c r="T14" i="74"/>
  <c r="V43" i="74"/>
  <c r="AW53" i="74"/>
  <c r="AW55" i="74"/>
  <c r="AW58" i="74"/>
  <c r="A66" i="49"/>
  <c r="B43" i="74" s="1"/>
  <c r="AS53" i="74"/>
  <c r="AX58" i="74"/>
  <c r="AX55" i="74"/>
  <c r="Y27" i="49"/>
  <c r="Y33" i="49"/>
  <c r="Y34" i="49"/>
  <c r="Y35" i="49"/>
  <c r="A41" i="49"/>
  <c r="B32" i="74" s="1"/>
  <c r="Y17" i="49"/>
  <c r="Y18" i="49"/>
  <c r="Y19" i="49"/>
  <c r="Y20" i="49"/>
  <c r="Y42" i="49"/>
  <c r="Y44" i="49"/>
  <c r="Y26" i="49"/>
  <c r="Y30" i="49"/>
  <c r="Y36" i="49"/>
  <c r="Y37" i="49"/>
  <c r="Y40" i="49"/>
  <c r="Y56" i="49"/>
  <c r="AR145" i="49"/>
  <c r="AJ145" i="49"/>
  <c r="AK145" i="49" s="1"/>
  <c r="AJ136" i="49"/>
  <c r="AK136" i="49" s="1"/>
  <c r="AF136" i="49"/>
  <c r="AG136" i="49" s="1"/>
  <c r="AB136" i="49"/>
  <c r="AC136" i="49" s="1"/>
  <c r="AJ107" i="49"/>
  <c r="AK107" i="49" s="1"/>
  <c r="AR102" i="49"/>
  <c r="AU83" i="49"/>
  <c r="X83" i="49"/>
  <c r="Y83" i="49" s="1"/>
  <c r="AJ74" i="49"/>
  <c r="AK74" i="49" s="1"/>
  <c r="AJ70" i="49"/>
  <c r="AK70" i="49" s="1"/>
  <c r="AU69" i="49"/>
  <c r="AR59" i="49"/>
  <c r="AU55" i="49"/>
  <c r="AR55" i="49"/>
  <c r="AJ50" i="49"/>
  <c r="AK50" i="49" s="1"/>
  <c r="AR45" i="49"/>
  <c r="X45" i="49"/>
  <c r="Y45" i="49" s="1"/>
  <c r="AU41" i="49"/>
  <c r="AN145" i="49"/>
  <c r="AO145" i="49" s="1"/>
  <c r="AF145" i="49"/>
  <c r="AG145" i="49" s="1"/>
  <c r="AB145" i="49"/>
  <c r="AC145" i="49" s="1"/>
  <c r="X145" i="49"/>
  <c r="Y145" i="49" s="1"/>
  <c r="AN142" i="49"/>
  <c r="AO142" i="49" s="1"/>
  <c r="AJ142" i="49"/>
  <c r="AK142" i="49" s="1"/>
  <c r="AF142" i="49"/>
  <c r="AG142" i="49" s="1"/>
  <c r="AB142" i="49"/>
  <c r="AC142" i="49" s="1"/>
  <c r="X142" i="49"/>
  <c r="Y142" i="49" s="1"/>
  <c r="AN138" i="49"/>
  <c r="AO138" i="49" s="1"/>
  <c r="AN134" i="49"/>
  <c r="AO134" i="49" s="1"/>
  <c r="AJ134" i="49"/>
  <c r="AK134" i="49" s="1"/>
  <c r="AF134" i="49"/>
  <c r="AG134" i="49" s="1"/>
  <c r="AB134" i="49"/>
  <c r="AC134" i="49" s="1"/>
  <c r="X134" i="49"/>
  <c r="Y134" i="49" s="1"/>
  <c r="S135" i="49"/>
  <c r="AN131" i="49"/>
  <c r="AO131" i="49" s="1"/>
  <c r="AJ131" i="49"/>
  <c r="AK131" i="49" s="1"/>
  <c r="AF131" i="49"/>
  <c r="AG131" i="49" s="1"/>
  <c r="AB131" i="49"/>
  <c r="AC131" i="49" s="1"/>
  <c r="X131" i="49"/>
  <c r="Y131" i="49" s="1"/>
  <c r="AB107" i="49"/>
  <c r="AC107" i="49" s="1"/>
  <c r="X109" i="49"/>
  <c r="Y109" i="49" s="1"/>
  <c r="AO109" i="49"/>
  <c r="AJ106" i="49"/>
  <c r="AK106" i="49" s="1"/>
  <c r="AF106" i="49"/>
  <c r="AG106" i="49" s="1"/>
  <c r="AB106" i="49"/>
  <c r="AC106" i="49" s="1"/>
  <c r="X106" i="49"/>
  <c r="Y106" i="49" s="1"/>
  <c r="AN102" i="49"/>
  <c r="AO102" i="49" s="1"/>
  <c r="AJ102" i="49"/>
  <c r="AK102" i="49" s="1"/>
  <c r="AF102" i="49"/>
  <c r="AG102" i="49" s="1"/>
  <c r="AB102" i="49"/>
  <c r="AC102" i="49" s="1"/>
  <c r="X102" i="49"/>
  <c r="Y102" i="49" s="1"/>
  <c r="AN83" i="49"/>
  <c r="AO83" i="49" s="1"/>
  <c r="AJ83" i="49"/>
  <c r="AK83" i="49" s="1"/>
  <c r="AF83" i="49"/>
  <c r="AG83" i="49" s="1"/>
  <c r="AB83" i="49"/>
  <c r="AC83" i="49" s="1"/>
  <c r="S84" i="49"/>
  <c r="AN79" i="49"/>
  <c r="AO79" i="49" s="1"/>
  <c r="AJ79" i="49"/>
  <c r="AK79" i="49" s="1"/>
  <c r="AF79" i="49"/>
  <c r="AG79" i="49" s="1"/>
  <c r="AB79" i="49"/>
  <c r="AC79" i="49" s="1"/>
  <c r="X79" i="49"/>
  <c r="Y79" i="49" s="1"/>
  <c r="AB74" i="49"/>
  <c r="AC74" i="49" s="1"/>
  <c r="AN76" i="49"/>
  <c r="AO76" i="49" s="1"/>
  <c r="X76" i="49"/>
  <c r="Y76" i="49" s="1"/>
  <c r="AB70" i="49"/>
  <c r="AC70" i="49" s="1"/>
  <c r="AN72" i="49"/>
  <c r="AO72" i="49" s="1"/>
  <c r="X72" i="49"/>
  <c r="Y72" i="49" s="1"/>
  <c r="AN69" i="49"/>
  <c r="AO69" i="49" s="1"/>
  <c r="AK67" i="49"/>
  <c r="AF69" i="49"/>
  <c r="AG69" i="49" s="1"/>
  <c r="AC67" i="49"/>
  <c r="X69" i="49"/>
  <c r="Y69" i="49" s="1"/>
  <c r="AN65" i="49"/>
  <c r="AO65" i="49" s="1"/>
  <c r="AK63" i="49"/>
  <c r="AF65" i="49"/>
  <c r="AG65" i="49" s="1"/>
  <c r="AC63" i="49"/>
  <c r="X65" i="49"/>
  <c r="Y65" i="49" s="1"/>
  <c r="AN59" i="49"/>
  <c r="AO59" i="49" s="1"/>
  <c r="AJ59" i="49"/>
  <c r="AK59" i="49" s="1"/>
  <c r="AF59" i="49"/>
  <c r="AG59" i="49" s="1"/>
  <c r="AB59" i="49"/>
  <c r="AC59" i="49" s="1"/>
  <c r="X59" i="49"/>
  <c r="AN55" i="49"/>
  <c r="AO55" i="49" s="1"/>
  <c r="AJ55" i="49"/>
  <c r="AK55" i="49" s="1"/>
  <c r="AF55" i="49"/>
  <c r="AG55" i="49" s="1"/>
  <c r="AB55" i="49"/>
  <c r="AC55" i="49" s="1"/>
  <c r="X55" i="49"/>
  <c r="AB50" i="49"/>
  <c r="AC50" i="49" s="1"/>
  <c r="AN52" i="49"/>
  <c r="AO52" i="49" s="1"/>
  <c r="X52" i="49"/>
  <c r="AJ46" i="49"/>
  <c r="AK46" i="49" s="1"/>
  <c r="AB46" i="49"/>
  <c r="AC46" i="49" s="1"/>
  <c r="AN48" i="49"/>
  <c r="AO48" i="49" s="1"/>
  <c r="AF48" i="49"/>
  <c r="AG48" i="49" s="1"/>
  <c r="X48" i="49"/>
  <c r="AN45" i="49"/>
  <c r="AO45" i="49" s="1"/>
  <c r="AJ45" i="49"/>
  <c r="AK45" i="49" s="1"/>
  <c r="AF45" i="49"/>
  <c r="AG45" i="49" s="1"/>
  <c r="AB45" i="49"/>
  <c r="AC45" i="49" s="1"/>
  <c r="AN41" i="49"/>
  <c r="AO41" i="49" s="1"/>
  <c r="AJ41" i="49"/>
  <c r="AK41" i="49" s="1"/>
  <c r="AF41" i="49"/>
  <c r="AG41" i="49" s="1"/>
  <c r="AB41" i="49"/>
  <c r="AC41" i="49" s="1"/>
  <c r="X41" i="49"/>
  <c r="X136" i="49"/>
  <c r="AO137" i="49"/>
  <c r="AF107" i="49"/>
  <c r="AF109" i="49" s="1"/>
  <c r="AG109" i="49" s="1"/>
  <c r="Y108" i="49"/>
  <c r="AO108" i="49"/>
  <c r="AO107" i="49"/>
  <c r="AO104" i="49"/>
  <c r="Y81" i="49"/>
  <c r="AF74" i="49"/>
  <c r="Y75" i="49"/>
  <c r="AO75" i="49"/>
  <c r="AF70" i="49"/>
  <c r="Y71" i="49"/>
  <c r="AO71" i="49"/>
  <c r="AF50" i="49"/>
  <c r="Y51" i="49"/>
  <c r="AO51" i="49"/>
  <c r="AG47" i="49"/>
  <c r="Y47" i="49"/>
  <c r="AO47" i="49"/>
  <c r="Y43" i="49"/>
  <c r="AY54" i="74" l="1"/>
  <c r="AY56" i="74"/>
  <c r="AU56" i="74"/>
  <c r="BD56" i="74" s="1"/>
  <c r="AU54" i="74"/>
  <c r="BD54" i="74" s="1"/>
  <c r="AU55" i="74"/>
  <c r="BD55" i="74" s="1"/>
  <c r="G34" i="74"/>
  <c r="K34" i="74"/>
  <c r="K45" i="74"/>
  <c r="W45" i="74" s="1"/>
  <c r="G45" i="74"/>
  <c r="AS37" i="74"/>
  <c r="AY53" i="74"/>
  <c r="G49" i="74"/>
  <c r="K49" i="74"/>
  <c r="K33" i="74"/>
  <c r="G33" i="74"/>
  <c r="K44" i="74"/>
  <c r="G44" i="74"/>
  <c r="K46" i="74"/>
  <c r="G46" i="74"/>
  <c r="G42" i="74"/>
  <c r="K42" i="74"/>
  <c r="K47" i="74"/>
  <c r="G47" i="74"/>
  <c r="G38" i="74"/>
  <c r="K38" i="74"/>
  <c r="AJ52" i="49"/>
  <c r="AK52" i="49" s="1"/>
  <c r="AB138" i="49"/>
  <c r="AC138" i="49" s="1"/>
  <c r="AJ76" i="49"/>
  <c r="AK76" i="49" s="1"/>
  <c r="AF138" i="49"/>
  <c r="AG138" i="49" s="1"/>
  <c r="AJ109" i="49"/>
  <c r="AK109" i="49" s="1"/>
  <c r="AJ72" i="49"/>
  <c r="AK72" i="49" s="1"/>
  <c r="AW37" i="74"/>
  <c r="A67" i="49"/>
  <c r="A68" i="49" s="1"/>
  <c r="A69" i="49" s="1"/>
  <c r="B44" i="74" s="1"/>
  <c r="V33" i="74"/>
  <c r="AY58" i="74"/>
  <c r="X44" i="74"/>
  <c r="Y44" i="74"/>
  <c r="P62" i="74"/>
  <c r="P54" i="74"/>
  <c r="P17" i="74"/>
  <c r="P42" i="74"/>
  <c r="P32" i="74"/>
  <c r="P25" i="74"/>
  <c r="P10" i="74"/>
  <c r="T36" i="74"/>
  <c r="AG74" i="74" s="1"/>
  <c r="AU53" i="74"/>
  <c r="AS75" i="74"/>
  <c r="AY55" i="74"/>
  <c r="AD74" i="74"/>
  <c r="Y12" i="74"/>
  <c r="AD14" i="74" s="1"/>
  <c r="Y13" i="74"/>
  <c r="AD15" i="74" s="1"/>
  <c r="Y11" i="74"/>
  <c r="AD13" i="74" s="1"/>
  <c r="Y41" i="49"/>
  <c r="Y59" i="49"/>
  <c r="Y48" i="49"/>
  <c r="Y52" i="49"/>
  <c r="Y55" i="49"/>
  <c r="A42" i="49"/>
  <c r="B33" i="74" s="1"/>
  <c r="AJ138" i="49"/>
  <c r="AK138" i="49" s="1"/>
  <c r="AB76" i="49"/>
  <c r="AC76" i="49" s="1"/>
  <c r="AB72" i="49"/>
  <c r="AC72" i="49" s="1"/>
  <c r="AJ48" i="49"/>
  <c r="AK48" i="49" s="1"/>
  <c r="Y136" i="49"/>
  <c r="X138" i="49"/>
  <c r="Y138" i="49" s="1"/>
  <c r="AB109" i="49"/>
  <c r="AC109" i="49" s="1"/>
  <c r="AG107" i="49"/>
  <c r="AG74" i="49"/>
  <c r="AF76" i="49"/>
  <c r="AG76" i="49" s="1"/>
  <c r="AG70" i="49"/>
  <c r="AF72" i="49"/>
  <c r="AG72" i="49" s="1"/>
  <c r="AB52" i="49"/>
  <c r="AC52" i="49" s="1"/>
  <c r="AG50" i="49"/>
  <c r="AF52" i="49"/>
  <c r="AG52" i="49" s="1"/>
  <c r="AB48" i="49"/>
  <c r="AC48" i="49" s="1"/>
  <c r="BC56" i="74" l="1"/>
  <c r="BC54" i="74"/>
  <c r="BC55" i="74"/>
  <c r="G36" i="74"/>
  <c r="K36" i="74"/>
  <c r="K35" i="74"/>
  <c r="G35" i="74"/>
  <c r="K39" i="74"/>
  <c r="G39" i="74"/>
  <c r="K37" i="74"/>
  <c r="G37" i="74"/>
  <c r="K32" i="74"/>
  <c r="G32" i="74"/>
  <c r="W43" i="74"/>
  <c r="X43" i="74" s="1"/>
  <c r="BD75" i="74"/>
  <c r="BC75" i="74"/>
  <c r="W34" i="74"/>
  <c r="A70" i="49"/>
  <c r="A71" i="49" s="1"/>
  <c r="A72" i="49" s="1"/>
  <c r="B45" i="74" s="1"/>
  <c r="Y45" i="74"/>
  <c r="X45" i="74"/>
  <c r="BC53" i="74"/>
  <c r="BD53" i="74"/>
  <c r="AF33" i="74"/>
  <c r="AE33" i="74"/>
  <c r="AH33" i="74"/>
  <c r="AG33" i="74"/>
  <c r="AI33" i="74"/>
  <c r="AD33" i="74"/>
  <c r="A43" i="49"/>
  <c r="A44" i="49" s="1"/>
  <c r="P27" i="52"/>
  <c r="O27" i="52"/>
  <c r="P30" i="52"/>
  <c r="P31" i="52"/>
  <c r="P32" i="52"/>
  <c r="P33" i="52"/>
  <c r="P34" i="52"/>
  <c r="P35" i="52"/>
  <c r="P36" i="52"/>
  <c r="P37" i="52"/>
  <c r="P29" i="52"/>
  <c r="O30" i="52"/>
  <c r="Y43" i="74" l="1"/>
  <c r="AG13" i="74" s="1"/>
  <c r="W35" i="74"/>
  <c r="AG10" i="74"/>
  <c r="W33" i="74"/>
  <c r="X34" i="74"/>
  <c r="AG38" i="74" s="1"/>
  <c r="Y34" i="74"/>
  <c r="A73" i="49"/>
  <c r="A74" i="49" s="1"/>
  <c r="A75" i="49" s="1"/>
  <c r="A76" i="49" s="1"/>
  <c r="B46" i="74" s="1"/>
  <c r="AG32" i="74"/>
  <c r="AE32" i="74"/>
  <c r="AH32" i="74"/>
  <c r="AF32" i="74"/>
  <c r="AI32" i="74"/>
  <c r="AD32" i="74"/>
  <c r="A45" i="49"/>
  <c r="B34" i="74" s="1"/>
  <c r="O29" i="52"/>
  <c r="AG19" i="74" l="1"/>
  <c r="AI19" i="74"/>
  <c r="AE19" i="74"/>
  <c r="AH19" i="74"/>
  <c r="AF19" i="74"/>
  <c r="AD19" i="74"/>
  <c r="X33" i="74"/>
  <c r="AG37" i="74" s="1"/>
  <c r="AG54" i="74" s="1"/>
  <c r="Y33" i="74"/>
  <c r="AD18" i="74" s="1"/>
  <c r="AG31" i="74"/>
  <c r="AD31" i="74"/>
  <c r="AH31" i="74"/>
  <c r="AF31" i="74"/>
  <c r="AE31" i="74"/>
  <c r="AI31" i="74"/>
  <c r="AD34" i="74"/>
  <c r="AE34" i="74"/>
  <c r="AH34" i="74"/>
  <c r="AG34" i="74"/>
  <c r="AF34" i="74"/>
  <c r="AI34" i="74"/>
  <c r="A77" i="49"/>
  <c r="A78" i="49" s="1"/>
  <c r="A79" i="49" s="1"/>
  <c r="B47" i="74" s="1"/>
  <c r="AD54" i="74"/>
  <c r="AH54" i="74"/>
  <c r="AE54" i="74"/>
  <c r="X35" i="74"/>
  <c r="AG39" i="74" s="1"/>
  <c r="Y35" i="74"/>
  <c r="A46" i="49"/>
  <c r="A47" i="49" s="1"/>
  <c r="A48" i="49" s="1"/>
  <c r="B35" i="74" s="1"/>
  <c r="I13" i="70"/>
  <c r="AG20" i="74" l="1"/>
  <c r="AF20" i="74"/>
  <c r="AI20" i="74"/>
  <c r="AE20" i="74"/>
  <c r="AH20" i="74"/>
  <c r="AD20" i="74"/>
  <c r="AD55" i="74"/>
  <c r="AG55" i="74"/>
  <c r="AH55" i="74"/>
  <c r="AE55" i="74"/>
  <c r="A80" i="49"/>
  <c r="B48" i="74" s="1"/>
  <c r="AH18" i="74"/>
  <c r="AF18" i="74"/>
  <c r="AG18" i="74"/>
  <c r="AE18" i="74"/>
  <c r="AI18" i="74"/>
  <c r="AG53" i="74"/>
  <c r="AE53" i="74"/>
  <c r="AH53" i="74"/>
  <c r="AD53" i="74"/>
  <c r="A49" i="49"/>
  <c r="A50" i="49" s="1"/>
  <c r="A51" i="49" s="1"/>
  <c r="A52" i="49" s="1"/>
  <c r="B36" i="74" s="1"/>
  <c r="I12" i="70"/>
  <c r="I11" i="70"/>
  <c r="I3" i="70"/>
  <c r="I2" i="70"/>
  <c r="A81" i="49" l="1"/>
  <c r="A82" i="49" s="1"/>
  <c r="A83" i="49" s="1"/>
  <c r="B49" i="74" s="1"/>
  <c r="A53" i="49"/>
  <c r="A54" i="49" s="1"/>
  <c r="A55" i="49" s="1"/>
  <c r="B37" i="74" s="1"/>
  <c r="E16" i="70"/>
  <c r="E15" i="70"/>
  <c r="E20" i="70"/>
  <c r="E19" i="70"/>
  <c r="I16" i="70"/>
  <c r="I25" i="70" s="1"/>
  <c r="I15" i="70"/>
  <c r="H16" i="70"/>
  <c r="H15" i="70"/>
  <c r="H19" i="70"/>
  <c r="G13" i="70"/>
  <c r="F13" i="70"/>
  <c r="E13" i="70"/>
  <c r="D13" i="70"/>
  <c r="C13" i="70"/>
  <c r="H12" i="70"/>
  <c r="H11" i="70"/>
  <c r="H3" i="70"/>
  <c r="H2" i="70"/>
  <c r="K12" i="70"/>
  <c r="K11" i="70"/>
  <c r="K3" i="70"/>
  <c r="K2" i="70"/>
  <c r="J12" i="70"/>
  <c r="J11" i="70"/>
  <c r="J3" i="70"/>
  <c r="J2" i="70"/>
  <c r="G12" i="70"/>
  <c r="G11" i="70"/>
  <c r="G3" i="70"/>
  <c r="G2" i="70"/>
  <c r="F12" i="70"/>
  <c r="F11" i="70"/>
  <c r="F3" i="70"/>
  <c r="F2" i="70"/>
  <c r="E2" i="70"/>
  <c r="E3" i="70"/>
  <c r="E12" i="70"/>
  <c r="E11" i="70"/>
  <c r="D2" i="70"/>
  <c r="D3" i="70"/>
  <c r="D12" i="70"/>
  <c r="D11" i="70"/>
  <c r="C12" i="70"/>
  <c r="C11" i="70"/>
  <c r="C3" i="70"/>
  <c r="C2" i="70"/>
  <c r="B12" i="70"/>
  <c r="B11" i="70"/>
  <c r="B3" i="70"/>
  <c r="B2" i="70"/>
  <c r="A84" i="49" l="1"/>
  <c r="A85" i="49" s="1"/>
  <c r="A56" i="49"/>
  <c r="B38" i="74" s="1"/>
  <c r="E22" i="70"/>
  <c r="I22" i="70"/>
  <c r="H22" i="70"/>
  <c r="E25" i="70"/>
  <c r="I26" i="70"/>
  <c r="I23" i="70"/>
  <c r="I21" i="70"/>
  <c r="I20" i="70"/>
  <c r="I19" i="70"/>
  <c r="I27" i="70" s="1"/>
  <c r="I18" i="70"/>
  <c r="I17" i="70"/>
  <c r="I14" i="70"/>
  <c r="H17" i="70"/>
  <c r="E23" i="70"/>
  <c r="E21" i="70"/>
  <c r="E27" i="70"/>
  <c r="E26" i="70"/>
  <c r="E18" i="70"/>
  <c r="E14" i="70"/>
  <c r="E28" i="70" s="1"/>
  <c r="E17" i="70"/>
  <c r="H27" i="70"/>
  <c r="H26" i="70"/>
  <c r="H23" i="70"/>
  <c r="H21" i="70"/>
  <c r="H20" i="70"/>
  <c r="H14" i="70"/>
  <c r="H28" i="70" s="1"/>
  <c r="H18" i="70"/>
  <c r="A57" i="49" l="1"/>
  <c r="A58" i="49" s="1"/>
  <c r="A59" i="49" s="1"/>
  <c r="B39" i="74" s="1"/>
  <c r="I28" i="70"/>
  <c r="H13" i="70"/>
  <c r="H25" i="70" s="1"/>
  <c r="G16" i="70"/>
  <c r="G25" i="70" s="1"/>
  <c r="G15" i="70"/>
  <c r="A60" i="49" l="1"/>
  <c r="A61" i="49" s="1"/>
  <c r="G18" i="70"/>
  <c r="G19" i="70"/>
  <c r="G27" i="70" s="1"/>
  <c r="G20" i="70"/>
  <c r="G22" i="70"/>
  <c r="G21" i="70"/>
  <c r="G14" i="70"/>
  <c r="G23" i="70"/>
  <c r="G17" i="70"/>
  <c r="G26" i="70"/>
  <c r="G28" i="70" l="1"/>
  <c r="F16" i="70"/>
  <c r="F25" i="70" s="1"/>
  <c r="F15" i="70"/>
  <c r="F14" i="70"/>
  <c r="D16" i="70"/>
  <c r="D25" i="70" s="1"/>
  <c r="D15" i="70"/>
  <c r="D14" i="70"/>
  <c r="F26" i="70" l="1"/>
  <c r="D26" i="70"/>
  <c r="F19" i="70"/>
  <c r="F27" i="70" s="1"/>
  <c r="D18" i="70"/>
  <c r="D19" i="70"/>
  <c r="D27" i="70" s="1"/>
  <c r="F20" i="70"/>
  <c r="D20" i="70"/>
  <c r="F22" i="70"/>
  <c r="D22" i="70"/>
  <c r="F21" i="70"/>
  <c r="D21" i="70"/>
  <c r="F23" i="70"/>
  <c r="D23" i="70"/>
  <c r="F17" i="70"/>
  <c r="D17" i="70"/>
  <c r="F18" i="70"/>
  <c r="F28" i="70" l="1"/>
  <c r="D28" i="70"/>
  <c r="C16" i="70"/>
  <c r="C25" i="70" s="1"/>
  <c r="C15" i="70"/>
  <c r="C14" i="70"/>
  <c r="C21" i="70" l="1"/>
  <c r="C23" i="70"/>
  <c r="C17" i="70"/>
  <c r="C26" i="70"/>
  <c r="C18" i="70"/>
  <c r="C19" i="70"/>
  <c r="C27" i="70" s="1"/>
  <c r="C20" i="70"/>
  <c r="C22" i="70"/>
  <c r="J17" i="70"/>
  <c r="B17" i="70"/>
  <c r="K17" i="70"/>
  <c r="J18" i="70"/>
  <c r="B18" i="70"/>
  <c r="K18" i="70"/>
  <c r="B19" i="70"/>
  <c r="K19" i="70"/>
  <c r="J19" i="70"/>
  <c r="B20" i="70"/>
  <c r="K20" i="70"/>
  <c r="J20" i="70"/>
  <c r="K22" i="70"/>
  <c r="J22" i="70"/>
  <c r="B22" i="70"/>
  <c r="K16" i="70"/>
  <c r="B16" i="70"/>
  <c r="B25" i="70" s="1"/>
  <c r="J16" i="70"/>
  <c r="B21" i="70"/>
  <c r="J21" i="70"/>
  <c r="K21" i="70"/>
  <c r="B23" i="70"/>
  <c r="K23" i="70"/>
  <c r="J23" i="70"/>
  <c r="K14" i="70"/>
  <c r="J14" i="70"/>
  <c r="B14" i="70"/>
  <c r="B28" i="70" s="1"/>
  <c r="J15" i="70"/>
  <c r="B15" i="70"/>
  <c r="K15" i="70"/>
  <c r="C28" i="70" l="1"/>
  <c r="J25" i="70"/>
  <c r="B26" i="70"/>
  <c r="J27" i="70"/>
  <c r="K25" i="70"/>
  <c r="J26" i="70"/>
  <c r="B27" i="70"/>
  <c r="K27" i="70"/>
  <c r="K26" i="70"/>
  <c r="B11" i="50" l="1"/>
  <c r="C74" i="50" l="1"/>
  <c r="C73" i="50"/>
  <c r="C72" i="50"/>
  <c r="C71" i="50"/>
  <c r="C70" i="50"/>
  <c r="C69" i="50"/>
  <c r="B74" i="50"/>
  <c r="B73" i="50"/>
  <c r="B72" i="50"/>
  <c r="B71" i="50"/>
  <c r="B70" i="50"/>
  <c r="B69" i="50"/>
  <c r="D75" i="50" l="1"/>
  <c r="C65" i="50" l="1"/>
  <c r="C64" i="50"/>
  <c r="C63" i="50"/>
  <c r="C62" i="50"/>
  <c r="C61" i="50"/>
  <c r="C60" i="50"/>
  <c r="B64" i="50"/>
  <c r="B65" i="50"/>
  <c r="B63" i="50"/>
  <c r="B62" i="50"/>
  <c r="B61" i="50"/>
  <c r="B60" i="50"/>
  <c r="AH3" i="49" l="1"/>
  <c r="D66" i="50"/>
  <c r="D73" i="50" l="1"/>
  <c r="D74" i="50"/>
  <c r="D69" i="50"/>
  <c r="D71" i="50"/>
  <c r="D70" i="50"/>
  <c r="D72" i="50"/>
  <c r="C56" i="50"/>
  <c r="C55" i="50"/>
  <c r="C54" i="50"/>
  <c r="C53" i="50"/>
  <c r="C52" i="50"/>
  <c r="C51" i="50"/>
  <c r="C50" i="50"/>
  <c r="C46" i="50"/>
  <c r="C45" i="50"/>
  <c r="C44" i="50"/>
  <c r="C43" i="50"/>
  <c r="C42" i="50"/>
  <c r="C41" i="50"/>
  <c r="B56" i="50"/>
  <c r="B55" i="50"/>
  <c r="B54" i="50"/>
  <c r="B53" i="50"/>
  <c r="B52" i="50"/>
  <c r="B51" i="50"/>
  <c r="B50" i="50"/>
  <c r="B46" i="50"/>
  <c r="B45" i="50"/>
  <c r="B44" i="50"/>
  <c r="B42" i="50"/>
  <c r="B43" i="50"/>
  <c r="B41" i="50"/>
  <c r="D57" i="50" l="1"/>
  <c r="D47" i="50" l="1"/>
  <c r="D46" i="50" s="1"/>
  <c r="K74" i="50" s="1"/>
  <c r="D50" i="50"/>
  <c r="D52" i="50"/>
  <c r="D54" i="50"/>
  <c r="D56" i="50"/>
  <c r="D51" i="50"/>
  <c r="D53" i="50"/>
  <c r="D55" i="50"/>
  <c r="D45" i="50" l="1"/>
  <c r="K73" i="50" s="1"/>
  <c r="D43" i="50"/>
  <c r="K71" i="50" s="1"/>
  <c r="D42" i="50"/>
  <c r="K70" i="50" s="1"/>
  <c r="D44" i="50"/>
  <c r="K72" i="50" s="1"/>
  <c r="I74" i="50"/>
  <c r="D61" i="50"/>
  <c r="D65" i="50"/>
  <c r="J74" i="50" s="1"/>
  <c r="D62" i="50"/>
  <c r="D63" i="50"/>
  <c r="D60" i="50"/>
  <c r="D64" i="50"/>
  <c r="J70" i="50" l="1"/>
  <c r="I73" i="50"/>
  <c r="I70" i="50"/>
  <c r="J73" i="50"/>
  <c r="J71" i="50"/>
  <c r="I71" i="50"/>
  <c r="I72" i="50"/>
  <c r="J72" i="50"/>
  <c r="H9" i="32" l="1"/>
  <c r="I9" i="32" l="1"/>
  <c r="R60" i="50" l="1"/>
  <c r="R43" i="50"/>
  <c r="R62" i="50"/>
  <c r="R61" i="50"/>
  <c r="R59" i="50"/>
  <c r="R54" i="50"/>
  <c r="R53" i="50"/>
  <c r="R52" i="50"/>
  <c r="R51" i="50"/>
  <c r="R45" i="50"/>
  <c r="R44" i="50"/>
  <c r="R42" i="50"/>
  <c r="B2" i="49" l="1"/>
  <c r="C62" i="74" l="1"/>
  <c r="C27" i="74"/>
  <c r="C20" i="74"/>
  <c r="C63" i="74"/>
  <c r="C61" i="74"/>
  <c r="C26" i="74"/>
  <c r="C24" i="74"/>
  <c r="C19" i="74"/>
  <c r="C17" i="74"/>
  <c r="C64" i="74"/>
  <c r="C25" i="74"/>
  <c r="C18" i="74"/>
  <c r="B3" i="49"/>
  <c r="B4" i="50"/>
  <c r="B3" i="50"/>
  <c r="B8" i="50"/>
  <c r="B7" i="50"/>
  <c r="B6" i="50"/>
  <c r="B5" i="50"/>
  <c r="N45" i="52"/>
  <c r="O37" i="52"/>
  <c r="O36" i="52"/>
  <c r="O35" i="52"/>
  <c r="O34" i="52"/>
  <c r="O33" i="52"/>
  <c r="O32" i="52"/>
  <c r="O31" i="52"/>
  <c r="N27" i="52"/>
  <c r="B4" i="52"/>
  <c r="A4" i="52"/>
  <c r="B3" i="52"/>
  <c r="A3" i="52"/>
  <c r="B2" i="52"/>
  <c r="A2" i="52"/>
  <c r="L3" i="51"/>
  <c r="I92" i="34" l="1"/>
  <c r="I93" i="34" s="1"/>
  <c r="P77" i="34"/>
  <c r="O77" i="34"/>
  <c r="K77" i="34"/>
  <c r="M77" i="34" s="1"/>
  <c r="J77" i="34"/>
  <c r="L77" i="34" s="1"/>
  <c r="P75" i="34"/>
  <c r="O75" i="34"/>
  <c r="K75" i="34"/>
  <c r="M75" i="34" s="1"/>
  <c r="J75" i="34"/>
  <c r="L75" i="34" s="1"/>
  <c r="P73" i="34"/>
  <c r="O73" i="34"/>
  <c r="K73" i="34"/>
  <c r="M73" i="34" s="1"/>
  <c r="J73" i="34"/>
  <c r="L73" i="34" s="1"/>
  <c r="P71" i="34"/>
  <c r="O71" i="34"/>
  <c r="K71" i="34"/>
  <c r="M71" i="34" s="1"/>
  <c r="J71" i="34"/>
  <c r="L71" i="34" s="1"/>
  <c r="P69" i="34"/>
  <c r="O69" i="34"/>
  <c r="K69" i="34"/>
  <c r="M69" i="34" s="1"/>
  <c r="J69" i="34"/>
  <c r="L69" i="34" s="1"/>
  <c r="P67" i="34"/>
  <c r="O67" i="34"/>
  <c r="K67" i="34"/>
  <c r="M67" i="34" s="1"/>
  <c r="J67" i="34"/>
  <c r="L67" i="34" s="1"/>
  <c r="P65" i="34"/>
  <c r="O65" i="34"/>
  <c r="K65" i="34"/>
  <c r="M65" i="34" s="1"/>
  <c r="J65" i="34"/>
  <c r="L65" i="34" s="1"/>
  <c r="P63" i="34"/>
  <c r="O63" i="34"/>
  <c r="K63" i="34"/>
  <c r="M63" i="34" s="1"/>
  <c r="J63" i="34"/>
  <c r="L63" i="34" s="1"/>
  <c r="P61" i="34"/>
  <c r="O61" i="34"/>
  <c r="K61" i="34"/>
  <c r="M61" i="34" s="1"/>
  <c r="J61" i="34"/>
  <c r="L61" i="34" s="1"/>
  <c r="P59" i="34"/>
  <c r="O59" i="34"/>
  <c r="K59" i="34"/>
  <c r="M59" i="34" s="1"/>
  <c r="J59" i="34"/>
  <c r="L59" i="34" s="1"/>
  <c r="P57" i="34"/>
  <c r="O57" i="34"/>
  <c r="K57" i="34"/>
  <c r="M57" i="34" s="1"/>
  <c r="J57" i="34"/>
  <c r="L57" i="34" s="1"/>
  <c r="P55" i="34"/>
  <c r="O55" i="34"/>
  <c r="K55" i="34"/>
  <c r="M55" i="34" s="1"/>
  <c r="J55" i="34"/>
  <c r="L55" i="34" s="1"/>
  <c r="P53" i="34"/>
  <c r="O53" i="34"/>
  <c r="K53" i="34"/>
  <c r="M53" i="34" s="1"/>
  <c r="J53" i="34"/>
  <c r="L53" i="34" s="1"/>
  <c r="P51" i="34"/>
  <c r="O51" i="34"/>
  <c r="K51" i="34"/>
  <c r="M51" i="34" s="1"/>
  <c r="J51" i="34"/>
  <c r="L51" i="34" s="1"/>
  <c r="P49" i="34"/>
  <c r="O49" i="34"/>
  <c r="K49" i="34"/>
  <c r="M49" i="34" s="1"/>
  <c r="J49" i="34"/>
  <c r="L49" i="34" s="1"/>
  <c r="P47" i="34"/>
  <c r="O47" i="34"/>
  <c r="K47" i="34"/>
  <c r="M47" i="34" s="1"/>
  <c r="J47" i="34"/>
  <c r="L47" i="34" s="1"/>
  <c r="P45" i="34"/>
  <c r="O45" i="34"/>
  <c r="K45" i="34"/>
  <c r="M45" i="34" s="1"/>
  <c r="J45" i="34"/>
  <c r="L45" i="34" s="1"/>
  <c r="P43" i="34"/>
  <c r="O43" i="34"/>
  <c r="K43" i="34"/>
  <c r="M43" i="34" s="1"/>
  <c r="J43" i="34"/>
  <c r="L43" i="34" s="1"/>
  <c r="P41" i="34"/>
  <c r="O41" i="34"/>
  <c r="K41" i="34"/>
  <c r="M41" i="34" s="1"/>
  <c r="J41" i="34"/>
  <c r="L41" i="34" s="1"/>
  <c r="P39" i="34"/>
  <c r="O39" i="34"/>
  <c r="K39" i="34"/>
  <c r="M39" i="34" s="1"/>
  <c r="J39" i="34"/>
  <c r="L39" i="34" s="1"/>
  <c r="P37" i="34"/>
  <c r="O37" i="34"/>
  <c r="K37" i="34"/>
  <c r="M37" i="34" s="1"/>
  <c r="J37" i="34"/>
  <c r="L37" i="34" s="1"/>
  <c r="P35" i="34"/>
  <c r="O35" i="34"/>
  <c r="K35" i="34"/>
  <c r="M35" i="34" s="1"/>
  <c r="J35" i="34"/>
  <c r="L35" i="34" s="1"/>
  <c r="P33" i="34"/>
  <c r="O33" i="34"/>
  <c r="K33" i="34"/>
  <c r="M33" i="34" s="1"/>
  <c r="J33" i="34"/>
  <c r="L33" i="34" s="1"/>
  <c r="P31" i="34"/>
  <c r="O31" i="34"/>
  <c r="K31" i="34"/>
  <c r="M31" i="34" s="1"/>
  <c r="J31" i="34"/>
  <c r="L31" i="34" s="1"/>
  <c r="P29" i="34"/>
  <c r="O29" i="34"/>
  <c r="K29" i="34"/>
  <c r="M29" i="34" s="1"/>
  <c r="J29" i="34"/>
  <c r="L29" i="34" s="1"/>
  <c r="P27" i="34"/>
  <c r="O27" i="34"/>
  <c r="K27" i="34"/>
  <c r="M27" i="34" s="1"/>
  <c r="J27" i="34"/>
  <c r="L27" i="34" s="1"/>
  <c r="P25" i="34"/>
  <c r="O25" i="34"/>
  <c r="K25" i="34"/>
  <c r="M25" i="34" s="1"/>
  <c r="J25" i="34"/>
  <c r="L25" i="34" s="1"/>
  <c r="P23" i="34"/>
  <c r="O23" i="34"/>
  <c r="K23" i="34"/>
  <c r="M23" i="34" s="1"/>
  <c r="J23" i="34"/>
  <c r="L23" i="34" s="1"/>
  <c r="P21" i="34"/>
  <c r="O21" i="34"/>
  <c r="K21" i="34"/>
  <c r="M21" i="34" s="1"/>
  <c r="J21" i="34"/>
  <c r="L21" i="34" s="1"/>
  <c r="P19" i="34"/>
  <c r="O19" i="34"/>
  <c r="K19" i="34"/>
  <c r="M19" i="34" s="1"/>
  <c r="J19" i="34"/>
  <c r="L19" i="34" s="1"/>
  <c r="P17" i="34"/>
  <c r="O17" i="34"/>
  <c r="K17" i="34"/>
  <c r="M17" i="34" s="1"/>
  <c r="J17" i="34"/>
  <c r="L17" i="34" s="1"/>
  <c r="P15" i="34"/>
  <c r="O15" i="34"/>
  <c r="K15" i="34"/>
  <c r="M15" i="34" s="1"/>
  <c r="J15" i="34"/>
  <c r="L15" i="34" s="1"/>
  <c r="P13" i="34"/>
  <c r="O13" i="34"/>
  <c r="K13" i="34"/>
  <c r="M13" i="34" s="1"/>
  <c r="J13" i="34"/>
  <c r="L13" i="34" s="1"/>
  <c r="P11" i="34"/>
  <c r="O11" i="34"/>
  <c r="K11" i="34"/>
  <c r="M11" i="34" s="1"/>
  <c r="J11" i="34"/>
  <c r="L11" i="34" s="1"/>
  <c r="P9" i="34"/>
  <c r="O9" i="34"/>
  <c r="K9" i="34"/>
  <c r="M9" i="34" s="1"/>
  <c r="J9" i="34"/>
  <c r="L9" i="34" s="1"/>
  <c r="P7" i="34"/>
  <c r="O7" i="34"/>
  <c r="K7" i="34"/>
  <c r="M7" i="34" s="1"/>
  <c r="J7" i="34"/>
  <c r="L7" i="34" s="1"/>
  <c r="Q10" i="32"/>
  <c r="M5" i="32"/>
  <c r="D5" i="32"/>
  <c r="H11" i="32" s="1"/>
  <c r="D31" i="50"/>
  <c r="D30" i="50"/>
  <c r="D29" i="50"/>
  <c r="D28" i="50"/>
  <c r="C31" i="50"/>
  <c r="C30" i="50"/>
  <c r="C29" i="50"/>
  <c r="C28" i="50"/>
  <c r="B31" i="50"/>
  <c r="B30" i="50"/>
  <c r="B29" i="50"/>
  <c r="B28" i="50"/>
  <c r="AE38" i="50"/>
  <c r="AC38" i="50"/>
  <c r="AD38" i="50" s="1"/>
  <c r="AB38" i="50"/>
  <c r="AE37" i="50"/>
  <c r="AC37" i="50"/>
  <c r="AD37" i="50" s="1"/>
  <c r="AB37" i="50"/>
  <c r="AE36" i="50"/>
  <c r="AC36" i="50"/>
  <c r="AD36" i="50" s="1"/>
  <c r="AB36" i="50"/>
  <c r="AE35" i="50"/>
  <c r="AC35" i="50"/>
  <c r="AD35" i="50" s="1"/>
  <c r="AB35" i="50"/>
  <c r="AE34" i="50"/>
  <c r="AC34" i="50"/>
  <c r="AD34" i="50" s="1"/>
  <c r="AB34" i="50"/>
  <c r="AE33" i="50"/>
  <c r="AC33" i="50"/>
  <c r="AD33" i="50" s="1"/>
  <c r="AB33" i="50"/>
  <c r="AE32" i="50"/>
  <c r="AC32" i="50"/>
  <c r="AD32" i="50" s="1"/>
  <c r="AB32" i="50"/>
  <c r="AE31" i="50"/>
  <c r="AC31" i="50"/>
  <c r="AD31" i="50" s="1"/>
  <c r="AB31" i="50"/>
  <c r="R31" i="50" s="1"/>
  <c r="C23" i="50" s="1"/>
  <c r="AE30" i="50"/>
  <c r="AC30" i="50"/>
  <c r="AD30" i="50" s="1"/>
  <c r="AB30" i="50"/>
  <c r="AE29" i="50"/>
  <c r="AC29" i="50"/>
  <c r="AD29" i="50" s="1"/>
  <c r="AB29" i="50"/>
  <c r="R29" i="50" s="1"/>
  <c r="C21" i="50" s="1"/>
  <c r="AE28" i="50"/>
  <c r="AC28" i="50"/>
  <c r="AD28" i="50" s="1"/>
  <c r="AB28" i="50"/>
  <c r="R28" i="50" s="1"/>
  <c r="C20" i="50" s="1"/>
  <c r="AE27" i="50"/>
  <c r="AC27" i="50"/>
  <c r="AD27" i="50" s="1"/>
  <c r="AB27" i="50"/>
  <c r="AE26" i="50"/>
  <c r="AC26" i="50"/>
  <c r="AD26" i="50" s="1"/>
  <c r="AB26" i="50"/>
  <c r="AE25" i="50"/>
  <c r="AC25" i="50"/>
  <c r="AD25" i="50" s="1"/>
  <c r="AB25" i="50"/>
  <c r="AE24" i="50"/>
  <c r="AC24" i="50"/>
  <c r="AD24" i="50" s="1"/>
  <c r="AB24" i="50"/>
  <c r="AE18" i="50"/>
  <c r="AC18" i="50"/>
  <c r="AD18" i="50" s="1"/>
  <c r="AB18" i="50"/>
  <c r="AE17" i="50"/>
  <c r="AC17" i="50"/>
  <c r="AD17" i="50" s="1"/>
  <c r="AB17" i="50"/>
  <c r="AE16" i="50"/>
  <c r="AC16" i="50"/>
  <c r="AD16" i="50" s="1"/>
  <c r="AB16" i="50"/>
  <c r="AE15" i="50"/>
  <c r="AC15" i="50"/>
  <c r="AD15" i="50" s="1"/>
  <c r="AB15" i="50"/>
  <c r="AE14" i="50"/>
  <c r="AC14" i="50"/>
  <c r="AD14" i="50" s="1"/>
  <c r="AB14" i="50"/>
  <c r="AE13" i="50"/>
  <c r="AC13" i="50"/>
  <c r="AD13" i="50" s="1"/>
  <c r="AB13" i="50"/>
  <c r="AE12" i="50"/>
  <c r="AC12" i="50"/>
  <c r="AD12" i="50" s="1"/>
  <c r="AB12" i="50"/>
  <c r="AE11" i="50"/>
  <c r="AC11" i="50"/>
  <c r="AD11" i="50" s="1"/>
  <c r="AB11" i="50"/>
  <c r="R11" i="50" s="1"/>
  <c r="B23" i="50" s="1"/>
  <c r="AE10" i="50"/>
  <c r="AC10" i="50"/>
  <c r="AD10" i="50" s="1"/>
  <c r="AB10" i="50"/>
  <c r="AE9" i="50"/>
  <c r="AC9" i="50"/>
  <c r="AD9" i="50" s="1"/>
  <c r="AB9" i="50"/>
  <c r="AE8" i="50"/>
  <c r="AC8" i="50"/>
  <c r="AD8" i="50" s="1"/>
  <c r="AB8" i="50"/>
  <c r="AE7" i="50"/>
  <c r="AC7" i="50"/>
  <c r="AD7" i="50" s="1"/>
  <c r="AB7" i="50"/>
  <c r="R7" i="50" s="1"/>
  <c r="B19" i="50" s="1"/>
  <c r="AE6" i="50"/>
  <c r="AC6" i="50"/>
  <c r="AD6" i="50" s="1"/>
  <c r="AB6" i="50"/>
  <c r="AE5" i="50"/>
  <c r="AC5" i="50"/>
  <c r="AD5" i="50" s="1"/>
  <c r="AB5" i="50"/>
  <c r="AE4" i="50"/>
  <c r="AC4" i="50"/>
  <c r="AD4" i="50" s="1"/>
  <c r="AB4" i="50"/>
  <c r="R5" i="50" l="1"/>
  <c r="B17" i="50" s="1"/>
  <c r="R25" i="50"/>
  <c r="C17" i="50" s="1"/>
  <c r="N7" i="34"/>
  <c r="N9" i="34"/>
  <c r="Q19" i="34"/>
  <c r="Q27" i="34"/>
  <c r="Q35" i="34"/>
  <c r="Q59" i="34"/>
  <c r="Q75" i="34"/>
  <c r="N15" i="34"/>
  <c r="R4" i="50"/>
  <c r="B16" i="50" s="1"/>
  <c r="AF8" i="50"/>
  <c r="AF12" i="50"/>
  <c r="N19" i="34"/>
  <c r="N21" i="34"/>
  <c r="Q67" i="34"/>
  <c r="N29" i="34"/>
  <c r="Q7" i="34"/>
  <c r="Q43" i="34"/>
  <c r="Q51" i="34"/>
  <c r="Q37" i="34"/>
  <c r="Q53" i="34"/>
  <c r="R26" i="50"/>
  <c r="C18" i="50" s="1"/>
  <c r="R30" i="50"/>
  <c r="C22" i="50" s="1"/>
  <c r="Q12" i="32"/>
  <c r="Q14" i="32" s="1"/>
  <c r="AF9" i="50"/>
  <c r="AF13" i="50"/>
  <c r="AF17" i="50"/>
  <c r="AF30" i="50"/>
  <c r="AF34" i="50"/>
  <c r="Q45" i="34"/>
  <c r="Q77" i="34"/>
  <c r="R6" i="50"/>
  <c r="B18" i="50" s="1"/>
  <c r="AF7" i="50"/>
  <c r="AF15" i="50"/>
  <c r="AF24" i="50"/>
  <c r="AF29" i="50"/>
  <c r="N37" i="34"/>
  <c r="N45" i="34"/>
  <c r="N53" i="34"/>
  <c r="N61" i="34"/>
  <c r="N69" i="34"/>
  <c r="N77" i="34"/>
  <c r="AF6" i="50"/>
  <c r="AF10" i="50"/>
  <c r="AF28" i="50"/>
  <c r="AF32" i="50"/>
  <c r="AF36" i="50"/>
  <c r="Q9" i="34"/>
  <c r="Q15" i="34"/>
  <c r="Q21" i="34"/>
  <c r="Q29" i="34"/>
  <c r="Q61" i="34"/>
  <c r="Q69" i="34"/>
  <c r="AF27" i="50"/>
  <c r="AF31" i="50"/>
  <c r="AF35" i="50"/>
  <c r="Q23" i="34"/>
  <c r="Q31" i="34"/>
  <c r="Q39" i="34"/>
  <c r="Q47" i="34"/>
  <c r="Q55" i="34"/>
  <c r="Q63" i="34"/>
  <c r="Q71" i="34"/>
  <c r="N31" i="34"/>
  <c r="N47" i="34"/>
  <c r="N55" i="34"/>
  <c r="N63" i="34"/>
  <c r="N11" i="34"/>
  <c r="N23" i="34"/>
  <c r="N39" i="34"/>
  <c r="N71" i="34"/>
  <c r="R8" i="50"/>
  <c r="B20" i="50" s="1"/>
  <c r="R9" i="50"/>
  <c r="B21" i="50" s="1"/>
  <c r="R10" i="50"/>
  <c r="B22" i="50" s="1"/>
  <c r="AF11" i="50"/>
  <c r="R24" i="50"/>
  <c r="C16" i="50" s="1"/>
  <c r="AF37" i="50"/>
  <c r="Q11" i="34"/>
  <c r="N13" i="34"/>
  <c r="N17" i="34"/>
  <c r="N25" i="34"/>
  <c r="N33" i="34"/>
  <c r="N41" i="34"/>
  <c r="N49" i="34"/>
  <c r="N57" i="34"/>
  <c r="N65" i="34"/>
  <c r="N73" i="34"/>
  <c r="Q13" i="34"/>
  <c r="Q17" i="34"/>
  <c r="Q25" i="34"/>
  <c r="N27" i="34"/>
  <c r="Q33" i="34"/>
  <c r="N35" i="34"/>
  <c r="Q41" i="34"/>
  <c r="N43" i="34"/>
  <c r="Q49" i="34"/>
  <c r="N51" i="34"/>
  <c r="Q57" i="34"/>
  <c r="N59" i="34"/>
  <c r="Q65" i="34"/>
  <c r="N67" i="34"/>
  <c r="Q73" i="34"/>
  <c r="N75" i="34"/>
  <c r="H13" i="32"/>
  <c r="H14" i="32" s="1"/>
  <c r="H15" i="32" s="1"/>
  <c r="D20" i="32" s="1"/>
  <c r="D21" i="32" s="1"/>
  <c r="D22" i="32" s="1"/>
  <c r="D23" i="32" s="1"/>
  <c r="D24" i="32" s="1"/>
  <c r="D25" i="32" s="1"/>
  <c r="D26" i="32" s="1"/>
  <c r="D27" i="32" s="1"/>
  <c r="D28" i="32" s="1"/>
  <c r="AF25" i="50"/>
  <c r="AF26" i="50"/>
  <c r="R27" i="50"/>
  <c r="C19" i="50" s="1"/>
  <c r="AF33" i="50"/>
  <c r="AF38" i="50"/>
  <c r="AF16" i="50"/>
  <c r="AF4" i="50"/>
  <c r="AF5" i="50"/>
  <c r="AF14" i="50"/>
  <c r="AF18" i="50"/>
  <c r="D41" i="50" l="1"/>
  <c r="D24" i="50"/>
  <c r="E21" i="50" s="1"/>
  <c r="K69" i="50" l="1"/>
  <c r="I69" i="50"/>
  <c r="J69" i="50"/>
  <c r="E18" i="50"/>
  <c r="D16" i="50"/>
  <c r="D20" i="50"/>
  <c r="D18" i="50"/>
  <c r="D23" i="50"/>
  <c r="D17" i="50"/>
  <c r="D21" i="50"/>
  <c r="E17" i="50"/>
  <c r="E20" i="50"/>
  <c r="E16" i="50"/>
  <c r="D22" i="50"/>
  <c r="E19" i="50"/>
  <c r="D19" i="50"/>
  <c r="E23" i="50"/>
  <c r="E22" i="50"/>
</calcChain>
</file>

<file path=xl/sharedStrings.xml><?xml version="1.0" encoding="utf-8"?>
<sst xmlns="http://schemas.openxmlformats.org/spreadsheetml/2006/main" count="4607" uniqueCount="1024">
  <si>
    <t>Test #</t>
  </si>
  <si>
    <t>Cycle</t>
  </si>
  <si>
    <t>Start Comments</t>
  </si>
  <si>
    <t>End Comments</t>
  </si>
  <si>
    <t>lb</t>
  </si>
  <si>
    <t>Vehicle</t>
  </si>
  <si>
    <t>Location</t>
  </si>
  <si>
    <t>Test purpose</t>
  </si>
  <si>
    <t>Principal Investigator</t>
  </si>
  <si>
    <t>Test Cycle and phases</t>
  </si>
  <si>
    <t>COMPLETION CHECK</t>
  </si>
  <si>
    <t>Pretest Soak time</t>
  </si>
  <si>
    <t>Test cell temperature</t>
  </si>
  <si>
    <t>Fan speed</t>
  </si>
  <si>
    <r>
      <t xml:space="preserve">Emissions </t>
    </r>
    <r>
      <rPr>
        <b/>
        <sz val="10"/>
        <color theme="1"/>
        <rFont val="Calibri"/>
        <family val="2"/>
        <scheme val="minor"/>
      </rPr>
      <t>(Bag, modal Semtech)</t>
    </r>
  </si>
  <si>
    <t>Direct Fuel scale</t>
  </si>
  <si>
    <t>Hioki</t>
  </si>
  <si>
    <t>Vehicle Climate Control</t>
  </si>
  <si>
    <t>Hood position</t>
  </si>
  <si>
    <t>Windows position</t>
  </si>
  <si>
    <r>
      <t>Driver</t>
    </r>
    <r>
      <rPr>
        <b/>
        <sz val="10"/>
        <color theme="1"/>
        <rFont val="Calibri"/>
        <family val="2"/>
        <scheme val="minor"/>
      </rPr>
      <t xml:space="preserve"> (same. DNM Does Not Mater, Robot, engineer)</t>
    </r>
  </si>
  <si>
    <t>-</t>
  </si>
  <si>
    <t>72F</t>
  </si>
  <si>
    <t>NO</t>
  </si>
  <si>
    <t>No</t>
  </si>
  <si>
    <t>Yes</t>
  </si>
  <si>
    <t>OFF</t>
  </si>
  <si>
    <t>Down</t>
  </si>
  <si>
    <t>DNM</t>
  </si>
  <si>
    <t>Vehicle loss determination</t>
  </si>
  <si>
    <t>12 hr</t>
  </si>
  <si>
    <t>A</t>
  </si>
  <si>
    <t>B</t>
  </si>
  <si>
    <t>C</t>
  </si>
  <si>
    <t>ETW</t>
  </si>
  <si>
    <t>lbm</t>
  </si>
  <si>
    <t>lb/mph</t>
  </si>
  <si>
    <t>Instrumentation</t>
  </si>
  <si>
    <t>Facilities</t>
  </si>
  <si>
    <t>Standard Dynamometer</t>
  </si>
  <si>
    <t>Channel 1</t>
  </si>
  <si>
    <t>Channel 2</t>
  </si>
  <si>
    <t>Channel 3</t>
  </si>
  <si>
    <t>Channel 4</t>
  </si>
  <si>
    <t>Channel 5</t>
  </si>
  <si>
    <t>Channel 6</t>
  </si>
  <si>
    <t>Dyno Target A:</t>
  </si>
  <si>
    <t>Dyno Target B:</t>
  </si>
  <si>
    <t>Dyno Target C:</t>
  </si>
  <si>
    <t>20F</t>
  </si>
  <si>
    <t>veh spd</t>
  </si>
  <si>
    <t>Closed</t>
  </si>
  <si>
    <t>lb/mph2</t>
  </si>
  <si>
    <t>4WD dyno GUI table#</t>
  </si>
  <si>
    <t>Highway</t>
  </si>
  <si>
    <t>HWY</t>
  </si>
  <si>
    <t>SC03</t>
  </si>
  <si>
    <t>UDDS</t>
  </si>
  <si>
    <t>0% grade</t>
  </si>
  <si>
    <t>3% grade</t>
  </si>
  <si>
    <t>6% grade</t>
  </si>
  <si>
    <t>35-55 mph</t>
  </si>
  <si>
    <t>55-65 mph</t>
  </si>
  <si>
    <t>35-70 mph</t>
  </si>
  <si>
    <t>55-80 mph</t>
  </si>
  <si>
    <t>Maximum sustained speed</t>
  </si>
  <si>
    <t>[mph]</t>
  </si>
  <si>
    <t>Time [s]</t>
  </si>
  <si>
    <t>Gradeability - Max speed at 25% grade from stop</t>
  </si>
  <si>
    <t xml:space="preserve">UDDS cold start </t>
  </si>
  <si>
    <t xml:space="preserve">US06 </t>
  </si>
  <si>
    <t>US06 City</t>
  </si>
  <si>
    <t xml:space="preserve">US06 Highway </t>
  </si>
  <si>
    <t>Vehicle test weight</t>
  </si>
  <si>
    <t>C target road load</t>
  </si>
  <si>
    <t>B target road load</t>
  </si>
  <si>
    <t>A target road load</t>
  </si>
  <si>
    <t>[lb]</t>
  </si>
  <si>
    <t>[lb/mph]</t>
  </si>
  <si>
    <t>[lb/mph2]</t>
  </si>
  <si>
    <t>Vehicle VIN</t>
  </si>
  <si>
    <t>File Name</t>
  </si>
  <si>
    <t>Cursor A Time</t>
  </si>
  <si>
    <t>Cursor B Time</t>
  </si>
  <si>
    <t>Avg A-B Dyno_Spd[mph]</t>
  </si>
  <si>
    <t>Vehicle speed [m/s]</t>
  </si>
  <si>
    <t>Wheel power [kW]</t>
  </si>
  <si>
    <t>Fuel Power [kW]</t>
  </si>
  <si>
    <t>Vehicle Eff [%]</t>
  </si>
  <si>
    <t>SSS 0% grade</t>
  </si>
  <si>
    <t>SPECIAL COMMENTS</t>
  </si>
  <si>
    <t>SSS 6% grade</t>
  </si>
  <si>
    <t>Cursor A Dyno_Spd[mph]</t>
  </si>
  <si>
    <t>Cursor B Dyno_Spd[mph]</t>
  </si>
  <si>
    <t>Passing Time 0% Grade</t>
  </si>
  <si>
    <t>Accel Time</t>
  </si>
  <si>
    <t>Passing Time 3% Grade</t>
  </si>
  <si>
    <t>Passing Time 6% Grade</t>
  </si>
  <si>
    <t>Cycle Filename (use to determine cycle)</t>
  </si>
  <si>
    <t>Represented Test Veh Make</t>
  </si>
  <si>
    <t>Represented Test Veh Model</t>
  </si>
  <si>
    <t>Test Vehicle ID</t>
  </si>
  <si>
    <t>Vehicle Type</t>
  </si>
  <si>
    <t># of Gears</t>
  </si>
  <si>
    <t>Electric consumption [Wh/mi]</t>
  </si>
  <si>
    <t>CAUTION: DO NOT PUBLISH THE NUMBERS ON THE RIGHT OF THE RED COLUMN. 
The numbers on the right are only to support the reporting on the left</t>
  </si>
  <si>
    <t>SOC</t>
  </si>
  <si>
    <t>Avg A-B I1</t>
  </si>
  <si>
    <t>Avg A-B Dyno_TractiveForce[N]</t>
  </si>
  <si>
    <t>Cursor A Pedal_Accel_Pos_CAN[%]</t>
  </si>
  <si>
    <t>Cursor B Pedal_Accel_Pos_CAN[%]</t>
  </si>
  <si>
    <t>Battery Power [kW]</t>
  </si>
  <si>
    <t>EC [Wh/mi]</t>
  </si>
  <si>
    <t>Cumulative Miles</t>
  </si>
  <si>
    <t>Vehicle Manufacturer Name</t>
  </si>
  <si>
    <t>Veh Mfr Code</t>
  </si>
  <si>
    <t>Test Veh Configuration #</t>
  </si>
  <si>
    <t>Test Veh Displacement (L)</t>
  </si>
  <si>
    <t>Actual Tested Testgroup</t>
  </si>
  <si>
    <t>Rated Horsepower</t>
  </si>
  <si>
    <t># of Cylinders and Rotors</t>
  </si>
  <si>
    <t>Engine Code</t>
  </si>
  <si>
    <t>Tested Transmission Type Code</t>
  </si>
  <si>
    <t>Tested Transmission Type</t>
  </si>
  <si>
    <t>Transmission Lockup?</t>
  </si>
  <si>
    <t>Drive System Code</t>
  </si>
  <si>
    <t>Drive System Description</t>
  </si>
  <si>
    <t>Transmission Overdrive Code</t>
  </si>
  <si>
    <t>Transmission Overdrive Desc</t>
  </si>
  <si>
    <t>Equivalent Test Weight (lbs.)</t>
  </si>
  <si>
    <t>Axle Ratio</t>
  </si>
  <si>
    <t>N/V Ratio</t>
  </si>
  <si>
    <t>Shift Indicator Light Use Cd</t>
  </si>
  <si>
    <t>Shift Indicator Light Use Desc</t>
  </si>
  <si>
    <t>Test Number</t>
  </si>
  <si>
    <t>Test Originator</t>
  </si>
  <si>
    <t>Analytically Derived FE?</t>
  </si>
  <si>
    <t>Test Procedure Cd</t>
  </si>
  <si>
    <t>Test Procedure Description</t>
  </si>
  <si>
    <t>Test Fuel Type Cd</t>
  </si>
  <si>
    <t>Test Fuel Type Description</t>
  </si>
  <si>
    <t>Test Category</t>
  </si>
  <si>
    <t>THC (g/mi)</t>
  </si>
  <si>
    <t>CO (g/mi)</t>
  </si>
  <si>
    <t>CO2 (g/mi)</t>
  </si>
  <si>
    <t>NOx (g/mi)</t>
  </si>
  <si>
    <t>PM (g/mi)</t>
  </si>
  <si>
    <t>CH4 (g/mi)</t>
  </si>
  <si>
    <t>N2O (g/mi)</t>
  </si>
  <si>
    <t>RND_ADJ_FE</t>
  </si>
  <si>
    <t>FE_UNIT</t>
  </si>
  <si>
    <t>FE Bag 1</t>
  </si>
  <si>
    <t>FE Bag 2</t>
  </si>
  <si>
    <t>FE Bag 3</t>
  </si>
  <si>
    <t>FE Bag 4</t>
  </si>
  <si>
    <t>Target Coef A (lbf)</t>
  </si>
  <si>
    <t>Target Coef B (lbf/mph)</t>
  </si>
  <si>
    <t>Target Coef C (lbf/mph**2)</t>
  </si>
  <si>
    <t>Set Coef A (lbf)</t>
  </si>
  <si>
    <t>Set Coef B (lbf/mph)</t>
  </si>
  <si>
    <t>Set Coef C (lbf/mph**2)</t>
  </si>
  <si>
    <t>Aftertreatment Device Cd</t>
  </si>
  <si>
    <t>Aftertreatment Device Desc</t>
  </si>
  <si>
    <t>Police - Emergency Vehicle?</t>
  </si>
  <si>
    <t>Averaging Group ID</t>
  </si>
  <si>
    <t>Averaging Weighting Factor</t>
  </si>
  <si>
    <t>Averaging Method Cd</t>
  </si>
  <si>
    <t>Averging Method Desc</t>
  </si>
  <si>
    <t xml:space="preserve">       Do Not Delete Below This Line       </t>
  </si>
  <si>
    <t>12V Charging Watts</t>
  </si>
  <si>
    <t>12V Charging A</t>
  </si>
  <si>
    <t>key off</t>
  </si>
  <si>
    <t>horn</t>
  </si>
  <si>
    <t>rear def</t>
  </si>
  <si>
    <t>ac off</t>
  </si>
  <si>
    <t>ac max cool, high fan</t>
  </si>
  <si>
    <t>hazzard</t>
  </si>
  <si>
    <t>blinkers</t>
  </si>
  <si>
    <t>lights off</t>
  </si>
  <si>
    <t>brights</t>
  </si>
  <si>
    <t xml:space="preserve">headlights </t>
  </si>
  <si>
    <t>parking lights</t>
  </si>
  <si>
    <t>key on</t>
  </si>
  <si>
    <t>DC/Dc Loss (Watts)</t>
  </si>
  <si>
    <t>DC/DC Output (Watts)</t>
  </si>
  <si>
    <t>HV Input (Watts)</t>
  </si>
  <si>
    <t xml:space="preserve"> Total Power @ SS (Watts)</t>
  </si>
  <si>
    <t>12V Watts</t>
  </si>
  <si>
    <t>HV Watts</t>
  </si>
  <si>
    <t xml:space="preserve">12V Curr Used (A) </t>
  </si>
  <si>
    <t>HV Curr Used (A)</t>
  </si>
  <si>
    <t>5 = 12V batt gnd</t>
  </si>
  <si>
    <t xml:space="preserve">4 = Coolant Heater (inverted) </t>
  </si>
  <si>
    <t>3 = 12DCDC Out</t>
  </si>
  <si>
    <t>2 = HV Batt Post DCDC</t>
  </si>
  <si>
    <t>1 = HV Batt</t>
  </si>
  <si>
    <t>Cursor B (Time)</t>
  </si>
  <si>
    <t>Cursor A (Time)</t>
  </si>
  <si>
    <t>Driver time</t>
  </si>
  <si>
    <t>Driver Item</t>
  </si>
  <si>
    <t>Hioki Current = Avg A-B (Amps)</t>
  </si>
  <si>
    <t>Voltage HV Batt</t>
  </si>
  <si>
    <t>Voltage 12V Bus</t>
  </si>
  <si>
    <t>Avg A-B (Volts)</t>
  </si>
  <si>
    <t>Avg A-B Drive_Trace_Schedule[mph]</t>
  </si>
  <si>
    <t>Test</t>
  </si>
  <si>
    <t>Avg A-B P1</t>
  </si>
  <si>
    <t>Test weight [lb]</t>
  </si>
  <si>
    <t>UDDS#1</t>
  </si>
  <si>
    <t>UDDS#2</t>
  </si>
  <si>
    <t>US06</t>
  </si>
  <si>
    <t>25% Gradeability</t>
  </si>
  <si>
    <t>Test File:</t>
  </si>
  <si>
    <t>DC Wh</t>
  </si>
  <si>
    <t>Modified</t>
  </si>
  <si>
    <t>input --&gt;</t>
  </si>
  <si>
    <t xml:space="preserve"> = DC Wh Charge</t>
  </si>
  <si>
    <t>UDDS 1</t>
  </si>
  <si>
    <t>&lt;-- input</t>
  </si>
  <si>
    <t xml:space="preserve"> = 95% of DC Wh</t>
  </si>
  <si>
    <t>UDDS 3</t>
  </si>
  <si>
    <t>HWY   2</t>
  </si>
  <si>
    <t>HWY   1</t>
  </si>
  <si>
    <t xml:space="preserve"> = SS wh/mi</t>
  </si>
  <si>
    <t>US06  4</t>
  </si>
  <si>
    <t>UDDS 2</t>
  </si>
  <si>
    <t>US06  1</t>
  </si>
  <si>
    <t xml:space="preserve">2 x U+U+H+US06 = </t>
  </si>
  <si>
    <t>SSS + WOT</t>
  </si>
  <si>
    <t xml:space="preserve">Wh to deplete in Middle SS = </t>
  </si>
  <si>
    <t xml:space="preserve">  for 10% left over</t>
  </si>
  <si>
    <t xml:space="preserve">Estimated Miles at 55mph = </t>
  </si>
  <si>
    <t>Cursor A Drive_Trace_Schedule[mph]</t>
  </si>
  <si>
    <t>Cursor B Drive_Trace_Schedule[mph]</t>
  </si>
  <si>
    <t>Model Year</t>
  </si>
  <si>
    <t>Unlock</t>
  </si>
  <si>
    <t>open door</t>
  </si>
  <si>
    <t>close door</t>
  </si>
  <si>
    <t>Ramp heat off</t>
  </si>
  <si>
    <t xml:space="preserve">mirror </t>
  </si>
  <si>
    <t>door lock/unlock x2</t>
  </si>
  <si>
    <t xml:space="preserve"> PF window down/up hold</t>
  </si>
  <si>
    <t>radio off</t>
  </si>
  <si>
    <t>wipers int</t>
  </si>
  <si>
    <t>wipers max</t>
  </si>
  <si>
    <t>rear wiper</t>
  </si>
  <si>
    <t>full off</t>
  </si>
  <si>
    <t>door open and close</t>
  </si>
  <si>
    <t>40F</t>
  </si>
  <si>
    <t>J1634</t>
  </si>
  <si>
    <t>MILES</t>
  </si>
  <si>
    <t>seconds</t>
  </si>
  <si>
    <t>Time</t>
  </si>
  <si>
    <t>SSS to US06 Transition time for pasting to test file.</t>
  </si>
  <si>
    <t>Speed</t>
  </si>
  <si>
    <t>Phase #</t>
  </si>
  <si>
    <t>Grade</t>
  </si>
  <si>
    <t>Comments</t>
  </si>
  <si>
    <t>Use a "Copy" and "Paste Values" to move this section into the SSS+ US06 test file</t>
  </si>
  <si>
    <t>mph</t>
  </si>
  <si>
    <t>95 MAX</t>
  </si>
  <si>
    <t>20F No Heat</t>
  </si>
  <si>
    <t>Temp</t>
  </si>
  <si>
    <t>Range (mi)</t>
  </si>
  <si>
    <t>UDDS #1</t>
  </si>
  <si>
    <t>Energy Consumption</t>
  </si>
  <si>
    <t>UDDS #2</t>
  </si>
  <si>
    <t>UDDS #3</t>
  </si>
  <si>
    <t>UDDS #4</t>
  </si>
  <si>
    <t>HWY #1</t>
  </si>
  <si>
    <t>HWY #2</t>
  </si>
  <si>
    <t>US06 #1</t>
  </si>
  <si>
    <t>US06 #2</t>
  </si>
  <si>
    <t>Charge information</t>
  </si>
  <si>
    <t>DC Wh/mi</t>
  </si>
  <si>
    <t>0F Ambient with 72F Cabin</t>
  </si>
  <si>
    <t>20F Ambient with 72F Cabin</t>
  </si>
  <si>
    <t>95F Ambient with 72F Cabin</t>
  </si>
  <si>
    <t>FRE (Full recharge nrj)</t>
  </si>
  <si>
    <t>J1634 MCT Multi cycle test calculations</t>
  </si>
  <si>
    <t>HWY#1</t>
  </si>
  <si>
    <t>K (scaling factor)</t>
  </si>
  <si>
    <t>K_udds1</t>
  </si>
  <si>
    <t>K-Uddsn</t>
  </si>
  <si>
    <t>Rcycle</t>
  </si>
  <si>
    <t>Eacccycle</t>
  </si>
  <si>
    <t>UBE</t>
  </si>
  <si>
    <t>ch1</t>
  </si>
  <si>
    <t>US06#1</t>
  </si>
  <si>
    <t>AC Wh/mi</t>
  </si>
  <si>
    <t>RAF1</t>
  </si>
  <si>
    <t>mi</t>
  </si>
  <si>
    <t>Range [mi]</t>
  </si>
  <si>
    <t>Actual Data</t>
  </si>
  <si>
    <t>72F Charge</t>
  </si>
  <si>
    <t>Energy Consumption (DC Wh/mi)</t>
  </si>
  <si>
    <t>Energy Consumption (AC Wh/mi)</t>
  </si>
  <si>
    <t xml:space="preserve"> (DC Wh/mi)</t>
  </si>
  <si>
    <t xml:space="preserve"> (AC Wh/mi)</t>
  </si>
  <si>
    <t>Test Cell RH [%]</t>
  </si>
  <si>
    <t>Test Cell Baro [in/Hg]</t>
  </si>
  <si>
    <t>Cycle Distance [mi]</t>
  </si>
  <si>
    <t>Updated</t>
  </si>
  <si>
    <t>Soak temperature</t>
  </si>
  <si>
    <t>Solar lamps [W/m2]</t>
  </si>
  <si>
    <t>Special test notes</t>
  </si>
  <si>
    <t>Open</t>
  </si>
  <si>
    <t>Original</t>
  </si>
  <si>
    <t>95°F</t>
  </si>
  <si>
    <t>HVAC to 72F</t>
  </si>
  <si>
    <t>Steady State Speed depletion (1bag) + US06 (2 Bag)</t>
  </si>
  <si>
    <t>Start US06</t>
  </si>
  <si>
    <t>APRF Test Vehicle</t>
  </si>
  <si>
    <t>Total Recharge Energy</t>
  </si>
  <si>
    <t>AC kwh</t>
  </si>
  <si>
    <t>AVTE Reporting from Dynamometer Testing</t>
  </si>
  <si>
    <t>Cell Color Key:</t>
  </si>
  <si>
    <t xml:space="preserve">Data from EPA website: </t>
  </si>
  <si>
    <t>Sheet</t>
  </si>
  <si>
    <t>Print date</t>
  </si>
  <si>
    <t>VIN #</t>
  </si>
  <si>
    <t>All Other =&gt; Legibility Only</t>
  </si>
  <si>
    <t>Vehicle / Dyno Setup</t>
  </si>
  <si>
    <t>Dyno setup =</t>
  </si>
  <si>
    <t>4WD</t>
  </si>
  <si>
    <t>Used For Plotting Comparison --&gt;</t>
  </si>
  <si>
    <t>Hioki 4 channel</t>
  </si>
  <si>
    <t>Speed [mph]</t>
  </si>
  <si>
    <t>AVTE Power [kW]</t>
  </si>
  <si>
    <t>Channel 7</t>
  </si>
  <si>
    <t xml:space="preserve">Channel 8 </t>
  </si>
  <si>
    <t>Analog</t>
  </si>
  <si>
    <t xml:space="preserve">Tire size </t>
  </si>
  <si>
    <t>Dyno Speed [mph]</t>
  </si>
  <si>
    <t>Wheel Speed [rpm]</t>
  </si>
  <si>
    <t>CAN signals (All listed)</t>
  </si>
  <si>
    <t xml:space="preserve">Test # </t>
  </si>
  <si>
    <t>APRF 4WD - 371</t>
  </si>
  <si>
    <t xml:space="preserve">Calculated Duration at 65 = </t>
  </si>
  <si>
    <t xml:space="preserve">End of 65 mph section with start @ 25s = </t>
  </si>
  <si>
    <t>End of 65</t>
  </si>
  <si>
    <t>20°F</t>
  </si>
  <si>
    <t xml:space="preserve">Estimated Miles at 65mph = </t>
  </si>
  <si>
    <t>Passing Manuever BEV</t>
  </si>
  <si>
    <t>72°F</t>
  </si>
  <si>
    <t>Power Cycle Mapping</t>
  </si>
  <si>
    <t>with stable regen limit</t>
  </si>
  <si>
    <t>Steady State Speed [mph]</t>
  </si>
  <si>
    <t>65mph SSS</t>
  </si>
  <si>
    <t>SS@65mph#2 (until depleted)</t>
  </si>
  <si>
    <t>If necessary based on J1634 calculations 65mph</t>
  </si>
  <si>
    <t>Click here for a link to the No-Soak MCT 55-65mph &amp; US06 test folder</t>
  </si>
  <si>
    <t>UDDS#1 (2bag) + HWY #1 (1bag) UDDS#2 (2bag) + US06 #1 (2 bag)</t>
  </si>
  <si>
    <t xml:space="preserve">UDDS#3 (2bag) + HWY#2 (1bag) UDDS#4 (2bag) </t>
  </si>
  <si>
    <t xml:space="preserve">UDDS cold start* </t>
  </si>
  <si>
    <t>AVTE Coast Down Coeff</t>
  </si>
  <si>
    <t>HWYx2 (2 bag) + coast down</t>
  </si>
  <si>
    <t xml:space="preserve">UCS+UHSx3+Hx2+USx2 = </t>
  </si>
  <si>
    <t>Gear</t>
  </si>
  <si>
    <t xml:space="preserve">  for 9.75% left over</t>
  </si>
  <si>
    <t>cold</t>
  </si>
  <si>
    <t>Solar lights 'ON' 30 minutes prior to first test, HVAC-AUTO-72°F</t>
  </si>
  <si>
    <t>Mount vehicle in FWD or 4WD</t>
  </si>
  <si>
    <t>HWY#2</t>
  </si>
  <si>
    <t>Test ID:</t>
  </si>
  <si>
    <t>72F Recharge Allocation Factor</t>
  </si>
  <si>
    <t>Recharge Allocation Factor</t>
  </si>
  <si>
    <t>hold for dc dc stable 12V batt charge</t>
  </si>
  <si>
    <t>Test Cell Temp [C]</t>
  </si>
  <si>
    <t>Test ID [#]</t>
  </si>
  <si>
    <t>Charge Data</t>
  </si>
  <si>
    <t>Channel check out (see TestInoIstru tab) - drive some (65mph for 5-10 min) before starting the HWYx2+coast</t>
  </si>
  <si>
    <t>0°F</t>
  </si>
  <si>
    <t>ADFE Test Number</t>
  </si>
  <si>
    <t>ADFE Total Road Load HP</t>
  </si>
  <si>
    <t>ADFE Equiv. Test Weight (lbs.)</t>
  </si>
  <si>
    <t>ADFE N/V Ratio</t>
  </si>
  <si>
    <t>Enable temp at next test mode (once charge is complete)</t>
  </si>
  <si>
    <t>Charge in the afternoon at 0°F + record charge (for capacity)</t>
  </si>
  <si>
    <t>MK10/30/15</t>
  </si>
  <si>
    <t>Wheel RPM Test</t>
  </si>
  <si>
    <t>x</t>
  </si>
  <si>
    <t>Passing Maneuvers 0, 3, 6% grade</t>
  </si>
  <si>
    <t>hot</t>
  </si>
  <si>
    <t>approx motor speed</t>
  </si>
  <si>
    <t>0F</t>
  </si>
  <si>
    <t>Increase over 72F</t>
  </si>
  <si>
    <t xml:space="preserve">95F </t>
  </si>
  <si>
    <t>Starting Mileage</t>
  </si>
  <si>
    <t>Calculated using channel 1 --&gt; 500 A clamp</t>
  </si>
  <si>
    <t>AC Wh/mi Increase with respect to 72F UDDS</t>
  </si>
  <si>
    <t>% of Range with respect 72F</t>
  </si>
  <si>
    <t># of HS cycles</t>
  </si>
  <si>
    <t>Date</t>
  </si>
  <si>
    <t>L1 Recharge Energy</t>
  </si>
  <si>
    <t>L2 Recharge Energy</t>
  </si>
  <si>
    <t>Test Name</t>
  </si>
  <si>
    <t>Vehicle Name</t>
  </si>
  <si>
    <t>BEV</t>
  </si>
  <si>
    <t xml:space="preserve">Charge Level </t>
  </si>
  <si>
    <t>Charger Type</t>
  </si>
  <si>
    <t>Cell Temp [C]</t>
  </si>
  <si>
    <t>Prior Test Temp [C]</t>
  </si>
  <si>
    <t xml:space="preserve">A/C Compressor - Heat Pump </t>
  </si>
  <si>
    <t>PTC Heater</t>
  </si>
  <si>
    <t>DCDC in (estimate)</t>
  </si>
  <si>
    <t>Off</t>
  </si>
  <si>
    <t>DT-Inertia Work Ratio Rating</t>
  </si>
  <si>
    <t>DT-Absolute Speed Change Ratg</t>
  </si>
  <si>
    <t>DT-Energy Economy Rating</t>
  </si>
  <si>
    <t>https://www.epa.gov/compliance-and-fuel-economy-data/data-cars-used-testing-fuel-economy</t>
  </si>
  <si>
    <t>robot</t>
  </si>
  <si>
    <t xml:space="preserve">Charge to 'Full' </t>
  </si>
  <si>
    <t>Level 1</t>
  </si>
  <si>
    <t>WOT'sx10 (or until derating). Accel to 80, decel at varying braking levels.</t>
  </si>
  <si>
    <t>Day 1 - J1634 MCT Combo Shortcut Test, 72°F</t>
  </si>
  <si>
    <t>AC Compressor</t>
  </si>
  <si>
    <t>AMTL- 4WD - ANL Bldg 371</t>
  </si>
  <si>
    <t>NHTSA 2020 Vehicle Technology Assessment</t>
  </si>
  <si>
    <t>UDDS#1 (2bag) + HWY #1 (1bag) + UDDS#2 (2bag) + US06 #1 (2 bag)</t>
  </si>
  <si>
    <t xml:space="preserve">UDDS#3 (2bag) + HWY#2 (1bag) + UDDS#4 (2bag) </t>
  </si>
  <si>
    <t>Dyno Speed</t>
  </si>
  <si>
    <t>Dyno Tractive Force</t>
  </si>
  <si>
    <t>Dyno Load Cell</t>
  </si>
  <si>
    <t>Dyno Speed- Front</t>
  </si>
  <si>
    <t>Dyno Tractive Force- Front</t>
  </si>
  <si>
    <t>Dyno Load Cell- Front</t>
  </si>
  <si>
    <t>Dyno Speed- Rear</t>
  </si>
  <si>
    <t>Dyno Tractive Force- Rear</t>
  </si>
  <si>
    <t>Dyno Load Cell- Rear</t>
  </si>
  <si>
    <t>Cell Temp</t>
  </si>
  <si>
    <t>Cell RH</t>
  </si>
  <si>
    <t>Drive Trace Schedule</t>
  </si>
  <si>
    <t>Exhaust Bag</t>
  </si>
  <si>
    <t>Ampactity (A)</t>
  </si>
  <si>
    <t>Additional Instrumentation</t>
  </si>
  <si>
    <t>Repeat cycles until cycle thermal stability</t>
  </si>
  <si>
    <t>WLTP x 2</t>
  </si>
  <si>
    <t>Scaling</t>
  </si>
  <si>
    <t>Notes</t>
  </si>
  <si>
    <t>Analog Hioki</t>
  </si>
  <si>
    <t>HV Battery Voltage</t>
  </si>
  <si>
    <t>HV Battery Current High</t>
  </si>
  <si>
    <t>HV Battery Current Low</t>
  </si>
  <si>
    <t>HV Battery Power High</t>
  </si>
  <si>
    <t>HV Battery Power Low</t>
  </si>
  <si>
    <t>Motor Front Power</t>
  </si>
  <si>
    <t>Motor Rear Power</t>
  </si>
  <si>
    <t>Motor Front Current</t>
  </si>
  <si>
    <t>Motor Rear Current</t>
  </si>
  <si>
    <t>DCDC HV current</t>
  </si>
  <si>
    <t>DCDC LV current</t>
  </si>
  <si>
    <t>DCDC LV power</t>
  </si>
  <si>
    <t>PTC Heater current</t>
  </si>
  <si>
    <t>AC compressor current</t>
  </si>
  <si>
    <t>DCDC HV power</t>
  </si>
  <si>
    <t>Channel match</t>
  </si>
  <si>
    <t>Signals listed in vspy</t>
  </si>
  <si>
    <t>Radiator outlet temp</t>
  </si>
  <si>
    <t>Cabin Interior Temp (headrest passenger)</t>
  </si>
  <si>
    <t>Cabin Vent Temp (Driver middle)</t>
  </si>
  <si>
    <t>Cabin footwell temp (Driver middle)</t>
  </si>
  <si>
    <t>Sets</t>
  </si>
  <si>
    <t>Hioki ref</t>
  </si>
  <si>
    <t>DCDC LV Voltage</t>
  </si>
  <si>
    <t>V</t>
  </si>
  <si>
    <t>16625-14039</t>
  </si>
  <si>
    <t>Very fast ramp rate to 100% pedal</t>
  </si>
  <si>
    <t>Standard</t>
  </si>
  <si>
    <t>##INFO(Test Cycle File Name)</t>
  </si>
  <si>
    <t>##INFO(Test Start Time)</t>
  </si>
  <si>
    <t>##INFO(Test Start Comments)</t>
  </si>
  <si>
    <t>##INFO(Test End Comments)</t>
  </si>
  <si>
    <t>##DATAMEAN(Exhaust_Bag, =$$,Cell_Temp[C],)</t>
  </si>
  <si>
    <t>##DATAMEAN(Exhaust_Bag, =$$,Cell_RH[%],)</t>
  </si>
  <si>
    <t>##DATAMEAN(Exhaust_Bag, =$$,Cell_Press[inHg],)</t>
  </si>
  <si>
    <t>##DATAMEAN(Exhaust_Bag, =$$,Tire_Front_Temp[C],)</t>
  </si>
  <si>
    <t>##INFO(Dyno Test Weight [lb])</t>
  </si>
  <si>
    <t>##INFO(Dyno Target A)</t>
  </si>
  <si>
    <t>##INFO(Dyno Target B)</t>
  </si>
  <si>
    <t>##INFO(Dyno Target C)</t>
  </si>
  <si>
    <t>##PHASE($$, Phase Distance [mi])</t>
  </si>
  <si>
    <t>##DATA(Exhaust_Bag, =$$, WP1)</t>
  </si>
  <si>
    <t>##DATA(Exhaust_Bag, =$$-, WP1)</t>
  </si>
  <si>
    <t>##DATA(Exhaust_Bag, =$$, WP2)</t>
  </si>
  <si>
    <t>##DATA(Exhaust_Bag, =$$-, WP2)</t>
  </si>
  <si>
    <t>##DATA(Exhaust_Bag, =$$, WP3)</t>
  </si>
  <si>
    <t>##DATA(Exhaust_Bag, =$$-, WP3)</t>
  </si>
  <si>
    <t>##DATA(Exhaust_Bag, =$$, WP4)</t>
  </si>
  <si>
    <t>##DATA(Exhaust_Bag, =$$-, WP4)</t>
  </si>
  <si>
    <t>##INFO(Test Driver)</t>
  </si>
  <si>
    <t>##PHASE($$,J2951 APCtime,)</t>
  </si>
  <si>
    <t>##PHASE($$,J2951 ASCR,)</t>
  </si>
  <si>
    <t>##PHASE($$,J2951 ASC_d,)</t>
  </si>
  <si>
    <t>##PHASE($$,J2951 ASC_t,)</t>
  </si>
  <si>
    <t>##PHASE($$,J2951 CE_d,)</t>
  </si>
  <si>
    <t>##PHASE($$,J2951 CE_t,)</t>
  </si>
  <si>
    <t>##PHASE($$,J2951 DR,)</t>
  </si>
  <si>
    <t>##PHASE($$,J2951 D_d,)</t>
  </si>
  <si>
    <t>##PHASE($$,J2951 D_t,)</t>
  </si>
  <si>
    <t>##PHASE($$,J2951 EER,)</t>
  </si>
  <si>
    <t>##PHASE($$,J2951 ER,)</t>
  </si>
  <si>
    <t>##PHASE($$,J2951 IWR,)</t>
  </si>
  <si>
    <t>Split Phase Calculation</t>
  </si>
  <si>
    <t>Combined Calculation</t>
  </si>
  <si>
    <t>Phase Number</t>
  </si>
  <si>
    <t>Test Time</t>
  </si>
  <si>
    <t>Mean Front Tire Temperature [C]</t>
  </si>
  <si>
    <t>Start SOC</t>
  </si>
  <si>
    <t>End SOC</t>
  </si>
  <si>
    <t xml:space="preserve">HV Batt (500A)
Start 
WP1 [Wh]
</t>
  </si>
  <si>
    <t>HV Batt Out (500A) End
WP1 [Wh]</t>
  </si>
  <si>
    <t>Test Driver</t>
  </si>
  <si>
    <t>APCtime</t>
  </si>
  <si>
    <t>ASCR</t>
  </si>
  <si>
    <t>ASC_d</t>
  </si>
  <si>
    <t>ASC_t</t>
  </si>
  <si>
    <t>CE_d</t>
  </si>
  <si>
    <t>CE_t</t>
  </si>
  <si>
    <t>DR</t>
  </si>
  <si>
    <t>D_d</t>
  </si>
  <si>
    <t>D_t</t>
  </si>
  <si>
    <t>EER</t>
  </si>
  <si>
    <t>ER</t>
  </si>
  <si>
    <t>IWR</t>
  </si>
  <si>
    <t>Day 0 Coastdowns, Channel Check and Prep</t>
  </si>
  <si>
    <t>Delta SOC</t>
  </si>
  <si>
    <t>240V AC Charge- Pre EVSE (80A)
Δ [Wh]</t>
  </si>
  <si>
    <t>Regen charge limit</t>
  </si>
  <si>
    <t>no</t>
  </si>
  <si>
    <t>Charge Efficiency</t>
  </si>
  <si>
    <t>Preconditioning test- Cabin and Powertrain Warmup testing</t>
  </si>
  <si>
    <t>SOC down to ~ 80%</t>
  </si>
  <si>
    <t>2020 Tesla Model 3 LR_AWD</t>
  </si>
  <si>
    <t>Tesla v2 Wall Connector</t>
  </si>
  <si>
    <t>Charge AC Wh- post EVSE</t>
  </si>
  <si>
    <t>Charge AC Wh- pre EVSE</t>
  </si>
  <si>
    <t>DIF energy</t>
  </si>
  <si>
    <t>DIR energy</t>
  </si>
  <si>
    <t>DCDC Out</t>
  </si>
  <si>
    <t>DCDC In</t>
  </si>
  <si>
    <t>Charge DC Wh- Batt</t>
  </si>
  <si>
    <t>Prior Test DC Wh</t>
  </si>
  <si>
    <t>EVSE Efficiency</t>
  </si>
  <si>
    <t>Charger Efficiency</t>
  </si>
  <si>
    <t>J1634 Recharge Allocation Factor (RAF)</t>
  </si>
  <si>
    <t>12V Batt</t>
  </si>
  <si>
    <t>Tesla L1 EVSE</t>
  </si>
  <si>
    <t>Partial CAN data- Vspy crash</t>
  </si>
  <si>
    <t>Clamp eff</t>
  </si>
  <si>
    <t xml:space="preserve">Level 1- </t>
  </si>
  <si>
    <t>SMCT- UDDS UDDS HWY US06 HWY UDDS UDDS - 12BAG</t>
  </si>
  <si>
    <t>2019 Nissan Leaf E-Plus</t>
  </si>
  <si>
    <t>Level 2</t>
  </si>
  <si>
    <t>PDM Net</t>
  </si>
  <si>
    <t>12V DCDC out</t>
  </si>
  <si>
    <t>12V batt ground</t>
  </si>
  <si>
    <t>1N4BZ1CP5KC318216</t>
  </si>
  <si>
    <t>Nissan</t>
  </si>
  <si>
    <t>NSX</t>
  </si>
  <si>
    <t>NISSAN</t>
  </si>
  <si>
    <t>LEAF</t>
  </si>
  <si>
    <t>KWB115</t>
  </si>
  <si>
    <t>JNSXV0000TLA</t>
  </si>
  <si>
    <t>Car</t>
  </si>
  <si>
    <t>EVAA6</t>
  </si>
  <si>
    <t>OT</t>
  </si>
  <si>
    <t>Other</t>
  </si>
  <si>
    <t>Y</t>
  </si>
  <si>
    <t>F</t>
  </si>
  <si>
    <t>2-Wheel Drive, Front</t>
  </si>
  <si>
    <t>1</t>
  </si>
  <si>
    <t>No gear ratio &lt; 1</t>
  </si>
  <si>
    <t>Not eqipped</t>
  </si>
  <si>
    <t>JNSX10050513</t>
  </si>
  <si>
    <t>MFR</t>
  </si>
  <si>
    <t/>
  </si>
  <si>
    <t>84</t>
  </si>
  <si>
    <t>Charge Depleting Highway</t>
  </si>
  <si>
    <t>62</t>
  </si>
  <si>
    <t>Electricity</t>
  </si>
  <si>
    <t>CD</t>
  </si>
  <si>
    <t>MPG</t>
  </si>
  <si>
    <t>N</t>
  </si>
  <si>
    <t>H</t>
  </si>
  <si>
    <t>Harmonic averaging (1/(Sum(i=1 to n) (FET(i) / WT(i)))</t>
  </si>
  <si>
    <t>JNSX10050525</t>
  </si>
  <si>
    <t>81</t>
  </si>
  <si>
    <t>Charge Depleting UDDS</t>
  </si>
  <si>
    <t>E</t>
  </si>
  <si>
    <t>JNSX10050514</t>
  </si>
  <si>
    <t>JNSX10050515</t>
  </si>
  <si>
    <t>JNSX10050516</t>
  </si>
  <si>
    <t>JNSX10050517</t>
  </si>
  <si>
    <t>JNSX10050519</t>
  </si>
  <si>
    <t>JNSX10050520</t>
  </si>
  <si>
    <t>KWC511</t>
  </si>
  <si>
    <t>KNSXV0000TS3</t>
  </si>
  <si>
    <t>EVAA7</t>
  </si>
  <si>
    <t>KNSX10056715</t>
  </si>
  <si>
    <t>KNSX10056716</t>
  </si>
  <si>
    <t>KNSX10056717</t>
  </si>
  <si>
    <t>KNSX10056718</t>
  </si>
  <si>
    <t>LEAF SV/SL</t>
  </si>
  <si>
    <t>KNSX10057205</t>
  </si>
  <si>
    <t>KNSX10057206</t>
  </si>
  <si>
    <t>KNSX10056743</t>
  </si>
  <si>
    <t>KNSX10056744</t>
  </si>
  <si>
    <t>EPA-Leaf</t>
  </si>
  <si>
    <t>EPA-Tesla M3</t>
  </si>
  <si>
    <t>X</t>
  </si>
  <si>
    <t>Day 2 - J1634 MCT Combo Shortcut Test, 72°F Repeat 1</t>
  </si>
  <si>
    <t xml:space="preserve">Day 0 - Setup </t>
  </si>
  <si>
    <t>Accessory load test</t>
  </si>
  <si>
    <t>Day 3 -72F-Performance Testing</t>
  </si>
  <si>
    <t>Day 5 - J1634- Balloted new version</t>
  </si>
  <si>
    <t>SC03x3: 1st one prep, second normal, 3rd ECO MODE</t>
  </si>
  <si>
    <t>ECO Mode on third</t>
  </si>
  <si>
    <t>ECO MODE On</t>
  </si>
  <si>
    <t>*~no battery storage above 97.6 SOC</t>
  </si>
  <si>
    <t>SSS 0-80-0 0%,3%,6% grade, 60 sec hold</t>
  </si>
  <si>
    <t>skip 30s hold test</t>
  </si>
  <si>
    <t>240VAC Charge</t>
  </si>
  <si>
    <t>AC Comp Pos Leg</t>
  </si>
  <si>
    <t>AC Comp Neg Leg</t>
  </si>
  <si>
    <t>PTC heater Pos Leg</t>
  </si>
  <si>
    <t>PTC heater Neg</t>
  </si>
  <si>
    <t>UDDS 1 , 505</t>
  </si>
  <si>
    <t xml:space="preserve">UDDS 1 </t>
  </si>
  <si>
    <t>UDDS 1 , Combined</t>
  </si>
  <si>
    <t>HWY 1</t>
  </si>
  <si>
    <t>UDDS 2, 505</t>
  </si>
  <si>
    <t>UDDS 2, combined</t>
  </si>
  <si>
    <t>US06 1, city</t>
  </si>
  <si>
    <t>US06 1, hwy</t>
  </si>
  <si>
    <t>US06 1, combined</t>
  </si>
  <si>
    <t>SSS 65mph depletion</t>
  </si>
  <si>
    <t>US06 2, city</t>
  </si>
  <si>
    <t>US06 2, hwy</t>
  </si>
  <si>
    <t>US06 2, combined</t>
  </si>
  <si>
    <t>UDDS 3, 505</t>
  </si>
  <si>
    <t>UDDS 3, combined</t>
  </si>
  <si>
    <t>UDDS 4, 505</t>
  </si>
  <si>
    <t>UDDS 4</t>
  </si>
  <si>
    <t>UDDS 4, combined</t>
  </si>
  <si>
    <t>Charge L2 23C</t>
  </si>
  <si>
    <t>HWYx3 + coastdowns</t>
  </si>
  <si>
    <t>UDDS x8</t>
  </si>
  <si>
    <t>12V DCDC out (200A) 
 Start WP2 [Wh]</t>
  </si>
  <si>
    <t>12V DCDC out (200A) 
 End WP2 [Wh]</t>
  </si>
  <si>
    <t>240VAC Charge (40A) End WP3 [Wh]</t>
  </si>
  <si>
    <t>240VAC Charge (40A) Start WP3 [Wh]</t>
  </si>
  <si>
    <t>12V batt ground (80A) 
Start WP4 [Wh]</t>
  </si>
  <si>
    <t>12V batt ground (80A) 
End WP4 [Wh]</t>
  </si>
  <si>
    <t>##DATA(Exhaust_Bag, =$$, PTC_WP_CALC__Wh)</t>
  </si>
  <si>
    <t>##DATA(Exhaust_Bag, =$$-, PTC_WP_CALC__Wh)</t>
  </si>
  <si>
    <t>PTC Heater Start WP7, WP8 [Wh]</t>
  </si>
  <si>
    <t>PTC Heater End WP7, WP8 [Wh]</t>
  </si>
  <si>
    <t>AC Comp Start (20A) WP5, WP6 [Wh]</t>
  </si>
  <si>
    <t>AC Comp End (20A) WP5, WP6 [Wh]</t>
  </si>
  <si>
    <t>##DATA(Exhaust_Bag, =$$, AC_Comp_WP_CALC__Wh)</t>
  </si>
  <si>
    <t>##DATA(Exhaust_Bag, =$$-, AC_Comp_WP_CALC__Wh)</t>
  </si>
  <si>
    <t>12V DCDC (200A)
Δ WP2 [Wh]</t>
  </si>
  <si>
    <t>12V DCDC (200A) Δ WP2 [Wh/mi]</t>
  </si>
  <si>
    <t>12V Batt Ground (80A)
Δ WP4 [Wh]</t>
  </si>
  <si>
    <t>12V Batt Ground (80A) Δ WP4 [Wh/mi]</t>
  </si>
  <si>
    <t>PTC Heater 
Δ WP7&amp;8 [Wh]</t>
  </si>
  <si>
    <t>PTC Heater Δ WP7&amp;8 [Wh/mi]</t>
  </si>
  <si>
    <t>AC Comp (20A)
Δ WP5&amp;6 [Wh]</t>
  </si>
  <si>
    <t>AC Comp (20A) Δ WP5*6 [Wh/mi]</t>
  </si>
  <si>
    <t>HV Batt (500A) WP1
Δ [Wh]</t>
  </si>
  <si>
    <t>HV Batt (500A) Energy consumption ΔWP1
[Wh/mi]</t>
  </si>
  <si>
    <t>##DATA(Exhaust_Bag, =$$-, HVBatt_SOC_HEV__per)</t>
  </si>
  <si>
    <t>##DATA(Exhaust_Bag, =$$, HVBatt_SOC_HEV__per)</t>
  </si>
  <si>
    <t>HWYx2 + coastdowns</t>
  </si>
  <si>
    <t>UDDS x4</t>
  </si>
  <si>
    <t>HWW x4</t>
  </si>
  <si>
    <t>25% grade test</t>
  </si>
  <si>
    <t>Stairs up down, 0%, 3%, 6% grade</t>
  </si>
  <si>
    <t xml:space="preserve">Tip Ins 35-55, 55-65, 35-70, 55-80 x 3 </t>
  </si>
  <si>
    <t>Power Cycle Ramps8-Opt5-Filtered</t>
  </si>
  <si>
    <t>WOT x 10</t>
  </si>
  <si>
    <t>Z:\All Daq\Drive Cycles\Drive Cycle Archive\HWY CYCLES\HWYx2 2bag w_coastdown time 3600 .txt</t>
  </si>
  <si>
    <t>07/27/20, 09:43:42 AM</t>
  </si>
  <si>
    <t>HWYx3, 3 bag with coastdowntime to esablish on dyno vehicle losses and dyno sets</t>
  </si>
  <si>
    <t>ok</t>
  </si>
  <si>
    <t>Robot1</t>
  </si>
  <si>
    <t>Z:\All Daq\Drive Cycles\J1634 Combined\UDDSx8 8Bag 5spd 10982.txt</t>
  </si>
  <si>
    <t>07/27/20, 10:48:13 AM</t>
  </si>
  <si>
    <t>UDDSx8, 8 bag, stop after 4 cycles</t>
  </si>
  <si>
    <t>stopped due to E-Pedal fault, let robot drive second UDDS as a comparison</t>
  </si>
  <si>
    <t>NaN</t>
  </si>
  <si>
    <t>Z:\All Daq\Drive Cycles\Drive Cycle Archive\HWY CYCLES\HWYx3 3bag w_coastdown time 3600 .txt</t>
  </si>
  <si>
    <t>07/29/20, 08:35:18 AM</t>
  </si>
  <si>
    <t>HWYx3, 3 bag with coastdown time to determine losses with vehicle in Neutral but not in READY (IG ON only). VDC turned OFF within 10 seconds of READY</t>
  </si>
  <si>
    <t>ok, test ended with 2 coastdowns to finish</t>
  </si>
  <si>
    <t>##DATA(Exhaust_Bag, =$$,HVBatt_SOC_HEV__per)</t>
  </si>
  <si>
    <t>##DATA(Exhaust_Bag, =$$-,HVBatt_SOC_HEV__per)</t>
  </si>
  <si>
    <t>Z:\All Daq\Drive Cycles\Drive Cycle Archive\UDDS CYCLES\UDDSx4 4Bag 5spd 5492.txt</t>
  </si>
  <si>
    <t>07/29/20, 09:51:30 AM</t>
  </si>
  <si>
    <t>UDDSx4, 4 bag, to verify that energy consumption seems appropriate and test for faults during cycles, VDC turned OFF within 10 seconds of vehicle  READY, E-PEDAL ON</t>
  </si>
  <si>
    <t>stopped test due to fault for g-meter</t>
  </si>
  <si>
    <t>Z:\All Daq\Drive Cycles\J1634 Combined\HWYx10 10Bags 15SecSoak 5spd 7786.txt</t>
  </si>
  <si>
    <t>07/29/20, 12:56:28 PM</t>
  </si>
  <si>
    <t>HWYx10, 10 bag, only run 4 cycles, E-PEDAL ON</t>
  </si>
  <si>
    <t>07/29/20, 01:51:27 PM</t>
  </si>
  <si>
    <t>HWYx10, 10 bag, only run 4 cycles, E-PEDAL OFF</t>
  </si>
  <si>
    <t>Z:\All Daq\Drive Cycles\J1634 Combined\65mph 1634 Capacity 3 hour 10800.txt</t>
  </si>
  <si>
    <t>07/29/20, 02:51:40 PM</t>
  </si>
  <si>
    <t>65MPH SSS until can't hold 90% of 65MPH, E-PEDAL ON</t>
  </si>
  <si>
    <t xml:space="preserve">ok, contactors opened at 59 MPH, </t>
  </si>
  <si>
    <t>Z:\All Daq\Drive Cycles\Blank Bags\Blank 1 Bag 50400 (14 hours).txt</t>
  </si>
  <si>
    <t>07/29/20, 03:29:07 PM</t>
  </si>
  <si>
    <t>blank 1 bag 14 hours, charge from deplete</t>
  </si>
  <si>
    <t>XX</t>
  </si>
  <si>
    <t>07/30/20, 03:29:06 PM</t>
  </si>
  <si>
    <t>HWYx2, 2 bag with coastdown time to establish vehicle losses in 2WD (FWD) mode, Using EPA dyno sets to start</t>
  </si>
  <si>
    <t>ok, accepted new dyno sets which were slightly offset from EPS sets, 3 coastdowns all within 2% or 2#</t>
  </si>
  <si>
    <t>Z:\All Daq\Drive Cycles\J1634 Combined\UDDS-Split HWY UDDS-Split US06-Split ELECTRIC 7 Bag 4820.txt</t>
  </si>
  <si>
    <t>07/31/20, 08:25:07 AM</t>
  </si>
  <si>
    <t>J1634 MCT, FWD (2WD) mode, using MAINTENANCE MODE, E-PEDAL ON, Robot Driver, UDDS-HWY-UDDS-US06</t>
  </si>
  <si>
    <t>Z:\All Daq\Drive Cycles\J1634 Combined\SSS 65mph variable length.txt</t>
  </si>
  <si>
    <t>07/31/20, 09:52:56 AM</t>
  </si>
  <si>
    <t>J1634 MCT, FWD (2WD) mode, using MAINTENANCE MODE, E-PEDAL ON, Robot Driver, 65 MPH Middle Deplete</t>
  </si>
  <si>
    <t>Z:\All Daq\Drive Cycles\J1634 Combined\US06-Split UDDS-Split HWY UDDS-Split ELECTRIC 7 Bag 5328.txt</t>
  </si>
  <si>
    <t>07/31/20, 12:09:46 PM</t>
  </si>
  <si>
    <t>J1634 MCT, FWD (2WD) mode, using MAINTENANCE MODE, E-PEDAL ON, Robot Driver, US06-UDDS-HWY-UDDS</t>
  </si>
  <si>
    <t>Z:\All Daq\Drive Cycles\J1634 Combined\SSS 65mph 3600.txt</t>
  </si>
  <si>
    <t>07/31/20, 01:44:19 PM</t>
  </si>
  <si>
    <t>J1634 MCT, FWD (2WD) mode, using MAINTENANCE MODE, E-PEDAL ON, Robot Driver, 65 MPH SSS until deplete</t>
  </si>
  <si>
    <t>ok, contactors opend at 58.5MPH (90% of 65 MPH)</t>
  </si>
  <si>
    <t>Z:\All Daq\Drive Cycles\Blank Bags\Blank 1 Bag 46800 (13 hours).txt</t>
  </si>
  <si>
    <t>07/31/20, 02:11:32 PM</t>
  </si>
  <si>
    <t>J1634 MCT, charge to full using L2 charger after full MCT delplete, 46800 seconds (13 hours)</t>
  </si>
  <si>
    <t>08/03/20, 08:27:01 AM</t>
  </si>
  <si>
    <t>J1634 MCT, Repeat #1, using Maintenance Mode, E-Pedal ON, UDDS-HWY-UDDS-US06</t>
  </si>
  <si>
    <t>08/03/20, 09:54:09 AM</t>
  </si>
  <si>
    <t>J1634 MCT, Repeat #1, using Maintenance Mode, E-Pedal ON, 65 MPH Middel Deplete</t>
  </si>
  <si>
    <t>08/03/20, 12:10:09 PM</t>
  </si>
  <si>
    <t>08/03/20, 01:44:33 PM</t>
  </si>
  <si>
    <t>J1634 MCT, Repeat #1, using Maintenance Mode, E-Pedal ON, 65 MPH Final Deplete</t>
  </si>
  <si>
    <t>08/03/20, 02:17:09 PM</t>
  </si>
  <si>
    <t>J1634 MCT, Repeat #1, blank 1 bag charge charge to full, 13 hours</t>
  </si>
  <si>
    <t>Z:\All Daq\Drive Cycles\Blank Bags\Blank 1Bag 3600.txt</t>
  </si>
  <si>
    <t>08/04/20, 08:44:09 AM</t>
  </si>
  <si>
    <t>Blank 1 bag, Regen charge limit, motor vehicle in drive and monitor regen charge until it no longer takes regen</t>
  </si>
  <si>
    <t>ok, must run test with e-pedal off, e-pedal will try to hold vehicle at 0% accel position. Witnessed little to no regen at 30 and 40 MPH motoring speed for 20 minutes</t>
  </si>
  <si>
    <t>Inf</t>
  </si>
  <si>
    <t>Z:\All Daq\Drive Cycles\SS_Stairs and Tip-ins\stairs_up_down_80mph_60sec_ramp_3_bag x3 w_0_3_6pct grade_w55MPH_warmup_3652.txt</t>
  </si>
  <si>
    <t>08/04/20, 09:18:27 AM</t>
  </si>
  <si>
    <t>SSS 0-80-0, 1 minute hold, 0%, 3%, and 6% grade with 10 mi nute 55 MPH warmup</t>
  </si>
  <si>
    <t>Z:\All Daq\Drive Cycles\SS_Stairs and Tip-ins\TipIns 35-55 55-65 35-70 55-80 X3 w_55mph warmup 4bags 1162.txt</t>
  </si>
  <si>
    <t>08/04/20, 10:26:44 AM</t>
  </si>
  <si>
    <t>Passing manuevers at 0%, 3%, and 6% grade with 10 minute 55 MPH warmup</t>
  </si>
  <si>
    <t>Z:\All Daq\Drive Cycles\RampCycles\NewRamps8-0pt5-Filtered2s.txt</t>
  </si>
  <si>
    <t>08/04/20, 10:51:09 AM</t>
  </si>
  <si>
    <t>Power cycle ramps, E-Pedal ON</t>
  </si>
  <si>
    <t>08/04/20, 11:11:52 AM</t>
  </si>
  <si>
    <t xml:space="preserve">Blank 1 bag, WOTs X 10 or until derating, with E-Pedal ON </t>
  </si>
  <si>
    <t xml:space="preserve">Ran WOTs until Motor Temp CAN reached 125°C, drove at 50 MPH to cool </t>
  </si>
  <si>
    <t>Robot 1</t>
  </si>
  <si>
    <t>Z:\All Daq\Drive Cycles\SS_Stairs and Tip-ins\55MPH SSS 10 minute warmup with mapping time 7200.txt</t>
  </si>
  <si>
    <t>08/04/20, 11:38:15 AM</t>
  </si>
  <si>
    <t>25% grade test with 55MPH 10 minute warmup to stabilize</t>
  </si>
  <si>
    <t>ok, power peaked @ 144kW, stopped test when Motor Temp CAN rteched 130°C</t>
  </si>
  <si>
    <t>Day 00 Debugging</t>
  </si>
  <si>
    <t>Blank Bag shielding current test</t>
  </si>
  <si>
    <t>US06 x 10</t>
  </si>
  <si>
    <t>Day 4 - J1634 MCT Combo Shortcut Test, 72°F Repeat 2 + WLTPx2 US06x10</t>
  </si>
  <si>
    <t xml:space="preserve">WLTPx2 </t>
  </si>
  <si>
    <t>WLTPx2</t>
  </si>
  <si>
    <t xml:space="preserve">US06x2 </t>
  </si>
  <si>
    <t>US06x2</t>
  </si>
  <si>
    <t>1p</t>
  </si>
  <si>
    <t>2p</t>
  </si>
  <si>
    <t>c1+2p</t>
  </si>
  <si>
    <t>3p</t>
  </si>
  <si>
    <t>4p</t>
  </si>
  <si>
    <t>5p</t>
  </si>
  <si>
    <t>c4+5p</t>
  </si>
  <si>
    <t>s6p</t>
  </si>
  <si>
    <t>7p</t>
  </si>
  <si>
    <t>c6+7p</t>
  </si>
  <si>
    <t>6p</t>
  </si>
  <si>
    <t>8p</t>
  </si>
  <si>
    <t>9p</t>
  </si>
  <si>
    <t>10p</t>
  </si>
  <si>
    <t>72F with Climate Off</t>
  </si>
  <si>
    <r>
      <rPr>
        <b/>
        <sz val="11"/>
        <color theme="1"/>
        <rFont val="Calibri"/>
        <family val="2"/>
        <scheme val="minor"/>
      </rPr>
      <t xml:space="preserve">Energy Consumption </t>
    </r>
    <r>
      <rPr>
        <sz val="11"/>
        <color theme="1"/>
        <rFont val="Calibri"/>
        <family val="2"/>
        <scheme val="minor"/>
      </rPr>
      <t>(unadjusted, uncorrected)</t>
    </r>
  </si>
  <si>
    <t>08/05/20, 08:13:24 AM</t>
  </si>
  <si>
    <t xml:space="preserve">J1634 MCT first half UDDS-HWY-UDDS-US06, </t>
  </si>
  <si>
    <t>Z:\All Daq\Drive Cycles\Drive Cycle Archive\WLTP\WLTPv4x2 8bag no soak 3615.txt</t>
  </si>
  <si>
    <t>08/05/20, 09:44:13 AM</t>
  </si>
  <si>
    <t>WLTPx2, 8 bag</t>
  </si>
  <si>
    <t>Z:\All Daq\Drive Cycles\J1634 Combined\USO6x10 10 bag NoSoak 6001.txt</t>
  </si>
  <si>
    <t>08/05/20, 10:53:15 AM</t>
  </si>
  <si>
    <t>US06x10, 10 bag</t>
  </si>
  <si>
    <t>HWY 2</t>
  </si>
  <si>
    <t>SSS Depletion</t>
  </si>
  <si>
    <t>c3+4p</t>
  </si>
  <si>
    <t>c9+10p</t>
  </si>
  <si>
    <t>11p</t>
  </si>
  <si>
    <t>12p</t>
  </si>
  <si>
    <t>c11+12p</t>
  </si>
  <si>
    <t>Day 6-72F Mapping cycles</t>
  </si>
  <si>
    <t>Day 7 - J1634 MCT Combo Shortcut 95°F W/ Solar</t>
  </si>
  <si>
    <t>Day 8 - J1634 MCT Combo Shortcut 95°F  No Solar</t>
  </si>
  <si>
    <t>Day 9 - J1634 MCT Combo Shortcut Test, 20°F - no preconditioning (unplugged)</t>
  </si>
  <si>
    <t>Day 10 - J1634 MCT Combo Shortcut Test, 20°F w/ powertrain preconditioning</t>
  </si>
  <si>
    <t xml:space="preserve">Day 11 - J1634 MCT Combo Shortcut Test, 0°F </t>
  </si>
  <si>
    <t>s1p</t>
  </si>
  <si>
    <t>Z:\All Daq\Drive Cycles\J1634 Combined\SMCT\SMCT-UDDS - UDDS - HWY -US06 - HWY- UDDS - UDDS NOSOAK 12 Bag 7676.txt</t>
  </si>
  <si>
    <t>08/06/20, 08:04:21 AM</t>
  </si>
  <si>
    <t>J1634 SMCT Balloted New Version, UDDS-UDDS-HWY-US06-HWY-UDDS-UDDS, 12 bag-no soaks</t>
  </si>
  <si>
    <t>Z:\All Daq\Drive Cycles\J1634 Combined\65mph 1634 Capacity 4 hour 14400.txt</t>
  </si>
  <si>
    <t>08/06/20, 10:22:32 AM</t>
  </si>
  <si>
    <t>J1634 SMCT Balloted New Version, SSS 65MPH until deplete</t>
  </si>
  <si>
    <t>DC Wh/mi Increase with respect to 72F UDDS</t>
  </si>
  <si>
    <t>UDDS HS</t>
  </si>
  <si>
    <t>72F Full Discharge Test UBE</t>
  </si>
  <si>
    <t>Manufacturer - 2018</t>
  </si>
  <si>
    <t xml:space="preserve">Manufacturer - 2020 </t>
  </si>
  <si>
    <t>MCT 1</t>
  </si>
  <si>
    <t>MCT 2 - Headlight on/off</t>
  </si>
  <si>
    <t>95F w/ solar</t>
  </si>
  <si>
    <t>Energy(Wh)</t>
  </si>
  <si>
    <t>Distance (mi</t>
  </si>
  <si>
    <t>Ecdc_cyc</t>
  </si>
  <si>
    <t>%Dif 2018</t>
  </si>
  <si>
    <t>%Dif 2020</t>
  </si>
  <si>
    <t>UDDS1</t>
  </si>
  <si>
    <t>UDDS2</t>
  </si>
  <si>
    <t>UDDS3</t>
  </si>
  <si>
    <t>UDDS4</t>
  </si>
  <si>
    <t>HWY1</t>
  </si>
  <si>
    <t>HWY2</t>
  </si>
  <si>
    <t>Recharge Allocation Factors</t>
  </si>
  <si>
    <t>SS1+US06</t>
  </si>
  <si>
    <t>SS2</t>
  </si>
  <si>
    <t>Total</t>
  </si>
  <si>
    <t>AC Wh</t>
  </si>
  <si>
    <t>RAF</t>
  </si>
  <si>
    <t>2018 MFR</t>
  </si>
  <si>
    <t>2020 MFR</t>
  </si>
  <si>
    <t>20F w/ preconditioning</t>
  </si>
  <si>
    <t>95F w/o solar</t>
  </si>
  <si>
    <t xml:space="preserve"> Hioki AC Charge WP3    [kWh]</t>
  </si>
  <si>
    <t>72F J1634 MCT</t>
  </si>
  <si>
    <t>72F J1634 MCT, Repeat #1</t>
  </si>
  <si>
    <t>72°F - Performance Testing</t>
  </si>
  <si>
    <t>72°F - J1634 MCT Combo Shortcut Test,  Repeat 1</t>
  </si>
  <si>
    <t xml:space="preserve">72°F, J1634 MCT Combo Shortcut Test, </t>
  </si>
  <si>
    <t>72°F - MCT Testing / WLTP / US06 to stability</t>
  </si>
  <si>
    <t>72°F - MCT Testing / J1634- Balloted new version</t>
  </si>
  <si>
    <t>72°F - J1634 MCT Combo Shortcut Test,  4 cycles only Eco Mode + HWYx2 Coastdowns</t>
  </si>
  <si>
    <t>08/06/20, 01:14:25 PM</t>
  </si>
  <si>
    <t>J1634 SMCT Balloted New Version, Blank 1 bag charge, 13 hours</t>
  </si>
  <si>
    <t>08/07/20, 07:58:59 AM</t>
  </si>
  <si>
    <t>J1634 MCT, first half, ECO-MODE ON, E-Pedal ON</t>
  </si>
  <si>
    <t>08/07/20, 09:37:13 AM</t>
  </si>
  <si>
    <t>HWYx2, 2 bag with vehicle on coastdownsX3 to document any mid-testing vehicle loss changes</t>
  </si>
  <si>
    <t>ok, vehicle losses within +/- 2 pound or 2%</t>
  </si>
  <si>
    <t>Day 12-72F Accessory load cycles, final HWY+Coastdown</t>
  </si>
  <si>
    <t>SC03 x 3, #1</t>
  </si>
  <si>
    <t xml:space="preserve">SC03 x 3, #2 </t>
  </si>
  <si>
    <t>SC03 x 3, #3 Eco ON</t>
  </si>
  <si>
    <t>08/10/20, 08:31:05 AM</t>
  </si>
  <si>
    <t>j1634MCT in hot test cel (95°F) with solar (850W/m^2), HVAC AUTO 72°F, solar lights on 30 minutes prior to first test</t>
  </si>
  <si>
    <t>Z:\All Daq\Drive Cycles\J1634 Combined\65mph 1634 6900 seconds.txt</t>
  </si>
  <si>
    <t>08/10/20, 09:59:35 AM</t>
  </si>
  <si>
    <t>J1634MCT in hot test cel (95°F) with solar (850W/m^2), HVAC AUTO 72°F, s6900 second 65MPH SSS middle deplete</t>
  </si>
  <si>
    <t>Z:\All Daq\Drive Cycles\Drive Cycle Archive\US06 CYCLES\USO6 2Bag 600 CityHighwaySplit.txt</t>
  </si>
  <si>
    <t>08/10/20, 12:02:05 PM</t>
  </si>
  <si>
    <t>J1634MCT in hot test cel (95°F) with solar (850W/m^2) and HVAC AUTO 72°F, US06#2, 2 bag</t>
  </si>
  <si>
    <t>Z:\All Daq\Drive Cycles\Drive Cycle Archive\SCO3\SC03x3 3Bag 3002.txt</t>
  </si>
  <si>
    <t>08/10/20, 12:19:27 PM</t>
  </si>
  <si>
    <t>J1634MCT in hot test cel (95°F) with solar (850W/m^2) and HVAC AUTO 72°F, SC03x3 in place of UDDS #3, prep, ECO OFF, ECO ON</t>
  </si>
  <si>
    <t>Z:\All Daq\Drive Cycles\EPA cycles (checked)\HWFET (checked)\HWY 1Bag 5spd 765.txt</t>
  </si>
  <si>
    <t>08/10/20, 01:18:53 PM</t>
  </si>
  <si>
    <t>J1634MCT in hot test cel (95°F) with solar (850W/m^2) and HVAC AUTO 72°F, HWYx1</t>
  </si>
  <si>
    <t>Z:\All Daq\Drive Cycles\EPA cycles (checked)\UDDS (checked)\UDDS 2Bags 5spd 1374.txt</t>
  </si>
  <si>
    <t>08/10/20, 01:41:28 PM</t>
  </si>
  <si>
    <t>J1634MCT in hot test cel (95°F) with solar (850W/m^2) and HVAC AUTO 72°F, UDDS, 2 bag</t>
  </si>
  <si>
    <t>08/10/20, 02:08:57 PM</t>
  </si>
  <si>
    <t>J1634MCT in hot test cel (95°F) with solar (850W/m^2) and HVAC AUTO 72°F, 65MPH SSS unitil deplete</t>
  </si>
  <si>
    <t>08/10/20, 02:38:14 PM</t>
  </si>
  <si>
    <t>J1634MCT in hot test cel (95°F) charge in hot test cell</t>
  </si>
  <si>
    <t xml:space="preserve">ok
</t>
  </si>
  <si>
    <t>MK</t>
  </si>
  <si>
    <t>95°F +850 W/m2 solar J1634 MCT Combo Shortcut Test</t>
  </si>
  <si>
    <t>95°F no solar J1634 MCT Combo Shortcut Test</t>
  </si>
  <si>
    <t>08/11/20, 08:28:19 AM</t>
  </si>
  <si>
    <t>J1634MCT in hot test cell (95°F), first half with NO SOLAR, HVAC AUTO 72°F</t>
  </si>
  <si>
    <t>20°F J1634 MCT Combo Shortcut Test</t>
  </si>
  <si>
    <t>UDDS 1 , ph2</t>
  </si>
  <si>
    <t>UDDS 2, ph2</t>
  </si>
  <si>
    <t>65mph SSS Depletion</t>
  </si>
  <si>
    <t>08/12/20, 07:37:54 AM</t>
  </si>
  <si>
    <t>J1634MCT in cold test cell (20°F), HVAC AUTO 72°F, Use Calc EV Phases 2019 Leaf to combine PTC Power</t>
  </si>
  <si>
    <t>ok, e-pedal system failure displayed on dash at end of test cycles</t>
  </si>
  <si>
    <t>Z:\All Daq\Drive Cycles\J1634 Combined\65mph 1634 Capacity 5400 seconds.txt</t>
  </si>
  <si>
    <t>08/12/20, 09:05:49 AM</t>
  </si>
  <si>
    <t>J1634MCT in cold test cell (20°F), HVAC AUTO 72°F, Use Calc EV Phases 2019 Leaf to combine PTC Power, 65 mph SSS middle deplete 100 miles</t>
  </si>
  <si>
    <t>ok, dash displayed e-pedal system failure</t>
  </si>
  <si>
    <t>08/12/20, 10:41:46 AM</t>
  </si>
  <si>
    <t>J1634MCT in cold test cell (20°F), HVAC AUTO 72°F, Use Calc EV Phases 2019 Leaf to combine PTC Power, US06-UDDS-HWY-UDDS</t>
  </si>
  <si>
    <t>ok, e-pedal system failure again</t>
  </si>
  <si>
    <t>08/12/20, 12:50:39 PM</t>
  </si>
  <si>
    <t>J1634MCT in cold test cell (20°F), HVAC AUTO 72°F, Charge to full overnight 13 hours</t>
  </si>
  <si>
    <t>08/13/20, 07:51:11 AM</t>
  </si>
  <si>
    <t>J1634 MCT in cold test cell (20°F) with E-Pedal ON, HVAC AUTO 72°F, UDDS-HWY-UDDS-US06</t>
  </si>
  <si>
    <t>08/13/20, 09:19:39 AM</t>
  </si>
  <si>
    <t>J1634 MCT in cold test cell (20°F) with E-Pedal ON, HVAC AUTO 72°F, 65 MPH SSS middle deplete</t>
  </si>
  <si>
    <t>08/13/20, 10:54:50 AM</t>
  </si>
  <si>
    <t>J1634 MCT in cold test cell (20°F) with E-Pedal ON, HVAC AUTO 72°F, US06-UDDS-HWY-UDDS</t>
  </si>
  <si>
    <t>stopped test prior to last cycle due to test cell going back to 72°F test mode</t>
  </si>
  <si>
    <t>08/13/20, 01:09:41 PM</t>
  </si>
  <si>
    <t>J1634 MCT in cold test cell (20°F) with E-Pedal ON, HVAC AUTO 72°F, SSS 65MPH until deplete</t>
  </si>
  <si>
    <t>ok, let vehicle drive until contactors opened</t>
  </si>
  <si>
    <t>20F J1634 MCT</t>
  </si>
  <si>
    <t>20°F J1634 MCT Combo Shortcut Test- +Pre Conditioning</t>
  </si>
  <si>
    <t>Pre-Conditioning Charging</t>
  </si>
  <si>
    <t>2 hour Preconditioning</t>
  </si>
  <si>
    <t>Z:\All Daq\Drive Cycles\Blank Bags\Blank 1 Bag 64800 (18hrs).txt</t>
  </si>
  <si>
    <t>08/13/20, 03:32:52 PM</t>
  </si>
  <si>
    <t>18 hour charge log</t>
  </si>
  <si>
    <t>Z:\All Daq\Drive Cycles\J1634 Combined\UDDS-Split HWY UDDS-Split US06-Split ELECTRIC 8 Bag with preconditioning 9650.txt</t>
  </si>
  <si>
    <t>08/14/20, 08:00:03 AM</t>
  </si>
  <si>
    <t>J1634 MCT first half with Climate pre-conditioning. 2 hour log of vehicle prior to cycle start</t>
  </si>
  <si>
    <t>stopped test due to wrong precondition time</t>
  </si>
  <si>
    <t>Z:\All Daq\Drive Cycles\J1634 Combined\UDDS-Split HWY UDDS-Split US06-Split ELECTRIC 8 Bag with 1 hour preconditioning 8450.txt</t>
  </si>
  <si>
    <t>08/14/20, 09:00:08 AM</t>
  </si>
  <si>
    <t>J1634 MCT first half with Climate pre-conditioning. 1 hour log of vehicle prior to cycle start</t>
  </si>
  <si>
    <t>0°F J1634 MCT Combo Shortcut Test</t>
  </si>
  <si>
    <t>08/17/20, 07:45:47 AM</t>
  </si>
  <si>
    <t>J1634 MCT in super cold test cell (0°F) after long soak over weekend, E-Pedal ON, HVAC AUTO 72°F, UDDS-HWY-UDDS-US06</t>
  </si>
  <si>
    <t>Z:\All Daq\Drive Cycles\J1634 Combined\65mph 1634 Capacity 3800 seconds.txt</t>
  </si>
  <si>
    <t>08/17/20, 09:15:52 AM</t>
  </si>
  <si>
    <t>J1634 MCT in super cold test cell (0°F) after long soak over weekend, E-Pedal ON, HVAC AUTO 72°F, Middle deplete at 65MPH SSS</t>
  </si>
  <si>
    <t>08/17/20, 10:25:51 AM</t>
  </si>
  <si>
    <t>J1634 MCT in super cold test cell (0°F) after long soak over weekend, E-Pedal ON, HVAC AUTO 72°F, US06-UDDS-HWY-UDDS</t>
  </si>
  <si>
    <t>08/17/20, 11:58:30 AM</t>
  </si>
  <si>
    <t>J1634 MCT in super cold test cell (0°F) after long soak over weekend, E-Pedal ON, HVAC AUTO 72°F, 65MPH SSS final deplete</t>
  </si>
  <si>
    <t>ok, ran until contactors opened</t>
  </si>
  <si>
    <t>← Hand Calc'd Cell</t>
  </si>
  <si>
    <t>08/17/20, 12:14:29 PM</t>
  </si>
  <si>
    <t>J1634 MCT in super cold test cell (0°F), charge after deplete</t>
  </si>
  <si>
    <t>Edc cycle</t>
  </si>
  <si>
    <t>usable battery energy</t>
  </si>
  <si>
    <t xml:space="preserve">Edc </t>
  </si>
  <si>
    <t>test discharge energy</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</si>
  <si>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</si>
  <si>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Used 20F + no precondition data</t>
  </si>
  <si>
    <t>Used 35C+850W/m2 data  + no precondition data</t>
  </si>
  <si>
    <t>72°F - J1634 MCT Combo Shortcut Test,  4 cycles only + HWYx2 Coastdowns</t>
  </si>
  <si>
    <t>72°F - Accessory Load Test</t>
  </si>
  <si>
    <t>100-900</t>
  </si>
  <si>
    <t>ac max cool 60°F, low fan</t>
  </si>
  <si>
    <t>1230-1330</t>
  </si>
  <si>
    <t>1330-1430</t>
  </si>
  <si>
    <t>1460-1560</t>
  </si>
  <si>
    <t>heater 90°F, max heat, fan low</t>
  </si>
  <si>
    <t>heater 90°F, max heat, fan hi</t>
  </si>
  <si>
    <t>Reduce Heat dial to mid 75°F</t>
  </si>
  <si>
    <t>1600-1700</t>
  </si>
  <si>
    <t>1700-1800</t>
  </si>
  <si>
    <t>1800-1900</t>
  </si>
  <si>
    <t>1900-2000</t>
  </si>
  <si>
    <t>return to full 90°F</t>
  </si>
  <si>
    <t>2000-2030</t>
  </si>
  <si>
    <t>2080-2140</t>
  </si>
  <si>
    <t>2200-2230</t>
  </si>
  <si>
    <t>2260-2270</t>
  </si>
  <si>
    <t>2360-2420</t>
  </si>
  <si>
    <t>wipers full on-low</t>
  </si>
  <si>
    <t>2450-2480</t>
  </si>
  <si>
    <t>2420-2450</t>
  </si>
  <si>
    <t>2500-2520</t>
  </si>
  <si>
    <t>defrost max @72°F heat setting</t>
  </si>
  <si>
    <t>2600-2700</t>
  </si>
  <si>
    <t>2019 Nissan Leaf</t>
  </si>
  <si>
    <t>radio max (no signal)</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</si>
  <si>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</si>
  <si>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08/19/20, 12:57:16 PM</t>
  </si>
  <si>
    <t>08/19/20, 02:21:23 PM</t>
  </si>
  <si>
    <t>Hwyx2, 2 bag with coatdown time to verify losses at end of test plan</t>
  </si>
  <si>
    <t>08/20/20, 08:56:40 AM</t>
  </si>
  <si>
    <t>Blank Bag 1 hour, Accessory load test</t>
  </si>
  <si>
    <t xml:space="preserve">##PHASE(3, Phase Distance [mi])CHANNEL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t>
  </si>
  <si>
    <t xml:space="preserve">##PHASE(4, Phase Distance [mi])CHANNEL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</si>
  <si>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</si>
  <si>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</si>
  <si>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</si>
  <si>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</si>
  <si>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</si>
  <si>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</si>
  <si>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</si>
  <si>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</si>
  <si>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=1-,HVBatt_SOC_HEV__per)TEST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</si>
  <si>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</si>
  <si>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</si>
  <si>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</si>
  <si>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</si>
  <si>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</si>
  <si>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</si>
  <si>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</si>
  <si>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</si>
  <si>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</si>
  <si>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</si>
  <si>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</si>
  <si>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</si>
  <si>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=8, HVBatt_SOC_HEV__per)DATA CHANNEL NOT FOUND DATA CHANNEL NOT FOUND DATA CHANNEL NOT FOUND </t>
  </si>
  <si>
    <t xml:space="preserve">##DATA(Exhaust_Bag, =8-,HVBatt_SOC_HEV__per)DATA CHANNEL NOT FOUND DATA CHANNEL NOT FOUND DATA CHANNEL NOT FOUND </t>
  </si>
  <si>
    <t xml:space="preserve">##DATA(Exhaust_Bag, =8-, HVBatt_SOC_HEV__per)DATA CHANNEL NOT FOUND DATA CHANNEL NOT FOUND DATA CHANNEL NOT FOUND </t>
  </si>
  <si>
    <t xml:space="preserve">##INFO(TINVALID COMMAND  INVALID COMMAND  </t>
  </si>
  <si>
    <t xml:space="preserve">##PHASE(3, Phase Distance [mi])CHANNEL NOT FOUND CHANNEL NOT FOUND </t>
  </si>
  <si>
    <t>Forrest Jehlik</t>
  </si>
  <si>
    <t>Ext 2-6403</t>
  </si>
  <si>
    <t>22C Ambient with Climate off</t>
  </si>
  <si>
    <t>-18C Ambient with 22C Cabin</t>
  </si>
  <si>
    <t>-7C Ambient with 22C Cabin</t>
  </si>
  <si>
    <t>-7CF Ambient with 22C Cabin (preconditioned)</t>
  </si>
  <si>
    <t>35C Ambient with 22C Cabin</t>
  </si>
  <si>
    <t>35C w/o solar with 22C Cabin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</si>
</sst>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43" formatCode="_(* #,##0.00_);_(* \(#,##0.00\);_(* &quot;-&quot;??_);_(@_)"/>
    <numFmt numFmtId="164" formatCode="0.0"/>
    <numFmt numFmtId="165" formatCode="0.000"/>
    <numFmt numFmtId="166" formatCode="0.0000"/>
    <numFmt numFmtId="167" formatCode="0.00000"/>
    <numFmt numFmtId="168" formatCode="[$-F800]dddd\,\ mmmm\ dd\,\ yyyy"/>
    <numFmt numFmtId="169" formatCode="0.000000"/>
    <numFmt numFmtId="170" formatCode="0.0%"/>
    <numFmt numFmtId="171" formatCode="[=0]0;0.000"/>
    <numFmt numFmtId="172" formatCode="[=0]0;0.00"/>
    <numFmt numFmtId="173" formatCode="[=0]0;0.0"/>
    <numFmt numFmtId="174" formatCode="[=0]0;0.0000000"/>
    <numFmt numFmtId="175" formatCode="[=0]0;0.00000"/>
    <numFmt numFmtId="176" formatCode="[=0]0;0.000000"/>
  </numFmts>
  <fonts count="43" x14ac:knownFonts="1">
    <font>
      <sz val="11"/>
      <color theme="1"/>
      <name val="Calibri"/>
      <family val="2"/>
      <scheme val="minor"/>
    </font>
    <font>
      <sz val="8"/>
      <name val="Arial"/>
      <family val="2"/>
    </font>
    <font>
      <sz val="11"/>
      <color rgb="FF3F3F76"/>
      <name val="Calibri"/>
      <family val="2"/>
      <scheme val="minor"/>
    </font>
    <font>
      <b/>
      <sz val="11"/>
      <color rgb="FF3F3F3F"/>
      <name val="Calibri"/>
      <family val="2"/>
      <scheme val="minor"/>
    </font>
    <font>
      <b/>
      <sz val="11"/>
      <color rgb="FFFA7D00"/>
      <name val="Calibri"/>
      <family val="2"/>
      <scheme val="minor"/>
    </font>
    <font>
      <i/>
      <sz val="11"/>
      <color theme="1"/>
      <name val="Calibri"/>
      <family val="2"/>
      <scheme val="minor"/>
    </font>
    <font>
      <b/>
      <sz val="12"/>
      <name val="Arial"/>
      <family val="2"/>
    </font>
    <font>
      <sz val="11"/>
      <color rgb="FF006100"/>
      <name val="Calibri"/>
      <family val="2"/>
      <scheme val="minor"/>
    </font>
    <font>
      <sz val="11"/>
      <color rgb="FF9C0006"/>
      <name val="Calibri"/>
      <family val="2"/>
      <scheme val="minor"/>
    </font>
    <font>
      <sz val="11"/>
      <color rgb="FF9C6500"/>
      <name val="Calibri"/>
      <family val="2"/>
      <scheme val="minor"/>
    </font>
    <font>
      <b/>
      <sz val="11"/>
      <color theme="1"/>
      <name val="Calibri"/>
      <family val="2"/>
      <scheme val="minor"/>
    </font>
    <font>
      <sz val="10"/>
      <color theme="1"/>
      <name val="Calibri"/>
      <family val="2"/>
      <scheme val="minor"/>
    </font>
    <font>
      <u/>
      <sz val="11"/>
      <color theme="10"/>
      <name val="Calibri"/>
      <family val="2"/>
      <scheme val="minor"/>
    </font>
    <font>
      <b/>
      <sz val="12"/>
      <color theme="1"/>
      <name val="Calibri"/>
      <family val="2"/>
      <scheme val="minor"/>
    </font>
    <font>
      <b/>
      <sz val="10"/>
      <color theme="1"/>
      <name val="Calibri"/>
      <family val="2"/>
      <scheme val="minor"/>
    </font>
    <font>
      <b/>
      <sz val="11"/>
      <color rgb="FF000000"/>
      <name val="Calibri"/>
      <family val="2"/>
      <scheme val="minor"/>
    </font>
    <font>
      <sz val="11"/>
      <color rgb="FF00000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b/>
      <sz val="8"/>
      <name val="Arial"/>
      <family val="2"/>
    </font>
    <font>
      <sz val="11"/>
      <color theme="1" tint="0.499984740745262"/>
      <name val="Calibri"/>
      <family val="2"/>
      <scheme val="minor"/>
    </font>
    <font>
      <b/>
      <sz val="16"/>
      <color theme="1"/>
      <name val="Calibri"/>
      <family val="2"/>
      <scheme val="minor"/>
    </font>
    <font>
      <sz val="14"/>
      <color theme="1"/>
      <name val="Calibri"/>
      <family val="2"/>
      <scheme val="minor"/>
    </font>
    <font>
      <sz val="10"/>
      <name val="Times New Roman"/>
      <family val="1"/>
    </font>
    <font>
      <b/>
      <sz val="14"/>
      <color theme="1"/>
      <name val="Calibri"/>
      <family val="2"/>
      <scheme val="minor"/>
    </font>
    <font>
      <sz val="18"/>
      <color theme="3"/>
      <name val="Cambria"/>
      <family val="2"/>
      <scheme val="major"/>
    </font>
    <font>
      <sz val="11"/>
      <color rgb="FFF11A09"/>
      <name val="Calibri"/>
      <family val="2"/>
      <scheme val="minor"/>
    </font>
    <font>
      <b/>
      <sz val="11"/>
      <color rgb="FFF11A09"/>
      <name val="Calibri"/>
      <family val="2"/>
      <scheme val="minor"/>
    </font>
    <font>
      <sz val="11"/>
      <name val="Calibri"/>
      <family val="2"/>
      <scheme val="minor"/>
    </font>
    <font>
      <b/>
      <sz val="11"/>
      <color rgb="FFFF0000"/>
      <name val="Calibri"/>
      <family val="2"/>
      <scheme val="minor"/>
    </font>
    <font>
      <sz val="8"/>
      <color rgb="FFFF0000"/>
      <name val="Arial"/>
      <family val="2"/>
    </font>
    <font>
      <b/>
      <sz val="8"/>
      <color theme="1"/>
      <name val="Arial"/>
      <family val="2"/>
    </font>
    <font>
      <sz val="8"/>
      <color theme="1"/>
      <name val="Arial"/>
      <family val="2"/>
    </font>
    <font>
      <b/>
      <sz val="8"/>
      <color rgb="FFFF0000"/>
      <name val="Arial"/>
      <family val="2"/>
    </font>
  </fonts>
  <fills count="71">
    <fill>
      <patternFill patternType="none"/>
    </fill>
    <fill>
      <patternFill patternType="gray125"/>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6" tint="0.79998168889431442"/>
        <bgColor indexed="64"/>
      </patternFill>
    </fill>
    <fill>
      <patternFill patternType="solid">
        <fgColor rgb="FF92D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bgColor indexed="64"/>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4" tint="0.39997558519241921"/>
        <bgColor indexed="64"/>
      </patternFill>
    </fill>
    <fill>
      <patternFill patternType="solid">
        <fgColor theme="6" tint="-0.249977111117893"/>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rgb="FFF6FC04"/>
        <bgColor indexed="64"/>
      </patternFill>
    </fill>
    <fill>
      <patternFill patternType="solid">
        <fgColor rgb="FF8BE1FF"/>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ABF8F"/>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rgb="FFC00000"/>
        <bgColor indexed="64"/>
      </patternFill>
    </fill>
    <fill>
      <patternFill patternType="solid">
        <fgColor rgb="FF0070C0"/>
        <bgColor indexed="64"/>
      </patternFill>
    </fill>
    <fill>
      <patternFill patternType="solid">
        <fgColor rgb="FF00B0F0"/>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rgb="FFE6B8B7"/>
        <bgColor indexed="64"/>
      </patternFill>
    </fill>
    <fill>
      <patternFill patternType="solid">
        <fgColor rgb="FFC4BD97"/>
        <bgColor indexed="64"/>
      </patternFill>
    </fill>
    <fill>
      <patternFill patternType="solid">
        <fgColor rgb="FFCCC0DA"/>
        <bgColor indexed="64"/>
      </patternFill>
    </fill>
    <fill>
      <patternFill patternType="solid">
        <fgColor theme="0"/>
        <bgColor indexed="64"/>
      </patternFill>
    </fill>
    <fill>
      <patternFill patternType="solid">
        <fgColor theme="9" tint="0.79998168889431442"/>
        <bgColor indexed="64"/>
      </patternFill>
    </fill>
  </fills>
  <borders count="79">
    <border>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rgb="FF7F7F7F"/>
      </left>
      <right style="thin">
        <color rgb="FF7F7F7F"/>
      </right>
      <top style="thin">
        <color rgb="FF7F7F7F"/>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ck">
        <color indexed="64"/>
      </right>
      <top/>
      <bottom/>
      <diagonal/>
    </border>
    <border>
      <left style="medium">
        <color indexed="64"/>
      </left>
      <right/>
      <top style="thin">
        <color indexed="64"/>
      </top>
      <bottom style="thin">
        <color indexed="64"/>
      </bottom>
      <diagonal/>
    </border>
  </borders>
  <cellStyleXfs count="51">
    <xf numFmtId="0" fontId="0" fillId="0" borderId="0"/>
    <xf numFmtId="0" fontId="2" fillId="2" borderId="3" applyNumberFormat="0" applyAlignment="0" applyProtection="0"/>
    <xf numFmtId="0" fontId="3" fillId="3" borderId="4" applyNumberFormat="0" applyAlignment="0" applyProtection="0"/>
    <xf numFmtId="0" fontId="4" fillId="3" borderId="3" applyNumberFormat="0" applyAlignment="0" applyProtection="0"/>
    <xf numFmtId="0" fontId="7" fillId="5" borderId="0" applyNumberFormat="0" applyBorder="0" applyAlignment="0" applyProtection="0"/>
    <xf numFmtId="0" fontId="8" fillId="6" borderId="0" applyNumberFormat="0" applyBorder="0" applyAlignment="0" applyProtection="0"/>
    <xf numFmtId="0" fontId="9" fillId="7" borderId="0" applyNumberFormat="0" applyBorder="0" applyAlignment="0" applyProtection="0"/>
    <xf numFmtId="0" fontId="12" fillId="0" borderId="0" applyNumberFormat="0" applyFill="0" applyBorder="0" applyAlignment="0" applyProtection="0"/>
    <xf numFmtId="0" fontId="18" fillId="0" borderId="0" applyNumberFormat="0" applyFill="0" applyBorder="0" applyAlignment="0" applyProtection="0"/>
    <xf numFmtId="0" fontId="19" fillId="0" borderId="17" applyNumberFormat="0" applyFill="0" applyAlignment="0" applyProtection="0"/>
    <xf numFmtId="0" fontId="20" fillId="0" borderId="18" applyNumberFormat="0" applyFill="0" applyAlignment="0" applyProtection="0"/>
    <xf numFmtId="0" fontId="21" fillId="0" borderId="19" applyNumberFormat="0" applyFill="0" applyAlignment="0" applyProtection="0"/>
    <xf numFmtId="0" fontId="21" fillId="0" borderId="0" applyNumberFormat="0" applyFill="0" applyBorder="0" applyAlignment="0" applyProtection="0"/>
    <xf numFmtId="0" fontId="22" fillId="0" borderId="20" applyNumberFormat="0" applyFill="0" applyAlignment="0" applyProtection="0"/>
    <xf numFmtId="0" fontId="23" fillId="17" borderId="21" applyNumberFormat="0" applyAlignment="0" applyProtection="0"/>
    <xf numFmtId="0" fontId="24" fillId="0" borderId="0" applyNumberFormat="0" applyFill="0" applyBorder="0" applyAlignment="0" applyProtection="0"/>
    <xf numFmtId="0" fontId="17" fillId="18" borderId="22" applyNumberFormat="0" applyFont="0" applyAlignment="0" applyProtection="0"/>
    <xf numFmtId="0" fontId="25" fillId="0" borderId="0" applyNumberFormat="0" applyFill="0" applyBorder="0" applyAlignment="0" applyProtection="0"/>
    <xf numFmtId="0" fontId="10" fillId="0" borderId="23" applyNumberFormat="0" applyFill="0" applyAlignment="0" applyProtection="0"/>
    <xf numFmtId="0" fontId="26"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26" fillId="22" borderId="0" applyNumberFormat="0" applyBorder="0" applyAlignment="0" applyProtection="0"/>
    <xf numFmtId="0" fontId="26"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26" fillId="30" borderId="0" applyNumberFormat="0" applyBorder="0" applyAlignment="0" applyProtection="0"/>
    <xf numFmtId="0" fontId="26" fillId="31" borderId="0" applyNumberFormat="0" applyBorder="0" applyAlignment="0" applyProtection="0"/>
    <xf numFmtId="0" fontId="17" fillId="32" borderId="0" applyNumberFormat="0" applyBorder="0" applyAlignment="0" applyProtection="0"/>
    <xf numFmtId="0" fontId="17" fillId="33" borderId="0" applyNumberFormat="0" applyBorder="0" applyAlignment="0" applyProtection="0"/>
    <xf numFmtId="0" fontId="26" fillId="34" borderId="0" applyNumberFormat="0" applyBorder="0" applyAlignment="0" applyProtection="0"/>
    <xf numFmtId="0" fontId="26" fillId="35" borderId="0" applyNumberFormat="0" applyBorder="0" applyAlignment="0" applyProtection="0"/>
    <xf numFmtId="0" fontId="17" fillId="36" borderId="0" applyNumberFormat="0" applyBorder="0" applyAlignment="0" applyProtection="0"/>
    <xf numFmtId="0" fontId="17" fillId="37" borderId="0" applyNumberFormat="0" applyBorder="0" applyAlignment="0" applyProtection="0"/>
    <xf numFmtId="0" fontId="26" fillId="38" borderId="0" applyNumberFormat="0" applyBorder="0" applyAlignment="0" applyProtection="0"/>
    <xf numFmtId="0" fontId="26" fillId="39" borderId="0" applyNumberFormat="0" applyBorder="0" applyAlignment="0" applyProtection="0"/>
    <xf numFmtId="0" fontId="17" fillId="40" borderId="0" applyNumberFormat="0" applyBorder="0" applyAlignment="0" applyProtection="0"/>
    <xf numFmtId="0" fontId="17" fillId="41" borderId="0" applyNumberFormat="0" applyBorder="0" applyAlignment="0" applyProtection="0"/>
    <xf numFmtId="0" fontId="26" fillId="42" borderId="0" applyNumberFormat="0" applyBorder="0" applyAlignment="0" applyProtection="0"/>
    <xf numFmtId="0" fontId="27" fillId="0" borderId="0"/>
    <xf numFmtId="9" fontId="27" fillId="0" borderId="0" applyFont="0" applyFill="0" applyBorder="0" applyAlignment="0" applyProtection="0"/>
    <xf numFmtId="9" fontId="17" fillId="0" borderId="0" applyFont="0" applyFill="0" applyBorder="0" applyAlignment="0" applyProtection="0"/>
    <xf numFmtId="0" fontId="32" fillId="0" borderId="0"/>
    <xf numFmtId="0" fontId="34" fillId="0" borderId="0" applyNumberFormat="0" applyFill="0" applyBorder="0" applyAlignment="0" applyProtection="0"/>
    <xf numFmtId="0" fontId="12" fillId="0" borderId="0" applyNumberFormat="0" applyFill="0" applyBorder="0" applyAlignment="0" applyProtection="0"/>
    <xf numFmtId="43" fontId="27" fillId="0" borderId="0" applyFont="0" applyFill="0" applyBorder="0" applyAlignment="0" applyProtection="0"/>
    <xf numFmtId="0" fontId="27" fillId="0" borderId="0"/>
  </cellStyleXfs>
  <cellXfs count="673">
    <xf numFmtId="0" fontId="0" fillId="0" borderId="0" xfId="0"/>
    <xf numFmtId="0" fontId="0" fillId="0" borderId="0" xfId="0" applyBorder="1"/>
    <xf numFmtId="0" fontId="11" fillId="0" borderId="0" xfId="0" applyFont="1"/>
    <xf numFmtId="0" fontId="0" fillId="0" borderId="0" xfId="0" applyFont="1"/>
    <xf numFmtId="17" fontId="11" fillId="0" borderId="0" xfId="0" applyNumberFormat="1" applyFont="1"/>
    <xf numFmtId="0" fontId="0" fillId="0" borderId="0" xfId="0"/>
    <xf numFmtId="0" fontId="0" fillId="0" borderId="0" xfId="0" applyAlignment="1">
      <alignment textRotation="45"/>
    </xf>
    <xf numFmtId="0" fontId="0" fillId="0" borderId="0" xfId="0" applyAlignment="1">
      <alignment wrapText="1"/>
    </xf>
    <xf numFmtId="0" fontId="0" fillId="0" borderId="0" xfId="0" applyAlignment="1">
      <alignment horizontal="center" wrapText="1"/>
    </xf>
    <xf numFmtId="0" fontId="10" fillId="16" borderId="0" xfId="0" applyFont="1" applyFill="1"/>
    <xf numFmtId="0" fontId="0" fillId="16" borderId="0" xfId="0" applyFill="1"/>
    <xf numFmtId="0" fontId="15" fillId="0" borderId="9" xfId="0" applyFont="1" applyBorder="1"/>
    <xf numFmtId="0" fontId="0" fillId="0" borderId="10" xfId="0" applyBorder="1"/>
    <xf numFmtId="0" fontId="0" fillId="0" borderId="12" xfId="0" applyBorder="1"/>
    <xf numFmtId="0" fontId="16" fillId="0" borderId="0" xfId="0" applyFont="1" applyBorder="1"/>
    <xf numFmtId="0" fontId="0" fillId="0" borderId="14" xfId="0" applyBorder="1"/>
    <xf numFmtId="0" fontId="0" fillId="0" borderId="15" xfId="0" applyBorder="1"/>
    <xf numFmtId="0" fontId="10" fillId="0" borderId="9" xfId="0" applyFont="1" applyBorder="1"/>
    <xf numFmtId="0" fontId="0" fillId="0" borderId="0" xfId="0" applyFill="1"/>
    <xf numFmtId="14" fontId="1" fillId="0" borderId="0" xfId="0" applyNumberFormat="1" applyFont="1" applyBorder="1" applyAlignment="1">
      <alignment horizontal="left" vertical="center"/>
    </xf>
    <xf numFmtId="14" fontId="10" fillId="0" borderId="0" xfId="0" applyNumberFormat="1" applyFont="1"/>
    <xf numFmtId="0" fontId="0" fillId="0" borderId="0" xfId="0" applyBorder="1" applyAlignment="1">
      <alignment horizontal="center"/>
    </xf>
    <xf numFmtId="164" fontId="10" fillId="0" borderId="0" xfId="0" applyNumberFormat="1" applyFont="1"/>
    <xf numFmtId="0" fontId="28" fillId="0" borderId="2" xfId="0" applyFont="1" applyFill="1" applyBorder="1" applyAlignment="1">
      <alignment horizontal="center" vertical="center"/>
    </xf>
    <xf numFmtId="0" fontId="9" fillId="7" borderId="0" xfId="6" applyBorder="1"/>
    <xf numFmtId="164" fontId="9" fillId="7" borderId="0" xfId="6" applyNumberFormat="1" applyBorder="1"/>
    <xf numFmtId="0" fontId="29" fillId="0" borderId="0" xfId="0" applyFont="1" applyFill="1"/>
    <xf numFmtId="166" fontId="0" fillId="0" borderId="0" xfId="0" applyNumberFormat="1"/>
    <xf numFmtId="0" fontId="31" fillId="0" borderId="13" xfId="0" applyFont="1" applyBorder="1" applyAlignment="1">
      <alignment horizontal="center" vertical="center" textRotation="90" wrapText="1"/>
    </xf>
    <xf numFmtId="0" fontId="0" fillId="0" borderId="0" xfId="0" applyFill="1" applyBorder="1" applyAlignment="1">
      <alignment vertical="top" wrapText="1"/>
    </xf>
    <xf numFmtId="2" fontId="0" fillId="0" borderId="0" xfId="0" applyNumberFormat="1" applyFill="1" applyBorder="1"/>
    <xf numFmtId="0" fontId="0" fillId="0" borderId="0" xfId="0"/>
    <xf numFmtId="0" fontId="10" fillId="0" borderId="0" xfId="0" applyFont="1"/>
    <xf numFmtId="0" fontId="0" fillId="8" borderId="6" xfId="0" applyFill="1" applyBorder="1" applyAlignment="1">
      <alignment vertical="top" wrapText="1"/>
    </xf>
    <xf numFmtId="0" fontId="0" fillId="10" borderId="6" xfId="0" applyFill="1" applyBorder="1" applyAlignment="1">
      <alignment horizontal="center" vertical="top" wrapText="1"/>
    </xf>
    <xf numFmtId="0" fontId="0" fillId="11" borderId="6" xfId="0" applyFill="1" applyBorder="1" applyAlignment="1">
      <alignment horizontal="center" vertical="top" wrapText="1"/>
    </xf>
    <xf numFmtId="0" fontId="0" fillId="12" borderId="6" xfId="0" applyFill="1" applyBorder="1" applyAlignment="1">
      <alignment horizontal="center" vertical="top" wrapText="1"/>
    </xf>
    <xf numFmtId="0" fontId="0" fillId="13" borderId="6" xfId="0" applyFill="1" applyBorder="1" applyAlignment="1">
      <alignment vertical="top" wrapText="1"/>
    </xf>
    <xf numFmtId="0" fontId="0" fillId="0" borderId="0" xfId="0" applyFill="1" applyBorder="1"/>
    <xf numFmtId="164" fontId="0" fillId="0" borderId="0" xfId="0" applyNumberFormat="1"/>
    <xf numFmtId="164" fontId="0" fillId="4" borderId="0" xfId="0" applyNumberFormat="1" applyFill="1"/>
    <xf numFmtId="166" fontId="0" fillId="9" borderId="0" xfId="0" applyNumberFormat="1" applyFill="1"/>
    <xf numFmtId="0" fontId="0" fillId="55" borderId="0" xfId="0" applyFill="1"/>
    <xf numFmtId="166" fontId="0" fillId="43" borderId="0" xfId="0" applyNumberFormat="1" applyFill="1"/>
    <xf numFmtId="166" fontId="0" fillId="55" borderId="0" xfId="0" applyNumberFormat="1" applyFill="1"/>
    <xf numFmtId="166" fontId="0" fillId="4" borderId="0" xfId="0" applyNumberFormat="1" applyFill="1"/>
    <xf numFmtId="166" fontId="0" fillId="47" borderId="0" xfId="0" applyNumberFormat="1" applyFill="1"/>
    <xf numFmtId="164" fontId="0" fillId="47" borderId="0" xfId="0" applyNumberFormat="1" applyFill="1"/>
    <xf numFmtId="0" fontId="10" fillId="0" borderId="24" xfId="0" applyFont="1" applyBorder="1" applyAlignment="1">
      <alignment horizontal="center" vertical="center"/>
    </xf>
    <xf numFmtId="0" fontId="10" fillId="0" borderId="2" xfId="0" applyFont="1" applyBorder="1" applyAlignment="1">
      <alignment horizontal="center" vertical="center"/>
    </xf>
    <xf numFmtId="0" fontId="10" fillId="0" borderId="35" xfId="0" applyFont="1" applyBorder="1" applyAlignment="1">
      <alignment horizontal="center" vertical="center"/>
    </xf>
    <xf numFmtId="49" fontId="0" fillId="0" borderId="0" xfId="0" applyNumberFormat="1" applyAlignment="1">
      <alignment wrapText="1"/>
    </xf>
    <xf numFmtId="49" fontId="0" fillId="46" borderId="38" xfId="0" applyNumberFormat="1" applyFont="1" applyFill="1" applyBorder="1" applyAlignment="1">
      <alignment wrapText="1"/>
    </xf>
    <xf numFmtId="49" fontId="0" fillId="54" borderId="39" xfId="0" applyNumberFormat="1" applyFont="1" applyFill="1" applyBorder="1" applyAlignment="1">
      <alignment wrapText="1"/>
    </xf>
    <xf numFmtId="49" fontId="0" fillId="9" borderId="39" xfId="0" applyNumberFormat="1" applyFont="1" applyFill="1" applyBorder="1" applyAlignment="1">
      <alignment wrapText="1"/>
    </xf>
    <xf numFmtId="49" fontId="0" fillId="55" borderId="37" xfId="0" applyNumberFormat="1" applyFill="1" applyBorder="1" applyAlignment="1">
      <alignment wrapText="1"/>
    </xf>
    <xf numFmtId="49" fontId="0" fillId="43" borderId="39" xfId="0" applyNumberFormat="1" applyFont="1" applyFill="1" applyBorder="1" applyAlignment="1">
      <alignment wrapText="1"/>
    </xf>
    <xf numFmtId="49" fontId="0" fillId="55" borderId="39" xfId="0" applyNumberFormat="1" applyFont="1" applyFill="1" applyBorder="1" applyAlignment="1">
      <alignment wrapText="1"/>
    </xf>
    <xf numFmtId="49" fontId="0" fillId="43" borderId="40" xfId="0" applyNumberFormat="1" applyFont="1" applyFill="1" applyBorder="1" applyAlignment="1">
      <alignment wrapText="1"/>
    </xf>
    <xf numFmtId="49" fontId="0" fillId="4" borderId="41" xfId="0" applyNumberFormat="1" applyFont="1" applyFill="1" applyBorder="1" applyAlignment="1">
      <alignment wrapText="1"/>
    </xf>
    <xf numFmtId="49" fontId="0" fillId="4" borderId="39" xfId="0" applyNumberFormat="1" applyFont="1" applyFill="1" applyBorder="1" applyAlignment="1">
      <alignment wrapText="1"/>
    </xf>
    <xf numFmtId="49" fontId="0" fillId="4" borderId="40" xfId="0" applyNumberFormat="1" applyFont="1" applyFill="1" applyBorder="1" applyAlignment="1">
      <alignment wrapText="1"/>
    </xf>
    <xf numFmtId="49" fontId="0" fillId="0" borderId="38" xfId="0" applyNumberFormat="1" applyFont="1" applyBorder="1" applyAlignment="1">
      <alignment horizontal="center" vertical="center" wrapText="1"/>
    </xf>
    <xf numFmtId="49" fontId="0" fillId="0" borderId="36" xfId="0" applyNumberFormat="1" applyFont="1" applyBorder="1" applyAlignment="1">
      <alignment horizontal="center" vertical="center" wrapText="1"/>
    </xf>
    <xf numFmtId="2" fontId="0" fillId="43" borderId="0" xfId="0" applyNumberFormat="1" applyFill="1"/>
    <xf numFmtId="0" fontId="0" fillId="43" borderId="0" xfId="0" applyFill="1"/>
    <xf numFmtId="0" fontId="0" fillId="43" borderId="0" xfId="0" applyFill="1" applyAlignment="1">
      <alignment horizontal="center"/>
    </xf>
    <xf numFmtId="2" fontId="0" fillId="55" borderId="0" xfId="0" applyNumberFormat="1" applyFill="1"/>
    <xf numFmtId="0" fontId="0" fillId="55" borderId="0" xfId="0" applyFill="1" applyAlignment="1">
      <alignment horizontal="center" vertical="center"/>
    </xf>
    <xf numFmtId="49" fontId="0" fillId="4" borderId="6" xfId="0" applyNumberFormat="1" applyFill="1" applyBorder="1" applyAlignment="1">
      <alignment wrapText="1"/>
    </xf>
    <xf numFmtId="0" fontId="0" fillId="0" borderId="0" xfId="0" applyAlignment="1">
      <alignment horizontal="center" vertical="center"/>
    </xf>
    <xf numFmtId="0" fontId="0" fillId="56" borderId="0" xfId="0" applyFill="1"/>
    <xf numFmtId="0" fontId="0" fillId="4" borderId="15" xfId="0" applyFill="1" applyBorder="1"/>
    <xf numFmtId="0" fontId="31" fillId="4" borderId="16" xfId="0" applyFont="1" applyFill="1" applyBorder="1" applyAlignment="1">
      <alignment horizontal="center" vertical="center" textRotation="90" wrapText="1"/>
    </xf>
    <xf numFmtId="49" fontId="0" fillId="4" borderId="15" xfId="0" applyNumberFormat="1" applyFill="1" applyBorder="1" applyAlignment="1"/>
    <xf numFmtId="49" fontId="9" fillId="4" borderId="15" xfId="6" applyNumberFormat="1" applyFill="1" applyBorder="1" applyAlignment="1"/>
    <xf numFmtId="0" fontId="9" fillId="4" borderId="15" xfId="6" applyFill="1" applyBorder="1"/>
    <xf numFmtId="0" fontId="0" fillId="4" borderId="14" xfId="0" applyFill="1" applyBorder="1"/>
    <xf numFmtId="164" fontId="0" fillId="55" borderId="0" xfId="0" applyNumberFormat="1" applyFill="1"/>
    <xf numFmtId="2" fontId="0" fillId="54" borderId="0" xfId="0" applyNumberFormat="1" applyFill="1"/>
    <xf numFmtId="2" fontId="0" fillId="46" borderId="0" xfId="0" applyNumberFormat="1" applyFill="1"/>
    <xf numFmtId="0" fontId="0" fillId="0" borderId="0" xfId="0" applyFill="1" applyBorder="1" applyAlignment="1"/>
    <xf numFmtId="0" fontId="0" fillId="0" borderId="0" xfId="0" applyAlignment="1">
      <alignment horizontal="left"/>
    </xf>
    <xf numFmtId="0" fontId="13" fillId="14" borderId="7" xfId="0" applyFont="1" applyFill="1" applyBorder="1" applyAlignment="1">
      <alignment horizontal="left"/>
    </xf>
    <xf numFmtId="0" fontId="0" fillId="0" borderId="0" xfId="0" applyAlignment="1">
      <alignment horizontal="center"/>
    </xf>
    <xf numFmtId="0" fontId="0" fillId="0" borderId="0" xfId="0" applyFont="1" applyAlignment="1"/>
    <xf numFmtId="0" fontId="6" fillId="4" borderId="27" xfId="0" applyFont="1" applyFill="1" applyBorder="1" applyAlignment="1">
      <alignment horizontal="left" vertical="top"/>
    </xf>
    <xf numFmtId="0" fontId="0" fillId="0" borderId="9" xfId="0" applyBorder="1"/>
    <xf numFmtId="0" fontId="0" fillId="0" borderId="10" xfId="0" applyBorder="1" applyAlignment="1">
      <alignment horizontal="center"/>
    </xf>
    <xf numFmtId="0" fontId="0" fillId="0" borderId="11" xfId="0" applyBorder="1" applyAlignment="1">
      <alignment horizontal="center"/>
    </xf>
    <xf numFmtId="0" fontId="5" fillId="0" borderId="12" xfId="0" applyFont="1" applyBorder="1"/>
    <xf numFmtId="0" fontId="2" fillId="2" borderId="3" xfId="1" applyBorder="1"/>
    <xf numFmtId="0" fontId="5" fillId="0" borderId="0" xfId="0" applyFont="1" applyBorder="1"/>
    <xf numFmtId="0" fontId="0" fillId="0" borderId="13" xfId="0" applyBorder="1"/>
    <xf numFmtId="0" fontId="0" fillId="0" borderId="0" xfId="0" applyBorder="1" applyAlignment="1">
      <alignment horizontal="right"/>
    </xf>
    <xf numFmtId="0" fontId="3" fillId="3" borderId="4" xfId="2" applyBorder="1"/>
    <xf numFmtId="0" fontId="0" fillId="0" borderId="16" xfId="0" applyBorder="1"/>
    <xf numFmtId="0" fontId="0" fillId="0" borderId="11" xfId="0" applyBorder="1"/>
    <xf numFmtId="0" fontId="0" fillId="0" borderId="15" xfId="0" applyBorder="1" applyAlignment="1">
      <alignment horizontal="right"/>
    </xf>
    <xf numFmtId="0" fontId="0" fillId="0" borderId="0" xfId="0" applyFill="1" applyBorder="1" applyAlignment="1">
      <alignment horizontal="center"/>
    </xf>
    <xf numFmtId="164" fontId="0" fillId="0" borderId="0" xfId="0" applyNumberFormat="1" applyFill="1" applyBorder="1" applyAlignment="1">
      <alignment horizontal="center" vertical="center"/>
    </xf>
    <xf numFmtId="164" fontId="0" fillId="0" borderId="0" xfId="0" applyNumberFormat="1" applyFill="1" applyBorder="1" applyAlignment="1">
      <alignment horizontal="center"/>
    </xf>
    <xf numFmtId="49" fontId="0" fillId="0" borderId="0" xfId="0" applyNumberFormat="1" applyFont="1"/>
    <xf numFmtId="0" fontId="0" fillId="0" borderId="0" xfId="0"/>
    <xf numFmtId="164" fontId="0" fillId="0" borderId="2" xfId="0" applyNumberFormat="1" applyBorder="1"/>
    <xf numFmtId="1" fontId="0" fillId="0" borderId="0" xfId="0" applyNumberFormat="1"/>
    <xf numFmtId="0" fontId="0" fillId="0" borderId="25" xfId="0" applyBorder="1" applyAlignment="1">
      <alignment horizontal="center"/>
    </xf>
    <xf numFmtId="0" fontId="0" fillId="0" borderId="47" xfId="0" applyBorder="1"/>
    <xf numFmtId="0" fontId="0" fillId="0" borderId="35" xfId="0" applyBorder="1"/>
    <xf numFmtId="0" fontId="0" fillId="0" borderId="48" xfId="0" applyBorder="1" applyAlignment="1">
      <alignment horizontal="right"/>
    </xf>
    <xf numFmtId="0" fontId="0" fillId="0" borderId="48" xfId="0" applyBorder="1"/>
    <xf numFmtId="0" fontId="0" fillId="0" borderId="25" xfId="0" applyFill="1" applyBorder="1" applyAlignment="1">
      <alignment horizontal="center"/>
    </xf>
    <xf numFmtId="0" fontId="4" fillId="3" borderId="49" xfId="3" applyBorder="1"/>
    <xf numFmtId="0" fontId="0" fillId="13" borderId="44" xfId="0" applyFill="1" applyBorder="1" applyAlignment="1">
      <alignment vertical="top" wrapText="1"/>
    </xf>
    <xf numFmtId="0" fontId="0" fillId="0" borderId="0" xfId="0"/>
    <xf numFmtId="0" fontId="1" fillId="0" borderId="0" xfId="0" applyFont="1" applyBorder="1" applyAlignment="1">
      <alignment horizontal="left" vertical="center"/>
    </xf>
    <xf numFmtId="0" fontId="1" fillId="4" borderId="25" xfId="0" applyFont="1" applyFill="1" applyBorder="1" applyAlignment="1">
      <alignment horizontal="left" vertical="top" wrapText="1"/>
    </xf>
    <xf numFmtId="0" fontId="0" fillId="0" borderId="0" xfId="0" applyAlignment="1">
      <alignment horizontal="center"/>
    </xf>
    <xf numFmtId="0" fontId="0" fillId="0" borderId="0" xfId="0" applyAlignment="1">
      <alignment horizontal="right"/>
    </xf>
    <xf numFmtId="0" fontId="1" fillId="0" borderId="33" xfId="0" applyFont="1" applyFill="1" applyBorder="1" applyAlignment="1">
      <alignment horizontal="center" vertical="center" wrapText="1"/>
    </xf>
    <xf numFmtId="0" fontId="1" fillId="0" borderId="50" xfId="0" applyFont="1" applyFill="1" applyBorder="1" applyAlignment="1">
      <alignment horizontal="center" vertical="center" wrapText="1"/>
    </xf>
    <xf numFmtId="0" fontId="1" fillId="0" borderId="50" xfId="0" applyFont="1" applyBorder="1" applyAlignment="1">
      <alignment horizontal="center" vertical="center" wrapText="1"/>
    </xf>
    <xf numFmtId="0" fontId="1" fillId="0" borderId="1" xfId="0" applyFont="1" applyBorder="1" applyAlignment="1">
      <alignment horizontal="center" vertical="center" wrapText="1"/>
    </xf>
    <xf numFmtId="0" fontId="1" fillId="60" borderId="50" xfId="0" applyFont="1" applyFill="1" applyBorder="1" applyAlignment="1">
      <alignment horizontal="center" vertical="center" wrapText="1"/>
    </xf>
    <xf numFmtId="0" fontId="1" fillId="9" borderId="50" xfId="0" applyFont="1" applyFill="1" applyBorder="1" applyAlignment="1">
      <alignment horizontal="center" vertical="center" wrapText="1"/>
    </xf>
    <xf numFmtId="0" fontId="1" fillId="16" borderId="1" xfId="0" applyFont="1" applyFill="1" applyBorder="1" applyAlignment="1">
      <alignment horizontal="center" vertical="center" wrapText="1"/>
    </xf>
    <xf numFmtId="0" fontId="1" fillId="4" borderId="25" xfId="0" applyFont="1" applyFill="1" applyBorder="1" applyAlignment="1">
      <alignment horizontal="center" vertical="top" wrapText="1"/>
    </xf>
    <xf numFmtId="0" fontId="28" fillId="0" borderId="5" xfId="0" applyFont="1" applyBorder="1" applyAlignment="1">
      <alignment horizontal="left" vertical="center"/>
    </xf>
    <xf numFmtId="0" fontId="10" fillId="61" borderId="9" xfId="0" applyFont="1" applyFill="1" applyBorder="1"/>
    <xf numFmtId="0" fontId="0" fillId="61" borderId="10" xfId="0" applyFill="1" applyBorder="1"/>
    <xf numFmtId="0" fontId="0" fillId="61" borderId="11" xfId="0" applyFill="1" applyBorder="1"/>
    <xf numFmtId="164" fontId="1" fillId="60" borderId="2" xfId="0" applyNumberFormat="1" applyFont="1" applyFill="1" applyBorder="1" applyAlignment="1">
      <alignment horizontal="center" vertical="center"/>
    </xf>
    <xf numFmtId="2" fontId="1" fillId="9" borderId="2" xfId="0" applyNumberFormat="1" applyFont="1" applyFill="1" applyBorder="1" applyAlignment="1">
      <alignment horizontal="center" vertical="center"/>
    </xf>
    <xf numFmtId="164" fontId="1" fillId="16" borderId="2" xfId="0" applyNumberFormat="1" applyFont="1" applyFill="1" applyBorder="1" applyAlignment="1">
      <alignment horizontal="center" vertical="center"/>
    </xf>
    <xf numFmtId="0" fontId="1" fillId="51" borderId="1" xfId="0" applyFont="1" applyFill="1" applyBorder="1" applyAlignment="1">
      <alignment horizontal="center" vertical="center" wrapText="1"/>
    </xf>
    <xf numFmtId="0" fontId="0" fillId="61" borderId="12" xfId="0" applyFill="1" applyBorder="1"/>
    <xf numFmtId="164" fontId="0" fillId="61" borderId="0" xfId="0" applyNumberFormat="1" applyFill="1" applyBorder="1"/>
    <xf numFmtId="0" fontId="0" fillId="61" borderId="0" xfId="0" applyFill="1" applyBorder="1"/>
    <xf numFmtId="164" fontId="10" fillId="61" borderId="0" xfId="0" applyNumberFormat="1" applyFont="1" applyFill="1" applyBorder="1"/>
    <xf numFmtId="0" fontId="10" fillId="61" borderId="0" xfId="0" applyFont="1" applyFill="1" applyBorder="1"/>
    <xf numFmtId="0" fontId="0" fillId="61" borderId="13" xfId="0" applyFill="1" applyBorder="1"/>
    <xf numFmtId="2" fontId="0" fillId="0" borderId="0" xfId="0" applyNumberFormat="1"/>
    <xf numFmtId="165" fontId="28" fillId="60" borderId="5" xfId="0" applyNumberFormat="1" applyFont="1" applyFill="1" applyBorder="1" applyAlignment="1">
      <alignment horizontal="right" vertical="center"/>
    </xf>
    <xf numFmtId="1" fontId="28" fillId="60" borderId="5" xfId="0" applyNumberFormat="1" applyFont="1" applyFill="1" applyBorder="1" applyAlignment="1">
      <alignment horizontal="center" vertical="center"/>
    </xf>
    <xf numFmtId="0" fontId="0" fillId="61" borderId="0" xfId="0" applyFill="1" applyBorder="1" applyAlignment="1"/>
    <xf numFmtId="164" fontId="10" fillId="61" borderId="6" xfId="0" applyNumberFormat="1" applyFont="1" applyFill="1" applyBorder="1" applyAlignment="1">
      <alignment horizontal="center"/>
    </xf>
    <xf numFmtId="164" fontId="10" fillId="61" borderId="6" xfId="0" applyNumberFormat="1" applyFont="1" applyFill="1" applyBorder="1"/>
    <xf numFmtId="0" fontId="0" fillId="61" borderId="14" xfId="0" applyFill="1" applyBorder="1"/>
    <xf numFmtId="164" fontId="0" fillId="61" borderId="15" xfId="0" applyNumberFormat="1" applyFill="1" applyBorder="1"/>
    <xf numFmtId="0" fontId="0" fillId="61" borderId="15" xfId="0" applyFill="1" applyBorder="1" applyAlignment="1"/>
    <xf numFmtId="164" fontId="10" fillId="61" borderId="15" xfId="0" applyNumberFormat="1" applyFont="1" applyFill="1" applyBorder="1" applyAlignment="1">
      <alignment horizontal="center"/>
    </xf>
    <xf numFmtId="164" fontId="10" fillId="61" borderId="15" xfId="0" applyNumberFormat="1" applyFont="1" applyFill="1" applyBorder="1"/>
    <xf numFmtId="0" fontId="0" fillId="61" borderId="16" xfId="0" applyFill="1" applyBorder="1"/>
    <xf numFmtId="9" fontId="0" fillId="0" borderId="0" xfId="45" applyFont="1"/>
    <xf numFmtId="164" fontId="1" fillId="60" borderId="0" xfId="0" applyNumberFormat="1" applyFont="1" applyFill="1" applyBorder="1" applyAlignment="1">
      <alignment horizontal="center" vertical="center"/>
    </xf>
    <xf numFmtId="2" fontId="1" fillId="9" borderId="0" xfId="0" applyNumberFormat="1" applyFont="1" applyFill="1" applyBorder="1" applyAlignment="1">
      <alignment horizontal="center" vertical="center"/>
    </xf>
    <xf numFmtId="164" fontId="1" fillId="16" borderId="0" xfId="0" applyNumberFormat="1" applyFont="1" applyFill="1" applyBorder="1" applyAlignment="1">
      <alignment horizontal="center" vertical="center"/>
    </xf>
    <xf numFmtId="164" fontId="28" fillId="51" borderId="5" xfId="0" applyNumberFormat="1" applyFont="1" applyFill="1" applyBorder="1" applyAlignment="1">
      <alignment horizontal="center" vertical="center"/>
    </xf>
    <xf numFmtId="168" fontId="0" fillId="0" borderId="0" xfId="0" applyNumberFormat="1" applyFont="1"/>
    <xf numFmtId="49" fontId="11" fillId="0" borderId="0" xfId="0" applyNumberFormat="1" applyFont="1"/>
    <xf numFmtId="0" fontId="13" fillId="8" borderId="6" xfId="0" applyFont="1" applyFill="1" applyBorder="1" applyAlignment="1">
      <alignment textRotation="45" wrapText="1"/>
    </xf>
    <xf numFmtId="0" fontId="13" fillId="10" borderId="6" xfId="0" applyFont="1" applyFill="1" applyBorder="1" applyAlignment="1">
      <alignment textRotation="45" wrapText="1"/>
    </xf>
    <xf numFmtId="0" fontId="13" fillId="11" borderId="6" xfId="0" applyFont="1" applyFill="1" applyBorder="1" applyAlignment="1">
      <alignment textRotation="45" wrapText="1"/>
    </xf>
    <xf numFmtId="0" fontId="13" fillId="12" borderId="6" xfId="0" applyFont="1" applyFill="1" applyBorder="1" applyAlignment="1">
      <alignment textRotation="45" wrapText="1"/>
    </xf>
    <xf numFmtId="0" fontId="13" fillId="13" borderId="6" xfId="0" applyFont="1" applyFill="1" applyBorder="1" applyAlignment="1">
      <alignment textRotation="45" wrapText="1"/>
    </xf>
    <xf numFmtId="0" fontId="0" fillId="0" borderId="0" xfId="0"/>
    <xf numFmtId="0" fontId="0" fillId="0" borderId="0" xfId="0" applyFill="1" applyBorder="1" applyAlignment="1">
      <alignment horizontal="center" vertical="center" wrapText="1"/>
    </xf>
    <xf numFmtId="0" fontId="10" fillId="0" borderId="60" xfId="0" applyFont="1" applyBorder="1" applyAlignment="1">
      <alignment horizontal="left"/>
    </xf>
    <xf numFmtId="0" fontId="10" fillId="0" borderId="33" xfId="0" applyFont="1" applyBorder="1"/>
    <xf numFmtId="0" fontId="10" fillId="0" borderId="62" xfId="0" applyFont="1" applyBorder="1"/>
    <xf numFmtId="0" fontId="10" fillId="0" borderId="0" xfId="0" applyFont="1" applyAlignment="1"/>
    <xf numFmtId="0" fontId="10" fillId="0" borderId="0" xfId="0" applyFont="1" applyAlignment="1">
      <alignment horizontal="left" vertical="center"/>
    </xf>
    <xf numFmtId="0" fontId="0" fillId="62" borderId="0" xfId="0" applyFill="1" applyBorder="1"/>
    <xf numFmtId="0" fontId="10" fillId="9" borderId="12" xfId="0" applyFont="1" applyFill="1" applyBorder="1"/>
    <xf numFmtId="0" fontId="10" fillId="0" borderId="13" xfId="0" applyFont="1" applyBorder="1"/>
    <xf numFmtId="14" fontId="0" fillId="0" borderId="0" xfId="0" applyNumberFormat="1" applyFont="1" applyAlignment="1">
      <alignment horizontal="left" vertical="center"/>
    </xf>
    <xf numFmtId="0" fontId="0" fillId="63" borderId="12" xfId="0" applyFont="1" applyFill="1" applyBorder="1"/>
    <xf numFmtId="0" fontId="0" fillId="50" borderId="12" xfId="0" applyFont="1" applyFill="1" applyBorder="1"/>
    <xf numFmtId="0" fontId="10" fillId="62" borderId="0" xfId="0" applyFont="1" applyFill="1" applyBorder="1"/>
    <xf numFmtId="0" fontId="10" fillId="0" borderId="14" xfId="0" applyFont="1" applyBorder="1"/>
    <xf numFmtId="0" fontId="10" fillId="0" borderId="16" xfId="0" applyFont="1" applyBorder="1"/>
    <xf numFmtId="0" fontId="11" fillId="0" borderId="0" xfId="0" applyFont="1" applyAlignment="1">
      <alignment vertical="top" wrapText="1"/>
    </xf>
    <xf numFmtId="0" fontId="14" fillId="0" borderId="0" xfId="0" applyFont="1" applyFill="1" applyBorder="1" applyAlignment="1">
      <alignment vertical="center" wrapText="1"/>
    </xf>
    <xf numFmtId="0" fontId="10" fillId="0" borderId="31" xfId="0" applyFont="1" applyBorder="1"/>
    <xf numFmtId="0" fontId="10" fillId="0" borderId="0" xfId="0" applyFont="1" applyFill="1" applyBorder="1" applyAlignment="1">
      <alignment horizontal="center"/>
    </xf>
    <xf numFmtId="1" fontId="0" fillId="9" borderId="6" xfId="0" applyNumberFormat="1" applyFill="1" applyBorder="1" applyAlignment="1">
      <alignment horizontal="center"/>
    </xf>
    <xf numFmtId="0" fontId="0" fillId="0" borderId="53" xfId="0" applyBorder="1" applyAlignment="1">
      <alignment horizontal="right"/>
    </xf>
    <xf numFmtId="165" fontId="0" fillId="51" borderId="6" xfId="0" applyNumberFormat="1" applyFill="1" applyBorder="1" applyAlignment="1">
      <alignment horizontal="center" vertical="center"/>
    </xf>
    <xf numFmtId="0" fontId="10" fillId="0" borderId="30" xfId="0" applyFont="1" applyBorder="1"/>
    <xf numFmtId="0" fontId="0" fillId="0" borderId="60" xfId="0" applyBorder="1" applyAlignment="1">
      <alignment horizontal="right"/>
    </xf>
    <xf numFmtId="169" fontId="0" fillId="0" borderId="0" xfId="0" applyNumberFormat="1" applyFill="1" applyBorder="1" applyAlignment="1">
      <alignment horizontal="center" vertical="center"/>
    </xf>
    <xf numFmtId="0" fontId="24" fillId="0" borderId="0" xfId="0" applyFont="1" applyFill="1" applyAlignment="1">
      <alignment wrapText="1"/>
    </xf>
    <xf numFmtId="0" fontId="0" fillId="65" borderId="0" xfId="0" applyFill="1"/>
    <xf numFmtId="0" fontId="7" fillId="0" borderId="0" xfId="4" applyFill="1"/>
    <xf numFmtId="0" fontId="0" fillId="65" borderId="0" xfId="0" applyFill="1" applyAlignment="1">
      <alignment wrapText="1"/>
    </xf>
    <xf numFmtId="0" fontId="0" fillId="4" borderId="0" xfId="0" applyFill="1"/>
    <xf numFmtId="0" fontId="10" fillId="0" borderId="12" xfId="0" applyFont="1" applyBorder="1"/>
    <xf numFmtId="0" fontId="0" fillId="65" borderId="0" xfId="0" applyFill="1" applyAlignment="1">
      <alignment horizontal="center" wrapText="1"/>
    </xf>
    <xf numFmtId="0" fontId="0" fillId="62" borderId="0" xfId="0" applyFill="1"/>
    <xf numFmtId="0" fontId="10" fillId="0" borderId="0" xfId="0" applyFont="1" applyAlignment="1">
      <alignment horizontal="center"/>
    </xf>
    <xf numFmtId="0" fontId="0" fillId="0" borderId="0" xfId="0"/>
    <xf numFmtId="0" fontId="0" fillId="0" borderId="0" xfId="0" applyAlignment="1">
      <alignment horizontal="center"/>
    </xf>
    <xf numFmtId="0" fontId="0" fillId="0" borderId="0" xfId="0" applyFill="1" applyBorder="1" applyAlignment="1">
      <alignment horizontal="left"/>
    </xf>
    <xf numFmtId="0" fontId="0" fillId="0" borderId="0" xfId="0"/>
    <xf numFmtId="0" fontId="0" fillId="0" borderId="0" xfId="0" applyAlignment="1">
      <alignment horizontal="center"/>
    </xf>
    <xf numFmtId="0" fontId="0" fillId="64" borderId="6" xfId="0" applyFill="1" applyBorder="1" applyAlignment="1">
      <alignment horizontal="center"/>
    </xf>
    <xf numFmtId="0" fontId="0" fillId="64" borderId="28" xfId="0" applyFill="1" applyBorder="1" applyAlignment="1">
      <alignment horizontal="center"/>
    </xf>
    <xf numFmtId="0" fontId="0" fillId="0" borderId="0" xfId="0"/>
    <xf numFmtId="0" fontId="0" fillId="66" borderId="6" xfId="0" applyFill="1" applyBorder="1" applyAlignment="1">
      <alignment horizontal="center" vertical="top" wrapText="1"/>
    </xf>
    <xf numFmtId="0" fontId="0" fillId="67" borderId="6" xfId="0" applyFill="1" applyBorder="1" applyAlignment="1">
      <alignment horizontal="center" vertical="top" wrapText="1"/>
    </xf>
    <xf numFmtId="0" fontId="0" fillId="68" borderId="44" xfId="0" applyFill="1" applyBorder="1" applyAlignment="1">
      <alignment vertical="top" wrapText="1"/>
    </xf>
    <xf numFmtId="164" fontId="0" fillId="43" borderId="0" xfId="0" applyNumberFormat="1" applyFill="1" applyBorder="1"/>
    <xf numFmtId="164" fontId="0" fillId="43" borderId="0" xfId="0" applyNumberFormat="1" applyFill="1"/>
    <xf numFmtId="164" fontId="0" fillId="43" borderId="0" xfId="0" applyNumberFormat="1" applyFill="1" applyAlignment="1">
      <alignment horizontal="right"/>
    </xf>
    <xf numFmtId="0" fontId="0" fillId="0" borderId="0" xfId="0"/>
    <xf numFmtId="10" fontId="0" fillId="0" borderId="52" xfId="45" applyNumberFormat="1" applyFont="1" applyBorder="1" applyAlignment="1">
      <alignment horizontal="center"/>
    </xf>
    <xf numFmtId="0" fontId="0" fillId="4" borderId="32" xfId="0" applyFill="1" applyBorder="1" applyAlignment="1">
      <alignment horizontal="center"/>
    </xf>
    <xf numFmtId="164" fontId="0" fillId="15" borderId="43" xfId="0" applyNumberFormat="1" applyFill="1" applyBorder="1" applyAlignment="1">
      <alignment horizontal="center" vertical="center"/>
    </xf>
    <xf numFmtId="0" fontId="0" fillId="0" borderId="16" xfId="0" applyFill="1" applyBorder="1"/>
    <xf numFmtId="49" fontId="10" fillId="4" borderId="11" xfId="0" applyNumberFormat="1" applyFont="1" applyFill="1" applyBorder="1" applyAlignment="1">
      <alignment wrapText="1"/>
    </xf>
    <xf numFmtId="49" fontId="10" fillId="4" borderId="25" xfId="0" applyNumberFormat="1" applyFont="1" applyFill="1" applyBorder="1" applyAlignment="1">
      <alignment wrapText="1"/>
    </xf>
    <xf numFmtId="49" fontId="10" fillId="4" borderId="55" xfId="0" applyNumberFormat="1" applyFont="1" applyFill="1" applyBorder="1" applyAlignment="1">
      <alignment wrapText="1"/>
    </xf>
    <xf numFmtId="49" fontId="10" fillId="4" borderId="1" xfId="0" applyNumberFormat="1" applyFont="1" applyFill="1" applyBorder="1" applyAlignment="1">
      <alignment wrapText="1"/>
    </xf>
    <xf numFmtId="2" fontId="4" fillId="3" borderId="24" xfId="3" applyNumberFormat="1" applyBorder="1"/>
    <xf numFmtId="165" fontId="4" fillId="3" borderId="44" xfId="3" applyNumberFormat="1" applyBorder="1"/>
    <xf numFmtId="165" fontId="3" fillId="3" borderId="4" xfId="2" applyNumberFormat="1" applyBorder="1"/>
    <xf numFmtId="0" fontId="0" fillId="0" borderId="66" xfId="0" quotePrefix="1" applyBorder="1" applyAlignment="1">
      <alignment horizontal="centerContinuous"/>
    </xf>
    <xf numFmtId="0" fontId="0" fillId="0" borderId="50" xfId="0" applyBorder="1" applyAlignment="1">
      <alignment horizontal="centerContinuous"/>
    </xf>
    <xf numFmtId="0" fontId="0" fillId="0" borderId="69" xfId="0" applyBorder="1" applyAlignment="1">
      <alignment horizontal="center"/>
    </xf>
    <xf numFmtId="2" fontId="0" fillId="53" borderId="29" xfId="0" applyNumberFormat="1" applyFill="1" applyBorder="1" applyAlignment="1">
      <alignment horizontal="center" vertical="center"/>
    </xf>
    <xf numFmtId="166" fontId="0" fillId="53" borderId="29" xfId="0" applyNumberFormat="1" applyFill="1" applyBorder="1" applyAlignment="1">
      <alignment horizontal="center" vertical="center"/>
    </xf>
    <xf numFmtId="169" fontId="0" fillId="53" borderId="32" xfId="0" applyNumberFormat="1" applyFill="1" applyBorder="1" applyAlignment="1">
      <alignment horizontal="center" vertical="center"/>
    </xf>
    <xf numFmtId="0" fontId="11" fillId="0" borderId="53" xfId="0" applyFont="1" applyBorder="1" applyAlignment="1">
      <alignment horizontal="right" vertical="top" wrapText="1"/>
    </xf>
    <xf numFmtId="1" fontId="0" fillId="51" borderId="24" xfId="0" applyNumberFormat="1" applyFill="1" applyBorder="1" applyAlignment="1">
      <alignment horizontal="center"/>
    </xf>
    <xf numFmtId="1" fontId="0" fillId="64" borderId="24" xfId="0" applyNumberFormat="1" applyFill="1" applyBorder="1" applyAlignment="1">
      <alignment horizontal="center"/>
    </xf>
    <xf numFmtId="1" fontId="0" fillId="53" borderId="43" xfId="0" applyNumberFormat="1" applyFill="1" applyBorder="1" applyAlignment="1">
      <alignment horizontal="center"/>
    </xf>
    <xf numFmtId="0" fontId="11" fillId="0" borderId="14" xfId="0" applyFont="1" applyBorder="1" applyAlignment="1">
      <alignment vertical="top" wrapText="1"/>
    </xf>
    <xf numFmtId="0" fontId="14" fillId="0" borderId="68" xfId="0" applyFont="1" applyBorder="1" applyAlignment="1">
      <alignment horizontal="center" vertical="center" wrapText="1"/>
    </xf>
    <xf numFmtId="0" fontId="10" fillId="0" borderId="15" xfId="0" applyFont="1" applyBorder="1" applyAlignment="1">
      <alignment horizontal="center"/>
    </xf>
    <xf numFmtId="0" fontId="10" fillId="0" borderId="16" xfId="0" applyFont="1" applyBorder="1" applyAlignment="1">
      <alignment horizontal="center"/>
    </xf>
    <xf numFmtId="0" fontId="0" fillId="53" borderId="70" xfId="0" applyFill="1" applyBorder="1"/>
    <xf numFmtId="0" fontId="0" fillId="53" borderId="54" xfId="0" applyFill="1" applyBorder="1"/>
    <xf numFmtId="167" fontId="0" fillId="9" borderId="28" xfId="0" applyNumberFormat="1" applyFill="1" applyBorder="1" applyAlignment="1">
      <alignment horizontal="center"/>
    </xf>
    <xf numFmtId="0" fontId="0" fillId="53" borderId="61" xfId="0" applyFill="1" applyBorder="1"/>
    <xf numFmtId="0" fontId="5" fillId="0" borderId="0" xfId="0" applyFont="1" applyFill="1" applyBorder="1"/>
    <xf numFmtId="166" fontId="0" fillId="9" borderId="6" xfId="0" applyNumberFormat="1" applyFill="1" applyBorder="1" applyAlignment="1">
      <alignment horizontal="center"/>
    </xf>
    <xf numFmtId="167" fontId="0" fillId="51" borderId="28" xfId="0" applyNumberFormat="1" applyFill="1" applyBorder="1" applyAlignment="1">
      <alignment horizontal="center" vertical="center"/>
    </xf>
    <xf numFmtId="166" fontId="0" fillId="51" borderId="6" xfId="0" applyNumberFormat="1" applyFill="1" applyBorder="1" applyAlignment="1">
      <alignment horizontal="center" vertical="center"/>
    </xf>
    <xf numFmtId="0" fontId="4" fillId="3" borderId="3" xfId="3"/>
    <xf numFmtId="0" fontId="13" fillId="14" borderId="5" xfId="0" applyFont="1" applyFill="1" applyBorder="1" applyAlignment="1">
      <alignment wrapText="1"/>
    </xf>
    <xf numFmtId="0" fontId="13" fillId="14" borderId="8" xfId="0" applyFont="1" applyFill="1" applyBorder="1" applyAlignment="1">
      <alignment wrapText="1"/>
    </xf>
    <xf numFmtId="0" fontId="0" fillId="0" borderId="65" xfId="0" applyNumberFormat="1" applyBorder="1" applyAlignment="1">
      <alignment horizontal="centerContinuous"/>
    </xf>
    <xf numFmtId="1" fontId="0" fillId="64" borderId="27" xfId="0" applyNumberFormat="1" applyFill="1" applyBorder="1" applyAlignment="1">
      <alignment horizontal="center"/>
    </xf>
    <xf numFmtId="0" fontId="0" fillId="0" borderId="0" xfId="0" applyAlignment="1">
      <alignment horizontal="center"/>
    </xf>
    <xf numFmtId="9" fontId="0" fillId="0" borderId="12" xfId="45" applyFont="1" applyBorder="1" applyAlignment="1">
      <alignment horizontal="center"/>
    </xf>
    <xf numFmtId="9" fontId="0" fillId="0" borderId="0" xfId="45" applyFont="1" applyBorder="1" applyAlignment="1">
      <alignment horizontal="center"/>
    </xf>
    <xf numFmtId="9" fontId="0" fillId="0" borderId="13" xfId="45" applyFont="1" applyBorder="1" applyAlignment="1">
      <alignment horizontal="center"/>
    </xf>
    <xf numFmtId="9" fontId="0" fillId="0" borderId="14" xfId="45" applyFont="1" applyBorder="1" applyAlignment="1">
      <alignment horizontal="center"/>
    </xf>
    <xf numFmtId="9" fontId="0" fillId="0" borderId="15" xfId="45" applyFont="1" applyBorder="1" applyAlignment="1">
      <alignment horizontal="center"/>
    </xf>
    <xf numFmtId="9" fontId="0" fillId="0" borderId="16" xfId="45" applyFont="1" applyBorder="1" applyAlignment="1">
      <alignment horizontal="center"/>
    </xf>
    <xf numFmtId="0" fontId="0" fillId="0" borderId="71" xfId="0" applyBorder="1" applyAlignment="1">
      <alignment horizontal="center"/>
    </xf>
    <xf numFmtId="0" fontId="0" fillId="0" borderId="55" xfId="0" applyBorder="1" applyAlignment="1">
      <alignment horizontal="center"/>
    </xf>
    <xf numFmtId="0" fontId="10" fillId="0" borderId="28" xfId="0" applyFont="1" applyBorder="1" applyAlignment="1">
      <alignment horizontal="right"/>
    </xf>
    <xf numFmtId="0" fontId="10" fillId="0" borderId="32" xfId="0" applyFont="1" applyBorder="1"/>
    <xf numFmtId="0" fontId="1" fillId="0" borderId="2" xfId="0" applyFont="1" applyFill="1" applyBorder="1" applyAlignment="1">
      <alignment horizontal="center" vertical="center" wrapText="1"/>
    </xf>
    <xf numFmtId="14" fontId="1" fillId="0" borderId="2" xfId="0" applyNumberFormat="1" applyFont="1" applyBorder="1" applyAlignment="1">
      <alignment horizontal="left" vertical="center" wrapText="1"/>
    </xf>
    <xf numFmtId="164" fontId="1" fillId="60" borderId="2" xfId="0" applyNumberFormat="1" applyFont="1" applyFill="1" applyBorder="1" applyAlignment="1">
      <alignment horizontal="center" vertical="center" wrapText="1"/>
    </xf>
    <xf numFmtId="2" fontId="1" fillId="9" borderId="2" xfId="0" applyNumberFormat="1" applyFont="1" applyFill="1" applyBorder="1" applyAlignment="1">
      <alignment horizontal="center" vertical="center" wrapText="1"/>
    </xf>
    <xf numFmtId="164" fontId="1" fillId="16" borderId="2" xfId="0" applyNumberFormat="1" applyFont="1" applyFill="1" applyBorder="1" applyAlignment="1">
      <alignment horizontal="center" vertical="center" wrapText="1"/>
    </xf>
    <xf numFmtId="164" fontId="28" fillId="51" borderId="5" xfId="0" applyNumberFormat="1" applyFont="1" applyFill="1" applyBorder="1" applyAlignment="1">
      <alignment horizontal="center" vertical="center" wrapText="1"/>
    </xf>
    <xf numFmtId="0" fontId="0" fillId="61" borderId="12" xfId="0" applyFill="1" applyBorder="1" applyAlignment="1">
      <alignment wrapText="1"/>
    </xf>
    <xf numFmtId="164" fontId="0" fillId="61" borderId="0" xfId="0" applyNumberFormat="1" applyFill="1" applyBorder="1" applyAlignment="1">
      <alignment wrapText="1"/>
    </xf>
    <xf numFmtId="0" fontId="0" fillId="61" borderId="0" xfId="0" applyFill="1" applyBorder="1" applyAlignment="1">
      <alignment wrapText="1"/>
    </xf>
    <xf numFmtId="164" fontId="10" fillId="61" borderId="0" xfId="0" applyNumberFormat="1" applyFont="1" applyFill="1" applyBorder="1" applyAlignment="1">
      <alignment wrapText="1"/>
    </xf>
    <xf numFmtId="0" fontId="10" fillId="61" borderId="0" xfId="0" applyFont="1" applyFill="1" applyBorder="1" applyAlignment="1">
      <alignment wrapText="1"/>
    </xf>
    <xf numFmtId="0" fontId="0" fillId="61" borderId="13" xfId="0" applyFill="1" applyBorder="1" applyAlignment="1">
      <alignment wrapText="1"/>
    </xf>
    <xf numFmtId="1" fontId="0" fillId="0" borderId="0" xfId="0" applyNumberFormat="1" applyAlignment="1">
      <alignment wrapText="1"/>
    </xf>
    <xf numFmtId="0" fontId="0" fillId="0" borderId="0" xfId="0" applyAlignment="1">
      <alignment horizontal="right" wrapText="1"/>
    </xf>
    <xf numFmtId="170" fontId="0" fillId="61" borderId="15" xfId="45" applyNumberFormat="1" applyFont="1" applyFill="1" applyBorder="1" applyAlignment="1"/>
    <xf numFmtId="0" fontId="0" fillId="0" borderId="33" xfId="0" applyFont="1" applyBorder="1" applyAlignment="1">
      <alignment horizontal="left"/>
    </xf>
    <xf numFmtId="0" fontId="0" fillId="0" borderId="6" xfId="0" applyFont="1" applyBorder="1" applyAlignment="1">
      <alignment horizontal="right"/>
    </xf>
    <xf numFmtId="0" fontId="0" fillId="0" borderId="34" xfId="0" applyFont="1" applyBorder="1"/>
    <xf numFmtId="0" fontId="0" fillId="0" borderId="42" xfId="0" applyFont="1" applyBorder="1" applyAlignment="1">
      <alignment horizontal="left"/>
    </xf>
    <xf numFmtId="0" fontId="0" fillId="0" borderId="24" xfId="0" applyFont="1" applyBorder="1" applyAlignment="1">
      <alignment horizontal="right"/>
    </xf>
    <xf numFmtId="0" fontId="0" fillId="0" borderId="43" xfId="0" applyFont="1" applyBorder="1"/>
    <xf numFmtId="0" fontId="10" fillId="0" borderId="73" xfId="0" applyFont="1" applyBorder="1" applyAlignment="1">
      <alignment horizontal="right"/>
    </xf>
    <xf numFmtId="0" fontId="10" fillId="0" borderId="61" xfId="0" applyFont="1" applyBorder="1"/>
    <xf numFmtId="0" fontId="10" fillId="0" borderId="30" xfId="0" applyFont="1" applyBorder="1" applyAlignment="1">
      <alignment horizontal="left"/>
    </xf>
    <xf numFmtId="2" fontId="0" fillId="0" borderId="0" xfId="0" applyNumberFormat="1" applyAlignment="1">
      <alignment horizontal="center"/>
    </xf>
    <xf numFmtId="0" fontId="0" fillId="10" borderId="44" xfId="0" applyFill="1" applyBorder="1" applyAlignment="1">
      <alignment horizontal="center" vertical="center" wrapText="1"/>
    </xf>
    <xf numFmtId="0" fontId="0" fillId="66" borderId="44" xfId="0" applyFill="1" applyBorder="1" applyAlignment="1">
      <alignment horizontal="center" vertical="center" wrapText="1"/>
    </xf>
    <xf numFmtId="0" fontId="5" fillId="15" borderId="7" xfId="0" applyFont="1" applyFill="1" applyBorder="1" applyAlignment="1">
      <alignment wrapText="1"/>
    </xf>
    <xf numFmtId="0" fontId="5" fillId="15" borderId="5" xfId="0" applyFont="1" applyFill="1" applyBorder="1" applyAlignment="1">
      <alignment wrapText="1"/>
    </xf>
    <xf numFmtId="0" fontId="5" fillId="15" borderId="8" xfId="0" applyFont="1" applyFill="1" applyBorder="1" applyAlignment="1">
      <alignment wrapText="1"/>
    </xf>
    <xf numFmtId="0" fontId="13" fillId="14" borderId="7" xfId="0" applyFont="1" applyFill="1" applyBorder="1" applyAlignment="1">
      <alignment wrapText="1"/>
    </xf>
    <xf numFmtId="0" fontId="13" fillId="14" borderId="5" xfId="0" applyFont="1" applyFill="1" applyBorder="1" applyAlignment="1">
      <alignment wrapText="1"/>
    </xf>
    <xf numFmtId="0" fontId="13" fillId="14" borderId="8" xfId="0" applyFont="1" applyFill="1" applyBorder="1" applyAlignment="1">
      <alignment wrapText="1"/>
    </xf>
    <xf numFmtId="0" fontId="0" fillId="8" borderId="44" xfId="0" applyFill="1" applyBorder="1" applyAlignment="1">
      <alignment vertical="top" wrapText="1"/>
    </xf>
    <xf numFmtId="0" fontId="0" fillId="67" borderId="44" xfId="0" applyFill="1" applyBorder="1" applyAlignment="1">
      <alignment horizontal="center" vertical="center" wrapText="1"/>
    </xf>
    <xf numFmtId="49" fontId="0" fillId="0" borderId="0" xfId="0" applyNumberFormat="1"/>
    <xf numFmtId="171" fontId="0" fillId="0" borderId="0" xfId="0" applyNumberFormat="1"/>
    <xf numFmtId="172" fontId="0" fillId="0" borderId="0" xfId="0" applyNumberFormat="1"/>
    <xf numFmtId="173" fontId="0" fillId="0" borderId="0" xfId="0" applyNumberFormat="1"/>
    <xf numFmtId="174" fontId="0" fillId="0" borderId="0" xfId="0" applyNumberFormat="1"/>
    <xf numFmtId="175" fontId="0" fillId="0" borderId="0" xfId="0" applyNumberFormat="1"/>
    <xf numFmtId="176" fontId="0" fillId="0" borderId="0" xfId="0" applyNumberFormat="1"/>
    <xf numFmtId="0" fontId="12" fillId="0" borderId="0" xfId="48"/>
    <xf numFmtId="0" fontId="0" fillId="68" borderId="44" xfId="0" applyFill="1" applyBorder="1" applyAlignment="1">
      <alignment vertical="center" wrapText="1"/>
    </xf>
    <xf numFmtId="0" fontId="10" fillId="15" borderId="6" xfId="0" applyFont="1" applyFill="1" applyBorder="1" applyAlignment="1">
      <alignment vertical="top" wrapText="1"/>
    </xf>
    <xf numFmtId="0" fontId="10" fillId="15" borderId="6" xfId="0" applyFont="1" applyFill="1" applyBorder="1" applyAlignment="1">
      <alignment horizontal="center" vertical="center" wrapText="1"/>
    </xf>
    <xf numFmtId="0" fontId="10" fillId="15" borderId="6" xfId="0" applyFont="1" applyFill="1" applyBorder="1" applyAlignment="1">
      <alignment horizontal="center" vertical="top" wrapText="1"/>
    </xf>
    <xf numFmtId="0" fontId="13" fillId="14" borderId="7" xfId="0" applyFont="1" applyFill="1" applyBorder="1" applyAlignment="1"/>
    <xf numFmtId="49" fontId="0" fillId="0" borderId="74" xfId="0" applyNumberFormat="1" applyFont="1" applyBorder="1"/>
    <xf numFmtId="49" fontId="0" fillId="0" borderId="75" xfId="0" applyNumberFormat="1" applyFont="1" applyBorder="1"/>
    <xf numFmtId="49" fontId="0" fillId="0" borderId="76" xfId="0" applyNumberFormat="1" applyFont="1" applyBorder="1"/>
    <xf numFmtId="0" fontId="16" fillId="0" borderId="74" xfId="0" applyFont="1" applyBorder="1" applyAlignment="1">
      <alignment vertical="center" wrapText="1"/>
    </xf>
    <xf numFmtId="0" fontId="16" fillId="0" borderId="75" xfId="0" applyFont="1" applyBorder="1" applyAlignment="1">
      <alignment vertical="center" wrapText="1"/>
    </xf>
    <xf numFmtId="0" fontId="16" fillId="0" borderId="76" xfId="0" applyFont="1" applyBorder="1" applyAlignment="1">
      <alignment vertical="center" wrapText="1"/>
    </xf>
    <xf numFmtId="0" fontId="0" fillId="0" borderId="75" xfId="0" applyFont="1" applyBorder="1" applyAlignment="1">
      <alignment vertical="center" wrapText="1"/>
    </xf>
    <xf numFmtId="0" fontId="33" fillId="0" borderId="0" xfId="0" applyFont="1" applyBorder="1" applyAlignment="1">
      <alignment horizontal="center"/>
    </xf>
    <xf numFmtId="0" fontId="10" fillId="0" borderId="10" xfId="0" applyFont="1" applyBorder="1"/>
    <xf numFmtId="0" fontId="10" fillId="0" borderId="10" xfId="0" applyFont="1" applyBorder="1" applyAlignment="1">
      <alignment horizontal="center"/>
    </xf>
    <xf numFmtId="0" fontId="16" fillId="0" borderId="0" xfId="0" applyFont="1" applyBorder="1" applyAlignment="1">
      <alignment vertical="center" wrapText="1"/>
    </xf>
    <xf numFmtId="0" fontId="16" fillId="0" borderId="74" xfId="0" applyFont="1" applyBorder="1" applyAlignment="1">
      <alignment horizontal="center" vertical="center" wrapText="1"/>
    </xf>
    <xf numFmtId="0" fontId="16" fillId="0" borderId="75" xfId="0" applyFont="1" applyBorder="1" applyAlignment="1">
      <alignment horizontal="center" vertical="center" wrapText="1"/>
    </xf>
    <xf numFmtId="0" fontId="0" fillId="0" borderId="75" xfId="0" applyFont="1" applyBorder="1" applyAlignment="1">
      <alignment horizontal="center" vertical="center" wrapText="1"/>
    </xf>
    <xf numFmtId="1" fontId="0" fillId="9" borderId="0" xfId="0" applyNumberFormat="1" applyFill="1"/>
    <xf numFmtId="49" fontId="0" fillId="9" borderId="0" xfId="0" applyNumberFormat="1" applyFill="1"/>
    <xf numFmtId="171" fontId="0" fillId="9" borderId="0" xfId="0" applyNumberFormat="1" applyFill="1"/>
    <xf numFmtId="172" fontId="0" fillId="9" borderId="0" xfId="0" applyNumberFormat="1" applyFill="1"/>
    <xf numFmtId="173" fontId="0" fillId="9" borderId="0" xfId="0" applyNumberFormat="1" applyFill="1"/>
    <xf numFmtId="174" fontId="0" fillId="9" borderId="0" xfId="0" applyNumberFormat="1" applyFill="1"/>
    <xf numFmtId="175" fontId="0" fillId="9" borderId="0" xfId="0" applyNumberFormat="1" applyFill="1"/>
    <xf numFmtId="176" fontId="0" fillId="9" borderId="0" xfId="0" applyNumberFormat="1" applyFill="1"/>
    <xf numFmtId="169" fontId="0" fillId="64" borderId="7" xfId="0" applyNumberFormat="1" applyFill="1" applyBorder="1" applyAlignment="1">
      <alignment horizontal="center"/>
    </xf>
    <xf numFmtId="169" fontId="0" fillId="64" borderId="45" xfId="0" applyNumberFormat="1" applyFill="1" applyBorder="1" applyAlignment="1">
      <alignment horizontal="center"/>
    </xf>
    <xf numFmtId="0" fontId="0" fillId="0" borderId="11" xfId="0" applyFill="1" applyBorder="1"/>
    <xf numFmtId="0" fontId="0" fillId="0" borderId="13" xfId="0" applyFill="1" applyBorder="1"/>
    <xf numFmtId="0" fontId="0" fillId="0" borderId="76" xfId="0" applyFont="1" applyBorder="1" applyAlignment="1">
      <alignment horizontal="center" vertical="center" wrapText="1"/>
    </xf>
    <xf numFmtId="0" fontId="16" fillId="0" borderId="76" xfId="0" applyFont="1" applyBorder="1" applyAlignment="1">
      <alignment horizontal="center" vertical="center" wrapText="1"/>
    </xf>
    <xf numFmtId="0" fontId="1" fillId="51" borderId="1" xfId="0" applyNumberFormat="1" applyFont="1" applyFill="1" applyBorder="1" applyAlignment="1">
      <alignment horizontal="center" vertical="top" wrapText="1"/>
    </xf>
    <xf numFmtId="165" fontId="1" fillId="51" borderId="2" xfId="0" applyNumberFormat="1" applyFont="1" applyFill="1" applyBorder="1" applyAlignment="1">
      <alignment horizontal="center" vertical="center"/>
    </xf>
    <xf numFmtId="0" fontId="1" fillId="51" borderId="10" xfId="0" applyNumberFormat="1" applyFont="1" applyFill="1" applyBorder="1" applyAlignment="1">
      <alignment horizontal="center" vertical="top" wrapText="1"/>
    </xf>
    <xf numFmtId="165" fontId="28" fillId="51" borderId="2" xfId="0" applyNumberFormat="1" applyFont="1" applyFill="1" applyBorder="1" applyAlignment="1">
      <alignment horizontal="center" vertical="center"/>
    </xf>
    <xf numFmtId="0" fontId="1" fillId="51" borderId="6" xfId="0" applyNumberFormat="1" applyFont="1" applyFill="1" applyBorder="1" applyAlignment="1">
      <alignment horizontal="center" vertical="top" wrapText="1"/>
    </xf>
    <xf numFmtId="0" fontId="0" fillId="0" borderId="0" xfId="0"/>
    <xf numFmtId="14" fontId="1" fillId="0" borderId="2" xfId="0" applyNumberFormat="1" applyFont="1" applyBorder="1" applyAlignment="1">
      <alignment horizontal="left" vertical="center"/>
    </xf>
    <xf numFmtId="0" fontId="1" fillId="15" borderId="2" xfId="0" applyNumberFormat="1" applyFont="1" applyFill="1" applyBorder="1" applyAlignment="1">
      <alignment horizontal="left" vertical="center"/>
    </xf>
    <xf numFmtId="2" fontId="1" fillId="12" borderId="2" xfId="0" applyNumberFormat="1" applyFont="1" applyFill="1" applyBorder="1" applyAlignment="1">
      <alignment horizontal="center" vertical="center"/>
    </xf>
    <xf numFmtId="0" fontId="28" fillId="15" borderId="2" xfId="0" applyNumberFormat="1" applyFont="1" applyFill="1" applyBorder="1" applyAlignment="1">
      <alignment horizontal="left" vertical="center"/>
    </xf>
    <xf numFmtId="2" fontId="28" fillId="12" borderId="2" xfId="0" applyNumberFormat="1" applyFont="1" applyFill="1" applyBorder="1" applyAlignment="1">
      <alignment horizontal="center" vertical="center"/>
    </xf>
    <xf numFmtId="164" fontId="28" fillId="45" borderId="2" xfId="0" applyNumberFormat="1" applyFont="1" applyFill="1" applyBorder="1" applyAlignment="1">
      <alignment horizontal="center" vertical="center"/>
    </xf>
    <xf numFmtId="165" fontId="1" fillId="45" borderId="2" xfId="0" applyNumberFormat="1" applyFont="1" applyFill="1" applyBorder="1" applyAlignment="1">
      <alignment horizontal="center" vertical="center"/>
    </xf>
    <xf numFmtId="165" fontId="28" fillId="45" borderId="2" xfId="0" applyNumberFormat="1" applyFont="1" applyFill="1" applyBorder="1" applyAlignment="1">
      <alignment horizontal="center" vertical="center"/>
    </xf>
    <xf numFmtId="0" fontId="1" fillId="0" borderId="1" xfId="0" applyNumberFormat="1" applyFont="1" applyFill="1" applyBorder="1" applyAlignment="1">
      <alignment horizontal="center" vertical="top" wrapText="1"/>
    </xf>
    <xf numFmtId="0" fontId="1" fillId="0" borderId="1" xfId="0" applyNumberFormat="1" applyFont="1" applyBorder="1" applyAlignment="1">
      <alignment horizontal="center" vertical="top" wrapText="1"/>
    </xf>
    <xf numFmtId="0" fontId="1" fillId="49" borderId="1" xfId="0" applyNumberFormat="1" applyFont="1" applyFill="1" applyBorder="1" applyAlignment="1">
      <alignment horizontal="center" vertical="top" wrapText="1"/>
    </xf>
    <xf numFmtId="0" fontId="1" fillId="44" borderId="1" xfId="0" applyNumberFormat="1" applyFont="1" applyFill="1" applyBorder="1" applyAlignment="1">
      <alignment horizontal="center" vertical="top" wrapText="1"/>
    </xf>
    <xf numFmtId="0" fontId="1" fillId="15" borderId="1" xfId="0" applyNumberFormat="1" applyFont="1" applyFill="1" applyBorder="1" applyAlignment="1">
      <alignment horizontal="center" vertical="top" wrapText="1"/>
    </xf>
    <xf numFmtId="0" fontId="1" fillId="12" borderId="1" xfId="0" applyNumberFormat="1" applyFont="1" applyFill="1" applyBorder="1" applyAlignment="1">
      <alignment horizontal="center" vertical="top" wrapText="1"/>
    </xf>
    <xf numFmtId="0" fontId="1" fillId="45" borderId="1" xfId="0" applyNumberFormat="1" applyFont="1" applyFill="1" applyBorder="1" applyAlignment="1">
      <alignment horizontal="center" vertical="top" wrapText="1"/>
    </xf>
    <xf numFmtId="0" fontId="1" fillId="0" borderId="2" xfId="0" applyFont="1" applyFill="1" applyBorder="1" applyAlignment="1">
      <alignment horizontal="center" vertical="center"/>
    </xf>
    <xf numFmtId="0" fontId="1" fillId="0" borderId="2" xfId="0" applyFont="1" applyBorder="1" applyAlignment="1">
      <alignment horizontal="left" vertical="center" wrapText="1"/>
    </xf>
    <xf numFmtId="1" fontId="1" fillId="44" borderId="2" xfId="0" applyNumberFormat="1" applyFont="1" applyFill="1" applyBorder="1" applyAlignment="1">
      <alignment horizontal="center"/>
    </xf>
    <xf numFmtId="1" fontId="28" fillId="44" borderId="2" xfId="0" applyNumberFormat="1" applyFont="1" applyFill="1" applyBorder="1" applyAlignment="1">
      <alignment horizontal="center"/>
    </xf>
    <xf numFmtId="169" fontId="1" fillId="15" borderId="2" xfId="0" applyNumberFormat="1" applyFont="1" applyFill="1" applyBorder="1" applyAlignment="1">
      <alignment horizontal="left" vertical="center"/>
    </xf>
    <xf numFmtId="167" fontId="1" fillId="15" borderId="2" xfId="0" applyNumberFormat="1" applyFont="1" applyFill="1" applyBorder="1" applyAlignment="1">
      <alignment horizontal="left" vertical="center"/>
    </xf>
    <xf numFmtId="0" fontId="1" fillId="0" borderId="1" xfId="0" applyNumberFormat="1" applyFont="1" applyBorder="1" applyAlignment="1">
      <alignment horizontal="right" vertical="top" wrapText="1"/>
    </xf>
    <xf numFmtId="0" fontId="1" fillId="0" borderId="0" xfId="0" applyFont="1" applyFill="1" applyBorder="1" applyAlignment="1">
      <alignment horizontal="center" vertical="center"/>
    </xf>
    <xf numFmtId="0" fontId="1" fillId="0" borderId="48" xfId="0" applyFont="1" applyFill="1" applyBorder="1" applyAlignment="1">
      <alignment horizontal="center" vertical="center"/>
    </xf>
    <xf numFmtId="0" fontId="1" fillId="49" borderId="2" xfId="0" applyFont="1" applyFill="1" applyBorder="1" applyAlignment="1">
      <alignment horizontal="center" vertical="center"/>
    </xf>
    <xf numFmtId="165" fontId="1" fillId="45" borderId="77" xfId="0" applyNumberFormat="1" applyFont="1" applyFill="1" applyBorder="1" applyAlignment="1">
      <alignment horizontal="center" vertical="center"/>
    </xf>
    <xf numFmtId="165" fontId="1" fillId="45" borderId="48" xfId="0" applyNumberFormat="1" applyFont="1" applyFill="1" applyBorder="1" applyAlignment="1">
      <alignment horizontal="center" vertical="center"/>
    </xf>
    <xf numFmtId="0" fontId="1" fillId="0" borderId="33" xfId="0" applyNumberFormat="1" applyFont="1" applyFill="1" applyBorder="1" applyAlignment="1">
      <alignment horizontal="center" vertical="top" wrapText="1"/>
    </xf>
    <xf numFmtId="14" fontId="1" fillId="0" borderId="2" xfId="0" applyNumberFormat="1" applyFont="1" applyBorder="1" applyAlignment="1">
      <alignment horizontal="center" vertical="center"/>
    </xf>
    <xf numFmtId="165" fontId="1" fillId="0" borderId="0" xfId="0" applyNumberFormat="1" applyFont="1" applyFill="1" applyBorder="1" applyAlignment="1">
      <alignment horizontal="center" vertical="center"/>
    </xf>
    <xf numFmtId="0" fontId="1" fillId="0" borderId="0" xfId="0" applyFont="1" applyFill="1" applyBorder="1" applyAlignment="1">
      <alignment horizontal="left" vertical="center"/>
    </xf>
    <xf numFmtId="14" fontId="1" fillId="0" borderId="0" xfId="0" applyNumberFormat="1" applyFont="1" applyFill="1" applyBorder="1" applyAlignment="1">
      <alignment horizontal="left" vertical="center"/>
    </xf>
    <xf numFmtId="2" fontId="1" fillId="0" borderId="0" xfId="0" applyNumberFormat="1" applyFont="1" applyFill="1" applyBorder="1" applyAlignment="1">
      <alignment horizontal="center" vertical="center"/>
    </xf>
    <xf numFmtId="0" fontId="1" fillId="69" borderId="1" xfId="0" applyNumberFormat="1" applyFont="1" applyFill="1" applyBorder="1" applyAlignment="1">
      <alignment horizontal="center" vertical="top" wrapText="1"/>
    </xf>
    <xf numFmtId="2" fontId="1" fillId="0" borderId="2" xfId="0" applyNumberFormat="1" applyFont="1" applyFill="1" applyBorder="1" applyAlignment="1">
      <alignment horizontal="center" vertical="center"/>
    </xf>
    <xf numFmtId="2" fontId="28" fillId="0" borderId="2" xfId="0" applyNumberFormat="1" applyFont="1" applyFill="1" applyBorder="1" applyAlignment="1">
      <alignment horizontal="center" vertical="center"/>
    </xf>
    <xf numFmtId="0" fontId="1" fillId="43" borderId="1" xfId="0" applyNumberFormat="1" applyFont="1" applyFill="1" applyBorder="1" applyAlignment="1">
      <alignment horizontal="center" vertical="top" wrapText="1"/>
    </xf>
    <xf numFmtId="165" fontId="1" fillId="43" borderId="2" xfId="0" applyNumberFormat="1" applyFont="1" applyFill="1" applyBorder="1" applyAlignment="1">
      <alignment horizontal="center" vertical="center"/>
    </xf>
    <xf numFmtId="165" fontId="28" fillId="43" borderId="2" xfId="0" applyNumberFormat="1" applyFont="1" applyFill="1" applyBorder="1" applyAlignment="1">
      <alignment horizontal="center" vertical="center"/>
    </xf>
    <xf numFmtId="0" fontId="0" fillId="0" borderId="0" xfId="0" applyAlignment="1">
      <alignment horizontal="center"/>
    </xf>
    <xf numFmtId="0" fontId="0" fillId="4" borderId="0" xfId="0" applyFill="1" applyAlignment="1">
      <alignment horizontal="center"/>
    </xf>
    <xf numFmtId="0" fontId="10" fillId="0" borderId="0" xfId="0" applyFont="1" applyAlignment="1">
      <alignment horizontal="right"/>
    </xf>
    <xf numFmtId="165" fontId="0" fillId="0" borderId="0" xfId="0" applyNumberFormat="1" applyAlignment="1">
      <alignment horizontal="center"/>
    </xf>
    <xf numFmtId="170" fontId="0" fillId="0" borderId="0" xfId="45" applyNumberFormat="1" applyFont="1" applyAlignment="1">
      <alignment horizontal="center"/>
    </xf>
    <xf numFmtId="0" fontId="10" fillId="4" borderId="0" xfId="0" applyFont="1" applyFill="1" applyAlignment="1">
      <alignment horizontal="center"/>
    </xf>
    <xf numFmtId="2" fontId="0" fillId="4" borderId="0" xfId="0" applyNumberFormat="1" applyFill="1" applyAlignment="1">
      <alignment horizontal="center"/>
    </xf>
    <xf numFmtId="170" fontId="0" fillId="4" borderId="0" xfId="0" applyNumberFormat="1" applyFill="1" applyAlignment="1">
      <alignment horizontal="center"/>
    </xf>
    <xf numFmtId="170" fontId="0" fillId="4" borderId="0" xfId="45" applyNumberFormat="1" applyFont="1" applyFill="1" applyAlignment="1">
      <alignment horizontal="center"/>
    </xf>
    <xf numFmtId="0" fontId="10" fillId="0" borderId="0" xfId="0" applyFont="1" applyFill="1" applyAlignment="1">
      <alignment horizontal="center"/>
    </xf>
    <xf numFmtId="2" fontId="0" fillId="0" borderId="0" xfId="0" applyNumberFormat="1" applyFill="1" applyAlignment="1">
      <alignment horizontal="center"/>
    </xf>
    <xf numFmtId="0" fontId="0" fillId="0" borderId="0" xfId="0" applyFill="1" applyAlignment="1">
      <alignment horizontal="center"/>
    </xf>
    <xf numFmtId="170" fontId="0" fillId="0" borderId="0" xfId="45" applyNumberFormat="1" applyFont="1" applyFill="1" applyAlignment="1">
      <alignment horizontal="center"/>
    </xf>
    <xf numFmtId="0" fontId="0" fillId="0" borderId="0" xfId="0" applyAlignment="1">
      <alignment horizontal="center"/>
    </xf>
    <xf numFmtId="0" fontId="0" fillId="4" borderId="0" xfId="0" applyFill="1" applyAlignment="1">
      <alignment horizontal="center"/>
    </xf>
    <xf numFmtId="0" fontId="10" fillId="0" borderId="0" xfId="0" applyFont="1"/>
    <xf numFmtId="0" fontId="0" fillId="0" borderId="0" xfId="0" applyFill="1" applyBorder="1"/>
    <xf numFmtId="0" fontId="1" fillId="0" borderId="2" xfId="0" applyFont="1" applyBorder="1" applyAlignment="1">
      <alignment horizontal="left" vertical="center"/>
    </xf>
    <xf numFmtId="0" fontId="1" fillId="0" borderId="2" xfId="0" applyFont="1" applyBorder="1" applyAlignment="1">
      <alignment horizontal="center" vertical="center"/>
    </xf>
    <xf numFmtId="0" fontId="1" fillId="0" borderId="0" xfId="0" applyFont="1" applyBorder="1" applyAlignment="1">
      <alignment horizontal="center" vertical="center"/>
    </xf>
    <xf numFmtId="0" fontId="10" fillId="4" borderId="0" xfId="0" applyFont="1" applyFill="1"/>
    <xf numFmtId="0" fontId="35" fillId="13" borderId="44" xfId="0" applyFont="1" applyFill="1" applyBorder="1" applyAlignment="1">
      <alignment vertical="top" wrapText="1"/>
    </xf>
    <xf numFmtId="0" fontId="0" fillId="0" borderId="2" xfId="0" applyFill="1" applyBorder="1" applyAlignment="1">
      <alignment horizontal="center" vertical="top" wrapText="1"/>
    </xf>
    <xf numFmtId="0" fontId="36" fillId="10" borderId="6" xfId="0" applyFont="1" applyFill="1" applyBorder="1" applyAlignment="1">
      <alignment horizontal="center" vertical="top" wrapText="1"/>
    </xf>
    <xf numFmtId="0" fontId="36" fillId="13" borderId="44" xfId="0" applyFont="1" applyFill="1" applyBorder="1" applyAlignment="1">
      <alignment vertical="top" wrapText="1"/>
    </xf>
    <xf numFmtId="0" fontId="35" fillId="8" borderId="6" xfId="0" applyFont="1" applyFill="1" applyBorder="1" applyAlignment="1">
      <alignment vertical="top" wrapText="1"/>
    </xf>
    <xf numFmtId="0" fontId="0" fillId="0" borderId="0" xfId="0"/>
    <xf numFmtId="164" fontId="10" fillId="0" borderId="0" xfId="0" applyNumberFormat="1" applyFont="1"/>
    <xf numFmtId="0" fontId="10" fillId="0" borderId="0" xfId="0" applyFont="1"/>
    <xf numFmtId="0" fontId="0" fillId="8" borderId="6" xfId="0" applyFill="1" applyBorder="1" applyAlignment="1">
      <alignment vertical="top" wrapText="1"/>
    </xf>
    <xf numFmtId="0" fontId="0" fillId="10" borderId="6" xfId="0" applyFill="1" applyBorder="1" applyAlignment="1">
      <alignment horizontal="center" vertical="top" wrapText="1"/>
    </xf>
    <xf numFmtId="0" fontId="0" fillId="11" borderId="6" xfId="0" applyFill="1" applyBorder="1" applyAlignment="1">
      <alignment horizontal="center" vertical="top" wrapText="1"/>
    </xf>
    <xf numFmtId="0" fontId="0" fillId="12" borderId="6" xfId="0" applyFill="1" applyBorder="1" applyAlignment="1">
      <alignment horizontal="center" vertical="top" wrapText="1"/>
    </xf>
    <xf numFmtId="0" fontId="0" fillId="0" borderId="6" xfId="0" applyFill="1" applyBorder="1" applyAlignment="1">
      <alignment horizontal="center" vertical="center" wrapText="1"/>
    </xf>
    <xf numFmtId="164" fontId="0" fillId="4" borderId="0" xfId="0" applyNumberFormat="1" applyFill="1"/>
    <xf numFmtId="0" fontId="0" fillId="0" borderId="0" xfId="0" applyAlignment="1"/>
    <xf numFmtId="0" fontId="0" fillId="0" borderId="6" xfId="0" applyFill="1" applyBorder="1" applyAlignment="1">
      <alignment horizontal="center" vertical="top" wrapText="1"/>
    </xf>
    <xf numFmtId="0" fontId="0" fillId="13" borderId="44" xfId="0" applyFill="1" applyBorder="1" applyAlignment="1">
      <alignment vertical="top" wrapText="1"/>
    </xf>
    <xf numFmtId="0" fontId="0" fillId="65" borderId="0" xfId="0" applyFill="1"/>
    <xf numFmtId="0" fontId="0" fillId="65" borderId="0" xfId="0" applyFill="1" applyAlignment="1">
      <alignment wrapText="1"/>
    </xf>
    <xf numFmtId="0" fontId="14" fillId="0" borderId="68" xfId="0" applyFont="1" applyBorder="1" applyAlignment="1">
      <alignment horizontal="center" vertical="center" wrapText="1"/>
    </xf>
    <xf numFmtId="0" fontId="13" fillId="14" borderId="5" xfId="0" applyFont="1" applyFill="1" applyBorder="1" applyAlignment="1">
      <alignment wrapText="1"/>
    </xf>
    <xf numFmtId="0" fontId="13" fillId="14" borderId="8" xfId="0" applyFont="1" applyFill="1" applyBorder="1" applyAlignment="1">
      <alignment wrapText="1"/>
    </xf>
    <xf numFmtId="0" fontId="0" fillId="10" borderId="44" xfId="0" applyFill="1" applyBorder="1" applyAlignment="1">
      <alignment horizontal="center" vertical="center" wrapText="1"/>
    </xf>
    <xf numFmtId="0" fontId="0" fillId="66" borderId="44" xfId="0" applyFill="1" applyBorder="1" applyAlignment="1">
      <alignment horizontal="center" vertical="center" wrapText="1"/>
    </xf>
    <xf numFmtId="0" fontId="0" fillId="8" borderId="44" xfId="0" applyFill="1" applyBorder="1" applyAlignment="1">
      <alignment vertical="top" wrapText="1"/>
    </xf>
    <xf numFmtId="0" fontId="0" fillId="0" borderId="44" xfId="0" applyFill="1" applyBorder="1" applyAlignment="1">
      <alignment horizontal="center" vertical="center" wrapText="1"/>
    </xf>
    <xf numFmtId="0" fontId="0" fillId="67" borderId="44" xfId="0" applyFill="1" applyBorder="1" applyAlignment="1">
      <alignment horizontal="center" vertical="center" wrapText="1"/>
    </xf>
    <xf numFmtId="0" fontId="0" fillId="68" borderId="44" xfId="0" applyFill="1" applyBorder="1" applyAlignment="1">
      <alignment vertical="center" wrapText="1"/>
    </xf>
    <xf numFmtId="0" fontId="13" fillId="14" borderId="7" xfId="0" applyFont="1" applyFill="1" applyBorder="1" applyAlignment="1"/>
    <xf numFmtId="0" fontId="1" fillId="4" borderId="5" xfId="0" applyFont="1" applyFill="1" applyBorder="1" applyAlignment="1">
      <alignment horizontal="center" vertical="top"/>
    </xf>
    <xf numFmtId="0" fontId="1" fillId="4" borderId="5" xfId="0" applyFont="1" applyFill="1" applyBorder="1" applyAlignment="1">
      <alignment horizontal="left" vertical="top"/>
    </xf>
    <xf numFmtId="167" fontId="1" fillId="4" borderId="5" xfId="0" applyNumberFormat="1" applyFont="1" applyFill="1" applyBorder="1" applyAlignment="1">
      <alignment horizontal="left" vertical="top"/>
    </xf>
    <xf numFmtId="169" fontId="1" fillId="4" borderId="5" xfId="0" applyNumberFormat="1" applyFont="1" applyFill="1" applyBorder="1" applyAlignment="1">
      <alignment horizontal="left" vertical="top"/>
    </xf>
    <xf numFmtId="0" fontId="1" fillId="4" borderId="52" xfId="0" applyFont="1" applyFill="1" applyBorder="1" applyAlignment="1">
      <alignment horizontal="center" vertical="top"/>
    </xf>
    <xf numFmtId="0" fontId="1" fillId="70" borderId="2" xfId="0" applyFont="1" applyFill="1" applyBorder="1" applyAlignment="1">
      <alignment horizontal="center" vertical="center"/>
    </xf>
    <xf numFmtId="0" fontId="28" fillId="45" borderId="1" xfId="0" applyNumberFormat="1" applyFont="1" applyFill="1" applyBorder="1" applyAlignment="1">
      <alignment horizontal="center" vertical="top" wrapText="1"/>
    </xf>
    <xf numFmtId="0" fontId="39" fillId="4" borderId="5" xfId="0" applyFont="1" applyFill="1" applyBorder="1" applyAlignment="1">
      <alignment horizontal="center" vertical="top"/>
    </xf>
    <xf numFmtId="0" fontId="40" fillId="45" borderId="1" xfId="0" applyNumberFormat="1" applyFont="1" applyFill="1" applyBorder="1" applyAlignment="1">
      <alignment horizontal="center" vertical="top" wrapText="1"/>
    </xf>
    <xf numFmtId="0" fontId="41" fillId="45" borderId="1" xfId="0" applyNumberFormat="1" applyFont="1" applyFill="1" applyBorder="1" applyAlignment="1">
      <alignment horizontal="center" vertical="top" wrapText="1"/>
    </xf>
    <xf numFmtId="0" fontId="41" fillId="43" borderId="1" xfId="0" applyNumberFormat="1" applyFont="1" applyFill="1" applyBorder="1" applyAlignment="1">
      <alignment horizontal="center" vertical="top" wrapText="1"/>
    </xf>
    <xf numFmtId="167" fontId="1" fillId="4" borderId="5" xfId="0" applyNumberFormat="1" applyFont="1" applyFill="1" applyBorder="1" applyAlignment="1">
      <alignment horizontal="center" vertical="top"/>
    </xf>
    <xf numFmtId="169" fontId="1" fillId="4" borderId="5" xfId="0" applyNumberFormat="1" applyFont="1" applyFill="1" applyBorder="1" applyAlignment="1">
      <alignment horizontal="center" vertical="top"/>
    </xf>
    <xf numFmtId="0" fontId="1" fillId="4" borderId="78" xfId="0" applyFont="1" applyFill="1" applyBorder="1" applyAlignment="1">
      <alignment horizontal="center" vertical="top"/>
    </xf>
    <xf numFmtId="0" fontId="41" fillId="0" borderId="2" xfId="0" applyFont="1" applyFill="1" applyBorder="1" applyAlignment="1">
      <alignment horizontal="center"/>
    </xf>
    <xf numFmtId="0" fontId="0" fillId="0" borderId="33" xfId="0" applyFont="1" applyBorder="1"/>
    <xf numFmtId="1" fontId="0" fillId="9" borderId="51" xfId="0" applyNumberFormat="1" applyFont="1" applyFill="1" applyBorder="1"/>
    <xf numFmtId="0" fontId="0" fillId="0" borderId="31" xfId="0" applyFont="1" applyBorder="1"/>
    <xf numFmtId="166" fontId="0" fillId="9" borderId="44" xfId="0" applyNumberFormat="1" applyFont="1" applyFill="1" applyBorder="1"/>
    <xf numFmtId="0" fontId="0" fillId="0" borderId="29" xfId="0" applyFont="1" applyBorder="1"/>
    <xf numFmtId="167" fontId="0" fillId="9" borderId="44" xfId="0" applyNumberFormat="1" applyFont="1" applyFill="1" applyBorder="1"/>
    <xf numFmtId="0" fontId="0" fillId="0" borderId="30" xfId="0" applyFont="1" applyBorder="1"/>
    <xf numFmtId="167" fontId="0" fillId="9" borderId="6" xfId="0" applyNumberFormat="1" applyFont="1" applyFill="1" applyBorder="1"/>
    <xf numFmtId="0" fontId="0" fillId="0" borderId="32" xfId="0" applyFont="1" applyBorder="1"/>
    <xf numFmtId="0" fontId="0" fillId="4" borderId="39" xfId="0" applyFont="1" applyFill="1" applyBorder="1" applyAlignment="1">
      <alignment vertical="top" wrapText="1"/>
    </xf>
    <xf numFmtId="0" fontId="0" fillId="4" borderId="0" xfId="0" applyFont="1" applyFill="1" applyBorder="1" applyAlignment="1">
      <alignment horizontal="right"/>
    </xf>
    <xf numFmtId="0" fontId="0" fillId="4" borderId="28" xfId="0" applyFont="1" applyFill="1" applyBorder="1" applyAlignment="1">
      <alignment horizontal="center"/>
    </xf>
    <xf numFmtId="0" fontId="0" fillId="0" borderId="1" xfId="0" applyFont="1" applyBorder="1"/>
    <xf numFmtId="164" fontId="0" fillId="0" borderId="24" xfId="0" applyNumberFormat="1" applyFont="1" applyBorder="1" applyAlignment="1">
      <alignment horizontal="center" vertical="center"/>
    </xf>
    <xf numFmtId="164" fontId="0" fillId="15" borderId="24" xfId="0" applyNumberFormat="1" applyFont="1" applyFill="1" applyBorder="1" applyAlignment="1">
      <alignment horizontal="center" vertical="center"/>
    </xf>
    <xf numFmtId="0" fontId="0" fillId="0" borderId="6" xfId="0" applyFont="1" applyBorder="1"/>
    <xf numFmtId="164" fontId="0" fillId="15" borderId="6" xfId="0" applyNumberFormat="1" applyFont="1" applyFill="1" applyBorder="1" applyAlignment="1">
      <alignment horizontal="center" vertical="center"/>
    </xf>
    <xf numFmtId="0" fontId="0" fillId="0" borderId="6" xfId="0" applyFont="1" applyFill="1" applyBorder="1"/>
    <xf numFmtId="0" fontId="0" fillId="0" borderId="68" xfId="0" applyFont="1" applyFill="1" applyBorder="1"/>
    <xf numFmtId="164" fontId="0" fillId="0" borderId="15" xfId="0" applyNumberFormat="1" applyFont="1" applyFill="1" applyBorder="1"/>
    <xf numFmtId="164" fontId="0" fillId="0" borderId="15" xfId="0" applyNumberFormat="1" applyFont="1" applyFill="1" applyBorder="1" applyAlignment="1">
      <alignment horizontal="right"/>
    </xf>
    <xf numFmtId="10" fontId="0" fillId="0" borderId="15" xfId="0" applyNumberFormat="1" applyFont="1" applyFill="1" applyBorder="1"/>
    <xf numFmtId="0" fontId="0" fillId="0" borderId="0" xfId="0" applyFont="1" applyBorder="1"/>
    <xf numFmtId="0" fontId="0" fillId="4" borderId="40" xfId="0" applyFont="1" applyFill="1" applyBorder="1" applyAlignment="1">
      <alignment horizontal="right"/>
    </xf>
    <xf numFmtId="0" fontId="0" fillId="4" borderId="42" xfId="0" applyFont="1" applyFill="1" applyBorder="1"/>
    <xf numFmtId="0" fontId="0" fillId="4" borderId="24" xfId="0" applyFont="1" applyFill="1" applyBorder="1" applyAlignment="1">
      <alignment horizontal="center"/>
    </xf>
    <xf numFmtId="0" fontId="0" fillId="4" borderId="43" xfId="0" applyFont="1" applyFill="1" applyBorder="1" applyAlignment="1">
      <alignment horizontal="center"/>
    </xf>
    <xf numFmtId="0" fontId="0" fillId="0" borderId="31" xfId="0" applyFont="1" applyBorder="1" applyAlignment="1">
      <alignment horizontal="right"/>
    </xf>
    <xf numFmtId="164" fontId="0" fillId="0" borderId="6" xfId="0" applyNumberFormat="1" applyFont="1" applyFill="1" applyBorder="1" applyAlignment="1">
      <alignment horizontal="center"/>
    </xf>
    <xf numFmtId="164" fontId="0" fillId="0" borderId="29" xfId="0" applyNumberFormat="1" applyFont="1" applyFill="1" applyBorder="1" applyAlignment="1">
      <alignment horizontal="center"/>
    </xf>
    <xf numFmtId="0" fontId="0" fillId="0" borderId="30" xfId="0" applyFont="1" applyBorder="1" applyAlignment="1">
      <alignment horizontal="right"/>
    </xf>
    <xf numFmtId="164" fontId="0" fillId="0" borderId="28" xfId="0" applyNumberFormat="1" applyFont="1" applyFill="1" applyBorder="1" applyAlignment="1">
      <alignment horizontal="center"/>
    </xf>
    <xf numFmtId="164" fontId="0" fillId="0" borderId="32" xfId="0" applyNumberFormat="1" applyFont="1" applyFill="1" applyBorder="1" applyAlignment="1">
      <alignment horizontal="center"/>
    </xf>
    <xf numFmtId="0" fontId="0" fillId="0" borderId="0" xfId="0" applyFont="1" applyBorder="1" applyAlignment="1">
      <alignment horizontal="center"/>
    </xf>
    <xf numFmtId="0" fontId="0" fillId="4" borderId="6" xfId="0" applyFont="1" applyFill="1" applyBorder="1"/>
    <xf numFmtId="0" fontId="0" fillId="4" borderId="29" xfId="0" applyFont="1" applyFill="1" applyBorder="1"/>
    <xf numFmtId="0" fontId="0" fillId="0" borderId="28" xfId="0" applyFont="1" applyBorder="1" applyAlignment="1">
      <alignment horizontal="center"/>
    </xf>
    <xf numFmtId="0" fontId="0" fillId="0" borderId="32" xfId="0" applyFont="1" applyBorder="1" applyAlignment="1">
      <alignment horizontal="center"/>
    </xf>
    <xf numFmtId="0" fontId="0" fillId="4" borderId="9" xfId="0" applyFont="1" applyFill="1" applyBorder="1" applyAlignment="1">
      <alignment wrapText="1"/>
    </xf>
    <xf numFmtId="0" fontId="0" fillId="4" borderId="10" xfId="0" applyFont="1" applyFill="1" applyBorder="1" applyAlignment="1">
      <alignment wrapText="1"/>
    </xf>
    <xf numFmtId="0" fontId="0" fillId="4" borderId="11" xfId="0" applyFont="1" applyFill="1" applyBorder="1" applyAlignment="1">
      <alignment wrapText="1"/>
    </xf>
    <xf numFmtId="0" fontId="0" fillId="9" borderId="7" xfId="0" applyFont="1" applyFill="1" applyBorder="1" applyAlignment="1"/>
    <xf numFmtId="0" fontId="0" fillId="9" borderId="5" xfId="0" applyFont="1" applyFill="1" applyBorder="1" applyAlignment="1"/>
    <xf numFmtId="0" fontId="0" fillId="9" borderId="52" xfId="0" applyFont="1" applyFill="1" applyBorder="1" applyAlignment="1"/>
    <xf numFmtId="0" fontId="0" fillId="4" borderId="42" xfId="0" applyFont="1" applyFill="1" applyBorder="1" applyAlignment="1">
      <alignment horizontal="center"/>
    </xf>
    <xf numFmtId="1" fontId="0" fillId="0" borderId="6" xfId="0" applyNumberFormat="1" applyFont="1" applyBorder="1" applyAlignment="1">
      <alignment horizontal="center"/>
    </xf>
    <xf numFmtId="164" fontId="0" fillId="0" borderId="6" xfId="0" applyNumberFormat="1" applyFont="1" applyBorder="1" applyAlignment="1">
      <alignment horizontal="center"/>
    </xf>
    <xf numFmtId="164" fontId="0" fillId="0" borderId="29" xfId="0" applyNumberFormat="1" applyFont="1" applyBorder="1" applyAlignment="1">
      <alignment horizontal="center"/>
    </xf>
    <xf numFmtId="0" fontId="0" fillId="0" borderId="7" xfId="0" applyFont="1" applyBorder="1" applyAlignment="1">
      <alignment horizontal="right"/>
    </xf>
    <xf numFmtId="1" fontId="0" fillId="0" borderId="5" xfId="0" applyNumberFormat="1" applyFont="1" applyBorder="1" applyAlignment="1">
      <alignment horizontal="center"/>
    </xf>
    <xf numFmtId="164" fontId="0" fillId="0" borderId="5" xfId="0" applyNumberFormat="1" applyFont="1" applyBorder="1" applyAlignment="1">
      <alignment horizontal="right"/>
    </xf>
    <xf numFmtId="0" fontId="0" fillId="57" borderId="7" xfId="0" applyFont="1" applyFill="1" applyBorder="1" applyAlignment="1"/>
    <xf numFmtId="0" fontId="0" fillId="57" borderId="5" xfId="0" applyFont="1" applyFill="1" applyBorder="1" applyAlignment="1"/>
    <xf numFmtId="0" fontId="0" fillId="57" borderId="52" xfId="0" applyFont="1" applyFill="1" applyBorder="1" applyAlignment="1"/>
    <xf numFmtId="1" fontId="0" fillId="0" borderId="7" xfId="0" applyNumberFormat="1" applyFont="1" applyBorder="1" applyAlignment="1">
      <alignment horizontal="center"/>
    </xf>
    <xf numFmtId="0" fontId="0" fillId="58" borderId="7" xfId="0" applyFont="1" applyFill="1" applyBorder="1" applyAlignment="1"/>
    <xf numFmtId="0" fontId="0" fillId="58" borderId="5" xfId="0" applyFont="1" applyFill="1" applyBorder="1" applyAlignment="1"/>
    <xf numFmtId="0" fontId="0" fillId="58" borderId="52" xfId="0" applyFont="1" applyFill="1" applyBorder="1" applyAlignment="1"/>
    <xf numFmtId="0" fontId="0" fillId="0" borderId="45" xfId="0" applyFont="1" applyBorder="1"/>
    <xf numFmtId="10" fontId="0" fillId="0" borderId="57" xfId="0" applyNumberFormat="1" applyFont="1" applyBorder="1" applyAlignment="1">
      <alignment horizontal="center"/>
    </xf>
    <xf numFmtId="0" fontId="0" fillId="64" borderId="7" xfId="0" applyFont="1" applyFill="1" applyBorder="1" applyAlignment="1"/>
    <xf numFmtId="0" fontId="0" fillId="64" borderId="5" xfId="0" applyFont="1" applyFill="1" applyBorder="1" applyAlignment="1"/>
    <xf numFmtId="0" fontId="0" fillId="64" borderId="52" xfId="0" applyFont="1" applyFill="1" applyBorder="1" applyAlignment="1"/>
    <xf numFmtId="0" fontId="0" fillId="0" borderId="0" xfId="0" applyAlignment="1">
      <alignment horizontal="center"/>
    </xf>
    <xf numFmtId="0" fontId="38" fillId="68" borderId="44" xfId="0" applyFont="1" applyFill="1" applyBorder="1" applyAlignment="1">
      <alignment vertical="center" wrapText="1"/>
    </xf>
    <xf numFmtId="0" fontId="38" fillId="8" borderId="44" xfId="0" applyFont="1" applyFill="1" applyBorder="1" applyAlignment="1">
      <alignment vertical="top" wrapText="1"/>
    </xf>
    <xf numFmtId="0" fontId="38" fillId="0" borderId="6" xfId="0" applyFont="1" applyFill="1" applyBorder="1" applyAlignment="1">
      <alignment horizontal="center" vertical="top" wrapText="1"/>
    </xf>
    <xf numFmtId="0" fontId="38" fillId="10" borderId="44" xfId="0" applyFont="1" applyFill="1" applyBorder="1" applyAlignment="1">
      <alignment horizontal="center" vertical="center" wrapText="1"/>
    </xf>
    <xf numFmtId="0" fontId="38" fillId="10" borderId="6" xfId="0" applyFont="1" applyFill="1" applyBorder="1" applyAlignment="1">
      <alignment horizontal="center" vertical="top" wrapText="1"/>
    </xf>
    <xf numFmtId="0" fontId="38" fillId="66" borderId="44" xfId="0" applyFont="1" applyFill="1" applyBorder="1" applyAlignment="1">
      <alignment horizontal="center" vertical="center" wrapText="1"/>
    </xf>
    <xf numFmtId="0" fontId="38" fillId="12" borderId="6" xfId="0" applyFont="1" applyFill="1" applyBorder="1" applyAlignment="1">
      <alignment horizontal="center" vertical="top" wrapText="1"/>
    </xf>
    <xf numFmtId="0" fontId="38" fillId="67" borderId="44" xfId="0" applyFont="1" applyFill="1" applyBorder="1" applyAlignment="1">
      <alignment horizontal="center" vertical="center" wrapText="1"/>
    </xf>
    <xf numFmtId="165" fontId="0" fillId="0" borderId="0" xfId="0" applyNumberFormat="1"/>
    <xf numFmtId="10" fontId="0" fillId="0" borderId="0" xfId="45" applyNumberFormat="1" applyFont="1"/>
    <xf numFmtId="170" fontId="0" fillId="0" borderId="0" xfId="45" applyNumberFormat="1" applyFont="1"/>
    <xf numFmtId="0" fontId="0" fillId="9" borderId="0" xfId="0" applyFill="1"/>
    <xf numFmtId="165" fontId="1" fillId="43" borderId="48" xfId="0" applyNumberFormat="1" applyFont="1" applyFill="1" applyBorder="1" applyAlignment="1">
      <alignment horizontal="center" vertical="center"/>
    </xf>
    <xf numFmtId="164" fontId="1" fillId="0" borderId="0" xfId="0" applyNumberFormat="1" applyFont="1" applyFill="1" applyBorder="1" applyAlignment="1">
      <alignment horizontal="center" vertical="center"/>
    </xf>
    <xf numFmtId="0" fontId="37" fillId="0" borderId="0" xfId="0" applyFont="1" applyAlignment="1">
      <alignment horizontal="center"/>
    </xf>
    <xf numFmtId="0" fontId="37" fillId="0" borderId="0" xfId="0" applyFont="1"/>
    <xf numFmtId="0" fontId="0" fillId="0" borderId="0" xfId="0" applyAlignment="1">
      <alignment horizontal="center"/>
    </xf>
    <xf numFmtId="0" fontId="10" fillId="0" borderId="0" xfId="0" applyFont="1" applyBorder="1"/>
    <xf numFmtId="0" fontId="0" fillId="0" borderId="0" xfId="0" applyBorder="1" applyAlignment="1">
      <alignment wrapText="1"/>
    </xf>
    <xf numFmtId="0" fontId="13" fillId="9" borderId="6" xfId="0" applyFont="1" applyFill="1" applyBorder="1" applyAlignment="1">
      <alignment horizontal="center" textRotation="45" wrapText="1"/>
    </xf>
    <xf numFmtId="0" fontId="13" fillId="14" borderId="5" xfId="0" applyFont="1" applyFill="1" applyBorder="1" applyAlignment="1">
      <alignment horizontal="center" wrapText="1"/>
    </xf>
    <xf numFmtId="0" fontId="5" fillId="15" borderId="5" xfId="0" applyFont="1" applyFill="1" applyBorder="1" applyAlignment="1">
      <alignment horizontal="center" wrapText="1"/>
    </xf>
    <xf numFmtId="164" fontId="0" fillId="0" borderId="0" xfId="0" applyNumberFormat="1" applyFill="1" applyBorder="1"/>
    <xf numFmtId="170" fontId="0" fillId="0" borderId="0" xfId="45" applyNumberFormat="1" applyFont="1" applyFill="1" applyBorder="1" applyAlignment="1"/>
    <xf numFmtId="164" fontId="10" fillId="0" borderId="0" xfId="0" applyNumberFormat="1" applyFont="1" applyFill="1" applyBorder="1" applyAlignment="1">
      <alignment horizontal="center"/>
    </xf>
    <xf numFmtId="164" fontId="10" fillId="0" borderId="0" xfId="0" applyNumberFormat="1" applyFont="1" applyFill="1" applyBorder="1"/>
    <xf numFmtId="164" fontId="0" fillId="0" borderId="0" xfId="0" applyNumberFormat="1" applyFill="1"/>
    <xf numFmtId="165" fontId="0" fillId="0" borderId="0" xfId="0" applyNumberFormat="1" applyFill="1"/>
    <xf numFmtId="10" fontId="0" fillId="0" borderId="0" xfId="45" applyNumberFormat="1" applyFont="1" applyFill="1"/>
    <xf numFmtId="170" fontId="0" fillId="0" borderId="0" xfId="0" applyNumberFormat="1" applyFill="1"/>
    <xf numFmtId="9" fontId="0" fillId="0" borderId="0" xfId="45" applyFont="1" applyFill="1"/>
    <xf numFmtId="0" fontId="0" fillId="9" borderId="0" xfId="0" applyFill="1" applyBorder="1"/>
    <xf numFmtId="164" fontId="42" fillId="51" borderId="5" xfId="0" applyNumberFormat="1" applyFont="1" applyFill="1" applyBorder="1" applyAlignment="1">
      <alignment horizontal="center" vertical="center"/>
    </xf>
    <xf numFmtId="1" fontId="42" fillId="60" borderId="5" xfId="0" applyNumberFormat="1" applyFont="1" applyFill="1" applyBorder="1" applyAlignment="1">
      <alignment horizontal="center" vertical="center"/>
    </xf>
    <xf numFmtId="0" fontId="41" fillId="0" borderId="0" xfId="0" applyFont="1" applyAlignment="1"/>
    <xf numFmtId="0" fontId="41" fillId="0" borderId="0" xfId="0" applyFont="1" applyAlignment="1">
      <alignment horizontal="center"/>
    </xf>
    <xf numFmtId="0" fontId="41" fillId="0" borderId="0" xfId="0" applyFont="1"/>
    <xf numFmtId="0" fontId="40" fillId="0" borderId="0" xfId="0" applyFont="1" applyAlignment="1"/>
    <xf numFmtId="0" fontId="40" fillId="0" borderId="0" xfId="0" applyFont="1" applyAlignment="1">
      <alignment horizontal="center"/>
    </xf>
    <xf numFmtId="0" fontId="40" fillId="0" borderId="0" xfId="0" applyFont="1" applyAlignment="1">
      <alignment wrapText="1"/>
    </xf>
    <xf numFmtId="0" fontId="40" fillId="0" borderId="0" xfId="0" applyFont="1" applyAlignment="1">
      <alignment horizontal="left"/>
    </xf>
    <xf numFmtId="0" fontId="41" fillId="0" borderId="0" xfId="0" applyFont="1" applyFill="1" applyAlignment="1"/>
    <xf numFmtId="164" fontId="41" fillId="0" borderId="0" xfId="0" applyNumberFormat="1" applyFont="1" applyAlignment="1"/>
    <xf numFmtId="0" fontId="39" fillId="0" borderId="0" xfId="0" applyFont="1" applyAlignment="1"/>
    <xf numFmtId="164" fontId="39" fillId="0" borderId="0" xfId="0" applyNumberFormat="1" applyFont="1" applyAlignment="1"/>
    <xf numFmtId="0" fontId="41" fillId="0" borderId="0" xfId="0" applyFont="1" applyAlignment="1">
      <alignment wrapText="1"/>
    </xf>
    <xf numFmtId="0" fontId="41" fillId="0" borderId="0" xfId="0" applyFont="1" applyAlignment="1">
      <alignment horizontal="left"/>
    </xf>
    <xf numFmtId="164" fontId="41" fillId="48" borderId="26" xfId="0" applyNumberFormat="1" applyFont="1" applyFill="1" applyBorder="1" applyAlignment="1"/>
    <xf numFmtId="0" fontId="39" fillId="0" borderId="0" xfId="0" applyNumberFormat="1" applyFont="1" applyBorder="1" applyAlignment="1">
      <alignment horizontal="center"/>
    </xf>
    <xf numFmtId="0" fontId="41" fillId="0" borderId="0" xfId="0" applyNumberFormat="1" applyFont="1" applyBorder="1" applyAlignment="1">
      <alignment horizontal="center"/>
    </xf>
    <xf numFmtId="0" fontId="41" fillId="0" borderId="15" xfId="0" applyFont="1" applyBorder="1" applyAlignment="1"/>
    <xf numFmtId="0" fontId="41" fillId="0" borderId="15" xfId="0" applyFont="1" applyBorder="1" applyAlignment="1">
      <alignment horizontal="center"/>
    </xf>
    <xf numFmtId="0" fontId="41" fillId="0" borderId="15" xfId="0" applyFont="1" applyBorder="1" applyAlignment="1">
      <alignment wrapText="1"/>
    </xf>
    <xf numFmtId="0" fontId="41" fillId="0" borderId="15" xfId="0" applyFont="1" applyFill="1" applyBorder="1" applyAlignment="1"/>
    <xf numFmtId="164" fontId="40" fillId="45" borderId="15" xfId="0" applyNumberFormat="1" applyFont="1" applyFill="1" applyBorder="1" applyAlignment="1">
      <alignment horizontal="centerContinuous"/>
    </xf>
    <xf numFmtId="2" fontId="42" fillId="45" borderId="15" xfId="0" applyNumberFormat="1" applyFont="1" applyFill="1" applyBorder="1" applyAlignment="1">
      <alignment horizontal="centerContinuous"/>
    </xf>
    <xf numFmtId="164" fontId="42" fillId="45" borderId="15" xfId="0" applyNumberFormat="1" applyFont="1" applyFill="1" applyBorder="1" applyAlignment="1">
      <alignment horizontal="centerContinuous"/>
    </xf>
    <xf numFmtId="2" fontId="40" fillId="45" borderId="15" xfId="0" applyNumberFormat="1" applyFont="1" applyFill="1" applyBorder="1" applyAlignment="1">
      <alignment horizontal="centerContinuous"/>
    </xf>
    <xf numFmtId="0" fontId="40" fillId="43" borderId="15" xfId="0" applyFont="1" applyFill="1" applyBorder="1" applyAlignment="1"/>
    <xf numFmtId="0" fontId="41" fillId="0" borderId="10" xfId="0" applyNumberFormat="1" applyFont="1" applyBorder="1" applyAlignment="1">
      <alignment horizontal="center" vertical="top" wrapText="1"/>
    </xf>
    <xf numFmtId="0" fontId="41" fillId="0" borderId="11" xfId="0" applyNumberFormat="1" applyFont="1" applyBorder="1" applyAlignment="1">
      <alignment horizontal="center" vertical="top" wrapText="1"/>
    </xf>
    <xf numFmtId="0" fontId="41" fillId="0" borderId="0" xfId="0" applyNumberFormat="1" applyFont="1" applyAlignment="1">
      <alignment horizontal="center" vertical="top" wrapText="1"/>
    </xf>
    <xf numFmtId="0" fontId="28" fillId="4" borderId="78" xfId="0" applyFont="1" applyFill="1" applyBorder="1" applyAlignment="1">
      <alignment horizontal="left" vertical="top"/>
    </xf>
    <xf numFmtId="0" fontId="41" fillId="0" borderId="0" xfId="0" applyFont="1" applyFill="1" applyBorder="1"/>
    <xf numFmtId="0" fontId="41" fillId="0" borderId="0" xfId="0" applyFont="1" applyBorder="1" applyAlignment="1"/>
    <xf numFmtId="0" fontId="41" fillId="50" borderId="0" xfId="0" applyFont="1" applyFill="1" applyAlignment="1">
      <alignment horizontal="center"/>
    </xf>
    <xf numFmtId="0" fontId="41" fillId="50" borderId="0" xfId="0" applyFont="1" applyFill="1" applyAlignment="1">
      <alignment horizontal="left" vertical="top"/>
    </xf>
    <xf numFmtId="0" fontId="41" fillId="50" borderId="0" xfId="0" applyFont="1" applyFill="1" applyAlignment="1"/>
    <xf numFmtId="0" fontId="41" fillId="50" borderId="0" xfId="0" applyFont="1" applyFill="1" applyAlignment="1">
      <alignment wrapText="1"/>
    </xf>
    <xf numFmtId="0" fontId="39" fillId="50" borderId="0" xfId="0" applyFont="1" applyFill="1" applyAlignment="1"/>
    <xf numFmtId="0" fontId="1" fillId="50" borderId="0" xfId="0" applyFont="1" applyFill="1" applyAlignment="1"/>
    <xf numFmtId="0" fontId="1" fillId="4" borderId="0" xfId="0" applyFont="1" applyFill="1" applyBorder="1" applyAlignment="1">
      <alignment horizontal="center" vertical="top" wrapText="1"/>
    </xf>
    <xf numFmtId="164" fontId="40" fillId="51" borderId="5" xfId="0" applyNumberFormat="1" applyFont="1" applyFill="1" applyBorder="1" applyAlignment="1">
      <alignment horizontal="center" vertical="center"/>
    </xf>
    <xf numFmtId="1" fontId="40" fillId="60" borderId="5" xfId="0" applyNumberFormat="1" applyFont="1" applyFill="1" applyBorder="1" applyAlignment="1">
      <alignment horizontal="center" vertical="center"/>
    </xf>
    <xf numFmtId="165" fontId="39" fillId="0" borderId="0" xfId="0" applyNumberFormat="1" applyFont="1" applyAlignment="1"/>
    <xf numFmtId="0" fontId="24" fillId="0" borderId="0" xfId="0" applyFont="1"/>
    <xf numFmtId="0" fontId="0" fillId="0" borderId="0" xfId="0" applyAlignment="1">
      <alignment horizontal="center"/>
    </xf>
    <xf numFmtId="0" fontId="10" fillId="0" borderId="2" xfId="0" quotePrefix="1" applyFont="1" applyBorder="1" applyAlignment="1">
      <alignment horizontal="center" vertical="center"/>
    </xf>
    <xf numFmtId="0" fontId="41" fillId="0" borderId="0" xfId="0" applyFont="1" applyAlignment="1"/>
    <xf numFmtId="0" fontId="41" fillId="0" borderId="0" xfId="0" applyFont="1"/>
    <xf numFmtId="0" fontId="28" fillId="4" borderId="78" xfId="0" applyFont="1" applyFill="1" applyBorder="1" applyAlignment="1">
      <alignment horizontal="left" vertical="top"/>
    </xf>
    <xf numFmtId="0" fontId="1" fillId="4" borderId="5" xfId="0" applyFont="1" applyFill="1" applyBorder="1" applyAlignment="1">
      <alignment horizontal="center" vertical="top"/>
    </xf>
    <xf numFmtId="0" fontId="1" fillId="4" borderId="5" xfId="0" applyFont="1" applyFill="1" applyBorder="1" applyAlignment="1">
      <alignment horizontal="left" vertical="top"/>
    </xf>
    <xf numFmtId="0" fontId="1" fillId="4" borderId="52" xfId="0" applyFont="1" applyFill="1" applyBorder="1" applyAlignment="1">
      <alignment horizontal="center" vertical="top"/>
    </xf>
    <xf numFmtId="0" fontId="1" fillId="0" borderId="2" xfId="0" applyFont="1" applyBorder="1" applyAlignment="1">
      <alignment horizontal="center" vertical="center"/>
    </xf>
    <xf numFmtId="0" fontId="1" fillId="0" borderId="2" xfId="0" applyFont="1" applyBorder="1" applyAlignment="1">
      <alignment horizontal="left" vertical="center"/>
    </xf>
    <xf numFmtId="14" fontId="1" fillId="0" borderId="2" xfId="0" applyNumberFormat="1" applyFont="1" applyBorder="1" applyAlignment="1">
      <alignment horizontal="left" vertical="center"/>
    </xf>
    <xf numFmtId="14" fontId="1" fillId="0" borderId="2" xfId="0" applyNumberFormat="1" applyFont="1" applyBorder="1" applyAlignment="1">
      <alignment horizontal="center" vertical="center"/>
    </xf>
    <xf numFmtId="0" fontId="1" fillId="0" borderId="2" xfId="0" applyFont="1" applyBorder="1" applyAlignment="1">
      <alignment horizontal="left" vertical="center" wrapText="1"/>
    </xf>
    <xf numFmtId="0" fontId="1" fillId="49" borderId="2" xfId="0" applyFont="1" applyFill="1" applyBorder="1" applyAlignment="1">
      <alignment horizontal="center" vertical="center"/>
    </xf>
    <xf numFmtId="1" fontId="1" fillId="44" borderId="2" xfId="0" applyNumberFormat="1" applyFont="1" applyFill="1" applyBorder="1" applyAlignment="1">
      <alignment horizontal="center"/>
    </xf>
    <xf numFmtId="0" fontId="1" fillId="15" borderId="2" xfId="0" applyNumberFormat="1" applyFont="1" applyFill="1" applyBorder="1" applyAlignment="1">
      <alignment horizontal="left" vertical="center"/>
    </xf>
    <xf numFmtId="2" fontId="1" fillId="12" borderId="2" xfId="0" applyNumberFormat="1" applyFont="1" applyFill="1" applyBorder="1" applyAlignment="1">
      <alignment horizontal="center" vertical="center"/>
    </xf>
    <xf numFmtId="2" fontId="1" fillId="0" borderId="2" xfId="0" applyNumberFormat="1" applyFont="1" applyFill="1" applyBorder="1" applyAlignment="1">
      <alignment horizontal="center" vertical="center"/>
    </xf>
    <xf numFmtId="165" fontId="1" fillId="45" borderId="2" xfId="0" applyNumberFormat="1" applyFont="1" applyFill="1" applyBorder="1" applyAlignment="1">
      <alignment horizontal="center" vertical="center"/>
    </xf>
    <xf numFmtId="165" fontId="1" fillId="45" borderId="48" xfId="0" applyNumberFormat="1" applyFont="1" applyFill="1" applyBorder="1" applyAlignment="1">
      <alignment horizontal="center" vertical="center"/>
    </xf>
    <xf numFmtId="165" fontId="1" fillId="45" borderId="77" xfId="0" applyNumberFormat="1" applyFont="1" applyFill="1" applyBorder="1" applyAlignment="1">
      <alignment horizontal="center" vertical="center"/>
    </xf>
    <xf numFmtId="165" fontId="1" fillId="51" borderId="2" xfId="0" applyNumberFormat="1" applyFont="1" applyFill="1" applyBorder="1" applyAlignment="1">
      <alignment horizontal="center" vertical="center"/>
    </xf>
    <xf numFmtId="165" fontId="1" fillId="43" borderId="2" xfId="0" applyNumberFormat="1" applyFont="1" applyFill="1" applyBorder="1" applyAlignment="1">
      <alignment horizontal="center" vertical="center"/>
    </xf>
    <xf numFmtId="0" fontId="41" fillId="0" borderId="0" xfId="0" applyFont="1" applyBorder="1" applyAlignment="1"/>
    <xf numFmtId="1" fontId="28" fillId="44" borderId="2" xfId="0" applyNumberFormat="1" applyFont="1" applyFill="1" applyBorder="1" applyAlignment="1">
      <alignment horizontal="center"/>
    </xf>
    <xf numFmtId="0" fontId="28" fillId="15" borderId="2" xfId="0" applyNumberFormat="1" applyFont="1" applyFill="1" applyBorder="1" applyAlignment="1">
      <alignment horizontal="left" vertical="center"/>
    </xf>
    <xf numFmtId="167" fontId="1" fillId="15" borderId="2" xfId="0" applyNumberFormat="1" applyFont="1" applyFill="1" applyBorder="1" applyAlignment="1">
      <alignment horizontal="left" vertical="center"/>
    </xf>
    <xf numFmtId="169" fontId="1" fillId="15" borderId="2" xfId="0" applyNumberFormat="1" applyFont="1" applyFill="1" applyBorder="1" applyAlignment="1">
      <alignment horizontal="left" vertical="center"/>
    </xf>
    <xf numFmtId="2" fontId="28" fillId="12" borderId="2" xfId="0" applyNumberFormat="1" applyFont="1" applyFill="1" applyBorder="1" applyAlignment="1">
      <alignment horizontal="center" vertical="center"/>
    </xf>
    <xf numFmtId="2" fontId="28" fillId="0" borderId="2" xfId="0" applyNumberFormat="1" applyFont="1" applyFill="1" applyBorder="1" applyAlignment="1">
      <alignment horizontal="center" vertical="center"/>
    </xf>
    <xf numFmtId="165" fontId="28" fillId="45" borderId="2" xfId="0" applyNumberFormat="1" applyFont="1" applyFill="1" applyBorder="1" applyAlignment="1">
      <alignment horizontal="center" vertical="center"/>
    </xf>
    <xf numFmtId="164" fontId="28" fillId="45" borderId="2" xfId="0" applyNumberFormat="1" applyFont="1" applyFill="1" applyBorder="1" applyAlignment="1">
      <alignment horizontal="center" vertical="center"/>
    </xf>
    <xf numFmtId="165" fontId="28" fillId="51" borderId="2" xfId="0" applyNumberFormat="1" applyFont="1" applyFill="1" applyBorder="1" applyAlignment="1">
      <alignment horizontal="center" vertical="center"/>
    </xf>
    <xf numFmtId="165" fontId="28" fillId="43" borderId="2" xfId="0" applyNumberFormat="1" applyFont="1" applyFill="1" applyBorder="1" applyAlignment="1">
      <alignment horizontal="center" vertical="center"/>
    </xf>
    <xf numFmtId="167" fontId="1" fillId="4" borderId="5" xfId="0" applyNumberFormat="1" applyFont="1" applyFill="1" applyBorder="1" applyAlignment="1">
      <alignment horizontal="center" vertical="top"/>
    </xf>
    <xf numFmtId="169" fontId="1" fillId="4" borderId="5" xfId="0" applyNumberFormat="1" applyFont="1" applyFill="1" applyBorder="1" applyAlignment="1">
      <alignment horizontal="center" vertical="top"/>
    </xf>
    <xf numFmtId="0" fontId="1" fillId="4" borderId="78" xfId="0" applyFont="1" applyFill="1" applyBorder="1" applyAlignment="1">
      <alignment horizontal="center" vertical="top"/>
    </xf>
    <xf numFmtId="0" fontId="10" fillId="0" borderId="0" xfId="0" applyFont="1" applyAlignment="1">
      <alignment horizontal="left"/>
    </xf>
    <xf numFmtId="0" fontId="11" fillId="0" borderId="0" xfId="0" applyFont="1" applyAlignment="1">
      <alignment horizontal="left"/>
    </xf>
    <xf numFmtId="0" fontId="0" fillId="0" borderId="0" xfId="0" applyAlignment="1">
      <alignment horizontal="center"/>
    </xf>
    <xf numFmtId="49" fontId="0" fillId="0" borderId="0" xfId="0" applyNumberFormat="1" applyAlignment="1">
      <alignment textRotation="90" wrapText="1"/>
    </xf>
    <xf numFmtId="0" fontId="41" fillId="50" borderId="0" xfId="0" applyFont="1" applyFill="1" applyAlignment="1">
      <alignment horizontal="center"/>
    </xf>
    <xf numFmtId="0" fontId="41" fillId="0" borderId="12" xfId="0" applyNumberFormat="1" applyFont="1" applyBorder="1" applyAlignment="1">
      <alignment horizontal="center"/>
    </xf>
    <xf numFmtId="0" fontId="41" fillId="0" borderId="0" xfId="0" applyNumberFormat="1" applyFont="1" applyAlignment="1">
      <alignment horizontal="center"/>
    </xf>
    <xf numFmtId="0" fontId="1" fillId="52" borderId="15" xfId="43" applyFont="1" applyFill="1" applyBorder="1" applyAlignment="1">
      <alignment horizontal="center"/>
    </xf>
    <xf numFmtId="0" fontId="1" fillId="52" borderId="15" xfId="43" applyFont="1" applyFill="1" applyBorder="1" applyAlignment="1">
      <alignment horizontal="center" vertical="center"/>
    </xf>
    <xf numFmtId="0" fontId="1" fillId="52" borderId="0" xfId="43" applyFont="1" applyFill="1" applyBorder="1" applyAlignment="1">
      <alignment horizontal="center" vertical="center"/>
    </xf>
    <xf numFmtId="0" fontId="0" fillId="0" borderId="0" xfId="0" applyAlignment="1">
      <alignment horizontal="center"/>
    </xf>
    <xf numFmtId="0" fontId="0" fillId="0" borderId="56" xfId="0" applyFont="1" applyBorder="1" applyAlignment="1">
      <alignment horizontal="right"/>
    </xf>
    <xf numFmtId="0" fontId="0" fillId="0" borderId="69" xfId="0" applyBorder="1" applyAlignment="1">
      <alignment horizontal="center"/>
    </xf>
    <xf numFmtId="0" fontId="0" fillId="0" borderId="72" xfId="0" applyBorder="1" applyAlignment="1">
      <alignment horizontal="center"/>
    </xf>
    <xf numFmtId="0" fontId="0" fillId="0" borderId="59" xfId="0" applyBorder="1" applyAlignment="1">
      <alignment horizontal="center"/>
    </xf>
    <xf numFmtId="0" fontId="30" fillId="50" borderId="0" xfId="0" applyFont="1" applyFill="1" applyAlignment="1">
      <alignment horizontal="center" vertical="top" textRotation="90" wrapText="1"/>
    </xf>
    <xf numFmtId="0" fontId="10" fillId="0" borderId="15" xfId="0" applyFont="1" applyBorder="1" applyAlignment="1">
      <alignment horizontal="center"/>
    </xf>
    <xf numFmtId="0" fontId="10" fillId="0" borderId="58" xfId="0" applyFont="1" applyBorder="1" applyAlignment="1">
      <alignment horizontal="center"/>
    </xf>
    <xf numFmtId="0" fontId="10" fillId="0" borderId="59" xfId="0" applyFont="1" applyBorder="1" applyAlignment="1">
      <alignment horizontal="center"/>
    </xf>
    <xf numFmtId="0" fontId="10" fillId="0" borderId="46" xfId="0" applyFont="1" applyBorder="1" applyAlignment="1">
      <alignment horizontal="center"/>
    </xf>
    <xf numFmtId="0" fontId="10" fillId="0" borderId="63" xfId="0" applyFont="1" applyBorder="1" applyAlignment="1">
      <alignment horizontal="center"/>
    </xf>
    <xf numFmtId="0" fontId="0" fillId="4" borderId="41" xfId="0" applyFont="1" applyFill="1" applyBorder="1" applyAlignment="1">
      <alignment horizontal="center" vertical="top" wrapText="1"/>
    </xf>
    <xf numFmtId="0" fontId="0" fillId="4" borderId="67" xfId="0" applyFont="1" applyFill="1" applyBorder="1" applyAlignment="1">
      <alignment horizontal="center" vertical="top" wrapText="1"/>
    </xf>
    <xf numFmtId="0" fontId="0" fillId="4" borderId="41" xfId="0" applyFill="1" applyBorder="1" applyAlignment="1">
      <alignment horizontal="center" vertical="top" wrapText="1"/>
    </xf>
    <xf numFmtId="0" fontId="0" fillId="4" borderId="64" xfId="0" applyFill="1" applyBorder="1" applyAlignment="1">
      <alignment horizontal="center" vertical="top" wrapText="1"/>
    </xf>
    <xf numFmtId="0" fontId="0" fillId="4" borderId="39" xfId="0" applyFont="1" applyFill="1" applyBorder="1" applyAlignment="1">
      <alignment horizontal="center"/>
    </xf>
    <xf numFmtId="0" fontId="0" fillId="4" borderId="38" xfId="0" applyFont="1" applyFill="1" applyBorder="1" applyAlignment="1">
      <alignment horizontal="center"/>
    </xf>
    <xf numFmtId="0" fontId="0" fillId="4" borderId="33"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34" xfId="0" applyFont="1" applyFill="1" applyBorder="1" applyAlignment="1">
      <alignment horizontal="center" vertical="center" wrapText="1"/>
    </xf>
    <xf numFmtId="0" fontId="0" fillId="4" borderId="31"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0" borderId="30" xfId="0" applyFont="1" applyBorder="1" applyAlignment="1">
      <alignment horizontal="center" vertical="center" wrapText="1"/>
    </xf>
    <xf numFmtId="0" fontId="0" fillId="0" borderId="28" xfId="0" applyFont="1" applyBorder="1" applyAlignment="1">
      <alignment horizontal="center" vertical="center" wrapText="1"/>
    </xf>
    <xf numFmtId="0" fontId="10" fillId="0" borderId="9" xfId="0" applyFont="1" applyBorder="1" applyAlignment="1">
      <alignment horizontal="center"/>
    </xf>
    <xf numFmtId="0" fontId="10" fillId="0" borderId="11" xfId="0" applyFont="1" applyBorder="1" applyAlignment="1">
      <alignment horizontal="center"/>
    </xf>
    <xf numFmtId="0" fontId="14" fillId="4" borderId="36" xfId="0" applyFont="1" applyFill="1" applyBorder="1" applyAlignment="1">
      <alignment horizontal="center" vertical="center" wrapText="1"/>
    </xf>
    <xf numFmtId="0" fontId="14" fillId="4" borderId="37" xfId="0" applyFont="1" applyFill="1" applyBorder="1" applyAlignment="1">
      <alignment horizontal="center" vertical="center" wrapText="1"/>
    </xf>
    <xf numFmtId="0" fontId="14" fillId="4" borderId="64" xfId="0" applyFont="1" applyFill="1" applyBorder="1" applyAlignment="1">
      <alignment horizontal="center" vertical="center" wrapText="1"/>
    </xf>
    <xf numFmtId="0" fontId="0" fillId="59" borderId="0" xfId="0" applyFill="1" applyAlignment="1">
      <alignment horizontal="center" vertical="center" textRotation="90" wrapText="1"/>
    </xf>
    <xf numFmtId="0" fontId="11" fillId="59" borderId="0" xfId="0" applyFont="1" applyFill="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0" xfId="0" applyAlignment="1">
      <alignment horizontal="center" textRotation="90"/>
    </xf>
    <xf numFmtId="0" fontId="0" fillId="56" borderId="0" xfId="0" applyFill="1" applyAlignment="1">
      <alignment horizontal="center" vertical="center"/>
    </xf>
    <xf numFmtId="0" fontId="0" fillId="4" borderId="0" xfId="0" applyFill="1" applyAlignment="1">
      <alignment horizontal="center"/>
    </xf>
  </cellXfs>
  <cellStyles count="51">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5" builtinId="27" customBuiltin="1"/>
    <cellStyle name="Calculation" xfId="3" builtinId="22" customBuiltin="1"/>
    <cellStyle name="Check Cell" xfId="14" builtinId="23" customBuiltin="1"/>
    <cellStyle name="Comma 2" xfId="49"/>
    <cellStyle name="Explanatory Text" xfId="17" builtinId="53" customBuiltin="1"/>
    <cellStyle name="Good" xfId="4" builtinId="26" customBuiltin="1"/>
    <cellStyle name="Heading 1" xfId="9" builtinId="16" customBuiltin="1"/>
    <cellStyle name="Heading 2" xfId="10" builtinId="17" customBuiltin="1"/>
    <cellStyle name="Heading 3" xfId="11" builtinId="18" customBuiltin="1"/>
    <cellStyle name="Heading 4" xfId="12" builtinId="19" customBuiltin="1"/>
    <cellStyle name="Hyperlink" xfId="7" builtinId="8" hidden="1"/>
    <cellStyle name="Hyperlink" xfId="48" builtinId="8"/>
    <cellStyle name="Input" xfId="1" builtinId="20" customBuiltin="1"/>
    <cellStyle name="Linked Cell" xfId="13" builtinId="24" customBuiltin="1"/>
    <cellStyle name="Neutral" xfId="6" builtinId="28" customBuiltin="1"/>
    <cellStyle name="Normal" xfId="0" builtinId="0"/>
    <cellStyle name="Normal 2" xfId="43"/>
    <cellStyle name="Normal 3" xfId="46"/>
    <cellStyle name="Normal 4" xfId="50"/>
    <cellStyle name="Note" xfId="16" builtinId="10" customBuiltin="1"/>
    <cellStyle name="Output" xfId="2" builtinId="21" customBuiltin="1"/>
    <cellStyle name="Percent" xfId="45" builtinId="5"/>
    <cellStyle name="Percent 2" xfId="44"/>
    <cellStyle name="Title" xfId="8" builtinId="15" customBuiltin="1"/>
    <cellStyle name="Title 2" xfId="47"/>
    <cellStyle name="Total" xfId="18" builtinId="25" customBuiltin="1"/>
    <cellStyle name="Warning Text" xfId="15" builtinId="11" customBuiltin="1"/>
  </cellStyles>
  <dxfs count="0"/>
  <tableStyles count="0" defaultTableStyle="TableStyleMedium9" defaultPivotStyle="PivotStyleLight16"/>
  <colors>
    <mruColors>
      <color rgb="FFF11A09"/>
      <color rgb="FF0996FF"/>
      <color rgb="FFCCC0DA"/>
      <color rgb="FFC4BD97"/>
      <color rgb="FFE6B8B7"/>
      <color rgb="FF3AC441"/>
      <color rgb="FFF39307"/>
      <color rgb="FF027418"/>
      <color rgb="FF04CC2A"/>
      <color rgb="FF3BE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Plus-</a:t>
            </a:r>
            <a:r>
              <a:rPr lang="en-US" sz="2400" baseline="0"/>
              <a:t> </a:t>
            </a:r>
            <a:r>
              <a:rPr lang="en-US" sz="2400"/>
              <a:t>[AC Wh/mi]</a:t>
            </a:r>
          </a:p>
        </c:rich>
      </c:tx>
      <c:layout>
        <c:manualLayout>
          <c:xMode val="edge"/>
          <c:yMode val="edge"/>
          <c:x val="0.34597659346833848"/>
          <c:y val="1.9912385503783353E-2"/>
        </c:manualLayout>
      </c:layout>
      <c:overlay val="0"/>
    </c:title>
    <c:autoTitleDeleted val="0"/>
    <c:plotArea>
      <c:layout/>
      <c:barChart>
        <c:barDir val="col"/>
        <c:grouping val="clustered"/>
        <c:varyColors val="0"/>
        <c:ser>
          <c:idx val="3"/>
          <c:order val="0"/>
          <c:tx>
            <c:strRef>
              <c:f>'J1634 Calcs'!$AD$6</c:f>
              <c:strCache>
                <c:ptCount val="1"/>
                <c:pt idx="0">
                  <c:v>-18C Ambient with 22C Cabin</c:v>
                </c:pt>
              </c:strCache>
            </c:strRef>
          </c:tx>
          <c:spPr>
            <a:solidFill>
              <a:schemeClr val="accent4"/>
            </a:solidFill>
          </c:spPr>
          <c:invertIfNegative val="0"/>
          <c:dLbls>
            <c:dLbl>
              <c:idx val="0"/>
              <c:layout>
                <c:manualLayout>
                  <c:x val="1.4887582923543822E-3"/>
                  <c:y val="7.9889789833237929E-3"/>
                </c:manualLayout>
              </c:layout>
              <c:tx>
                <c:rich>
                  <a:bodyPr/>
                  <a:lstStyle/>
                  <a:p>
                    <a:fld id="{B0945F62-8997-4AC0-A2D7-322D125A555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{B0945F62-8997-4AC0-A2D7-322D125A555E}</c15:txfldGUID>
                      <c15:f>'J1634 Calcs'!$AD$18</c15:f>
                      <c15:dlblFieldTableCache>
                        <c:ptCount val="1"/>
                        <c:pt idx="0">
                          <c:v>223%</c:v>
                        </c:pt>
                      </c15:dlblFieldTableCache>
                    </c15:dlblFTEntry>
                  </c15:dlblFieldTable>
                  <c15:showDataLabelsRange val="0"/>
                </c:ext>
                <c:ext xmlns:c16="http://schemas.microsoft.com/office/drawing/2014/chart" uri="{C3380CC4-5D6E-409C-BE32-E72D297353CC}">
                  <c16:uniqueId val="{00000000-9190-469D-8158-42D0C98D9DC0}"/>
                </c:ext>
              </c:extLst>
            </c:dLbl>
            <c:dLbl>
              <c:idx val="1"/>
              <c:tx>
                <c:rich>
                  <a:bodyPr/>
                  <a:lstStyle/>
                  <a:p>
                    <a:fld id="{14E10095-01E0-40E2-BF85-F19478A01C2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{14E10095-01E0-40E2-BF85-F19478A01C28}</c15:txfldGUID>
                      <c15:f>'J1634 Calcs'!$AD$19</c15:f>
                      <c15:dlblFieldTableCache>
                        <c:ptCount val="1"/>
                        <c:pt idx="0">
                          <c:v>104%</c:v>
                        </c:pt>
                      </c15:dlblFieldTableCache>
                    </c15:dlblFTEntry>
                  </c15:dlblFieldTable>
                  <c15:showDataLabelsRange val="0"/>
                </c:ext>
                <c:ext xmlns:c16="http://schemas.microsoft.com/office/drawing/2014/chart" uri="{C3380CC4-5D6E-409C-BE32-E72D297353CC}">
                  <c16:uniqueId val="{00000001-9190-469D-8158-42D0C98D9DC0}"/>
                </c:ext>
              </c:extLst>
            </c:dLbl>
            <c:dLbl>
              <c:idx val="2"/>
              <c:tx>
                <c:rich>
                  <a:bodyPr/>
                  <a:lstStyle/>
                  <a:p>
                    <a:fld id="{3784444F-7979-445F-B3D6-AEBFD582BD9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{3784444F-7979-445F-B3D6-AEBFD582BD98}</c15:txfldGUID>
                      <c15:f>'J1634 Calcs'!$AD$20</c15:f>
                      <c15:dlblFieldTableCache>
                        <c:ptCount val="1"/>
                        <c:pt idx="0">
                          <c:v>87%</c:v>
                        </c:pt>
                      </c15:dlblFieldTableCache>
                    </c15:dlblFTEntry>
                  </c15:dlblFieldTable>
                  <c15:showDataLabelsRange val="0"/>
                </c:ext>
                <c:ext xmlns:c16="http://schemas.microsoft.com/office/drawing/2014/chart" uri="{C3380CC4-5D6E-409C-BE32-E72D297353CC}">
                  <c16:uniqueId val="{00000002-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Calcs'!$AD$13:$AD$15</c:f>
              <c:numCache>
                <c:formatCode>0</c:formatCode>
                <c:ptCount val="3"/>
                <c:pt idx="0">
                  <c:v>681.63838847964848</c:v>
                </c:pt>
                <c:pt idx="1">
                  <c:v>518.04744251025829</c:v>
                </c:pt>
                <c:pt idx="2">
                  <c:v>647.79113421983163</c:v>
                </c:pt>
              </c:numCache>
            </c:numRef>
          </c:val>
          <c:extLst>
            <c:ext xmlns:c16="http://schemas.microsoft.com/office/drawing/2014/chart" uri="{C3380CC4-5D6E-409C-BE32-E72D297353CC}">
              <c16:uniqueId val="{00000003-9190-469D-8158-42D0C98D9DC0}"/>
            </c:ext>
          </c:extLst>
        </c:ser>
        <c:ser>
          <c:idx val="4"/>
          <c:order val="1"/>
          <c:tx>
            <c:strRef>
              <c:f>'J1634 Calcs'!$AE$6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dLbl>
              <c:idx val="0"/>
              <c:layout>
                <c:manualLayout>
                  <c:x val="2.9775165847087644E-3"/>
                  <c:y val="2.662992994441264E-3"/>
                </c:manualLayout>
              </c:layout>
              <c:tx>
                <c:rich>
                  <a:bodyPr/>
                  <a:lstStyle/>
                  <a:p>
                    <a:fld id="{CF963985-D3E1-4705-A63C-6308912A1BA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{CF963985-D3E1-4705-A63C-6308912A1BA1}</c15:txfldGUID>
                      <c15:f>'J1634 Calcs'!$AE$18</c15:f>
                      <c15:dlblFieldTableCache>
                        <c:ptCount val="1"/>
                        <c:pt idx="0">
                          <c:v>103%</c:v>
                        </c:pt>
                      </c15:dlblFieldTableCache>
                    </c15:dlblFTEntry>
                  </c15:dlblFieldTable>
                  <c15:showDataLabelsRange val="0"/>
                </c:ext>
                <c:ext xmlns:c16="http://schemas.microsoft.com/office/drawing/2014/chart" uri="{C3380CC4-5D6E-409C-BE32-E72D297353CC}">
                  <c16:uniqueId val="{00000004-9190-469D-8158-42D0C98D9DC0}"/>
                </c:ext>
              </c:extLst>
            </c:dLbl>
            <c:dLbl>
              <c:idx val="1"/>
              <c:layout>
                <c:manualLayout>
                  <c:x val="2.9775165847086551E-3"/>
                  <c:y val="2.6629929944412154E-3"/>
                </c:manualLayout>
              </c:layout>
              <c:tx>
                <c:rich>
                  <a:bodyPr/>
                  <a:lstStyle/>
                  <a:p>
                    <a:fld id="{E0F95126-373F-4982-8A26-A1187FDA1A7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{E0F95126-373F-4982-8A26-A1187FDA1A7E}</c15:txfldGUID>
                      <c15:f>'J1634 Calcs'!$AE$19</c15:f>
                      <c15:dlblFieldTableCache>
                        <c:ptCount val="1"/>
                        <c:pt idx="0">
                          <c:v>42%</c:v>
                        </c:pt>
                      </c15:dlblFieldTableCache>
                    </c15:dlblFTEntry>
                  </c15:dlblFieldTable>
                  <c15:showDataLabelsRange val="0"/>
                </c:ext>
                <c:ext xmlns:c16="http://schemas.microsoft.com/office/drawing/2014/chart" uri="{C3380CC4-5D6E-409C-BE32-E72D297353CC}">
                  <c16:uniqueId val="{00000005-9190-469D-8158-42D0C98D9DC0}"/>
                </c:ext>
              </c:extLst>
            </c:dLbl>
            <c:dLbl>
              <c:idx val="2"/>
              <c:layout>
                <c:manualLayout>
                  <c:x val="1.4887582923543822E-3"/>
                  <c:y val="2.662992994441264E-3"/>
                </c:manualLayout>
              </c:layout>
              <c:tx>
                <c:rich>
                  <a:bodyPr/>
                  <a:lstStyle/>
                  <a:p>
                    <a:fld id="{E540FF63-EEA2-452B-AF6B-2E02EC30DA3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{E540FF63-EEA2-452B-AF6B-2E02EC30DA3D}</c15:txfldGUID>
                      <c15:f>'J1634 Calcs'!$AE$20</c15:f>
                      <c15:dlblFieldTableCache>
                        <c:ptCount val="1"/>
                        <c:pt idx="0">
                          <c:v>28%</c:v>
                        </c:pt>
                      </c15:dlblFieldTableCache>
                    </c15:dlblFTEntry>
                  </c15:dlblFieldTable>
                  <c15:showDataLabelsRange val="0"/>
                </c:ext>
                <c:ext xmlns:c16="http://schemas.microsoft.com/office/drawing/2014/chart" uri="{C3380CC4-5D6E-409C-BE32-E72D297353CC}">
                  <c16:uniqueId val="{00000006-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Calcs'!$AE$13:$AE$15</c:f>
              <c:numCache>
                <c:formatCode>0</c:formatCode>
                <c:ptCount val="3"/>
                <c:pt idx="0">
                  <c:v>428.12528840674207</c:v>
                </c:pt>
                <c:pt idx="1">
                  <c:v>360.39112052801261</c:v>
                </c:pt>
                <c:pt idx="2">
                  <c:v>445.97462496259811</c:v>
                </c:pt>
              </c:numCache>
            </c:numRef>
          </c:val>
          <c:extLst>
            <c:ext xmlns:c16="http://schemas.microsoft.com/office/drawing/2014/chart" uri="{C3380CC4-5D6E-409C-BE32-E72D297353CC}">
              <c16:uniqueId val="{00000007-9190-469D-8158-42D0C98D9DC0}"/>
            </c:ext>
          </c:extLst>
        </c:ser>
        <c:ser>
          <c:idx val="6"/>
          <c:order val="2"/>
          <c:tx>
            <c:strRef>
              <c:f>'J1634 Calcs'!$AF$6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5E7F7213-2C7E-496E-A759-A0B373A7986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{5E7F7213-2C7E-496E-A759-A0B373A79861}</c15:txfldGUID>
                      <c15:f>'J1634 Calcs'!$AF$18</c15:f>
                      <c15:dlblFieldTableCache>
                        <c:ptCount val="1"/>
                        <c:pt idx="0">
                          <c:v>88%</c:v>
                        </c:pt>
                      </c15:dlblFieldTableCache>
                    </c15:dlblFTEntry>
                  </c15:dlblFieldTable>
                  <c15:showDataLabelsRange val="0"/>
                </c:ext>
                <c:ext xmlns:c16="http://schemas.microsoft.com/office/drawing/2014/chart" uri="{C3380CC4-5D6E-409C-BE32-E72D297353CC}">
                  <c16:uniqueId val="{00000008-9190-469D-8158-42D0C98D9DC0}"/>
                </c:ext>
              </c:extLst>
            </c:dLbl>
            <c:dLbl>
              <c:idx val="1"/>
              <c:layout>
                <c:manualLayout>
                  <c:x val="4.4662748770631462E-3"/>
                  <c:y val="-4.8820974247362615E-17"/>
                </c:manualLayout>
              </c:layout>
              <c:tx>
                <c:rich>
                  <a:bodyPr/>
                  <a:lstStyle/>
                  <a:p>
                    <a:fld id="{1994E76F-5E3D-403A-8AC8-3AFEFA9C706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{1994E76F-5E3D-403A-8AC8-3AFEFA9C7061}</c15:txfldGUID>
                      <c15:f>'J1634 Calcs'!$AF$19</c15:f>
                      <c15:dlblFieldTableCache>
                        <c:ptCount val="1"/>
                        <c:pt idx="0">
                          <c:v>34%</c:v>
                        </c:pt>
                      </c15:dlblFieldTableCache>
                    </c15:dlblFTEntry>
                  </c15:dlblFieldTable>
                  <c15:showDataLabelsRange val="0"/>
                </c:ext>
                <c:ext xmlns:c16="http://schemas.microsoft.com/office/drawing/2014/chart" uri="{C3380CC4-5D6E-409C-BE32-E72D297353CC}">
                  <c16:uniqueId val="{00000009-9190-469D-8158-42D0C98D9DC0}"/>
                </c:ext>
              </c:extLst>
            </c:dLbl>
            <c:dLbl>
              <c:idx val="2"/>
              <c:layout>
                <c:manualLayout>
                  <c:x val="2.9775165847087644E-3"/>
                  <c:y val="2.6629929944412154E-3"/>
                </c:manualLayout>
              </c:layout>
              <c:tx>
                <c:rich>
                  <a:bodyPr/>
                  <a:lstStyle/>
                  <a:p>
                    <a:fld id="{07A6E231-2A68-439E-AAC8-52ED36449D4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{07A6E231-2A68-439E-AAC8-52ED36449D45}</c15:txfldGUID>
                      <c15:f>'J1634 Calcs'!$AF$20</c15:f>
                      <c15:dlblFieldTableCache>
                        <c:ptCount val="1"/>
                        <c:pt idx="0">
                          <c:v>25%</c:v>
                        </c:pt>
                      </c15:dlblFieldTableCache>
                    </c15:dlblFTEntry>
                  </c15:dlblFieldTable>
                  <c15:showDataLabelsRange val="0"/>
                </c:ext>
                <c:ext xmlns:c16="http://schemas.microsoft.com/office/drawing/2014/chart" uri="{C3380CC4-5D6E-409C-BE32-E72D297353CC}">
                  <c16:uniqueId val="{0000000A-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Calcs'!$AF$13:$AF$15</c:f>
              <c:numCache>
                <c:formatCode>0</c:formatCode>
                <c:ptCount val="3"/>
                <c:pt idx="0">
                  <c:v>397.3951693217457</c:v>
                </c:pt>
                <c:pt idx="1">
                  <c:v>340.94564306964344</c:v>
                </c:pt>
                <c:pt idx="2">
                  <c:v>433.40526316707746</c:v>
                </c:pt>
              </c:numCache>
            </c:numRef>
          </c:val>
          <c:extLst>
            <c:ext xmlns:c16="http://schemas.microsoft.com/office/drawing/2014/chart" uri="{C3380CC4-5D6E-409C-BE32-E72D297353CC}">
              <c16:uniqueId val="{0000000B-9190-469D-8158-42D0C98D9DC0}"/>
            </c:ext>
          </c:extLst>
        </c:ser>
        <c:ser>
          <c:idx val="0"/>
          <c:order val="3"/>
          <c:tx>
            <c:strRef>
              <c:f>'J1634 Calcs'!$AG$6</c:f>
              <c:strCache>
                <c:ptCount val="1"/>
                <c:pt idx="0">
                  <c:v>22C Ambient with Climate off</c:v>
                </c:pt>
              </c:strCache>
            </c:strRef>
          </c:tx>
          <c:spPr>
            <a:solidFill>
              <a:schemeClr val="accent3"/>
            </a:solidFill>
          </c:spPr>
          <c:invertIfNegative val="0"/>
          <c:cat>
            <c:strRef>
              <c:f>'J1634 Calcs'!$AC$13:$AC$15</c:f>
              <c:strCache>
                <c:ptCount val="3"/>
                <c:pt idx="0">
                  <c:v>UDDS</c:v>
                </c:pt>
                <c:pt idx="1">
                  <c:v>HWY</c:v>
                </c:pt>
                <c:pt idx="2">
                  <c:v>US06</c:v>
                </c:pt>
              </c:strCache>
            </c:strRef>
          </c:cat>
          <c:val>
            <c:numRef>
              <c:f>'J1634 Calcs'!$AG$13:$AG$15</c:f>
              <c:numCache>
                <c:formatCode>0</c:formatCode>
                <c:ptCount val="3"/>
                <c:pt idx="0">
                  <c:v>211.31564960585933</c:v>
                </c:pt>
                <c:pt idx="1">
                  <c:v>254.22899515125798</c:v>
                </c:pt>
                <c:pt idx="2">
                  <c:v>347.15814678052328</c:v>
                </c:pt>
              </c:numCache>
            </c:numRef>
          </c:val>
          <c:extLst>
            <c:ext xmlns:c16="http://schemas.microsoft.com/office/drawing/2014/chart" uri="{C3380CC4-5D6E-409C-BE32-E72D297353CC}">
              <c16:uniqueId val="{0000000C-9190-469D-8158-42D0C98D9DC0}"/>
            </c:ext>
          </c:extLst>
        </c:ser>
        <c:ser>
          <c:idx val="1"/>
          <c:order val="4"/>
          <c:tx>
            <c:strRef>
              <c:f>'J1634 Calcs'!$AH$6</c:f>
              <c:strCache>
                <c:ptCount val="1"/>
                <c:pt idx="0">
                  <c:v>35C Ambient with 22C Cabin</c:v>
                </c:pt>
              </c:strCache>
            </c:strRef>
          </c:tx>
          <c:spPr>
            <a:solidFill>
              <a:schemeClr val="accent2"/>
            </a:solidFill>
          </c:spPr>
          <c:invertIfNegative val="0"/>
          <c:dLbls>
            <c:dLbl>
              <c:idx val="0"/>
              <c:layout>
                <c:manualLayout>
                  <c:x val="-6.0044151362795388E-3"/>
                  <c:y val="-2.6365959097054688E-3"/>
                </c:manualLayout>
              </c:layout>
              <c:tx>
                <c:rich>
                  <a:bodyPr/>
                  <a:lstStyle/>
                  <a:p>
                    <a:fld id="{F78FDACD-EBF6-42C8-8A5C-DABB4D21E63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{F78FDACD-EBF6-42C8-8A5C-DABB4D21E633}</c15:txfldGUID>
                      <c15:f>'J1634 Calcs'!$AH$18</c15:f>
                      <c15:dlblFieldTableCache>
                        <c:ptCount val="1"/>
                        <c:pt idx="0">
                          <c:v>33%</c:v>
                        </c:pt>
                      </c15:dlblFieldTableCache>
                    </c15:dlblFTEntry>
                  </c15:dlblFieldTable>
                  <c15:showDataLabelsRange val="0"/>
                </c:ext>
                <c:ext xmlns:c16="http://schemas.microsoft.com/office/drawing/2014/chart" uri="{C3380CC4-5D6E-409C-BE32-E72D297353CC}">
                  <c16:uniqueId val="{0000000D-9190-469D-8158-42D0C98D9DC0}"/>
                </c:ext>
              </c:extLst>
            </c:dLbl>
            <c:dLbl>
              <c:idx val="1"/>
              <c:tx>
                <c:rich>
                  <a:bodyPr/>
                  <a:lstStyle/>
                  <a:p>
                    <a:fld id="{E0400D18-C037-4BDC-94A0-88505510BF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{E0400D18-C037-4BDC-94A0-88505510BFE6}</c15:txfldGUID>
                      <c15:f>'J1634 Calcs'!$AH$19</c15:f>
                      <c15:dlblFieldTableCache>
                        <c:ptCount val="1"/>
                        <c:pt idx="0">
                          <c:v>3%</c:v>
                        </c:pt>
                      </c15:dlblFieldTableCache>
                    </c15:dlblFTEntry>
                  </c15:dlblFieldTable>
                  <c15:showDataLabelsRange val="0"/>
                </c:ext>
                <c:ext xmlns:c16="http://schemas.microsoft.com/office/drawing/2014/chart" uri="{C3380CC4-5D6E-409C-BE32-E72D297353CC}">
                  <c16:uniqueId val="{0000000E-9190-469D-8158-42D0C98D9DC0}"/>
                </c:ext>
              </c:extLst>
            </c:dLbl>
            <c:dLbl>
              <c:idx val="2"/>
              <c:tx>
                <c:rich>
                  <a:bodyPr/>
                  <a:lstStyle/>
                  <a:p>
                    <a:fld id="{9745F343-DA76-4EDC-9AD6-356F2B869D74}"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{9745F343-DA76-4EDC-9AD6-356F2B869D74}</c15:txfldGUID>
                      <c15:f>'J1634 Calcs'!$AH$20</c15:f>
                      <c15:dlblFieldTableCache>
                        <c:ptCount val="1"/>
                        <c:pt idx="0">
                          <c:v>2%</c:v>
                        </c:pt>
                      </c15:dlblFieldTableCache>
                    </c15:dlblFTEntry>
                  </c15:dlblFieldTable>
                  <c15:showDataLabelsRange val="0"/>
                </c:ext>
                <c:ext xmlns:c16="http://schemas.microsoft.com/office/drawing/2014/chart" uri="{C3380CC4-5D6E-409C-BE32-E72D297353CC}">
                  <c16:uniqueId val="{0000000F-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Calcs'!$AH$13:$AH$15</c:f>
              <c:numCache>
                <c:formatCode>0</c:formatCode>
                <c:ptCount val="3"/>
                <c:pt idx="0">
                  <c:v>282.06883181782172</c:v>
                </c:pt>
                <c:pt idx="1">
                  <c:v>263.09274687639231</c:v>
                </c:pt>
                <c:pt idx="2">
                  <c:v>352.42982095696743</c:v>
                </c:pt>
              </c:numCache>
            </c:numRef>
          </c:val>
          <c:extLst>
            <c:ext xmlns:c16="http://schemas.microsoft.com/office/drawing/2014/chart" uri="{C3380CC4-5D6E-409C-BE32-E72D297353CC}">
              <c16:uniqueId val="{00000010-9190-469D-8158-42D0C98D9DC0}"/>
            </c:ext>
          </c:extLst>
        </c:ser>
        <c:ser>
          <c:idx val="2"/>
          <c:order val="5"/>
          <c:tx>
            <c:strRef>
              <c:f>'J1634 Calcs'!$AI$6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D05ED8B4-28B4-4400-9E0F-70BE6ECC557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{D05ED8B4-28B4-4400-9E0F-70BE6ECC5576}</c15:txfldGUID>
                      <c15:f>'J1634 Calcs'!$AI$18</c15:f>
                      <c15:dlblFieldTableCache>
                        <c:ptCount val="1"/>
                        <c:pt idx="0">
                          <c:v>13%</c:v>
                        </c:pt>
                      </c15:dlblFieldTableCache>
                    </c15:dlblFTEntry>
                  </c15:dlblFieldTable>
                  <c15:showDataLabelsRange val="0"/>
                </c:ext>
                <c:ext xmlns:c16="http://schemas.microsoft.com/office/drawing/2014/chart" uri="{C3380CC4-5D6E-409C-BE32-E72D297353CC}">
                  <c16:uniqueId val="{00000011-9190-469D-8158-42D0C98D9DC0}"/>
                </c:ext>
              </c:extLst>
            </c:dLbl>
            <c:dLbl>
              <c:idx val="1"/>
              <c:tx>
                <c:rich>
                  <a:bodyPr/>
                  <a:lstStyle/>
                  <a:p>
                    <a:fld id="{D7CA0D8C-E7C0-4ED8-9940-F9EC5A722D9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{D7CA0D8C-E7C0-4ED8-9940-F9EC5A722D99}</c15:txfldGUID>
                      <c15:f>'J1634 Calcs'!$AI$19</c15:f>
                      <c15:dlblFieldTableCache>
                        <c:ptCount val="1"/>
                        <c:pt idx="0">
                          <c:v>-1%</c:v>
                        </c:pt>
                      </c15:dlblFieldTableCache>
                    </c15:dlblFTEntry>
                  </c15:dlblFieldTable>
                  <c15:showDataLabelsRange val="0"/>
                </c:ext>
                <c:ext xmlns:c16="http://schemas.microsoft.com/office/drawing/2014/chart" uri="{C3380CC4-5D6E-409C-BE32-E72D297353CC}">
                  <c16:uniqueId val="{00000012-9190-469D-8158-42D0C98D9DC0}"/>
                </c:ext>
              </c:extLst>
            </c:dLbl>
            <c:dLbl>
              <c:idx val="2"/>
              <c:tx>
                <c:rich>
                  <a:bodyPr/>
                  <a:lstStyle/>
                  <a:p>
                    <a:fld id="{3F3D7368-4A49-4C7A-9D10-0C6FBF8BDB2C}"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{3F3D7368-4A49-4C7A-9D10-0C6FBF8BDB2C}</c15:txfldGUID>
                      <c15:f>'J1634 Calcs'!$AI$20</c15:f>
                      <c15:dlblFieldTableCache>
                        <c:ptCount val="1"/>
                        <c:pt idx="0">
                          <c:v>-2%</c:v>
                        </c:pt>
                      </c15:dlblFieldTableCache>
                    </c15:dlblFTEntry>
                  </c15:dlblFieldTable>
                  <c15:showDataLabelsRange val="0"/>
                </c:ext>
                <c:ext xmlns:c16="http://schemas.microsoft.com/office/drawing/2014/chart" uri="{C3380CC4-5D6E-409C-BE32-E72D297353CC}">
                  <c16:uniqueId val="{00000013-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Calcs'!$AI$13:$AI$15</c:f>
              <c:numCache>
                <c:formatCode>0</c:formatCode>
                <c:ptCount val="3"/>
                <c:pt idx="0">
                  <c:v>238.88661062261102</c:v>
                </c:pt>
                <c:pt idx="1">
                  <c:v>252.60442496290372</c:v>
                </c:pt>
                <c:pt idx="2">
                  <c:v>341.44764670704228</c:v>
                </c:pt>
              </c:numCache>
            </c:numRef>
          </c:val>
          <c:extLst>
            <c:ext xmlns:c16="http://schemas.microsoft.com/office/drawing/2014/chart" uri="{C3380CC4-5D6E-409C-BE32-E72D297353CC}">
              <c16:uniqueId val="{00000014-9190-469D-8158-42D0C98D9DC0}"/>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[AC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Plus - Range [mi]</a:t>
            </a:r>
          </a:p>
        </c:rich>
      </c:tx>
      <c:overlay val="0"/>
    </c:title>
    <c:autoTitleDeleted val="0"/>
    <c:plotArea>
      <c:layout/>
      <c:barChart>
        <c:barDir val="col"/>
        <c:grouping val="clustered"/>
        <c:varyColors val="0"/>
        <c:ser>
          <c:idx val="3"/>
          <c:order val="0"/>
          <c:tx>
            <c:strRef>
              <c:f>'J1634 Calcs'!$AD$6</c:f>
              <c:strCache>
                <c:ptCount val="1"/>
                <c:pt idx="0">
                  <c:v>-18C Ambient with 22C Cabin</c:v>
                </c:pt>
              </c:strCache>
            </c:strRef>
          </c:tx>
          <c:spPr>
            <a:solidFill>
              <a:schemeClr val="accent4"/>
            </a:solidFill>
          </c:spPr>
          <c:invertIfNegative val="0"/>
          <c:dLbls>
            <c:dLbl>
              <c:idx val="2"/>
              <c:layout>
                <c:manualLayout>
                  <c:x val="0"/>
                  <c:y val="4.97809637594574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FDE-497A-9BE8-CA9F126816E7}"/>
                </c:ext>
              </c:extLst>
            </c:dLbl>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Calcs'!$AD$37:$AD$39</c:f>
              <c:numCache>
                <c:formatCode>0</c:formatCode>
                <c:ptCount val="3"/>
                <c:pt idx="0">
                  <c:v>125.37934010086205</c:v>
                </c:pt>
                <c:pt idx="1">
                  <c:v>164.97209390875634</c:v>
                </c:pt>
                <c:pt idx="2">
                  <c:v>131.93044303997976</c:v>
                </c:pt>
              </c:numCache>
            </c:numRef>
          </c:val>
          <c:extLst>
            <c:ext xmlns:c16="http://schemas.microsoft.com/office/drawing/2014/chart" uri="{C3380CC4-5D6E-409C-BE32-E72D297353CC}">
              <c16:uniqueId val="{00000000-493A-4C31-822B-826D379B44AF}"/>
            </c:ext>
          </c:extLst>
        </c:ser>
        <c:ser>
          <c:idx val="4"/>
          <c:order val="1"/>
          <c:tx>
            <c:strRef>
              <c:f>'J1634 Calcs'!$AE$6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Calcs'!$AE$37:$AE$39</c:f>
              <c:numCache>
                <c:formatCode>0</c:formatCode>
                <c:ptCount val="3"/>
                <c:pt idx="0">
                  <c:v>164.39210073882853</c:v>
                </c:pt>
                <c:pt idx="1">
                  <c:v>195.28898336198213</c:v>
                </c:pt>
                <c:pt idx="2">
                  <c:v>157.81260098935817</c:v>
                </c:pt>
              </c:numCache>
            </c:numRef>
          </c:val>
          <c:extLst>
            <c:ext xmlns:c16="http://schemas.microsoft.com/office/drawing/2014/chart" uri="{C3380CC4-5D6E-409C-BE32-E72D297353CC}">
              <c16:uniqueId val="{00000001-493A-4C31-822B-826D379B44AF}"/>
            </c:ext>
          </c:extLst>
        </c:ser>
        <c:ser>
          <c:idx val="6"/>
          <c:order val="2"/>
          <c:tx>
            <c:strRef>
              <c:f>'J1634 Calcs'!$AF$6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Calcs'!$AF$37:$AF$39</c:f>
              <c:numCache>
                <c:formatCode>0</c:formatCode>
                <c:ptCount val="3"/>
                <c:pt idx="0">
                  <c:v>177.10435600091202</c:v>
                </c:pt>
                <c:pt idx="1">
                  <c:v>206.42708587487323</c:v>
                </c:pt>
                <c:pt idx="2">
                  <c:v>162.38938822824019</c:v>
                </c:pt>
              </c:numCache>
            </c:numRef>
          </c:val>
          <c:extLst>
            <c:ext xmlns:c16="http://schemas.microsoft.com/office/drawing/2014/chart" uri="{C3380CC4-5D6E-409C-BE32-E72D297353CC}">
              <c16:uniqueId val="{00000002-493A-4C31-822B-826D379B44AF}"/>
            </c:ext>
          </c:extLst>
        </c:ser>
        <c:ser>
          <c:idx val="0"/>
          <c:order val="3"/>
          <c:tx>
            <c:strRef>
              <c:f>'J1634 Calcs'!$AG$6</c:f>
              <c:strCache>
                <c:ptCount val="1"/>
                <c:pt idx="0">
                  <c:v>22C Ambient with Climate off</c:v>
                </c:pt>
              </c:strCache>
            </c:strRef>
          </c:tx>
          <c:spPr>
            <a:solidFill>
              <a:schemeClr val="accent3"/>
            </a:solidFill>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Calcs'!$AG$37:$AG$39</c:f>
              <c:numCache>
                <c:formatCode>0</c:formatCode>
                <c:ptCount val="3"/>
                <c:pt idx="0">
                  <c:v>321.70186986621434</c:v>
                </c:pt>
                <c:pt idx="1">
                  <c:v>266.79260702189009</c:v>
                </c:pt>
                <c:pt idx="2">
                  <c:v>196.54268496803653</c:v>
                </c:pt>
              </c:numCache>
            </c:numRef>
          </c:val>
          <c:extLst>
            <c:ext xmlns:c16="http://schemas.microsoft.com/office/drawing/2014/chart" uri="{C3380CC4-5D6E-409C-BE32-E72D297353CC}">
              <c16:uniqueId val="{00000003-493A-4C31-822B-826D379B44AF}"/>
            </c:ext>
          </c:extLst>
        </c:ser>
        <c:ser>
          <c:idx val="1"/>
          <c:order val="4"/>
          <c:tx>
            <c:strRef>
              <c:f>'J1634 Calcs'!$AH$6</c:f>
              <c:strCache>
                <c:ptCount val="1"/>
                <c:pt idx="0">
                  <c:v>35C Ambient with 22C Cabin</c:v>
                </c:pt>
              </c:strCache>
            </c:strRef>
          </c:tx>
          <c:spPr>
            <a:solidFill>
              <a:schemeClr val="accent2"/>
            </a:solidFill>
          </c:spPr>
          <c:invertIfNegative val="0"/>
          <c:dLbls>
            <c:dLbl>
              <c:idx val="0"/>
              <c:numFmt formatCode="#,##0" sourceLinked="0"/>
              <c:spPr>
                <a:solidFill>
                  <a:schemeClr val="bg1"/>
                </a:solid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6="http://schemas.microsoft.com/office/drawing/2014/chart" uri="{C3380CC4-5D6E-409C-BE32-E72D297353CC}">
                  <c16:uniqueId val="{00000000-CFDE-497A-9BE8-CA9F126816E7}"/>
                </c:ext>
              </c:extLst>
            </c:dLbl>
            <c:dLbl>
              <c:idx val="2"/>
              <c:numFmt formatCode="#,##0" sourceLinked="0"/>
              <c:spPr>
                <a:solidFill>
                  <a:schemeClr val="bg1"/>
                </a:solid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6="http://schemas.microsoft.com/office/drawing/2014/chart" uri="{C3380CC4-5D6E-409C-BE32-E72D297353CC}">
                  <c16:uniqueId val="{00000001-CFDE-497A-9BE8-CA9F126816E7}"/>
                </c:ext>
              </c:extLst>
            </c:dLbl>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Calcs'!$AH$37:$AH$39</c:f>
              <c:numCache>
                <c:formatCode>0</c:formatCode>
                <c:ptCount val="3"/>
                <c:pt idx="0">
                  <c:v>237.36188162410329</c:v>
                </c:pt>
                <c:pt idx="1">
                  <c:v>254.48207699639414</c:v>
                </c:pt>
                <c:pt idx="2">
                  <c:v>189.97367613782589</c:v>
                </c:pt>
              </c:numCache>
            </c:numRef>
          </c:val>
          <c:extLst>
            <c:ext xmlns:c16="http://schemas.microsoft.com/office/drawing/2014/chart" uri="{C3380CC4-5D6E-409C-BE32-E72D297353CC}">
              <c16:uniqueId val="{00000004-493A-4C31-822B-826D379B44AF}"/>
            </c:ext>
          </c:extLst>
        </c:ser>
        <c:ser>
          <c:idx val="2"/>
          <c:order val="5"/>
          <c:tx>
            <c:strRef>
              <c:f>'J1634 Calcs'!$AI$6</c:f>
              <c:strCache>
                <c:ptCount val="1"/>
                <c:pt idx="0">
                  <c:v>35C w/o solar with 22C Cabin</c:v>
                </c:pt>
              </c:strCache>
            </c:strRef>
          </c:tx>
          <c:spPr>
            <a:pattFill prst="dkDnDiag">
              <a:fgClr>
                <a:schemeClr val="accent2"/>
              </a:fgClr>
              <a:bgClr>
                <a:schemeClr val="bg1"/>
              </a:bgClr>
            </a:pattFill>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Calcs'!$AI$37:$AI$39</c:f>
              <c:numCache>
                <c:formatCode>0</c:formatCode>
                <c:ptCount val="3"/>
                <c:pt idx="0">
                  <c:v>280.26848592850246</c:v>
                </c:pt>
                <c:pt idx="1">
                  <c:v>265.04836040628823</c:v>
                </c:pt>
                <c:pt idx="2">
                  <c:v>196.08390719188407</c:v>
                </c:pt>
              </c:numCache>
            </c:numRef>
          </c:val>
          <c:extLst>
            <c:ext xmlns:c16="http://schemas.microsoft.com/office/drawing/2014/chart" uri="{C3380CC4-5D6E-409C-BE32-E72D297353CC}">
              <c16:uniqueId val="{00000005-493A-4C31-822B-826D379B44AF}"/>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350"/>
          <c:min val="0"/>
        </c:scaling>
        <c:delete val="0"/>
        <c:axPos val="l"/>
        <c:majorGridlines/>
        <c:title>
          <c:tx>
            <c:rich>
              <a:bodyPr/>
              <a:lstStyle/>
              <a:p>
                <a:pPr>
                  <a:defRPr sz="2400"/>
                </a:pPr>
                <a:r>
                  <a:rPr lang="en-US" sz="2400"/>
                  <a:t>Range [miles]</a:t>
                </a:r>
              </a:p>
            </c:rich>
          </c:tx>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a:t>
            </a:r>
            <a:r>
              <a:rPr lang="en-US" sz="2400" baseline="0"/>
              <a:t> Plus- [DC Wh/mi]</a:t>
            </a:r>
            <a:endParaRPr lang="en-US" sz="2400"/>
          </a:p>
        </c:rich>
      </c:tx>
      <c:layout>
        <c:manualLayout>
          <c:xMode val="edge"/>
          <c:yMode val="edge"/>
          <c:x val="0.33800193460016464"/>
          <c:y val="1.7435899045163881E-2"/>
        </c:manualLayout>
      </c:layout>
      <c:overlay val="0"/>
    </c:title>
    <c:autoTitleDeleted val="0"/>
    <c:plotArea>
      <c:layout/>
      <c:barChart>
        <c:barDir val="col"/>
        <c:grouping val="clustered"/>
        <c:varyColors val="0"/>
        <c:ser>
          <c:idx val="3"/>
          <c:order val="0"/>
          <c:tx>
            <c:strRef>
              <c:f>'J1634 Calcs'!$AD$6</c:f>
              <c:strCache>
                <c:ptCount val="1"/>
                <c:pt idx="0">
                  <c:v>-18C Ambient with 22C Cabin</c:v>
                </c:pt>
              </c:strCache>
            </c:strRef>
          </c:tx>
          <c:spPr>
            <a:solidFill>
              <a:schemeClr val="accent4"/>
            </a:solidFill>
          </c:spPr>
          <c:invertIfNegative val="0"/>
          <c:dLbls>
            <c:dLbl>
              <c:idx val="0"/>
              <c:layout>
                <c:manualLayout>
                  <c:x val="1.4887582923543822E-3"/>
                  <c:y val="7.9889789833237929E-3"/>
                </c:manualLayout>
              </c:layout>
              <c:tx>
                <c:rich>
                  <a:bodyPr wrap="square" lIns="38100" tIns="19050" rIns="38100" bIns="19050" anchor="ctr">
                    <a:spAutoFit/>
                  </a:bodyPr>
                  <a:lstStyle/>
                  <a:p>
                    <a:pPr>
                      <a:defRPr sz="1000" b="1"/>
                    </a:pPr>
                    <a:fld id="{52E43E02-3978-4016-A209-E6333B24FF45}" type="CELLREF">
                      <a:rPr lang="en-US"/>
                      <a:pPr>
                        <a:defRPr sz="1000" b="1"/>
                      </a:pPr>
                      <a:t>[CELLREF]</a:t>
                    </a:fld>
                    <a:endParaRPr lang="en-US"/>
                  </a:p>
                </c:rich>
              </c:tx>
              <c:numFmt formatCode="0.0" sourceLinked="0"/>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dlblFTEntry>
                      <c15:txfldGUID>{52E43E02-3978-4016-A209-E6333B24FF45}</c15:txfldGUID>
                      <c15:f>'J1634 Calcs'!$AD$31</c15:f>
                      <c15:dlblFieldTableCache>
                        <c:ptCount val="1"/>
                        <c:pt idx="0">
                          <c:v>158%</c:v>
                        </c:pt>
                      </c15:dlblFieldTableCache>
                    </c15:dlblFTEntry>
                  </c15:dlblFieldTable>
                  <c15:showDataLabelsRange val="0"/>
                </c:ext>
                <c:ext xmlns:c16="http://schemas.microsoft.com/office/drawing/2014/chart" uri="{C3380CC4-5D6E-409C-BE32-E72D297353CC}">
                  <c16:uniqueId val="{00000000-DB61-490B-8BCB-D20C9B1BD130}"/>
                </c:ext>
              </c:extLst>
            </c:dLbl>
            <c:dLbl>
              <c:idx val="1"/>
              <c:tx>
                <c:rich>
                  <a:bodyPr/>
                  <a:lstStyle/>
                  <a:p>
                    <a:fld id="{278C50B6-F0A0-4D9D-8499-A95AE0147AB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{278C50B6-F0A0-4D9D-8499-A95AE0147AB8}</c15:txfldGUID>
                      <c15:f>'J1634 Calcs'!$AD$32</c15:f>
                      <c15:dlblFieldTableCache>
                        <c:ptCount val="1"/>
                        <c:pt idx="0">
                          <c:v>64%</c:v>
                        </c:pt>
                      </c15:dlblFieldTableCache>
                    </c15:dlblFTEntry>
                  </c15:dlblFieldTable>
                  <c15:showDataLabelsRange val="0"/>
                </c:ext>
                <c:ext xmlns:c16="http://schemas.microsoft.com/office/drawing/2014/chart" uri="{C3380CC4-5D6E-409C-BE32-E72D297353CC}">
                  <c16:uniqueId val="{00000001-DB61-490B-8BCB-D20C9B1BD130}"/>
                </c:ext>
              </c:extLst>
            </c:dLbl>
            <c:dLbl>
              <c:idx val="2"/>
              <c:tx>
                <c:rich>
                  <a:bodyPr/>
                  <a:lstStyle/>
                  <a:p>
                    <a:fld id="{442F3CF2-3A01-456C-B60A-76C81495117F}"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{442F3CF2-3A01-456C-B60A-76C81495117F}</c15:txfldGUID>
                      <c15:f>'J1634 Calcs'!$AD$33</c15:f>
                      <c15:dlblFieldTableCache>
                        <c:ptCount val="1"/>
                        <c:pt idx="0">
                          <c:v>154%</c:v>
                        </c:pt>
                      </c15:dlblFieldTableCache>
                    </c15:dlblFTEntry>
                  </c15:dlblFieldTable>
                  <c15:showDataLabelsRange val="0"/>
                </c:ext>
                <c:ext xmlns:c16="http://schemas.microsoft.com/office/drawing/2014/chart" uri="{C3380CC4-5D6E-409C-BE32-E72D297353CC}">
                  <c16:uniqueId val="{00000002-DB61-490B-8BCB-D20C9B1BD130}"/>
                </c:ext>
              </c:extLst>
            </c:dLbl>
            <c:dLbl>
              <c:idx val="3"/>
              <c:tx>
                <c:rich>
                  <a:bodyPr/>
                  <a:lstStyle/>
                  <a:p>
                    <a:fld id="{AFC1A4FD-059A-4D03-835F-B30A5A73936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{AFC1A4FD-059A-4D03-835F-B30A5A739363}</c15:txfldGUID>
                      <c15:f>'J1634 Calcs'!$AD$34</c15:f>
                      <c15:dlblFieldTableCache>
                        <c:ptCount val="1"/>
                        <c:pt idx="0">
                          <c:v>49%</c:v>
                        </c:pt>
                      </c15:dlblFieldTableCache>
                    </c15:dlblFTEntry>
                  </c15:dlblFieldTable>
                  <c15:showDataLabelsRange val="0"/>
                </c:ext>
                <c:ext xmlns:c16="http://schemas.microsoft.com/office/drawing/2014/chart" uri="{C3380CC4-5D6E-409C-BE32-E72D297353CC}">
                  <c16:uniqueId val="{00000003-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Calcs'!$AD$7:$AD$10</c:f>
              <c:numCache>
                <c:formatCode>0</c:formatCode>
                <c:ptCount val="4"/>
                <c:pt idx="0">
                  <c:v>539.57030404629222</c:v>
                </c:pt>
                <c:pt idx="1">
                  <c:v>359.09103531634133</c:v>
                </c:pt>
                <c:pt idx="2">
                  <c:v>468.77459057259136</c:v>
                </c:pt>
                <c:pt idx="3">
                  <c:v>449.02449074659825</c:v>
                </c:pt>
              </c:numCache>
            </c:numRef>
          </c:val>
          <c:extLst>
            <c:ext xmlns:c16="http://schemas.microsoft.com/office/drawing/2014/chart" uri="{C3380CC4-5D6E-409C-BE32-E72D297353CC}">
              <c16:uniqueId val="{00000004-DB61-490B-8BCB-D20C9B1BD130}"/>
            </c:ext>
          </c:extLst>
        </c:ser>
        <c:ser>
          <c:idx val="4"/>
          <c:order val="1"/>
          <c:tx>
            <c:strRef>
              <c:f>'J1634 Calcs'!$AE$6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dLbl>
              <c:idx val="0"/>
              <c:layout>
                <c:manualLayout>
                  <c:x val="5.2672885953812523E-3"/>
                  <c:y val="5.5504930544144184E-4"/>
                </c:manualLayout>
              </c:layout>
              <c:tx>
                <c:rich>
                  <a:bodyPr/>
                  <a:lstStyle/>
                  <a:p>
                    <a:fld id="{EE280A60-2456-4D2E-BB6A-F8C1F9FCF6B2}"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{EE280A60-2456-4D2E-BB6A-F8C1F9FCF6B2}</c15:txfldGUID>
                      <c15:f>'J1634 Calcs'!$AE$31</c15:f>
                      <c15:dlblFieldTableCache>
                        <c:ptCount val="1"/>
                        <c:pt idx="0">
                          <c:v>117%</c:v>
                        </c:pt>
                      </c15:dlblFieldTableCache>
                    </c15:dlblFTEntry>
                  </c15:dlblFieldTable>
                  <c15:showDataLabelsRange val="0"/>
                </c:ext>
                <c:ext xmlns:c16="http://schemas.microsoft.com/office/drawing/2014/chart" uri="{C3380CC4-5D6E-409C-BE32-E72D297353CC}">
                  <c16:uniqueId val="{00000005-DB61-490B-8BCB-D20C9B1BD130}"/>
                </c:ext>
              </c:extLst>
            </c:dLbl>
            <c:dLbl>
              <c:idx val="1"/>
              <c:layout>
                <c:manualLayout>
                  <c:x val="2.9774922838920427E-3"/>
                  <c:y val="-4.8094838738527417E-3"/>
                </c:manualLayout>
              </c:layout>
              <c:tx>
                <c:rich>
                  <a:bodyPr/>
                  <a:lstStyle/>
                  <a:p>
                    <a:fld id="{9FECD5AD-BD6C-4254-AA0C-06FAB75325B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{9FECD5AD-BD6C-4254-AA0C-06FAB75325B9}</c15:txfldGUID>
                      <c15:f>'J1634 Calcs'!$AE$32</c15:f>
                      <c15:dlblFieldTableCache>
                        <c:ptCount val="1"/>
                        <c:pt idx="0">
                          <c:v>38%</c:v>
                        </c:pt>
                      </c15:dlblFieldTableCache>
                    </c15:dlblFTEntry>
                  </c15:dlblFieldTable>
                  <c15:showDataLabelsRange val="0"/>
                </c:ext>
                <c:ext xmlns:c16="http://schemas.microsoft.com/office/drawing/2014/chart" uri="{C3380CC4-5D6E-409C-BE32-E72D297353CC}">
                  <c16:uniqueId val="{00000006-DB61-490B-8BCB-D20C9B1BD130}"/>
                </c:ext>
              </c:extLst>
            </c:dLbl>
            <c:dLbl>
              <c:idx val="2"/>
              <c:layout>
                <c:manualLayout>
                  <c:x val="1.4887461419460213E-3"/>
                  <c:y val="-7.3003265945904847E-3"/>
                </c:manualLayout>
              </c:layout>
              <c:tx>
                <c:rich>
                  <a:bodyPr/>
                  <a:lstStyle/>
                  <a:p>
                    <a:fld id="{75230619-B04C-4725-9A36-D6B8E292A4A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{75230619-B04C-4725-9A36-D6B8E292A4A6}</c15:txfldGUID>
                      <c15:f>'J1634 Calcs'!$AE$33</c15:f>
                      <c15:dlblFieldTableCache>
                        <c:ptCount val="1"/>
                        <c:pt idx="0">
                          <c:v>93%</c:v>
                        </c:pt>
                      </c15:dlblFieldTableCache>
                    </c15:dlblFTEntry>
                  </c15:dlblFieldTable>
                  <c15:showDataLabelsRange val="0"/>
                </c:ext>
                <c:ext xmlns:c16="http://schemas.microsoft.com/office/drawing/2014/chart" uri="{C3380CC4-5D6E-409C-BE32-E72D297353CC}">
                  <c16:uniqueId val="{00000007-DB61-490B-8BCB-D20C9B1BD130}"/>
                </c:ext>
              </c:extLst>
            </c:dLbl>
            <c:dLbl>
              <c:idx val="3"/>
              <c:layout>
                <c:manualLayout>
                  <c:x val="3.4346797661501992E-3"/>
                  <c:y val="-1.2454213603688487E-2"/>
                </c:manualLayout>
              </c:layout>
              <c:tx>
                <c:rich>
                  <a:bodyPr/>
                  <a:lstStyle/>
                  <a:p>
                    <a:fld id="{FB648D01-B296-4880-8704-DB4D503FBF20}"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{FB648D01-B296-4880-8704-DB4D503FBF20}</c15:txfldGUID>
                      <c15:f>'J1634 Calcs'!$AE$34</c15:f>
                      <c15:dlblFieldTableCache>
                        <c:ptCount val="1"/>
                        <c:pt idx="0">
                          <c:v>25%</c:v>
                        </c:pt>
                      </c15:dlblFieldTableCache>
                    </c15:dlblFTEntry>
                  </c15:dlblFieldTable>
                  <c15:showDataLabelsRange val="0"/>
                </c:ext>
                <c:ext xmlns:c16="http://schemas.microsoft.com/office/drawing/2014/chart" uri="{C3380CC4-5D6E-409C-BE32-E72D297353CC}">
                  <c16:uniqueId val="{00000008-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'J1634 Calcs'!$AC$7:$AC$10</c:f>
              <c:strCache>
                <c:ptCount val="4"/>
                <c:pt idx="0">
                  <c:v>UDDS#1</c:v>
                </c:pt>
                <c:pt idx="1">
                  <c:v>HWY#1</c:v>
                </c:pt>
                <c:pt idx="2">
                  <c:v>UDDS#2</c:v>
                </c:pt>
                <c:pt idx="3">
                  <c:v>US06#1</c:v>
                </c:pt>
              </c:strCache>
            </c:strRef>
          </c:cat>
          <c:val>
            <c:numRef>
              <c:f>'J1634 Calcs'!$AE$7:$AE$10</c:f>
              <c:numCache>
                <c:formatCode>0</c:formatCode>
                <c:ptCount val="4"/>
                <c:pt idx="0">
                  <c:v>454.22105247703433</c:v>
                </c:pt>
                <c:pt idx="1">
                  <c:v>303.34532435039824</c:v>
                </c:pt>
                <c:pt idx="2">
                  <c:v>355.65285258307136</c:v>
                </c:pt>
                <c:pt idx="3">
                  <c:v>375.3819379986947</c:v>
                </c:pt>
              </c:numCache>
            </c:numRef>
          </c:val>
          <c:extLst>
            <c:ext xmlns:c16="http://schemas.microsoft.com/office/drawing/2014/chart" uri="{C3380CC4-5D6E-409C-BE32-E72D297353CC}">
              <c16:uniqueId val="{00000009-DB61-490B-8BCB-D20C9B1BD130}"/>
            </c:ext>
          </c:extLst>
        </c:ser>
        <c:ser>
          <c:idx val="6"/>
          <c:order val="2"/>
          <c:tx>
            <c:strRef>
              <c:f>'J1634 Calcs'!$AF$6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B7E1C937-2013-4F43-A17D-8202EF311EC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{B7E1C937-2013-4F43-A17D-8202EF311EC5}</c15:txfldGUID>
                      <c15:f>'J1634 Calcs'!$AF$31</c15:f>
                      <c15:dlblFieldTableCache>
                        <c:ptCount val="1"/>
                        <c:pt idx="0">
                          <c:v>73%</c:v>
                        </c:pt>
                      </c15:dlblFieldTableCache>
                    </c15:dlblFTEntry>
                  </c15:dlblFieldTable>
                  <c15:showDataLabelsRange val="0"/>
                </c:ext>
                <c:ext xmlns:c16="http://schemas.microsoft.com/office/drawing/2014/chart" uri="{C3380CC4-5D6E-409C-BE32-E72D297353CC}">
                  <c16:uniqueId val="{0000000A-DB61-490B-8BCB-D20C9B1BD130}"/>
                </c:ext>
              </c:extLst>
            </c:dLbl>
            <c:dLbl>
              <c:idx val="1"/>
              <c:layout>
                <c:manualLayout>
                  <c:x val="4.4662748770631462E-3"/>
                  <c:y val="-4.8820974247362615E-17"/>
                </c:manualLayout>
              </c:layout>
              <c:tx>
                <c:rich>
                  <a:bodyPr/>
                  <a:lstStyle/>
                  <a:p>
                    <a:fld id="{127E56AE-8973-4D0F-9264-AAE3E866444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{127E56AE-8973-4D0F-9264-AAE3E8664441}</c15:txfldGUID>
                      <c15:f>'J1634 Calcs'!$AF$32</c15:f>
                      <c15:dlblFieldTableCache>
                        <c:ptCount val="1"/>
                        <c:pt idx="0">
                          <c:v>31%</c:v>
                        </c:pt>
                      </c15:dlblFieldTableCache>
                    </c15:dlblFTEntry>
                  </c15:dlblFieldTable>
                  <c15:showDataLabelsRange val="0"/>
                </c:ext>
                <c:ext xmlns:c16="http://schemas.microsoft.com/office/drawing/2014/chart" uri="{C3380CC4-5D6E-409C-BE32-E72D297353CC}">
                  <c16:uniqueId val="{0000000B-DB61-490B-8BCB-D20C9B1BD130}"/>
                </c:ext>
              </c:extLst>
            </c:dLbl>
            <c:dLbl>
              <c:idx val="2"/>
              <c:layout>
                <c:manualLayout>
                  <c:x val="2.9775165847087644E-3"/>
                  <c:y val="2.6629929944412154E-3"/>
                </c:manualLayout>
              </c:layout>
              <c:tx>
                <c:rich>
                  <a:bodyPr/>
                  <a:lstStyle/>
                  <a:p>
                    <a:fld id="{F2FE6A01-4D7C-46FB-94C2-09AD76DF338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{F2FE6A01-4D7C-46FB-94C2-09AD76DF338D}</c15:txfldGUID>
                      <c15:f>'J1634 Calcs'!$AF$33</c15:f>
                      <c15:dlblFieldTableCache>
                        <c:ptCount val="1"/>
                        <c:pt idx="0">
                          <c:v>81%</c:v>
                        </c:pt>
                      </c15:dlblFieldTableCache>
                    </c15:dlblFTEntry>
                  </c15:dlblFieldTable>
                  <c15:showDataLabelsRange val="0"/>
                </c:ext>
                <c:ext xmlns:c16="http://schemas.microsoft.com/office/drawing/2014/chart" uri="{C3380CC4-5D6E-409C-BE32-E72D297353CC}">
                  <c16:uniqueId val="{0000000C-DB61-490B-8BCB-D20C9B1BD130}"/>
                </c:ext>
              </c:extLst>
            </c:dLbl>
            <c:dLbl>
              <c:idx val="3"/>
              <c:layout>
                <c:manualLayout>
                  <c:x val="-9.957647873211931E-17"/>
                  <c:y val="4.9816854414753949E-3"/>
                </c:manualLayout>
              </c:layout>
              <c:tx>
                <c:rich>
                  <a:bodyPr/>
                  <a:lstStyle/>
                  <a:p>
                    <a:fld id="{762A62A6-AE4A-419F-BE75-2F501898271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{762A62A6-AE4A-419F-BE75-2F5018982713}</c15:txfldGUID>
                      <c15:f>'J1634 Calcs'!$AF$34</c15:f>
                      <c15:dlblFieldTableCache>
                        <c:ptCount val="1"/>
                        <c:pt idx="0">
                          <c:v>21%</c:v>
                        </c:pt>
                      </c15:dlblFieldTableCache>
                    </c15:dlblFTEntry>
                  </c15:dlblFieldTable>
                  <c15:showDataLabelsRange val="0"/>
                </c:ext>
                <c:ext xmlns:c16="http://schemas.microsoft.com/office/drawing/2014/chart" uri="{C3380CC4-5D6E-409C-BE32-E72D297353CC}">
                  <c16:uniqueId val="{0000000D-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Calcs'!$AF$7:$AF$10</c:f>
              <c:numCache>
                <c:formatCode>0</c:formatCode>
                <c:ptCount val="4"/>
                <c:pt idx="0">
                  <c:v>362.12279082035781</c:v>
                </c:pt>
                <c:pt idx="1">
                  <c:v>286.97784376953621</c:v>
                </c:pt>
                <c:pt idx="2">
                  <c:v>333.17954577589052</c:v>
                </c:pt>
                <c:pt idx="3">
                  <c:v>364.80216254486703</c:v>
                </c:pt>
              </c:numCache>
            </c:numRef>
          </c:val>
          <c:extLst>
            <c:ext xmlns:c16="http://schemas.microsoft.com/office/drawing/2014/chart" uri="{C3380CC4-5D6E-409C-BE32-E72D297353CC}">
              <c16:uniqueId val="{0000000E-DB61-490B-8BCB-D20C9B1BD130}"/>
            </c:ext>
          </c:extLst>
        </c:ser>
        <c:ser>
          <c:idx val="0"/>
          <c:order val="3"/>
          <c:tx>
            <c:strRef>
              <c:f>'J1634 Calcs'!$AG$6</c:f>
              <c:strCache>
                <c:ptCount val="1"/>
                <c:pt idx="0">
                  <c:v>22C Ambient with Climate off</c:v>
                </c:pt>
              </c:strCache>
            </c:strRef>
          </c:tx>
          <c:spPr>
            <a:solidFill>
              <a:schemeClr val="accent3"/>
            </a:solidFill>
          </c:spPr>
          <c:invertIfNegative val="0"/>
          <c:cat>
            <c:strRef>
              <c:f>'J1634 Calcs'!$AC$7:$AC$10</c:f>
              <c:strCache>
                <c:ptCount val="4"/>
                <c:pt idx="0">
                  <c:v>UDDS#1</c:v>
                </c:pt>
                <c:pt idx="1">
                  <c:v>HWY#1</c:v>
                </c:pt>
                <c:pt idx="2">
                  <c:v>UDDS#2</c:v>
                </c:pt>
                <c:pt idx="3">
                  <c:v>US06#1</c:v>
                </c:pt>
              </c:strCache>
            </c:strRef>
          </c:cat>
          <c:val>
            <c:numRef>
              <c:f>'J1634 Calcs'!$AG$7:$AG$10</c:f>
              <c:numCache>
                <c:formatCode>0</c:formatCode>
                <c:ptCount val="4"/>
                <c:pt idx="0">
                  <c:v>209.4282460330657</c:v>
                </c:pt>
                <c:pt idx="1">
                  <c:v>219.60358492135728</c:v>
                </c:pt>
                <c:pt idx="2">
                  <c:v>184.48504647904815</c:v>
                </c:pt>
                <c:pt idx="3">
                  <c:v>301.41035271617523</c:v>
                </c:pt>
              </c:numCache>
            </c:numRef>
          </c:val>
          <c:extLst>
            <c:ext xmlns:c16="http://schemas.microsoft.com/office/drawing/2014/chart" uri="{C3380CC4-5D6E-409C-BE32-E72D297353CC}">
              <c16:uniqueId val="{0000000F-DB61-490B-8BCB-D20C9B1BD130}"/>
            </c:ext>
          </c:extLst>
        </c:ser>
        <c:ser>
          <c:idx val="1"/>
          <c:order val="4"/>
          <c:tx>
            <c:strRef>
              <c:f>'J1634 Calcs'!$AH$6</c:f>
              <c:strCache>
                <c:ptCount val="1"/>
                <c:pt idx="0">
                  <c:v>35C Ambient with 22C Cabin</c:v>
                </c:pt>
              </c:strCache>
            </c:strRef>
          </c:tx>
          <c:spPr>
            <a:solidFill>
              <a:schemeClr val="accent2"/>
            </a:solidFill>
          </c:spPr>
          <c:invertIfNegative val="0"/>
          <c:dLbls>
            <c:dLbl>
              <c:idx val="0"/>
              <c:layout>
                <c:manualLayout>
                  <c:x val="-6.0044151362795388E-3"/>
                  <c:y val="-2.6365959097054688E-3"/>
                </c:manualLayout>
              </c:layout>
              <c:tx>
                <c:rich>
                  <a:bodyPr/>
                  <a:lstStyle/>
                  <a:p>
                    <a:fld id="{6D1B4943-BBAB-4942-A8FF-49E2995AC5EA}"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{6D1B4943-BBAB-4942-A8FF-49E2995AC5EA}</c15:txfldGUID>
                      <c15:f>'J1634 Calcs'!$AH$31</c15:f>
                      <c15:dlblFieldTableCache>
                        <c:ptCount val="1"/>
                        <c:pt idx="0">
                          <c:v>48%</c:v>
                        </c:pt>
                      </c15:dlblFieldTableCache>
                    </c15:dlblFTEntry>
                  </c15:dlblFieldTable>
                  <c15:showDataLabelsRange val="0"/>
                </c:ext>
                <c:ext xmlns:c16="http://schemas.microsoft.com/office/drawing/2014/chart" uri="{C3380CC4-5D6E-409C-BE32-E72D297353CC}">
                  <c16:uniqueId val="{00000010-DB61-490B-8BCB-D20C9B1BD130}"/>
                </c:ext>
              </c:extLst>
            </c:dLbl>
            <c:dLbl>
              <c:idx val="1"/>
              <c:tx>
                <c:rich>
                  <a:bodyPr/>
                  <a:lstStyle/>
                  <a:p>
                    <a:fld id="{26842B5A-D389-4A5F-A18F-79E697E6BD77}"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{26842B5A-D389-4A5F-A18F-79E697E6BD77}</c15:txfldGUID>
                      <c15:f>'J1634 Calcs'!$AH$32</c15:f>
                      <c15:dlblFieldTableCache>
                        <c:ptCount val="1"/>
                        <c:pt idx="0">
                          <c:v>6%</c:v>
                        </c:pt>
                      </c15:dlblFieldTableCache>
                    </c15:dlblFTEntry>
                  </c15:dlblFieldTable>
                  <c15:showDataLabelsRange val="0"/>
                </c:ext>
                <c:ext xmlns:c16="http://schemas.microsoft.com/office/drawing/2014/chart" uri="{C3380CC4-5D6E-409C-BE32-E72D297353CC}">
                  <c16:uniqueId val="{00000011-DB61-490B-8BCB-D20C9B1BD130}"/>
                </c:ext>
              </c:extLst>
            </c:dLbl>
            <c:dLbl>
              <c:idx val="2"/>
              <c:tx>
                <c:rich>
                  <a:bodyPr/>
                  <a:lstStyle/>
                  <a:p>
                    <a:fld id="{5B2549FF-5755-4525-BF79-3B89BB1386E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{5B2549FF-5755-4525-BF79-3B89BB1386E3}</c15:txfldGUID>
                      <c15:f>'J1634 Calcs'!$AH$33</c15:f>
                      <c15:dlblFieldTableCache>
                        <c:ptCount val="1"/>
                        <c:pt idx="0">
                          <c:v>34%</c:v>
                        </c:pt>
                      </c15:dlblFieldTableCache>
                    </c15:dlblFTEntry>
                  </c15:dlblFieldTable>
                  <c15:showDataLabelsRange val="0"/>
                </c:ext>
                <c:ext xmlns:c16="http://schemas.microsoft.com/office/drawing/2014/chart" uri="{C3380CC4-5D6E-409C-BE32-E72D297353CC}">
                  <c16:uniqueId val="{00000012-DB61-490B-8BCB-D20C9B1BD130}"/>
                </c:ext>
              </c:extLst>
            </c:dLbl>
            <c:dLbl>
              <c:idx val="3"/>
              <c:tx>
                <c:rich>
                  <a:bodyPr/>
                  <a:lstStyle/>
                  <a:p>
                    <a:fld id="{477A16E0-06E9-4E77-9235-E98B58BDEC0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{477A16E0-06E9-4E77-9235-E98B58BDEC09}</c15:txfldGUID>
                      <c15:f>'J1634 Calcs'!$AH$34</c15:f>
                      <c15:dlblFieldTableCache>
                        <c:ptCount val="1"/>
                        <c:pt idx="0">
                          <c:v>3%</c:v>
                        </c:pt>
                      </c15:dlblFieldTableCache>
                    </c15:dlblFTEntry>
                  </c15:dlblFieldTable>
                  <c15:showDataLabelsRange val="0"/>
                </c:ext>
                <c:ext xmlns:c16="http://schemas.microsoft.com/office/drawing/2014/chart" uri="{C3380CC4-5D6E-409C-BE32-E72D297353CC}">
                  <c16:uniqueId val="{00000013-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Calcs'!$AH$7:$AH$10</c:f>
              <c:numCache>
                <c:formatCode>0</c:formatCode>
                <c:ptCount val="4"/>
                <c:pt idx="0">
                  <c:v>310.37308558405277</c:v>
                </c:pt>
                <c:pt idx="1">
                  <c:v>232.78653137069216</c:v>
                </c:pt>
                <c:pt idx="2">
                  <c:v>247.11909501717622</c:v>
                </c:pt>
                <c:pt idx="3">
                  <c:v>311.83267705480091</c:v>
                </c:pt>
              </c:numCache>
            </c:numRef>
          </c:val>
          <c:extLst>
            <c:ext xmlns:c16="http://schemas.microsoft.com/office/drawing/2014/chart" uri="{C3380CC4-5D6E-409C-BE32-E72D297353CC}">
              <c16:uniqueId val="{00000014-DB61-490B-8BCB-D20C9B1BD130}"/>
            </c:ext>
          </c:extLst>
        </c:ser>
        <c:ser>
          <c:idx val="2"/>
          <c:order val="5"/>
          <c:tx>
            <c:strRef>
              <c:f>'J1634 Calcs'!$AI$6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262F8C60-5F18-4571-9B9B-CD28507D148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{262F8C60-5F18-4571-9B9B-CD28507D1488}</c15:txfldGUID>
                      <c15:f>'J1634 Calcs'!$AI$31</c15:f>
                      <c15:dlblFieldTableCache>
                        <c:ptCount val="1"/>
                        <c:pt idx="0">
                          <c:v>22%</c:v>
                        </c:pt>
                      </c15:dlblFieldTableCache>
                    </c15:dlblFTEntry>
                  </c15:dlblFieldTable>
                  <c15:showDataLabelsRange val="0"/>
                </c:ext>
                <c:ext xmlns:c16="http://schemas.microsoft.com/office/drawing/2014/chart" uri="{C3380CC4-5D6E-409C-BE32-E72D297353CC}">
                  <c16:uniqueId val="{00000015-DB61-490B-8BCB-D20C9B1BD130}"/>
                </c:ext>
              </c:extLst>
            </c:dLbl>
            <c:dLbl>
              <c:idx val="1"/>
              <c:tx>
                <c:rich>
                  <a:bodyPr/>
                  <a:lstStyle/>
                  <a:p>
                    <a:fld id="{BFE461CE-778B-4C1C-BB7A-D60BCAD641F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{BFE461CE-778B-4C1C-BB7A-D60BCAD641F8}</c15:txfldGUID>
                      <c15:f>'J1634 Calcs'!$AI$32</c15:f>
                      <c15:dlblFieldTableCache>
                        <c:ptCount val="1"/>
                        <c:pt idx="0">
                          <c:v>2%</c:v>
                        </c:pt>
                      </c15:dlblFieldTableCache>
                    </c15:dlblFTEntry>
                  </c15:dlblFieldTable>
                  <c15:showDataLabelsRange val="0"/>
                </c:ext>
                <c:ext xmlns:c16="http://schemas.microsoft.com/office/drawing/2014/chart" uri="{C3380CC4-5D6E-409C-BE32-E72D297353CC}">
                  <c16:uniqueId val="{00000016-DB61-490B-8BCB-D20C9B1BD130}"/>
                </c:ext>
              </c:extLst>
            </c:dLbl>
            <c:dLbl>
              <c:idx val="2"/>
              <c:layout>
                <c:manualLayout>
                  <c:x val="2.715753519493604E-3"/>
                  <c:y val="0"/>
                </c:manualLayout>
              </c:layout>
              <c:tx>
                <c:rich>
                  <a:bodyPr/>
                  <a:lstStyle/>
                  <a:p>
                    <a:fld id="{293DD5E2-9595-4034-9DA9-087504F650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{293DD5E2-9595-4034-9DA9-087504F650E6}</c15:txfldGUID>
                      <c15:f>'J1634 Calcs'!$AI$33</c15:f>
                      <c15:dlblFieldTableCache>
                        <c:ptCount val="1"/>
                        <c:pt idx="0">
                          <c:v>14%</c:v>
                        </c:pt>
                      </c15:dlblFieldTableCache>
                    </c15:dlblFTEntry>
                  </c15:dlblFieldTable>
                  <c15:showDataLabelsRange val="0"/>
                </c:ext>
                <c:ext xmlns:c16="http://schemas.microsoft.com/office/drawing/2014/chart" uri="{C3380CC4-5D6E-409C-BE32-E72D297353CC}">
                  <c16:uniqueId val="{00000017-DB61-490B-8BCB-D20C9B1BD130}"/>
                </c:ext>
              </c:extLst>
            </c:dLbl>
            <c:dLbl>
              <c:idx val="3"/>
              <c:tx>
                <c:rich>
                  <a:bodyPr/>
                  <a:lstStyle/>
                  <a:p>
                    <a:fld id="{97184EC5-AE69-4A7E-A4AD-AAEA9F0557D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{97184EC5-AE69-4A7E-A4AD-AAEA9F0557DD}</c15:txfldGUID>
                      <c15:f>'J1634 Calcs'!$AI$34</c15:f>
                      <c15:dlblFieldTableCache>
                        <c:ptCount val="1"/>
                        <c:pt idx="0">
                          <c:v>0%</c:v>
                        </c:pt>
                      </c15:dlblFieldTableCache>
                    </c15:dlblFTEntry>
                  </c15:dlblFieldTable>
                  <c15:showDataLabelsRange val="0"/>
                </c:ext>
                <c:ext xmlns:c16="http://schemas.microsoft.com/office/drawing/2014/chart" uri="{C3380CC4-5D6E-409C-BE32-E72D297353CC}">
                  <c16:uniqueId val="{00000018-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Calcs'!$AI$7:$AI$10</c:f>
              <c:numCache>
                <c:formatCode>0</c:formatCode>
                <c:ptCount val="4"/>
                <c:pt idx="0">
                  <c:v>255.36671523792654</c:v>
                </c:pt>
                <c:pt idx="1">
                  <c:v>223.50638166254637</c:v>
                </c:pt>
                <c:pt idx="2">
                  <c:v>209.91474861171858</c:v>
                </c:pt>
                <c:pt idx="3">
                  <c:v>302.11556291577176</c:v>
                </c:pt>
              </c:numCache>
            </c:numRef>
          </c:val>
          <c:extLst>
            <c:ext xmlns:c16="http://schemas.microsoft.com/office/drawing/2014/chart" uri="{C3380CC4-5D6E-409C-BE32-E72D297353CC}">
              <c16:uniqueId val="{00000019-DB61-490B-8BCB-D20C9B1BD130}"/>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[DC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Plus-</a:t>
            </a:r>
            <a:r>
              <a:rPr lang="en-US" sz="2400" baseline="0"/>
              <a:t> </a:t>
            </a:r>
            <a:r>
              <a:rPr lang="en-US" sz="2400"/>
              <a:t>[AC Wh/mi]</a:t>
            </a:r>
          </a:p>
        </c:rich>
      </c:tx>
      <c:layout>
        <c:manualLayout>
          <c:xMode val="edge"/>
          <c:yMode val="edge"/>
          <c:x val="0.34597659346833848"/>
          <c:y val="1.9912385503783353E-2"/>
        </c:manualLayout>
      </c:layout>
      <c:overlay val="0"/>
    </c:title>
    <c:autoTitleDeleted val="0"/>
    <c:plotArea>
      <c:layout/>
      <c:barChart>
        <c:barDir val="col"/>
        <c:grouping val="clustered"/>
        <c:varyColors val="0"/>
        <c:ser>
          <c:idx val="3"/>
          <c:order val="0"/>
          <c:tx>
            <c:strRef>
              <c:f>'J1634 Calcs no precondition'!$AD$6</c:f>
              <c:strCache>
                <c:ptCount val="1"/>
                <c:pt idx="0">
                  <c:v>-18C Ambient with 22C Cabin</c:v>
                </c:pt>
              </c:strCache>
            </c:strRef>
          </c:tx>
          <c:spPr>
            <a:solidFill>
              <a:schemeClr val="accent4"/>
            </a:solidFill>
          </c:spPr>
          <c:invertIfNegative val="0"/>
          <c:dLbls>
            <c:dLbl>
              <c:idx val="0"/>
              <c:layout>
                <c:manualLayout>
                  <c:x val="1.4887582923543822E-3"/>
                  <c:y val="7.9889789833237929E-3"/>
                </c:manualLayout>
              </c:layout>
              <c:tx>
                <c:rich>
                  <a:bodyPr/>
                  <a:lstStyle/>
                  <a:p>
                    <a:fld id="{B0945F62-8997-4AC0-A2D7-322D125A555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{B0945F62-8997-4AC0-A2D7-322D125A555E}</c15:txfldGUID>
                      <c15:f>'J1634 Calcs no precondition'!$AD$18</c15:f>
                      <c15:dlblFieldTableCache>
                        <c:ptCount val="1"/>
                        <c:pt idx="0">
                          <c:v>223%</c:v>
                        </c:pt>
                      </c15:dlblFieldTableCache>
                    </c15:dlblFTEntry>
                  </c15:dlblFieldTable>
                  <c15:showDataLabelsRange val="0"/>
                </c:ext>
                <c:ext xmlns:c16="http://schemas.microsoft.com/office/drawing/2014/chart" uri="{C3380CC4-5D6E-409C-BE32-E72D297353CC}">
                  <c16:uniqueId val="{00000000-E707-42C2-A4C6-2C2F31D39B87}"/>
                </c:ext>
              </c:extLst>
            </c:dLbl>
            <c:dLbl>
              <c:idx val="1"/>
              <c:layout/>
              <c:tx>
                <c:rich>
                  <a:bodyPr/>
                  <a:lstStyle/>
                  <a:p>
                    <a:fld id="{14E10095-01E0-40E2-BF85-F19478A01C2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{14E10095-01E0-40E2-BF85-F19478A01C28}</c15:txfldGUID>
                      <c15:f>'J1634 Calcs no precondition'!$AD$19</c15:f>
                      <c15:dlblFieldTableCache>
                        <c:ptCount val="1"/>
                        <c:pt idx="0">
                          <c:v>104%</c:v>
                        </c:pt>
                      </c15:dlblFieldTableCache>
                    </c15:dlblFTEntry>
                  </c15:dlblFieldTable>
                  <c15:showDataLabelsRange val="0"/>
                </c:ext>
                <c:ext xmlns:c16="http://schemas.microsoft.com/office/drawing/2014/chart" uri="{C3380CC4-5D6E-409C-BE32-E72D297353CC}">
                  <c16:uniqueId val="{00000001-E707-42C2-A4C6-2C2F31D39B87}"/>
                </c:ext>
              </c:extLst>
            </c:dLbl>
            <c:dLbl>
              <c:idx val="2"/>
              <c:layout/>
              <c:tx>
                <c:rich>
                  <a:bodyPr/>
                  <a:lstStyle/>
                  <a:p>
                    <a:fld id="{3784444F-7979-445F-B3D6-AEBFD582BD9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{3784444F-7979-445F-B3D6-AEBFD582BD98}</c15:txfldGUID>
                      <c15:f>'J1634 Calcs no precondition'!$AD$20</c15:f>
                      <c15:dlblFieldTableCache>
                        <c:ptCount val="1"/>
                        <c:pt idx="0">
                          <c:v>87%</c:v>
                        </c:pt>
                      </c15:dlblFieldTableCache>
                    </c15:dlblFTEntry>
                  </c15:dlblFieldTable>
                  <c15:showDataLabelsRange val="0"/>
                </c:ext>
                <c:ext xmlns:c16="http://schemas.microsoft.com/office/drawing/2014/chart" uri="{C3380CC4-5D6E-409C-BE32-E72D297353CC}">
                  <c16:uniqueId val="{00000002-E707-42C2-A4C6-2C2F31D39B87}"/>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precondition'!$AC$13:$AC$15</c:f>
              <c:strCache>
                <c:ptCount val="3"/>
                <c:pt idx="0">
                  <c:v>UDDS</c:v>
                </c:pt>
                <c:pt idx="1">
                  <c:v>HWY</c:v>
                </c:pt>
                <c:pt idx="2">
                  <c:v>US06</c:v>
                </c:pt>
              </c:strCache>
            </c:strRef>
          </c:cat>
          <c:val>
            <c:numRef>
              <c:f>'J1634 Calcs no precondition'!$AD$13:$AD$15</c:f>
              <c:numCache>
                <c:formatCode>0</c:formatCode>
                <c:ptCount val="3"/>
                <c:pt idx="0">
                  <c:v>681.63838847964848</c:v>
                </c:pt>
                <c:pt idx="1">
                  <c:v>518.04744251025829</c:v>
                </c:pt>
                <c:pt idx="2">
                  <c:v>647.79113421983163</c:v>
                </c:pt>
              </c:numCache>
            </c:numRef>
          </c:val>
          <c:extLst>
            <c:ext xmlns:c16="http://schemas.microsoft.com/office/drawing/2014/chart" uri="{C3380CC4-5D6E-409C-BE32-E72D297353CC}">
              <c16:uniqueId val="{00000003-E707-42C2-A4C6-2C2F31D39B87}"/>
            </c:ext>
          </c:extLst>
        </c:ser>
        <c:ser>
          <c:idx val="4"/>
          <c:order val="1"/>
          <c:tx>
            <c:strRef>
              <c:f>'J1634 Calcs no precondition'!$AE$6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dLbl>
              <c:idx val="0"/>
              <c:layout>
                <c:manualLayout>
                  <c:x val="2.9775165847087644E-3"/>
                  <c:y val="2.662992994441264E-3"/>
                </c:manualLayout>
              </c:layout>
              <c:tx>
                <c:rich>
                  <a:bodyPr/>
                  <a:lstStyle/>
                  <a:p>
                    <a:fld id="{CF963985-D3E1-4705-A63C-6308912A1BA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{CF963985-D3E1-4705-A63C-6308912A1BA1}</c15:txfldGUID>
                      <c15:f>'J1634 Calcs no precondition'!$AE$18</c15:f>
                      <c15:dlblFieldTableCache>
                        <c:ptCount val="1"/>
                        <c:pt idx="0">
                          <c:v>103%</c:v>
                        </c:pt>
                      </c15:dlblFieldTableCache>
                    </c15:dlblFTEntry>
                  </c15:dlblFieldTable>
                  <c15:showDataLabelsRange val="0"/>
                </c:ext>
                <c:ext xmlns:c16="http://schemas.microsoft.com/office/drawing/2014/chart" uri="{C3380CC4-5D6E-409C-BE32-E72D297353CC}">
                  <c16:uniqueId val="{00000004-E707-42C2-A4C6-2C2F31D39B87}"/>
                </c:ext>
              </c:extLst>
            </c:dLbl>
            <c:dLbl>
              <c:idx val="1"/>
              <c:layout>
                <c:manualLayout>
                  <c:x val="2.9775165847086551E-3"/>
                  <c:y val="2.6629929944412154E-3"/>
                </c:manualLayout>
              </c:layout>
              <c:tx>
                <c:rich>
                  <a:bodyPr/>
                  <a:lstStyle/>
                  <a:p>
                    <a:fld id="{E0F95126-373F-4982-8A26-A1187FDA1A7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{E0F95126-373F-4982-8A26-A1187FDA1A7E}</c15:txfldGUID>
                      <c15:f>'J1634 Calcs no precondition'!$AE$19</c15:f>
                      <c15:dlblFieldTableCache>
                        <c:ptCount val="1"/>
                        <c:pt idx="0">
                          <c:v>42%</c:v>
                        </c:pt>
                      </c15:dlblFieldTableCache>
                    </c15:dlblFTEntry>
                  </c15:dlblFieldTable>
                  <c15:showDataLabelsRange val="0"/>
                </c:ext>
                <c:ext xmlns:c16="http://schemas.microsoft.com/office/drawing/2014/chart" uri="{C3380CC4-5D6E-409C-BE32-E72D297353CC}">
                  <c16:uniqueId val="{00000005-E707-42C2-A4C6-2C2F31D39B87}"/>
                </c:ext>
              </c:extLst>
            </c:dLbl>
            <c:dLbl>
              <c:idx val="2"/>
              <c:layout>
                <c:manualLayout>
                  <c:x val="1.4887582923543822E-3"/>
                  <c:y val="2.662992994441264E-3"/>
                </c:manualLayout>
              </c:layout>
              <c:tx>
                <c:rich>
                  <a:bodyPr/>
                  <a:lstStyle/>
                  <a:p>
                    <a:fld id="{E540FF63-EEA2-452B-AF6B-2E02EC30DA3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{E540FF63-EEA2-452B-AF6B-2E02EC30DA3D}</c15:txfldGUID>
                      <c15:f>'J1634 Calcs no precondition'!$AE$20</c15:f>
                      <c15:dlblFieldTableCache>
                        <c:ptCount val="1"/>
                        <c:pt idx="0">
                          <c:v>28%</c:v>
                        </c:pt>
                      </c15:dlblFieldTableCache>
                    </c15:dlblFTEntry>
                  </c15:dlblFieldTable>
                  <c15:showDataLabelsRange val="0"/>
                </c:ext>
                <c:ext xmlns:c16="http://schemas.microsoft.com/office/drawing/2014/chart" uri="{C3380CC4-5D6E-409C-BE32-E72D297353CC}">
                  <c16:uniqueId val="{00000006-E707-42C2-A4C6-2C2F31D39B87}"/>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precondition'!$AC$13:$AC$15</c:f>
              <c:strCache>
                <c:ptCount val="3"/>
                <c:pt idx="0">
                  <c:v>UDDS</c:v>
                </c:pt>
                <c:pt idx="1">
                  <c:v>HWY</c:v>
                </c:pt>
                <c:pt idx="2">
                  <c:v>US06</c:v>
                </c:pt>
              </c:strCache>
            </c:strRef>
          </c:cat>
          <c:val>
            <c:numRef>
              <c:f>'J1634 Calcs no precondition'!$AE$13:$AE$15</c:f>
              <c:numCache>
                <c:formatCode>0</c:formatCode>
                <c:ptCount val="3"/>
                <c:pt idx="0">
                  <c:v>428.12528840674207</c:v>
                </c:pt>
                <c:pt idx="1">
                  <c:v>360.39112052801261</c:v>
                </c:pt>
                <c:pt idx="2">
                  <c:v>445.97462496259811</c:v>
                </c:pt>
              </c:numCache>
            </c:numRef>
          </c:val>
          <c:extLst>
            <c:ext xmlns:c16="http://schemas.microsoft.com/office/drawing/2014/chart" uri="{C3380CC4-5D6E-409C-BE32-E72D297353CC}">
              <c16:uniqueId val="{00000007-E707-42C2-A4C6-2C2F31D39B87}"/>
            </c:ext>
          </c:extLst>
        </c:ser>
        <c:ser>
          <c:idx val="0"/>
          <c:order val="3"/>
          <c:tx>
            <c:strRef>
              <c:f>'J1634 Calcs no precondition'!$AG$6</c:f>
              <c:strCache>
                <c:ptCount val="1"/>
                <c:pt idx="0">
                  <c:v>22C Ambient with Climate off</c:v>
                </c:pt>
              </c:strCache>
            </c:strRef>
          </c:tx>
          <c:spPr>
            <a:solidFill>
              <a:schemeClr val="accent3"/>
            </a:solidFill>
          </c:spPr>
          <c:invertIfNegative val="0"/>
          <c:cat>
            <c:strRef>
              <c:f>'J1634 Calcs no precondition'!$AC$13:$AC$15</c:f>
              <c:strCache>
                <c:ptCount val="3"/>
                <c:pt idx="0">
                  <c:v>UDDS</c:v>
                </c:pt>
                <c:pt idx="1">
                  <c:v>HWY</c:v>
                </c:pt>
                <c:pt idx="2">
                  <c:v>US06</c:v>
                </c:pt>
              </c:strCache>
            </c:strRef>
          </c:cat>
          <c:val>
            <c:numRef>
              <c:f>'J1634 Calcs no precondition'!$AG$13:$AG$15</c:f>
              <c:numCache>
                <c:formatCode>0</c:formatCode>
                <c:ptCount val="3"/>
                <c:pt idx="0">
                  <c:v>211.31564960585933</c:v>
                </c:pt>
                <c:pt idx="1">
                  <c:v>254.22899515125798</c:v>
                </c:pt>
                <c:pt idx="2">
                  <c:v>347.15814678052328</c:v>
                </c:pt>
              </c:numCache>
            </c:numRef>
          </c:val>
          <c:extLst>
            <c:ext xmlns:c16="http://schemas.microsoft.com/office/drawing/2014/chart" uri="{C3380CC4-5D6E-409C-BE32-E72D297353CC}">
              <c16:uniqueId val="{0000000C-E707-42C2-A4C6-2C2F31D39B87}"/>
            </c:ext>
          </c:extLst>
        </c:ser>
        <c:ser>
          <c:idx val="1"/>
          <c:order val="4"/>
          <c:tx>
            <c:strRef>
              <c:f>'J1634 Calcs no precondition'!$AH$6</c:f>
              <c:strCache>
                <c:ptCount val="1"/>
                <c:pt idx="0">
                  <c:v>35C Ambient with 22C Cabin</c:v>
                </c:pt>
              </c:strCache>
            </c:strRef>
          </c:tx>
          <c:spPr>
            <a:solidFill>
              <a:schemeClr val="accent2"/>
            </a:solidFill>
          </c:spPr>
          <c:invertIfNegative val="0"/>
          <c:dLbls>
            <c:dLbl>
              <c:idx val="0"/>
              <c:layout>
                <c:manualLayout>
                  <c:x val="-6.0044151362795388E-3"/>
                  <c:y val="-2.6365959097054688E-3"/>
                </c:manualLayout>
              </c:layout>
              <c:tx>
                <c:rich>
                  <a:bodyPr/>
                  <a:lstStyle/>
                  <a:p>
                    <a:fld id="{F78FDACD-EBF6-42C8-8A5C-DABB4D21E63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{F78FDACD-EBF6-42C8-8A5C-DABB4D21E633}</c15:txfldGUID>
                      <c15:f>'J1634 Calcs no precondition'!$AH$18</c15:f>
                      <c15:dlblFieldTableCache>
                        <c:ptCount val="1"/>
                        <c:pt idx="0">
                          <c:v>33%</c:v>
                        </c:pt>
                      </c15:dlblFieldTableCache>
                    </c15:dlblFTEntry>
                  </c15:dlblFieldTable>
                  <c15:showDataLabelsRange val="0"/>
                </c:ext>
                <c:ext xmlns:c16="http://schemas.microsoft.com/office/drawing/2014/chart" uri="{C3380CC4-5D6E-409C-BE32-E72D297353CC}">
                  <c16:uniqueId val="{0000000D-E707-42C2-A4C6-2C2F31D39B87}"/>
                </c:ext>
              </c:extLst>
            </c:dLbl>
            <c:dLbl>
              <c:idx val="1"/>
              <c:layout/>
              <c:tx>
                <c:rich>
                  <a:bodyPr/>
                  <a:lstStyle/>
                  <a:p>
                    <a:fld id="{E0400D18-C037-4BDC-94A0-88505510BF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{E0400D18-C037-4BDC-94A0-88505510BFE6}</c15:txfldGUID>
                      <c15:f>'J1634 Calcs no precondition'!$AH$19</c15:f>
                      <c15:dlblFieldTableCache>
                        <c:ptCount val="1"/>
                        <c:pt idx="0">
                          <c:v>3%</c:v>
                        </c:pt>
                      </c15:dlblFieldTableCache>
                    </c15:dlblFTEntry>
                  </c15:dlblFieldTable>
                  <c15:showDataLabelsRange val="0"/>
                </c:ext>
                <c:ext xmlns:c16="http://schemas.microsoft.com/office/drawing/2014/chart" uri="{C3380CC4-5D6E-409C-BE32-E72D297353CC}">
                  <c16:uniqueId val="{0000000E-E707-42C2-A4C6-2C2F31D39B87}"/>
                </c:ext>
              </c:extLst>
            </c:dLbl>
            <c:dLbl>
              <c:idx val="2"/>
              <c:layout/>
              <c:tx>
                <c:rich>
                  <a:bodyPr/>
                  <a:lstStyle/>
                  <a:p>
                    <a:fld id="{9745F343-DA76-4EDC-9AD6-356F2B869D74}"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{9745F343-DA76-4EDC-9AD6-356F2B869D74}</c15:txfldGUID>
                      <c15:f>'J1634 Calcs no precondition'!$AH$20</c15:f>
                      <c15:dlblFieldTableCache>
                        <c:ptCount val="1"/>
                        <c:pt idx="0">
                          <c:v>2%</c:v>
                        </c:pt>
                      </c15:dlblFieldTableCache>
                    </c15:dlblFTEntry>
                  </c15:dlblFieldTable>
                  <c15:showDataLabelsRange val="0"/>
                </c:ext>
                <c:ext xmlns:c16="http://schemas.microsoft.com/office/drawing/2014/chart" uri="{C3380CC4-5D6E-409C-BE32-E72D297353CC}">
                  <c16:uniqueId val="{0000000F-E707-42C2-A4C6-2C2F31D39B87}"/>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precondition'!$AC$13:$AC$15</c:f>
              <c:strCache>
                <c:ptCount val="3"/>
                <c:pt idx="0">
                  <c:v>UDDS</c:v>
                </c:pt>
                <c:pt idx="1">
                  <c:v>HWY</c:v>
                </c:pt>
                <c:pt idx="2">
                  <c:v>US06</c:v>
                </c:pt>
              </c:strCache>
            </c:strRef>
          </c:cat>
          <c:val>
            <c:numRef>
              <c:f>'J1634 Calcs no precondition'!$AH$13:$AH$15</c:f>
              <c:numCache>
                <c:formatCode>0</c:formatCode>
                <c:ptCount val="3"/>
                <c:pt idx="0">
                  <c:v>282.06883181782172</c:v>
                </c:pt>
                <c:pt idx="1">
                  <c:v>263.09274687639231</c:v>
                </c:pt>
                <c:pt idx="2">
                  <c:v>352.42982095696743</c:v>
                </c:pt>
              </c:numCache>
            </c:numRef>
          </c:val>
          <c:extLst>
            <c:ext xmlns:c16="http://schemas.microsoft.com/office/drawing/2014/chart" uri="{C3380CC4-5D6E-409C-BE32-E72D297353CC}">
              <c16:uniqueId val="{00000010-E707-42C2-A4C6-2C2F31D39B87}"/>
            </c:ext>
          </c:extLst>
        </c:ser>
        <c:ser>
          <c:idx val="2"/>
          <c:order val="5"/>
          <c:tx>
            <c:strRef>
              <c:f>'J1634 Calcs no precondition'!$AI$6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D05ED8B4-28B4-4400-9E0F-70BE6ECC557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{D05ED8B4-28B4-4400-9E0F-70BE6ECC5576}</c15:txfldGUID>
                      <c15:f>'J1634 Calcs no precondition'!$AI$18</c15:f>
                      <c15:dlblFieldTableCache>
                        <c:ptCount val="1"/>
                        <c:pt idx="0">
                          <c:v>13%</c:v>
                        </c:pt>
                      </c15:dlblFieldTableCache>
                    </c15:dlblFTEntry>
                  </c15:dlblFieldTable>
                  <c15:showDataLabelsRange val="0"/>
                </c:ext>
                <c:ext xmlns:c16="http://schemas.microsoft.com/office/drawing/2014/chart" uri="{C3380CC4-5D6E-409C-BE32-E72D297353CC}">
                  <c16:uniqueId val="{00000011-E707-42C2-A4C6-2C2F31D39B87}"/>
                </c:ext>
              </c:extLst>
            </c:dLbl>
            <c:dLbl>
              <c:idx val="1"/>
              <c:layout/>
              <c:tx>
                <c:rich>
                  <a:bodyPr/>
                  <a:lstStyle/>
                  <a:p>
                    <a:fld id="{D7CA0D8C-E7C0-4ED8-9940-F9EC5A722D9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{D7CA0D8C-E7C0-4ED8-9940-F9EC5A722D99}</c15:txfldGUID>
                      <c15:f>'J1634 Calcs no precondition'!$AI$19</c15:f>
                      <c15:dlblFieldTableCache>
                        <c:ptCount val="1"/>
                        <c:pt idx="0">
                          <c:v>-1%</c:v>
                        </c:pt>
                      </c15:dlblFieldTableCache>
                    </c15:dlblFTEntry>
                  </c15:dlblFieldTable>
                  <c15:showDataLabelsRange val="0"/>
                </c:ext>
                <c:ext xmlns:c16="http://schemas.microsoft.com/office/drawing/2014/chart" uri="{C3380CC4-5D6E-409C-BE32-E72D297353CC}">
                  <c16:uniqueId val="{00000012-E707-42C2-A4C6-2C2F31D39B87}"/>
                </c:ext>
              </c:extLst>
            </c:dLbl>
            <c:dLbl>
              <c:idx val="2"/>
              <c:layout/>
              <c:tx>
                <c:rich>
                  <a:bodyPr/>
                  <a:lstStyle/>
                  <a:p>
                    <a:fld id="{3F3D7368-4A49-4C7A-9D10-0C6FBF8BDB2C}"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{3F3D7368-4A49-4C7A-9D10-0C6FBF8BDB2C}</c15:txfldGUID>
                      <c15:f>'J1634 Calcs no precondition'!$AI$20</c15:f>
                      <c15:dlblFieldTableCache>
                        <c:ptCount val="1"/>
                        <c:pt idx="0">
                          <c:v>-2%</c:v>
                        </c:pt>
                      </c15:dlblFieldTableCache>
                    </c15:dlblFTEntry>
                  </c15:dlblFieldTable>
                  <c15:showDataLabelsRange val="0"/>
                </c:ext>
                <c:ext xmlns:c16="http://schemas.microsoft.com/office/drawing/2014/chart" uri="{C3380CC4-5D6E-409C-BE32-E72D297353CC}">
                  <c16:uniqueId val="{00000013-E707-42C2-A4C6-2C2F31D39B87}"/>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precondition'!$AC$13:$AC$15</c:f>
              <c:strCache>
                <c:ptCount val="3"/>
                <c:pt idx="0">
                  <c:v>UDDS</c:v>
                </c:pt>
                <c:pt idx="1">
                  <c:v>HWY</c:v>
                </c:pt>
                <c:pt idx="2">
                  <c:v>US06</c:v>
                </c:pt>
              </c:strCache>
            </c:strRef>
          </c:cat>
          <c:val>
            <c:numRef>
              <c:f>'J1634 Calcs no precondition'!$AI$13:$AI$15</c:f>
              <c:numCache>
                <c:formatCode>0</c:formatCode>
                <c:ptCount val="3"/>
                <c:pt idx="0">
                  <c:v>238.88661062261102</c:v>
                </c:pt>
                <c:pt idx="1">
                  <c:v>252.60442496290372</c:v>
                </c:pt>
                <c:pt idx="2">
                  <c:v>341.44764670704228</c:v>
                </c:pt>
              </c:numCache>
            </c:numRef>
          </c:val>
          <c:extLst>
            <c:ext xmlns:c16="http://schemas.microsoft.com/office/drawing/2014/chart" uri="{C3380CC4-5D6E-409C-BE32-E72D297353CC}">
              <c16:uniqueId val="{00000014-E707-42C2-A4C6-2C2F31D39B87}"/>
            </c:ext>
          </c:extLst>
        </c:ser>
        <c:dLbls>
          <c:showLegendKey val="0"/>
          <c:showVal val="0"/>
          <c:showCatName val="0"/>
          <c:showSerName val="0"/>
          <c:showPercent val="0"/>
          <c:showBubbleSize val="0"/>
        </c:dLbls>
        <c:gapWidth val="150"/>
        <c:axId val="866531520"/>
        <c:axId val="866535048"/>
        <c:extLst>
          <c:ext xmlns:c15="http://schemas.microsoft.com/office/drawing/2012/chart" uri="{02D57815-91ED-43cb-92C2-25804820EDAC}">
            <c15:filteredBarSeries>
              <c15:ser>
                <c:idx val="6"/>
                <c:order val="2"/>
                <c:tx>
                  <c:strRef>
                    <c:extLst>
                      <c:ext uri="{02D57815-91ED-43cb-92C2-25804820EDAC}">
                        <c15:formulaRef>
                          <c15:sqref>'J1634 Calcs no precondition'!$AF$6</c15:sqref>
                        </c15:formulaRef>
                      </c:ext>
                    </c:extLst>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5E7F7213-2C7E-496E-A759-A0B373A79861}" type="CELLREF">
                            <a:rPr lang="en-US"/>
                            <a:pPr/>
                            <a:t>[CELLREF]</a:t>
                          </a:fld>
                          <a:endParaRPr lang="en-US"/>
                        </a:p>
                      </c:rich>
                    </c:tx>
                    <c:showLegendKey val="0"/>
                    <c:showVal val="1"/>
                    <c:showCatName val="0"/>
                    <c:showSerName val="0"/>
                    <c:showPercent val="0"/>
                    <c:showBubbleSize val="0"/>
                    <c:extLst>
                      <c:ext uri="{CE6537A1-D6FC-4f65-9D91-7224C49458BB}">
                        <c15:dlblFieldTable>
                          <c15:dlblFTEntry>
                            <c15:txfldGUID>{5E7F7213-2C7E-496E-A759-A0B373A79861}</c15:txfldGUID>
                            <c15:f>'J1634 Calcs no precondition'!$AF$18</c15:f>
                            <c15:dlblFieldTableCache>
                              <c:ptCount val="1"/>
                              <c:pt idx="0">
                                <c:v>88%</c:v>
                              </c:pt>
                            </c15:dlblFieldTableCache>
                          </c15:dlblFTEntry>
                        </c15:dlblFieldTable>
                        <c15:showDataLabelsRange val="0"/>
                      </c:ext>
                      <c:ext xmlns:c16="http://schemas.microsoft.com/office/drawing/2014/chart" uri="{C3380CC4-5D6E-409C-BE32-E72D297353CC}">
                        <c16:uniqueId val="{00000008-E707-42C2-A4C6-2C2F31D39B87}"/>
                      </c:ext>
                    </c:extLst>
                  </c:dLbl>
                  <c:dLbl>
                    <c:idx val="1"/>
                    <c:layout>
                      <c:manualLayout>
                        <c:x val="4.4662748770631462E-3"/>
                        <c:y val="-4.8820974247362615E-17"/>
                      </c:manualLayout>
                    </c:layout>
                    <c:tx>
                      <c:rich>
                        <a:bodyPr/>
                        <a:lstStyle/>
                        <a:p>
                          <a:fld id="{1994E76F-5E3D-403A-8AC8-3AFEFA9C7061}" type="CELLREF">
                            <a:rPr lang="en-US"/>
                            <a:pPr/>
                            <a:t>[CELLREF]</a:t>
                          </a:fld>
                          <a:endParaRPr lang="en-US"/>
                        </a:p>
                      </c:rich>
                    </c:tx>
                    <c:showLegendKey val="0"/>
                    <c:showVal val="1"/>
                    <c:showCatName val="0"/>
                    <c:showSerName val="0"/>
                    <c:showPercent val="0"/>
                    <c:showBubbleSize val="0"/>
                    <c:extLst>
                      <c:ext uri="{CE6537A1-D6FC-4f65-9D91-7224C49458BB}">
                        <c15:dlblFieldTable>
                          <c15:dlblFTEntry>
                            <c15:txfldGUID>{1994E76F-5E3D-403A-8AC8-3AFEFA9C7061}</c15:txfldGUID>
                            <c15:f>'J1634 Calcs no precondition'!$AF$19</c15:f>
                            <c15:dlblFieldTableCache>
                              <c:ptCount val="1"/>
                              <c:pt idx="0">
                                <c:v>34%</c:v>
                              </c:pt>
                            </c15:dlblFieldTableCache>
                          </c15:dlblFTEntry>
                        </c15:dlblFieldTable>
                        <c15:showDataLabelsRange val="0"/>
                      </c:ext>
                      <c:ext xmlns:c16="http://schemas.microsoft.com/office/drawing/2014/chart" uri="{C3380CC4-5D6E-409C-BE32-E72D297353CC}">
                        <c16:uniqueId val="{00000009-E707-42C2-A4C6-2C2F31D39B87}"/>
                      </c:ext>
                    </c:extLst>
                  </c:dLbl>
                  <c:dLbl>
                    <c:idx val="2"/>
                    <c:layout>
                      <c:manualLayout>
                        <c:x val="2.9775165847087644E-3"/>
                        <c:y val="2.6629929944412154E-3"/>
                      </c:manualLayout>
                    </c:layout>
                    <c:tx>
                      <c:rich>
                        <a:bodyPr/>
                        <a:lstStyle/>
                        <a:p>
                          <a:fld id="{07A6E231-2A68-439E-AAC8-52ED36449D45}" type="CELLREF">
                            <a:rPr lang="en-US"/>
                            <a:pPr/>
                            <a:t>[CELLREF]</a:t>
                          </a:fld>
                          <a:endParaRPr lang="en-US"/>
                        </a:p>
                      </c:rich>
                    </c:tx>
                    <c:showLegendKey val="0"/>
                    <c:showVal val="1"/>
                    <c:showCatName val="0"/>
                    <c:showSerName val="0"/>
                    <c:showPercent val="0"/>
                    <c:showBubbleSize val="0"/>
                    <c:extLst>
                      <c:ext uri="{CE6537A1-D6FC-4f65-9D91-7224C49458BB}">
                        <c15:dlblFieldTable>
                          <c15:dlblFTEntry>
                            <c15:txfldGUID>{07A6E231-2A68-439E-AAC8-52ED36449D45}</c15:txfldGUID>
                            <c15:f>'J1634 Calcs no precondition'!$AF$20</c15:f>
                            <c15:dlblFieldTableCache>
                              <c:ptCount val="1"/>
                              <c:pt idx="0">
                                <c:v>25%</c:v>
                              </c:pt>
                            </c15:dlblFieldTableCache>
                          </c15:dlblFTEntry>
                        </c15:dlblFieldTable>
                        <c15:showDataLabelsRange val="0"/>
                      </c:ext>
                      <c:ext xmlns:c16="http://schemas.microsoft.com/office/drawing/2014/chart" uri="{C3380CC4-5D6E-409C-BE32-E72D297353CC}">
                        <c16:uniqueId val="{0000000A-E707-42C2-A4C6-2C2F31D39B87}"/>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uri="{CE6537A1-D6FC-4f65-9D91-7224C49458BB}">
                      <c15:showLeaderLines val="1"/>
                    </c:ext>
                  </c:extLst>
                </c:dLbls>
                <c:cat>
                  <c:strRef>
                    <c:extLst>
                      <c:ext uri="{02D57815-91ED-43cb-92C2-25804820EDAC}">
                        <c15:formulaRef>
                          <c15:sqref>'J1634 Calcs no precondition'!$AC$13:$AC$15</c15:sqref>
                        </c15:formulaRef>
                      </c:ext>
                    </c:extLst>
                    <c:strCache>
                      <c:ptCount val="3"/>
                      <c:pt idx="0">
                        <c:v>UDDS</c:v>
                      </c:pt>
                      <c:pt idx="1">
                        <c:v>HWY</c:v>
                      </c:pt>
                      <c:pt idx="2">
                        <c:v>US06</c:v>
                      </c:pt>
                    </c:strCache>
                  </c:strRef>
                </c:cat>
                <c:val>
                  <c:numRef>
                    <c:extLst>
                      <c:ext uri="{02D57815-91ED-43cb-92C2-25804820EDAC}">
                        <c15:formulaRef>
                          <c15:sqref>'J1634 Calcs no precondition'!$AF$13:$AF$15</c15:sqref>
                        </c15:formulaRef>
                      </c:ext>
                    </c:extLst>
                    <c:numCache>
                      <c:formatCode>0</c:formatCode>
                      <c:ptCount val="3"/>
                      <c:pt idx="0">
                        <c:v>397.3951693217457</c:v>
                      </c:pt>
                      <c:pt idx="1">
                        <c:v>340.94564306964344</c:v>
                      </c:pt>
                      <c:pt idx="2">
                        <c:v>433.40526316707746</c:v>
                      </c:pt>
                    </c:numCache>
                  </c:numRef>
                </c:val>
                <c:extLst>
                  <c:ext xmlns:c16="http://schemas.microsoft.com/office/drawing/2014/chart" uri="{C3380CC4-5D6E-409C-BE32-E72D297353CC}">
                    <c16:uniqueId val="{0000000B-E707-42C2-A4C6-2C2F31D39B87}"/>
                  </c:ext>
                </c:extLst>
              </c15:ser>
            </c15:filteredBarSeries>
          </c:ext>
        </c:extLst>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[AC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Plus - Range [mi]</a:t>
            </a:r>
          </a:p>
        </c:rich>
      </c:tx>
      <c:layout/>
      <c:overlay val="0"/>
    </c:title>
    <c:autoTitleDeleted val="0"/>
    <c:plotArea>
      <c:layout/>
      <c:barChart>
        <c:barDir val="col"/>
        <c:grouping val="clustered"/>
        <c:varyColors val="0"/>
        <c:ser>
          <c:idx val="3"/>
          <c:order val="0"/>
          <c:tx>
            <c:strRef>
              <c:f>'J1634 Calcs no precondition'!$AD$6</c:f>
              <c:strCache>
                <c:ptCount val="1"/>
                <c:pt idx="0">
                  <c:v>-18C Ambient with 22C Cabin</c:v>
                </c:pt>
              </c:strCache>
            </c:strRef>
          </c:tx>
          <c:spPr>
            <a:solidFill>
              <a:schemeClr val="accent4"/>
            </a:solidFill>
          </c:spPr>
          <c:invertIfNegative val="0"/>
          <c:dLbls>
            <c:dLbl>
              <c:idx val="2"/>
              <c:layout>
                <c:manualLayout>
                  <c:x val="0"/>
                  <c:y val="4.9780963759457472E-3"/>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E9A5-4E2F-8C34-C2187796F6BE}"/>
                </c:ext>
              </c:extLst>
            </c:dLbl>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'J1634 Calcs no precondition'!$AC$37:$AC$39</c:f>
              <c:strCache>
                <c:ptCount val="3"/>
                <c:pt idx="0">
                  <c:v>UDDS</c:v>
                </c:pt>
                <c:pt idx="1">
                  <c:v>HWY</c:v>
                </c:pt>
                <c:pt idx="2">
                  <c:v>US06</c:v>
                </c:pt>
              </c:strCache>
            </c:strRef>
          </c:cat>
          <c:val>
            <c:numRef>
              <c:f>'J1634 Calcs no precondition'!$AD$37:$AD$39</c:f>
              <c:numCache>
                <c:formatCode>0</c:formatCode>
                <c:ptCount val="3"/>
                <c:pt idx="0">
                  <c:v>125.37934010086205</c:v>
                </c:pt>
                <c:pt idx="1">
                  <c:v>164.97209390875634</c:v>
                </c:pt>
                <c:pt idx="2">
                  <c:v>131.93044303997976</c:v>
                </c:pt>
              </c:numCache>
            </c:numRef>
          </c:val>
          <c:extLst>
            <c:ext xmlns:c16="http://schemas.microsoft.com/office/drawing/2014/chart" uri="{C3380CC4-5D6E-409C-BE32-E72D297353CC}">
              <c16:uniqueId val="{00000001-E9A5-4E2F-8C34-C2187796F6BE}"/>
            </c:ext>
          </c:extLst>
        </c:ser>
        <c:ser>
          <c:idx val="4"/>
          <c:order val="1"/>
          <c:tx>
            <c:strRef>
              <c:f>'J1634 Calcs no precondition'!$AE$6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'J1634 Calcs no precondition'!$AC$37:$AC$39</c:f>
              <c:strCache>
                <c:ptCount val="3"/>
                <c:pt idx="0">
                  <c:v>UDDS</c:v>
                </c:pt>
                <c:pt idx="1">
                  <c:v>HWY</c:v>
                </c:pt>
                <c:pt idx="2">
                  <c:v>US06</c:v>
                </c:pt>
              </c:strCache>
            </c:strRef>
          </c:cat>
          <c:val>
            <c:numRef>
              <c:f>'J1634 Calcs no precondition'!$AE$37:$AE$39</c:f>
              <c:numCache>
                <c:formatCode>0</c:formatCode>
                <c:ptCount val="3"/>
                <c:pt idx="0">
                  <c:v>164.39210073882853</c:v>
                </c:pt>
                <c:pt idx="1">
                  <c:v>195.28898336198213</c:v>
                </c:pt>
                <c:pt idx="2">
                  <c:v>157.81260098935817</c:v>
                </c:pt>
              </c:numCache>
            </c:numRef>
          </c:val>
          <c:extLst>
            <c:ext xmlns:c16="http://schemas.microsoft.com/office/drawing/2014/chart" uri="{C3380CC4-5D6E-409C-BE32-E72D297353CC}">
              <c16:uniqueId val="{00000002-E9A5-4E2F-8C34-C2187796F6BE}"/>
            </c:ext>
          </c:extLst>
        </c:ser>
        <c:ser>
          <c:idx val="6"/>
          <c:order val="2"/>
          <c:tx>
            <c:strRef>
              <c:f>'J1634 Calcs no precondition'!$AF$6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'J1634 Calcs no precondition'!$AC$37:$AC$39</c:f>
              <c:strCache>
                <c:ptCount val="3"/>
                <c:pt idx="0">
                  <c:v>UDDS</c:v>
                </c:pt>
                <c:pt idx="1">
                  <c:v>HWY</c:v>
                </c:pt>
                <c:pt idx="2">
                  <c:v>US06</c:v>
                </c:pt>
              </c:strCache>
            </c:strRef>
          </c:cat>
          <c:val>
            <c:numRef>
              <c:f>'J1634 Calcs no precondition'!$AF$37:$AF$39</c:f>
              <c:numCache>
                <c:formatCode>0</c:formatCode>
                <c:ptCount val="3"/>
                <c:pt idx="0">
                  <c:v>177.10435600091202</c:v>
                </c:pt>
                <c:pt idx="1">
                  <c:v>206.42708587487323</c:v>
                </c:pt>
                <c:pt idx="2">
                  <c:v>162.38938822824019</c:v>
                </c:pt>
              </c:numCache>
            </c:numRef>
          </c:val>
          <c:extLst>
            <c:ext xmlns:c16="http://schemas.microsoft.com/office/drawing/2014/chart" uri="{C3380CC4-5D6E-409C-BE32-E72D297353CC}">
              <c16:uniqueId val="{00000003-E9A5-4E2F-8C34-C2187796F6BE}"/>
            </c:ext>
          </c:extLst>
        </c:ser>
        <c:ser>
          <c:idx val="0"/>
          <c:order val="3"/>
          <c:tx>
            <c:strRef>
              <c:f>'J1634 Calcs no precondition'!$AG$6</c:f>
              <c:strCache>
                <c:ptCount val="1"/>
                <c:pt idx="0">
                  <c:v>22C Ambient with Climate off</c:v>
                </c:pt>
              </c:strCache>
            </c:strRef>
          </c:tx>
          <c:spPr>
            <a:solidFill>
              <a:schemeClr val="accent3"/>
            </a:solidFill>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'J1634 Calcs no precondition'!$AC$37:$AC$39</c:f>
              <c:strCache>
                <c:ptCount val="3"/>
                <c:pt idx="0">
                  <c:v>UDDS</c:v>
                </c:pt>
                <c:pt idx="1">
                  <c:v>HWY</c:v>
                </c:pt>
                <c:pt idx="2">
                  <c:v>US06</c:v>
                </c:pt>
              </c:strCache>
            </c:strRef>
          </c:cat>
          <c:val>
            <c:numRef>
              <c:f>'J1634 Calcs no precondition'!$AG$37:$AG$39</c:f>
              <c:numCache>
                <c:formatCode>0</c:formatCode>
                <c:ptCount val="3"/>
                <c:pt idx="0">
                  <c:v>321.70186986621434</c:v>
                </c:pt>
                <c:pt idx="1">
                  <c:v>266.79260702189009</c:v>
                </c:pt>
                <c:pt idx="2">
                  <c:v>196.54268496803653</c:v>
                </c:pt>
              </c:numCache>
            </c:numRef>
          </c:val>
          <c:extLst>
            <c:ext xmlns:c16="http://schemas.microsoft.com/office/drawing/2014/chart" uri="{C3380CC4-5D6E-409C-BE32-E72D297353CC}">
              <c16:uniqueId val="{00000004-E9A5-4E2F-8C34-C2187796F6BE}"/>
            </c:ext>
          </c:extLst>
        </c:ser>
        <c:ser>
          <c:idx val="1"/>
          <c:order val="4"/>
          <c:tx>
            <c:strRef>
              <c:f>'J1634 Calcs no precondition'!$AH$6</c:f>
              <c:strCache>
                <c:ptCount val="1"/>
                <c:pt idx="0">
                  <c:v>35C Ambient with 22C Cabin</c:v>
                </c:pt>
              </c:strCache>
            </c:strRef>
          </c:tx>
          <c:spPr>
            <a:solidFill>
              <a:schemeClr val="accent2"/>
            </a:solidFill>
          </c:spPr>
          <c:invertIfNegative val="0"/>
          <c:dLbls>
            <c:dLbl>
              <c:idx val="0"/>
              <c:numFmt formatCode="#,##0" sourceLinked="0"/>
              <c:spPr>
                <a:solidFill>
                  <a:schemeClr val="bg1"/>
                </a:solid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6="http://schemas.microsoft.com/office/drawing/2014/chart" uri="{C3380CC4-5D6E-409C-BE32-E72D297353CC}">
                  <c16:uniqueId val="{00000005-E9A5-4E2F-8C34-C2187796F6BE}"/>
                </c:ext>
              </c:extLst>
            </c:dLbl>
            <c:dLbl>
              <c:idx val="2"/>
              <c:numFmt formatCode="#,##0" sourceLinked="0"/>
              <c:spPr>
                <a:solidFill>
                  <a:schemeClr val="bg1"/>
                </a:solid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6="http://schemas.microsoft.com/office/drawing/2014/chart" uri="{C3380CC4-5D6E-409C-BE32-E72D297353CC}">
                  <c16:uniqueId val="{00000006-E9A5-4E2F-8C34-C2187796F6BE}"/>
                </c:ext>
              </c:extLst>
            </c:dLbl>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'J1634 Calcs no precondition'!$AC$37:$AC$39</c:f>
              <c:strCache>
                <c:ptCount val="3"/>
                <c:pt idx="0">
                  <c:v>UDDS</c:v>
                </c:pt>
                <c:pt idx="1">
                  <c:v>HWY</c:v>
                </c:pt>
                <c:pt idx="2">
                  <c:v>US06</c:v>
                </c:pt>
              </c:strCache>
            </c:strRef>
          </c:cat>
          <c:val>
            <c:numRef>
              <c:f>'J1634 Calcs no precondition'!$AH$37:$AH$39</c:f>
              <c:numCache>
                <c:formatCode>0</c:formatCode>
                <c:ptCount val="3"/>
                <c:pt idx="0">
                  <c:v>237.36188162410329</c:v>
                </c:pt>
                <c:pt idx="1">
                  <c:v>254.48207699639414</c:v>
                </c:pt>
                <c:pt idx="2">
                  <c:v>189.97367613782589</c:v>
                </c:pt>
              </c:numCache>
            </c:numRef>
          </c:val>
          <c:extLst>
            <c:ext xmlns:c16="http://schemas.microsoft.com/office/drawing/2014/chart" uri="{C3380CC4-5D6E-409C-BE32-E72D297353CC}">
              <c16:uniqueId val="{00000007-E9A5-4E2F-8C34-C2187796F6BE}"/>
            </c:ext>
          </c:extLst>
        </c:ser>
        <c:ser>
          <c:idx val="2"/>
          <c:order val="5"/>
          <c:tx>
            <c:strRef>
              <c:f>'J1634 Calcs no precondition'!$AI$6</c:f>
              <c:strCache>
                <c:ptCount val="1"/>
                <c:pt idx="0">
                  <c:v>35C w/o solar with 22C Cabin</c:v>
                </c:pt>
              </c:strCache>
            </c:strRef>
          </c:tx>
          <c:spPr>
            <a:pattFill prst="dkDnDiag">
              <a:fgClr>
                <a:schemeClr val="accent2"/>
              </a:fgClr>
              <a:bgClr>
                <a:schemeClr val="bg1"/>
              </a:bgClr>
            </a:pattFill>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'J1634 Calcs no precondition'!$AC$37:$AC$39</c:f>
              <c:strCache>
                <c:ptCount val="3"/>
                <c:pt idx="0">
                  <c:v>UDDS</c:v>
                </c:pt>
                <c:pt idx="1">
                  <c:v>HWY</c:v>
                </c:pt>
                <c:pt idx="2">
                  <c:v>US06</c:v>
                </c:pt>
              </c:strCache>
            </c:strRef>
          </c:cat>
          <c:val>
            <c:numRef>
              <c:f>'J1634 Calcs no precondition'!$AI$37:$AI$39</c:f>
              <c:numCache>
                <c:formatCode>0</c:formatCode>
                <c:ptCount val="3"/>
                <c:pt idx="0">
                  <c:v>280.26848592850246</c:v>
                </c:pt>
                <c:pt idx="1">
                  <c:v>265.04836040628823</c:v>
                </c:pt>
                <c:pt idx="2">
                  <c:v>196.08390719188407</c:v>
                </c:pt>
              </c:numCache>
            </c:numRef>
          </c:val>
          <c:extLst>
            <c:ext xmlns:c16="http://schemas.microsoft.com/office/drawing/2014/chart" uri="{C3380CC4-5D6E-409C-BE32-E72D297353CC}">
              <c16:uniqueId val="{00000008-E9A5-4E2F-8C34-C2187796F6BE}"/>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350"/>
          <c:min val="0"/>
        </c:scaling>
        <c:delete val="0"/>
        <c:axPos val="l"/>
        <c:majorGridlines/>
        <c:title>
          <c:tx>
            <c:rich>
              <a:bodyPr/>
              <a:lstStyle/>
              <a:p>
                <a:pPr>
                  <a:defRPr sz="2400"/>
                </a:pPr>
                <a:r>
                  <a:rPr lang="en-US" sz="2400"/>
                  <a:t>Range [miles]</a:t>
                </a:r>
              </a:p>
            </c:rich>
          </c:tx>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a:t>
            </a:r>
            <a:r>
              <a:rPr lang="en-US" sz="2400" baseline="0"/>
              <a:t> Plus- [DC Wh/mi]</a:t>
            </a:r>
            <a:endParaRPr lang="en-US" sz="2400"/>
          </a:p>
        </c:rich>
      </c:tx>
      <c:layout>
        <c:manualLayout>
          <c:xMode val="edge"/>
          <c:yMode val="edge"/>
          <c:x val="0.33800193460016464"/>
          <c:y val="1.7435899045163881E-2"/>
        </c:manualLayout>
      </c:layout>
      <c:overlay val="0"/>
    </c:title>
    <c:autoTitleDeleted val="0"/>
    <c:plotArea>
      <c:layout/>
      <c:barChart>
        <c:barDir val="col"/>
        <c:grouping val="clustered"/>
        <c:varyColors val="0"/>
        <c:ser>
          <c:idx val="3"/>
          <c:order val="0"/>
          <c:tx>
            <c:strRef>
              <c:f>'J1634 Calcs no precondition'!$AD$6</c:f>
              <c:strCache>
                <c:ptCount val="1"/>
                <c:pt idx="0">
                  <c:v>-18C Ambient with 22C Cabin</c:v>
                </c:pt>
              </c:strCache>
            </c:strRef>
          </c:tx>
          <c:spPr>
            <a:solidFill>
              <a:schemeClr val="accent4"/>
            </a:solidFill>
          </c:spPr>
          <c:invertIfNegative val="0"/>
          <c:dLbls>
            <c:dLbl>
              <c:idx val="0"/>
              <c:layout>
                <c:manualLayout>
                  <c:x val="1.4887582923543822E-3"/>
                  <c:y val="7.9889789833237929E-3"/>
                </c:manualLayout>
              </c:layout>
              <c:tx>
                <c:rich>
                  <a:bodyPr wrap="square" lIns="38100" tIns="19050" rIns="38100" bIns="19050" anchor="ctr">
                    <a:spAutoFit/>
                  </a:bodyPr>
                  <a:lstStyle/>
                  <a:p>
                    <a:pPr>
                      <a:defRPr sz="1000" b="1"/>
                    </a:pPr>
                    <a:fld id="{52E43E02-3978-4016-A209-E6333B24FF45}" type="CELLREF">
                      <a:rPr lang="en-US"/>
                      <a:pPr>
                        <a:defRPr sz="1000" b="1"/>
                      </a:pPr>
                      <a:t>[CELLREF]</a:t>
                    </a:fld>
                    <a:endParaRPr lang="en-US"/>
                  </a:p>
                </c:rich>
              </c:tx>
              <c:numFmt formatCode="0.0" sourceLinked="0"/>
              <c:spPr>
                <a:noFill/>
                <a:ln>
                  <a:noFill/>
                </a:ln>
                <a:effectLst/>
              </c:spPr>
              <c:showLegendKey val="0"/>
              <c:showVal val="1"/>
              <c:showCatName val="0"/>
              <c:showSerName val="0"/>
              <c:showPercent val="0"/>
              <c:showBubbleSize val="0"/>
              <c:extLst>
                <c:ext xmlns:c15="http://schemas.microsoft.com/office/drawing/2012/chart" uri="{CE6537A1-D6FC-4f65-9D91-7224C49458BB}">
                  <c15:layout/>
                  <c15:dlblFieldTable>
                    <c15:dlblFTEntry>
                      <c15:txfldGUID>{52E43E02-3978-4016-A209-E6333B24FF45}</c15:txfldGUID>
                      <c15:f>'J1634 Calcs no precondition'!$AD$31</c15:f>
                      <c15:dlblFieldTableCache>
                        <c:ptCount val="1"/>
                        <c:pt idx="0">
                          <c:v>158%</c:v>
                        </c:pt>
                      </c15:dlblFieldTableCache>
                    </c15:dlblFTEntry>
                  </c15:dlblFieldTable>
                  <c15:showDataLabelsRange val="0"/>
                </c:ext>
                <c:ext xmlns:c16="http://schemas.microsoft.com/office/drawing/2014/chart" uri="{C3380CC4-5D6E-409C-BE32-E72D297353CC}">
                  <c16:uniqueId val="{00000000-0DD2-4312-9695-048E2B56BB68}"/>
                </c:ext>
              </c:extLst>
            </c:dLbl>
            <c:dLbl>
              <c:idx val="1"/>
              <c:layout/>
              <c:tx>
                <c:rich>
                  <a:bodyPr/>
                  <a:lstStyle/>
                  <a:p>
                    <a:fld id="{278C50B6-F0A0-4D9D-8499-A95AE0147AB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{278C50B6-F0A0-4D9D-8499-A95AE0147AB8}</c15:txfldGUID>
                      <c15:f>'J1634 Calcs no precondition'!$AD$32</c15:f>
                      <c15:dlblFieldTableCache>
                        <c:ptCount val="1"/>
                        <c:pt idx="0">
                          <c:v>64%</c:v>
                        </c:pt>
                      </c15:dlblFieldTableCache>
                    </c15:dlblFTEntry>
                  </c15:dlblFieldTable>
                  <c15:showDataLabelsRange val="0"/>
                </c:ext>
                <c:ext xmlns:c16="http://schemas.microsoft.com/office/drawing/2014/chart" uri="{C3380CC4-5D6E-409C-BE32-E72D297353CC}">
                  <c16:uniqueId val="{00000001-0DD2-4312-9695-048E2B56BB68}"/>
                </c:ext>
              </c:extLst>
            </c:dLbl>
            <c:dLbl>
              <c:idx val="2"/>
              <c:layout/>
              <c:tx>
                <c:rich>
                  <a:bodyPr/>
                  <a:lstStyle/>
                  <a:p>
                    <a:fld id="{442F3CF2-3A01-456C-B60A-76C81495117F}"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{442F3CF2-3A01-456C-B60A-76C81495117F}</c15:txfldGUID>
                      <c15:f>'J1634 Calcs no precondition'!$AD$33</c15:f>
                      <c15:dlblFieldTableCache>
                        <c:ptCount val="1"/>
                        <c:pt idx="0">
                          <c:v>154%</c:v>
                        </c:pt>
                      </c15:dlblFieldTableCache>
                    </c15:dlblFTEntry>
                  </c15:dlblFieldTable>
                  <c15:showDataLabelsRange val="0"/>
                </c:ext>
                <c:ext xmlns:c16="http://schemas.microsoft.com/office/drawing/2014/chart" uri="{C3380CC4-5D6E-409C-BE32-E72D297353CC}">
                  <c16:uniqueId val="{00000002-0DD2-4312-9695-048E2B56BB68}"/>
                </c:ext>
              </c:extLst>
            </c:dLbl>
            <c:dLbl>
              <c:idx val="3"/>
              <c:layout/>
              <c:tx>
                <c:rich>
                  <a:bodyPr/>
                  <a:lstStyle/>
                  <a:p>
                    <a:fld id="{AFC1A4FD-059A-4D03-835F-B30A5A73936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{AFC1A4FD-059A-4D03-835F-B30A5A739363}</c15:txfldGUID>
                      <c15:f>'J1634 Calcs no precondition'!$AD$34</c15:f>
                      <c15:dlblFieldTableCache>
                        <c:ptCount val="1"/>
                        <c:pt idx="0">
                          <c:v>49%</c:v>
                        </c:pt>
                      </c15:dlblFieldTableCache>
                    </c15:dlblFTEntry>
                  </c15:dlblFieldTable>
                  <c15:showDataLabelsRange val="0"/>
                </c:ext>
                <c:ext xmlns:c16="http://schemas.microsoft.com/office/drawing/2014/chart" uri="{C3380CC4-5D6E-409C-BE32-E72D297353CC}">
                  <c16:uniqueId val="{00000003-0DD2-4312-9695-048E2B56BB68}"/>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precondition'!$AC$7:$AC$10</c:f>
              <c:strCache>
                <c:ptCount val="4"/>
                <c:pt idx="0">
                  <c:v>UDDS#1</c:v>
                </c:pt>
                <c:pt idx="1">
                  <c:v>HWY#1</c:v>
                </c:pt>
                <c:pt idx="2">
                  <c:v>UDDS#2</c:v>
                </c:pt>
                <c:pt idx="3">
                  <c:v>US06#1</c:v>
                </c:pt>
              </c:strCache>
            </c:strRef>
          </c:cat>
          <c:val>
            <c:numRef>
              <c:f>'J1634 Calcs no precondition'!$AD$7:$AD$10</c:f>
              <c:numCache>
                <c:formatCode>0</c:formatCode>
                <c:ptCount val="4"/>
                <c:pt idx="0">
                  <c:v>539.57030404629222</c:v>
                </c:pt>
                <c:pt idx="1">
                  <c:v>359.09103531634133</c:v>
                </c:pt>
                <c:pt idx="2">
                  <c:v>468.77459057259136</c:v>
                </c:pt>
                <c:pt idx="3">
                  <c:v>449.02449074659825</c:v>
                </c:pt>
              </c:numCache>
            </c:numRef>
          </c:val>
          <c:extLst>
            <c:ext xmlns:c16="http://schemas.microsoft.com/office/drawing/2014/chart" uri="{C3380CC4-5D6E-409C-BE32-E72D297353CC}">
              <c16:uniqueId val="{00000004-0DD2-4312-9695-048E2B56BB68}"/>
            </c:ext>
          </c:extLst>
        </c:ser>
        <c:ser>
          <c:idx val="4"/>
          <c:order val="1"/>
          <c:tx>
            <c:strRef>
              <c:f>'J1634 Calcs no precondition'!$AE$6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dLbl>
              <c:idx val="0"/>
              <c:layout>
                <c:manualLayout>
                  <c:x val="5.2672885953812523E-3"/>
                  <c:y val="5.5504930544144184E-4"/>
                </c:manualLayout>
              </c:layout>
              <c:tx>
                <c:rich>
                  <a:bodyPr/>
                  <a:lstStyle/>
                  <a:p>
                    <a:fld id="{EE280A60-2456-4D2E-BB6A-F8C1F9FCF6B2}"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{EE280A60-2456-4D2E-BB6A-F8C1F9FCF6B2}</c15:txfldGUID>
                      <c15:f>'J1634 Calcs no precondition'!$AE$31</c15:f>
                      <c15:dlblFieldTableCache>
                        <c:ptCount val="1"/>
                        <c:pt idx="0">
                          <c:v>117%</c:v>
                        </c:pt>
                      </c15:dlblFieldTableCache>
                    </c15:dlblFTEntry>
                  </c15:dlblFieldTable>
                  <c15:showDataLabelsRange val="0"/>
                </c:ext>
                <c:ext xmlns:c16="http://schemas.microsoft.com/office/drawing/2014/chart" uri="{C3380CC4-5D6E-409C-BE32-E72D297353CC}">
                  <c16:uniqueId val="{00000005-0DD2-4312-9695-048E2B56BB68}"/>
                </c:ext>
              </c:extLst>
            </c:dLbl>
            <c:dLbl>
              <c:idx val="1"/>
              <c:layout>
                <c:manualLayout>
                  <c:x val="2.9774922838920427E-3"/>
                  <c:y val="-4.8094838738527417E-3"/>
                </c:manualLayout>
              </c:layout>
              <c:tx>
                <c:rich>
                  <a:bodyPr/>
                  <a:lstStyle/>
                  <a:p>
                    <a:fld id="{9FECD5AD-BD6C-4254-AA0C-06FAB75325B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{9FECD5AD-BD6C-4254-AA0C-06FAB75325B9}</c15:txfldGUID>
                      <c15:f>'J1634 Calcs no precondition'!$AE$32</c15:f>
                      <c15:dlblFieldTableCache>
                        <c:ptCount val="1"/>
                        <c:pt idx="0">
                          <c:v>38%</c:v>
                        </c:pt>
                      </c15:dlblFieldTableCache>
                    </c15:dlblFTEntry>
                  </c15:dlblFieldTable>
                  <c15:showDataLabelsRange val="0"/>
                </c:ext>
                <c:ext xmlns:c16="http://schemas.microsoft.com/office/drawing/2014/chart" uri="{C3380CC4-5D6E-409C-BE32-E72D297353CC}">
                  <c16:uniqueId val="{00000006-0DD2-4312-9695-048E2B56BB68}"/>
                </c:ext>
              </c:extLst>
            </c:dLbl>
            <c:dLbl>
              <c:idx val="2"/>
              <c:layout>
                <c:manualLayout>
                  <c:x val="1.4887461419460213E-3"/>
                  <c:y val="-7.3003265945904847E-3"/>
                </c:manualLayout>
              </c:layout>
              <c:tx>
                <c:rich>
                  <a:bodyPr/>
                  <a:lstStyle/>
                  <a:p>
                    <a:fld id="{75230619-B04C-4725-9A36-D6B8E292A4A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{75230619-B04C-4725-9A36-D6B8E292A4A6}</c15:txfldGUID>
                      <c15:f>'J1634 Calcs no precondition'!$AE$33</c15:f>
                      <c15:dlblFieldTableCache>
                        <c:ptCount val="1"/>
                        <c:pt idx="0">
                          <c:v>93%</c:v>
                        </c:pt>
                      </c15:dlblFieldTableCache>
                    </c15:dlblFTEntry>
                  </c15:dlblFieldTable>
                  <c15:showDataLabelsRange val="0"/>
                </c:ext>
                <c:ext xmlns:c16="http://schemas.microsoft.com/office/drawing/2014/chart" uri="{C3380CC4-5D6E-409C-BE32-E72D297353CC}">
                  <c16:uniqueId val="{00000007-0DD2-4312-9695-048E2B56BB68}"/>
                </c:ext>
              </c:extLst>
            </c:dLbl>
            <c:dLbl>
              <c:idx val="3"/>
              <c:layout>
                <c:manualLayout>
                  <c:x val="3.4346797661501992E-3"/>
                  <c:y val="-1.2454213603688487E-2"/>
                </c:manualLayout>
              </c:layout>
              <c:tx>
                <c:rich>
                  <a:bodyPr/>
                  <a:lstStyle/>
                  <a:p>
                    <a:fld id="{FB648D01-B296-4880-8704-DB4D503FBF20}"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{FB648D01-B296-4880-8704-DB4D503FBF20}</c15:txfldGUID>
                      <c15:f>'J1634 Calcs no precondition'!$AE$34</c15:f>
                      <c15:dlblFieldTableCache>
                        <c:ptCount val="1"/>
                        <c:pt idx="0">
                          <c:v>25%</c:v>
                        </c:pt>
                      </c15:dlblFieldTableCache>
                    </c15:dlblFTEntry>
                  </c15:dlblFieldTable>
                  <c15:showDataLabelsRange val="0"/>
                </c:ext>
                <c:ext xmlns:c16="http://schemas.microsoft.com/office/drawing/2014/chart" uri="{C3380CC4-5D6E-409C-BE32-E72D297353CC}">
                  <c16:uniqueId val="{00000008-0DD2-4312-9695-048E2B56BB68}"/>
                </c:ext>
              </c:extLst>
            </c:dLbl>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'J1634 Calcs no precondition'!$AC$7:$AC$10</c:f>
              <c:strCache>
                <c:ptCount val="4"/>
                <c:pt idx="0">
                  <c:v>UDDS#1</c:v>
                </c:pt>
                <c:pt idx="1">
                  <c:v>HWY#1</c:v>
                </c:pt>
                <c:pt idx="2">
                  <c:v>UDDS#2</c:v>
                </c:pt>
                <c:pt idx="3">
                  <c:v>US06#1</c:v>
                </c:pt>
              </c:strCache>
            </c:strRef>
          </c:cat>
          <c:val>
            <c:numRef>
              <c:f>'J1634 Calcs no precondition'!$AE$7:$AE$10</c:f>
              <c:numCache>
                <c:formatCode>0</c:formatCode>
                <c:ptCount val="4"/>
                <c:pt idx="0">
                  <c:v>454.22105247703433</c:v>
                </c:pt>
                <c:pt idx="1">
                  <c:v>303.34532435039824</c:v>
                </c:pt>
                <c:pt idx="2">
                  <c:v>355.65285258307136</c:v>
                </c:pt>
                <c:pt idx="3">
                  <c:v>375.3819379986947</c:v>
                </c:pt>
              </c:numCache>
            </c:numRef>
          </c:val>
          <c:extLst>
            <c:ext xmlns:c16="http://schemas.microsoft.com/office/drawing/2014/chart" uri="{C3380CC4-5D6E-409C-BE32-E72D297353CC}">
              <c16:uniqueId val="{00000009-0DD2-4312-9695-048E2B56BB68}"/>
            </c:ext>
          </c:extLst>
        </c:ser>
        <c:ser>
          <c:idx val="6"/>
          <c:order val="2"/>
          <c:tx>
            <c:strRef>
              <c:f>'J1634 Calcs no precondition'!$AF$6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B7E1C937-2013-4F43-A17D-8202EF311EC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{B7E1C937-2013-4F43-A17D-8202EF311EC5}</c15:txfldGUID>
                      <c15:f>'J1634 Calcs no precondition'!$AF$31</c15:f>
                      <c15:dlblFieldTableCache>
                        <c:ptCount val="1"/>
                        <c:pt idx="0">
                          <c:v>73%</c:v>
                        </c:pt>
                      </c15:dlblFieldTableCache>
                    </c15:dlblFTEntry>
                  </c15:dlblFieldTable>
                  <c15:showDataLabelsRange val="0"/>
                </c:ext>
                <c:ext xmlns:c16="http://schemas.microsoft.com/office/drawing/2014/chart" uri="{C3380CC4-5D6E-409C-BE32-E72D297353CC}">
                  <c16:uniqueId val="{0000000A-0DD2-4312-9695-048E2B56BB68}"/>
                </c:ext>
              </c:extLst>
            </c:dLbl>
            <c:dLbl>
              <c:idx val="1"/>
              <c:layout>
                <c:manualLayout>
                  <c:x val="4.4662748770631462E-3"/>
                  <c:y val="-4.8820974247362615E-17"/>
                </c:manualLayout>
              </c:layout>
              <c:tx>
                <c:rich>
                  <a:bodyPr/>
                  <a:lstStyle/>
                  <a:p>
                    <a:fld id="{127E56AE-8973-4D0F-9264-AAE3E866444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{127E56AE-8973-4D0F-9264-AAE3E8664441}</c15:txfldGUID>
                      <c15:f>'J1634 Calcs no precondition'!$AF$32</c15:f>
                      <c15:dlblFieldTableCache>
                        <c:ptCount val="1"/>
                        <c:pt idx="0">
                          <c:v>31%</c:v>
                        </c:pt>
                      </c15:dlblFieldTableCache>
                    </c15:dlblFTEntry>
                  </c15:dlblFieldTable>
                  <c15:showDataLabelsRange val="0"/>
                </c:ext>
                <c:ext xmlns:c16="http://schemas.microsoft.com/office/drawing/2014/chart" uri="{C3380CC4-5D6E-409C-BE32-E72D297353CC}">
                  <c16:uniqueId val="{0000000B-0DD2-4312-9695-048E2B56BB68}"/>
                </c:ext>
              </c:extLst>
            </c:dLbl>
            <c:dLbl>
              <c:idx val="2"/>
              <c:layout>
                <c:manualLayout>
                  <c:x val="2.9775165847087644E-3"/>
                  <c:y val="2.6629929944412154E-3"/>
                </c:manualLayout>
              </c:layout>
              <c:tx>
                <c:rich>
                  <a:bodyPr/>
                  <a:lstStyle/>
                  <a:p>
                    <a:fld id="{F2FE6A01-4D7C-46FB-94C2-09AD76DF338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{F2FE6A01-4D7C-46FB-94C2-09AD76DF338D}</c15:txfldGUID>
                      <c15:f>'J1634 Calcs no precondition'!$AF$33</c15:f>
                      <c15:dlblFieldTableCache>
                        <c:ptCount val="1"/>
                        <c:pt idx="0">
                          <c:v>81%</c:v>
                        </c:pt>
                      </c15:dlblFieldTableCache>
                    </c15:dlblFTEntry>
                  </c15:dlblFieldTable>
                  <c15:showDataLabelsRange val="0"/>
                </c:ext>
                <c:ext xmlns:c16="http://schemas.microsoft.com/office/drawing/2014/chart" uri="{C3380CC4-5D6E-409C-BE32-E72D297353CC}">
                  <c16:uniqueId val="{0000000C-0DD2-4312-9695-048E2B56BB68}"/>
                </c:ext>
              </c:extLst>
            </c:dLbl>
            <c:dLbl>
              <c:idx val="3"/>
              <c:layout>
                <c:manualLayout>
                  <c:x val="-9.957647873211931E-17"/>
                  <c:y val="4.9816854414753949E-3"/>
                </c:manualLayout>
              </c:layout>
              <c:tx>
                <c:rich>
                  <a:bodyPr/>
                  <a:lstStyle/>
                  <a:p>
                    <a:fld id="{762A62A6-AE4A-419F-BE75-2F501898271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{762A62A6-AE4A-419F-BE75-2F5018982713}</c15:txfldGUID>
                      <c15:f>'J1634 Calcs no precondition'!$AF$34</c15:f>
                      <c15:dlblFieldTableCache>
                        <c:ptCount val="1"/>
                        <c:pt idx="0">
                          <c:v>21%</c:v>
                        </c:pt>
                      </c15:dlblFieldTableCache>
                    </c15:dlblFTEntry>
                  </c15:dlblFieldTable>
                  <c15:showDataLabelsRange val="0"/>
                </c:ext>
                <c:ext xmlns:c16="http://schemas.microsoft.com/office/drawing/2014/chart" uri="{C3380CC4-5D6E-409C-BE32-E72D297353CC}">
                  <c16:uniqueId val="{0000000D-0DD2-4312-9695-048E2B56BB68}"/>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precondition'!$AC$7:$AC$10</c:f>
              <c:strCache>
                <c:ptCount val="4"/>
                <c:pt idx="0">
                  <c:v>UDDS#1</c:v>
                </c:pt>
                <c:pt idx="1">
                  <c:v>HWY#1</c:v>
                </c:pt>
                <c:pt idx="2">
                  <c:v>UDDS#2</c:v>
                </c:pt>
                <c:pt idx="3">
                  <c:v>US06#1</c:v>
                </c:pt>
              </c:strCache>
            </c:strRef>
          </c:cat>
          <c:val>
            <c:numRef>
              <c:f>'J1634 Calcs no precondition'!$AF$7:$AF$10</c:f>
              <c:numCache>
                <c:formatCode>0</c:formatCode>
                <c:ptCount val="4"/>
                <c:pt idx="0">
                  <c:v>362.12279082035781</c:v>
                </c:pt>
                <c:pt idx="1">
                  <c:v>286.97784376953621</c:v>
                </c:pt>
                <c:pt idx="2">
                  <c:v>333.17954577589052</c:v>
                </c:pt>
                <c:pt idx="3">
                  <c:v>364.80216254486703</c:v>
                </c:pt>
              </c:numCache>
            </c:numRef>
          </c:val>
          <c:extLst>
            <c:ext xmlns:c16="http://schemas.microsoft.com/office/drawing/2014/chart" uri="{C3380CC4-5D6E-409C-BE32-E72D297353CC}">
              <c16:uniqueId val="{0000000E-0DD2-4312-9695-048E2B56BB68}"/>
            </c:ext>
          </c:extLst>
        </c:ser>
        <c:ser>
          <c:idx val="0"/>
          <c:order val="3"/>
          <c:tx>
            <c:strRef>
              <c:f>'J1634 Calcs no precondition'!$AG$6</c:f>
              <c:strCache>
                <c:ptCount val="1"/>
                <c:pt idx="0">
                  <c:v>22C Ambient with Climate off</c:v>
                </c:pt>
              </c:strCache>
            </c:strRef>
          </c:tx>
          <c:spPr>
            <a:solidFill>
              <a:schemeClr val="accent3"/>
            </a:solidFill>
          </c:spPr>
          <c:invertIfNegative val="0"/>
          <c:cat>
            <c:strRef>
              <c:f>'J1634 Calcs no precondition'!$AC$7:$AC$10</c:f>
              <c:strCache>
                <c:ptCount val="4"/>
                <c:pt idx="0">
                  <c:v>UDDS#1</c:v>
                </c:pt>
                <c:pt idx="1">
                  <c:v>HWY#1</c:v>
                </c:pt>
                <c:pt idx="2">
                  <c:v>UDDS#2</c:v>
                </c:pt>
                <c:pt idx="3">
                  <c:v>US06#1</c:v>
                </c:pt>
              </c:strCache>
            </c:strRef>
          </c:cat>
          <c:val>
            <c:numRef>
              <c:f>'J1634 Calcs no precondition'!$AG$7:$AG$10</c:f>
              <c:numCache>
                <c:formatCode>0</c:formatCode>
                <c:ptCount val="4"/>
                <c:pt idx="0">
                  <c:v>209.4282460330657</c:v>
                </c:pt>
                <c:pt idx="1">
                  <c:v>219.60358492135728</c:v>
                </c:pt>
                <c:pt idx="2">
                  <c:v>184.48504647904815</c:v>
                </c:pt>
                <c:pt idx="3">
                  <c:v>301.41035271617523</c:v>
                </c:pt>
              </c:numCache>
            </c:numRef>
          </c:val>
          <c:extLst>
            <c:ext xmlns:c16="http://schemas.microsoft.com/office/drawing/2014/chart" uri="{C3380CC4-5D6E-409C-BE32-E72D297353CC}">
              <c16:uniqueId val="{0000000F-0DD2-4312-9695-048E2B56BB68}"/>
            </c:ext>
          </c:extLst>
        </c:ser>
        <c:ser>
          <c:idx val="1"/>
          <c:order val="4"/>
          <c:tx>
            <c:strRef>
              <c:f>'J1634 Calcs no precondition'!$AH$6</c:f>
              <c:strCache>
                <c:ptCount val="1"/>
                <c:pt idx="0">
                  <c:v>35C Ambient with 22C Cabin</c:v>
                </c:pt>
              </c:strCache>
            </c:strRef>
          </c:tx>
          <c:spPr>
            <a:solidFill>
              <a:schemeClr val="accent2"/>
            </a:solidFill>
          </c:spPr>
          <c:invertIfNegative val="0"/>
          <c:dLbls>
            <c:dLbl>
              <c:idx val="0"/>
              <c:layout>
                <c:manualLayout>
                  <c:x val="-6.0044151362795388E-3"/>
                  <c:y val="-2.6365959097054688E-3"/>
                </c:manualLayout>
              </c:layout>
              <c:tx>
                <c:rich>
                  <a:bodyPr/>
                  <a:lstStyle/>
                  <a:p>
                    <a:fld id="{6D1B4943-BBAB-4942-A8FF-49E2995AC5EA}"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{6D1B4943-BBAB-4942-A8FF-49E2995AC5EA}</c15:txfldGUID>
                      <c15:f>'J1634 Calcs no precondition'!$AH$31</c15:f>
                      <c15:dlblFieldTableCache>
                        <c:ptCount val="1"/>
                        <c:pt idx="0">
                          <c:v>48%</c:v>
                        </c:pt>
                      </c15:dlblFieldTableCache>
                    </c15:dlblFTEntry>
                  </c15:dlblFieldTable>
                  <c15:showDataLabelsRange val="0"/>
                </c:ext>
                <c:ext xmlns:c16="http://schemas.microsoft.com/office/drawing/2014/chart" uri="{C3380CC4-5D6E-409C-BE32-E72D297353CC}">
                  <c16:uniqueId val="{00000010-0DD2-4312-9695-048E2B56BB68}"/>
                </c:ext>
              </c:extLst>
            </c:dLbl>
            <c:dLbl>
              <c:idx val="1"/>
              <c:layout/>
              <c:tx>
                <c:rich>
                  <a:bodyPr/>
                  <a:lstStyle/>
                  <a:p>
                    <a:fld id="{26842B5A-D389-4A5F-A18F-79E697E6BD77}"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{26842B5A-D389-4A5F-A18F-79E697E6BD77}</c15:txfldGUID>
                      <c15:f>'J1634 Calcs no precondition'!$AH$32</c15:f>
                      <c15:dlblFieldTableCache>
                        <c:ptCount val="1"/>
                        <c:pt idx="0">
                          <c:v>6%</c:v>
                        </c:pt>
                      </c15:dlblFieldTableCache>
                    </c15:dlblFTEntry>
                  </c15:dlblFieldTable>
                  <c15:showDataLabelsRange val="0"/>
                </c:ext>
                <c:ext xmlns:c16="http://schemas.microsoft.com/office/drawing/2014/chart" uri="{C3380CC4-5D6E-409C-BE32-E72D297353CC}">
                  <c16:uniqueId val="{00000011-0DD2-4312-9695-048E2B56BB68}"/>
                </c:ext>
              </c:extLst>
            </c:dLbl>
            <c:dLbl>
              <c:idx val="2"/>
              <c:layout/>
              <c:tx>
                <c:rich>
                  <a:bodyPr/>
                  <a:lstStyle/>
                  <a:p>
                    <a:fld id="{5B2549FF-5755-4525-BF79-3B89BB1386E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{5B2549FF-5755-4525-BF79-3B89BB1386E3}</c15:txfldGUID>
                      <c15:f>'J1634 Calcs no precondition'!$AH$33</c15:f>
                      <c15:dlblFieldTableCache>
                        <c:ptCount val="1"/>
                        <c:pt idx="0">
                          <c:v>34%</c:v>
                        </c:pt>
                      </c15:dlblFieldTableCache>
                    </c15:dlblFTEntry>
                  </c15:dlblFieldTable>
                  <c15:showDataLabelsRange val="0"/>
                </c:ext>
                <c:ext xmlns:c16="http://schemas.microsoft.com/office/drawing/2014/chart" uri="{C3380CC4-5D6E-409C-BE32-E72D297353CC}">
                  <c16:uniqueId val="{00000012-0DD2-4312-9695-048E2B56BB68}"/>
                </c:ext>
              </c:extLst>
            </c:dLbl>
            <c:dLbl>
              <c:idx val="3"/>
              <c:layout/>
              <c:tx>
                <c:rich>
                  <a:bodyPr/>
                  <a:lstStyle/>
                  <a:p>
                    <a:fld id="{477A16E0-06E9-4E77-9235-E98B58BDEC0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{477A16E0-06E9-4E77-9235-E98B58BDEC09}</c15:txfldGUID>
                      <c15:f>'J1634 Calcs no precondition'!$AH$34</c15:f>
                      <c15:dlblFieldTableCache>
                        <c:ptCount val="1"/>
                        <c:pt idx="0">
                          <c:v>3%</c:v>
                        </c:pt>
                      </c15:dlblFieldTableCache>
                    </c15:dlblFTEntry>
                  </c15:dlblFieldTable>
                  <c15:showDataLabelsRange val="0"/>
                </c:ext>
                <c:ext xmlns:c16="http://schemas.microsoft.com/office/drawing/2014/chart" uri="{C3380CC4-5D6E-409C-BE32-E72D297353CC}">
                  <c16:uniqueId val="{00000013-0DD2-4312-9695-048E2B56BB68}"/>
                </c:ext>
              </c:extLst>
            </c:dLbl>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precondition'!$AC$7:$AC$10</c:f>
              <c:strCache>
                <c:ptCount val="4"/>
                <c:pt idx="0">
                  <c:v>UDDS#1</c:v>
                </c:pt>
                <c:pt idx="1">
                  <c:v>HWY#1</c:v>
                </c:pt>
                <c:pt idx="2">
                  <c:v>UDDS#2</c:v>
                </c:pt>
                <c:pt idx="3">
                  <c:v>US06#1</c:v>
                </c:pt>
              </c:strCache>
            </c:strRef>
          </c:cat>
          <c:val>
            <c:numRef>
              <c:f>'J1634 Calcs no precondition'!$AH$7:$AH$10</c:f>
              <c:numCache>
                <c:formatCode>0</c:formatCode>
                <c:ptCount val="4"/>
                <c:pt idx="0">
                  <c:v>310.37308558405277</c:v>
                </c:pt>
                <c:pt idx="1">
                  <c:v>232.78653137069216</c:v>
                </c:pt>
                <c:pt idx="2">
                  <c:v>247.11909501717622</c:v>
                </c:pt>
                <c:pt idx="3">
                  <c:v>311.83267705480091</c:v>
                </c:pt>
              </c:numCache>
            </c:numRef>
          </c:val>
          <c:extLst>
            <c:ext xmlns:c16="http://schemas.microsoft.com/office/drawing/2014/chart" uri="{C3380CC4-5D6E-409C-BE32-E72D297353CC}">
              <c16:uniqueId val="{00000014-0DD2-4312-9695-048E2B56BB68}"/>
            </c:ext>
          </c:extLst>
        </c:ser>
        <c:ser>
          <c:idx val="2"/>
          <c:order val="5"/>
          <c:tx>
            <c:strRef>
              <c:f>'J1634 Calcs no precondition'!$AI$6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262F8C60-5F18-4571-9B9B-CD28507D148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{262F8C60-5F18-4571-9B9B-CD28507D1488}</c15:txfldGUID>
                      <c15:f>'J1634 Calcs no precondition'!$AI$31</c15:f>
                      <c15:dlblFieldTableCache>
                        <c:ptCount val="1"/>
                        <c:pt idx="0">
                          <c:v>22%</c:v>
                        </c:pt>
                      </c15:dlblFieldTableCache>
                    </c15:dlblFTEntry>
                  </c15:dlblFieldTable>
                  <c15:showDataLabelsRange val="0"/>
                </c:ext>
                <c:ext xmlns:c16="http://schemas.microsoft.com/office/drawing/2014/chart" uri="{C3380CC4-5D6E-409C-BE32-E72D297353CC}">
                  <c16:uniqueId val="{00000015-0DD2-4312-9695-048E2B56BB68}"/>
                </c:ext>
              </c:extLst>
            </c:dLbl>
            <c:dLbl>
              <c:idx val="1"/>
              <c:layout/>
              <c:tx>
                <c:rich>
                  <a:bodyPr/>
                  <a:lstStyle/>
                  <a:p>
                    <a:fld id="{BFE461CE-778B-4C1C-BB7A-D60BCAD641F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{BFE461CE-778B-4C1C-BB7A-D60BCAD641F8}</c15:txfldGUID>
                      <c15:f>'J1634 Calcs no precondition'!$AI$32</c15:f>
                      <c15:dlblFieldTableCache>
                        <c:ptCount val="1"/>
                        <c:pt idx="0">
                          <c:v>2%</c:v>
                        </c:pt>
                      </c15:dlblFieldTableCache>
                    </c15:dlblFTEntry>
                  </c15:dlblFieldTable>
                  <c15:showDataLabelsRange val="0"/>
                </c:ext>
                <c:ext xmlns:c16="http://schemas.microsoft.com/office/drawing/2014/chart" uri="{C3380CC4-5D6E-409C-BE32-E72D297353CC}">
                  <c16:uniqueId val="{00000016-0DD2-4312-9695-048E2B56BB68}"/>
                </c:ext>
              </c:extLst>
            </c:dLbl>
            <c:dLbl>
              <c:idx val="2"/>
              <c:layout>
                <c:manualLayout>
                  <c:x val="2.715753519493604E-3"/>
                  <c:y val="0"/>
                </c:manualLayout>
              </c:layout>
              <c:tx>
                <c:rich>
                  <a:bodyPr/>
                  <a:lstStyle/>
                  <a:p>
                    <a:fld id="{293DD5E2-9595-4034-9DA9-087504F650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{293DD5E2-9595-4034-9DA9-087504F650E6}</c15:txfldGUID>
                      <c15:f>'J1634 Calcs no precondition'!$AI$33</c15:f>
                      <c15:dlblFieldTableCache>
                        <c:ptCount val="1"/>
                        <c:pt idx="0">
                          <c:v>14%</c:v>
                        </c:pt>
                      </c15:dlblFieldTableCache>
                    </c15:dlblFTEntry>
                  </c15:dlblFieldTable>
                  <c15:showDataLabelsRange val="0"/>
                </c:ext>
                <c:ext xmlns:c16="http://schemas.microsoft.com/office/drawing/2014/chart" uri="{C3380CC4-5D6E-409C-BE32-E72D297353CC}">
                  <c16:uniqueId val="{00000017-0DD2-4312-9695-048E2B56BB68}"/>
                </c:ext>
              </c:extLst>
            </c:dLbl>
            <c:dLbl>
              <c:idx val="3"/>
              <c:layout/>
              <c:tx>
                <c:rich>
                  <a:bodyPr/>
                  <a:lstStyle/>
                  <a:p>
                    <a:fld id="{97184EC5-AE69-4A7E-A4AD-AAEA9F0557D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{97184EC5-AE69-4A7E-A4AD-AAEA9F0557DD}</c15:txfldGUID>
                      <c15:f>'J1634 Calcs no precondition'!$AI$34</c15:f>
                      <c15:dlblFieldTableCache>
                        <c:ptCount val="1"/>
                        <c:pt idx="0">
                          <c:v>0%</c:v>
                        </c:pt>
                      </c15:dlblFieldTableCache>
                    </c15:dlblFTEntry>
                  </c15:dlblFieldTable>
                  <c15:showDataLabelsRange val="0"/>
                </c:ext>
                <c:ext xmlns:c16="http://schemas.microsoft.com/office/drawing/2014/chart" uri="{C3380CC4-5D6E-409C-BE32-E72D297353CC}">
                  <c16:uniqueId val="{00000018-0DD2-4312-9695-048E2B56BB68}"/>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precondition'!$AC$7:$AC$10</c:f>
              <c:strCache>
                <c:ptCount val="4"/>
                <c:pt idx="0">
                  <c:v>UDDS#1</c:v>
                </c:pt>
                <c:pt idx="1">
                  <c:v>HWY#1</c:v>
                </c:pt>
                <c:pt idx="2">
                  <c:v>UDDS#2</c:v>
                </c:pt>
                <c:pt idx="3">
                  <c:v>US06#1</c:v>
                </c:pt>
              </c:strCache>
            </c:strRef>
          </c:cat>
          <c:val>
            <c:numRef>
              <c:f>'J1634 Calcs no precondition'!$AI$7:$AI$10</c:f>
              <c:numCache>
                <c:formatCode>0</c:formatCode>
                <c:ptCount val="4"/>
                <c:pt idx="0">
                  <c:v>255.36671523792654</c:v>
                </c:pt>
                <c:pt idx="1">
                  <c:v>223.50638166254637</c:v>
                </c:pt>
                <c:pt idx="2">
                  <c:v>209.91474861171858</c:v>
                </c:pt>
                <c:pt idx="3">
                  <c:v>302.11556291577176</c:v>
                </c:pt>
              </c:numCache>
            </c:numRef>
          </c:val>
          <c:extLst>
            <c:ext xmlns:c16="http://schemas.microsoft.com/office/drawing/2014/chart" uri="{C3380CC4-5D6E-409C-BE32-E72D297353CC}">
              <c16:uniqueId val="{00000019-0DD2-4312-9695-048E2B56BB68}"/>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[DC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baseline="0">
                <a:effectLst/>
              </a:rPr>
              <a:t>2019 Nissan Leaf Plus Steady State Energy Consumption</a:t>
            </a:r>
          </a:p>
        </c:rich>
      </c:tx>
      <c:layout>
        <c:manualLayout>
          <c:xMode val="edge"/>
          <c:yMode val="edge"/>
          <c:x val="0.17908342458435084"/>
          <c:y val="2.0782393287319696E-2"/>
        </c:manualLayout>
      </c:layout>
      <c:overlay val="0"/>
    </c:title>
    <c:autoTitleDeleted val="0"/>
    <c:plotArea>
      <c:layout>
        <c:manualLayout>
          <c:layoutTarget val="inner"/>
          <c:xMode val="edge"/>
          <c:yMode val="edge"/>
          <c:x val="0.10723480431832659"/>
          <c:y val="0.17916092150768245"/>
          <c:w val="0.82107257113565391"/>
          <c:h val="0.63937049312528249"/>
        </c:manualLayout>
      </c:layout>
      <c:scatterChart>
        <c:scatterStyle val="lineMarker"/>
        <c:varyColors val="0"/>
        <c:ser>
          <c:idx val="0"/>
          <c:order val="0"/>
          <c:tx>
            <c:strRef>
              <c:f>AVTEReporting!$D$15</c:f>
              <c:strCache>
                <c:ptCount val="1"/>
                <c:pt idx="0">
                  <c:v>0% grade</c:v>
                </c:pt>
              </c:strCache>
            </c:strRef>
          </c:tx>
          <c:spPr>
            <a:ln>
              <a:solidFill>
                <a:srgbClr val="92D050"/>
              </a:solidFill>
            </a:ln>
          </c:spPr>
          <c:marker>
            <c:spPr>
              <a:solidFill>
                <a:srgbClr val="92D050"/>
              </a:solidFill>
              <a:ln>
                <a:solidFill>
                  <a:srgbClr val="92D050"/>
                </a:solidFill>
              </a:ln>
            </c:spPr>
          </c:marker>
          <c:xVal>
            <c:numRef>
              <c:f>AVTEReporting!$A$16:$A$23</c:f>
              <c:numCache>
                <c:formatCode>General</c:formatCode>
                <c:ptCount val="8"/>
                <c:pt idx="0">
                  <c:v>10</c:v>
                </c:pt>
                <c:pt idx="1">
                  <c:v>20</c:v>
                </c:pt>
                <c:pt idx="2">
                  <c:v>30</c:v>
                </c:pt>
                <c:pt idx="3">
                  <c:v>40</c:v>
                </c:pt>
                <c:pt idx="4">
                  <c:v>50</c:v>
                </c:pt>
                <c:pt idx="5">
                  <c:v>60</c:v>
                </c:pt>
                <c:pt idx="6">
                  <c:v>70</c:v>
                </c:pt>
                <c:pt idx="7">
                  <c:v>80</c:v>
                </c:pt>
              </c:numCache>
            </c:numRef>
          </c:xVal>
          <c:yVal>
            <c:numRef>
              <c:f>AVTEReporting!$D$16:$D$23</c:f>
              <c:numCache>
                <c:formatCode>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117A-4FD5-8569-2F5474880881}"/>
            </c:ext>
          </c:extLst>
        </c:ser>
        <c:ser>
          <c:idx val="2"/>
          <c:order val="1"/>
          <c:tx>
            <c:strRef>
              <c:f>AVTEReporting!$E$15</c:f>
              <c:strCache>
                <c:ptCount val="1"/>
                <c:pt idx="0">
                  <c:v>6% grade</c:v>
                </c:pt>
              </c:strCache>
            </c:strRef>
          </c:tx>
          <c:spPr>
            <a:ln>
              <a:solidFill>
                <a:schemeClr val="accent2">
                  <a:lumMod val="75000"/>
                </a:schemeClr>
              </a:solidFill>
            </a:ln>
          </c:spPr>
          <c:marker>
            <c:spPr>
              <a:solidFill>
                <a:schemeClr val="accent2">
                  <a:lumMod val="75000"/>
                </a:schemeClr>
              </a:solidFill>
              <a:ln>
                <a:solidFill>
                  <a:schemeClr val="accent2">
                    <a:lumMod val="75000"/>
                  </a:schemeClr>
                </a:solidFill>
              </a:ln>
            </c:spPr>
          </c:marker>
          <c:xVal>
            <c:numRef>
              <c:f>AVTEReporting!$A$16:$A$23</c:f>
              <c:numCache>
                <c:formatCode>General</c:formatCode>
                <c:ptCount val="8"/>
                <c:pt idx="0">
                  <c:v>10</c:v>
                </c:pt>
                <c:pt idx="1">
                  <c:v>20</c:v>
                </c:pt>
                <c:pt idx="2">
                  <c:v>30</c:v>
                </c:pt>
                <c:pt idx="3">
                  <c:v>40</c:v>
                </c:pt>
                <c:pt idx="4">
                  <c:v>50</c:v>
                </c:pt>
                <c:pt idx="5">
                  <c:v>60</c:v>
                </c:pt>
                <c:pt idx="6">
                  <c:v>70</c:v>
                </c:pt>
                <c:pt idx="7">
                  <c:v>80</c:v>
                </c:pt>
              </c:numCache>
            </c:numRef>
          </c:xVal>
          <c:yVal>
            <c:numRef>
              <c:f>AVTEReporting!$E$16:$E$23</c:f>
              <c:numCache>
                <c:formatCode>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117A-4FD5-8569-2F5474880881}"/>
            </c:ext>
          </c:extLst>
        </c:ser>
        <c:dLbls>
          <c:showLegendKey val="0"/>
          <c:showVal val="0"/>
          <c:showCatName val="0"/>
          <c:showSerName val="0"/>
          <c:showPercent val="0"/>
          <c:showBubbleSize val="0"/>
        </c:dLbls>
        <c:axId val="429209760"/>
        <c:axId val="901367136"/>
        <c:extLst/>
      </c:scatterChart>
      <c:valAx>
        <c:axId val="429209760"/>
        <c:scaling>
          <c:orientation val="minMax"/>
          <c:max val="80"/>
        </c:scaling>
        <c:delete val="0"/>
        <c:axPos val="b"/>
        <c:minorGridlines/>
        <c:title>
          <c:tx>
            <c:rich>
              <a:bodyPr/>
              <a:lstStyle/>
              <a:p>
                <a:pPr>
                  <a:defRPr/>
                </a:pPr>
                <a:r>
                  <a:rPr lang="en-US"/>
                  <a:t>Vehicle speed [mph]</a:t>
                </a:r>
              </a:p>
            </c:rich>
          </c:tx>
          <c:overlay val="0"/>
        </c:title>
        <c:numFmt formatCode="General" sourceLinked="1"/>
        <c:majorTickMark val="out"/>
        <c:minorTickMark val="none"/>
        <c:tickLblPos val="nextTo"/>
        <c:crossAx val="901367136"/>
        <c:crosses val="autoZero"/>
        <c:crossBetween val="midCat"/>
        <c:majorUnit val="20"/>
        <c:minorUnit val="10"/>
      </c:valAx>
      <c:valAx>
        <c:axId val="901367136"/>
        <c:scaling>
          <c:orientation val="minMax"/>
        </c:scaling>
        <c:delete val="0"/>
        <c:axPos val="l"/>
        <c:majorGridlines/>
        <c:title>
          <c:tx>
            <c:rich>
              <a:bodyPr rot="-5400000" vert="horz"/>
              <a:lstStyle/>
              <a:p>
                <a:pPr>
                  <a:defRPr/>
                </a:pPr>
                <a:r>
                  <a:rPr lang="en-US"/>
                  <a:t>Energy Consumption (AC Wh/mi)</a:t>
                </a:r>
              </a:p>
            </c:rich>
          </c:tx>
          <c:overlay val="0"/>
        </c:title>
        <c:numFmt formatCode="General" sourceLinked="0"/>
        <c:majorTickMark val="out"/>
        <c:minorTickMark val="none"/>
        <c:tickLblPos val="nextTo"/>
        <c:crossAx val="429209760"/>
        <c:crosses val="autoZero"/>
        <c:crossBetween val="midCat"/>
      </c:valAx>
    </c:plotArea>
    <c:legend>
      <c:legendPos val="r"/>
      <c:layout>
        <c:manualLayout>
          <c:xMode val="edge"/>
          <c:yMode val="edge"/>
          <c:x val="0.10990075934254655"/>
          <c:y val="0.13633740919157802"/>
          <c:w val="0.14529150664993024"/>
          <c:h val="0.15032248710591592"/>
        </c:manualLayout>
      </c:layout>
      <c:overlay val="0"/>
      <c:spPr>
        <a:solidFill>
          <a:schemeClr val="bg1"/>
        </a:solidFill>
        <a:ln>
          <a:solidFill>
            <a:sysClr val="windowText" lastClr="000000"/>
          </a:solidFill>
        </a:ln>
      </c:sp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i="0" u="none" strike="noStrike" baseline="0">
                <a:effectLst/>
              </a:rPr>
              <a:t>2019 Nissan Leaf Plus </a:t>
            </a:r>
            <a:r>
              <a:rPr lang="en-US" sz="2000" b="1" baseline="0"/>
              <a:t>Energy Consumption</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AVTEReporting!$D$69:$D$74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AF2A-4F29-B7B2-9CBBD93EF0B3}"/>
            </c:ext>
          </c:extLst>
        </c:ser>
        <c:ser>
          <c:idx val="2"/>
          <c:order val="1"/>
          <c:tx>
            <c:strRef>
              <c:f>AVTEReporting!$A$58</c:f>
              <c:strCache>
                <c:ptCount val="1"/>
                <c:pt idx="0">
                  <c:v>20F Ambient with 72F Cabin</c:v>
                </c:pt>
              </c:strCache>
            </c:strRef>
          </c:tx>
          <c:spPr>
            <a:solidFill>
              <a:schemeClr val="accent1"/>
            </a:solidFill>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AVTEReporting!$D$60:$D$65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AF2A-4F29-B7B2-9CBBD93EF0B3}"/>
            </c:ext>
          </c:extLst>
        </c:ser>
        <c:ser>
          <c:idx val="0"/>
          <c:order val="2"/>
          <c:tx>
            <c:strRef>
              <c:f>AVTEReporting!$A$39</c:f>
              <c:strCache>
                <c:ptCount val="1"/>
                <c:pt idx="0">
                  <c:v>72F with Climate Off</c:v>
                </c:pt>
              </c:strCache>
            </c:strRef>
          </c:tx>
          <c:spPr>
            <a:solidFill>
              <a:srgbClr val="92D050"/>
            </a:solidFill>
            <a:ln>
              <a:noFill/>
            </a:ln>
            <a:effectLst/>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AVTEReporting!$C$41:$C$46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AF2A-4F29-B7B2-9CBBD93EF0B3}"/>
            </c:ext>
          </c:extLst>
        </c:ser>
        <c:ser>
          <c:idx val="1"/>
          <c:order val="3"/>
          <c:tx>
            <c:strRef>
              <c:f>AVTEReporting!$A$48</c:f>
              <c:strCache>
                <c:ptCount val="1"/>
                <c:pt idx="0">
                  <c:v>95F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AVTEReporting!$D$50:$D$56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F2A-4F29-B7B2-9CBBD93EF0B3}"/>
            </c:ext>
          </c:extLst>
        </c:ser>
        <c:dLbls>
          <c:showLegendKey val="0"/>
          <c:showVal val="0"/>
          <c:showCatName val="0"/>
          <c:showSerName val="0"/>
          <c:showPercent val="0"/>
          <c:showBubbleSize val="0"/>
        </c:dLbls>
        <c:gapWidth val="243"/>
        <c:axId val="901364392"/>
        <c:axId val="901362432"/>
      </c:barChart>
      <c:catAx>
        <c:axId val="901364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901362432"/>
        <c:crosses val="autoZero"/>
        <c:auto val="1"/>
        <c:lblAlgn val="ctr"/>
        <c:lblOffset val="100"/>
        <c:noMultiLvlLbl val="0"/>
      </c:catAx>
      <c:valAx>
        <c:axId val="901362432"/>
        <c:scaling>
          <c:orientation val="minMax"/>
          <c:max val="7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(AC Wh/mi)</a:t>
                </a:r>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901364392"/>
        <c:crosses val="autoZero"/>
        <c:crossBetween val="between"/>
      </c:valAx>
      <c:spPr>
        <a:noFill/>
        <a:ln>
          <a:noFill/>
        </a:ln>
        <a:effectLst/>
      </c:spPr>
    </c:plotArea>
    <c:legend>
      <c:legendPos val="r"/>
      <c:layout>
        <c:manualLayout>
          <c:xMode val="edge"/>
          <c:yMode val="edge"/>
          <c:x val="0.81187891628895414"/>
          <c:y val="0.12435901552931003"/>
          <c:w val="8.1940870209786118E-2"/>
          <c:h val="0.2452801205703306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baseline="0"/>
              <a:t>Energy Consumption Increase Relative to 72F</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AVTEReporting!$K$69:$K$74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821-4C05-91E3-B3F58081C477}"/>
            </c:ext>
          </c:extLst>
        </c:ser>
        <c:ser>
          <c:idx val="2"/>
          <c:order val="1"/>
          <c:tx>
            <c:strRef>
              <c:f>AVTEReporting!$A$58</c:f>
              <c:strCache>
                <c:ptCount val="1"/>
                <c:pt idx="0">
                  <c:v>20F Ambient with 72F Cabin</c:v>
                </c:pt>
              </c:strCache>
            </c:strRef>
          </c:tx>
          <c:spPr>
            <a:solidFill>
              <a:schemeClr val="accent1"/>
            </a:solidFill>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AVTEReporting!$J$69:$J$74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821-4C05-91E3-B3F58081C477}"/>
            </c:ext>
          </c:extLst>
        </c:ser>
        <c:ser>
          <c:idx val="1"/>
          <c:order val="2"/>
          <c:tx>
            <c:strRef>
              <c:f>AVTEReporting!$A$48</c:f>
              <c:strCache>
                <c:ptCount val="1"/>
                <c:pt idx="0">
                  <c:v>95F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AVTEReporting!$I$69:$I$74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2821-4C05-91E3-B3F58081C477}"/>
            </c:ext>
          </c:extLst>
        </c:ser>
        <c:dLbls>
          <c:showLegendKey val="0"/>
          <c:showVal val="0"/>
          <c:showCatName val="0"/>
          <c:showSerName val="0"/>
          <c:showPercent val="0"/>
          <c:showBubbleSize val="0"/>
        </c:dLbls>
        <c:gapWidth val="243"/>
        <c:axId val="366901296"/>
        <c:axId val="866523680"/>
      </c:barChart>
      <c:catAx>
        <c:axId val="36690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23680"/>
        <c:crosses val="autoZero"/>
        <c:auto val="1"/>
        <c:lblAlgn val="ctr"/>
        <c:lblOffset val="100"/>
        <c:noMultiLvlLbl val="0"/>
      </c:catAx>
      <c:valAx>
        <c:axId val="86652368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Increase</a:t>
                </a:r>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66901296"/>
        <c:crosses val="autoZero"/>
        <c:crossBetween val="between"/>
      </c:valAx>
      <c:spPr>
        <a:noFill/>
        <a:ln>
          <a:noFill/>
        </a:ln>
        <a:effectLst/>
      </c:spPr>
    </c:plotArea>
    <c:legend>
      <c:legendPos val="r"/>
      <c:layout>
        <c:manualLayout>
          <c:xMode val="edge"/>
          <c:yMode val="edge"/>
          <c:x val="0.81187891628895414"/>
          <c:y val="0.12435901552931003"/>
          <c:w val="8.1940870209786118E-2"/>
          <c:h val="0.2452801205703306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2019 Nissan</a:t>
            </a:r>
            <a:r>
              <a:rPr lang="en-US" sz="2000" b="1" baseline="0"/>
              <a:t> Leaf Plus</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AVTEReporting!$D$69:$D$74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4AB-49E1-AC9A-492523AACB2C}"/>
            </c:ext>
          </c:extLst>
        </c:ser>
        <c:ser>
          <c:idx val="2"/>
          <c:order val="1"/>
          <c:tx>
            <c:strRef>
              <c:f>AVTEReporting!$A$58</c:f>
              <c:strCache>
                <c:ptCount val="1"/>
                <c:pt idx="0">
                  <c:v>20F Ambient with 72F Cabin</c:v>
                </c:pt>
              </c:strCache>
            </c:strRef>
          </c:tx>
          <c:spPr>
            <a:solidFill>
              <a:schemeClr val="accent1"/>
            </a:solidFill>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AVTEReporting!$D$60:$D$65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14AB-49E1-AC9A-492523AACB2C}"/>
            </c:ext>
          </c:extLst>
        </c:ser>
        <c:ser>
          <c:idx val="0"/>
          <c:order val="2"/>
          <c:tx>
            <c:strRef>
              <c:f>AVTEReporting!$A$39</c:f>
              <c:strCache>
                <c:ptCount val="1"/>
                <c:pt idx="0">
                  <c:v>72F with Climate Off</c:v>
                </c:pt>
              </c:strCache>
            </c:strRef>
          </c:tx>
          <c:spPr>
            <a:solidFill>
              <a:srgbClr val="92D050"/>
            </a:solidFill>
            <a:ln>
              <a:noFill/>
            </a:ln>
            <a:effectLst/>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AVTEReporting!$C$41:$C$46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14AB-49E1-AC9A-492523AACB2C}"/>
            </c:ext>
          </c:extLst>
        </c:ser>
        <c:ser>
          <c:idx val="1"/>
          <c:order val="3"/>
          <c:tx>
            <c:strRef>
              <c:f>AVTEReporting!$A$48</c:f>
              <c:strCache>
                <c:ptCount val="1"/>
                <c:pt idx="0">
                  <c:v>95F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AVTEReporting!$D$50:$D$56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14AB-49E1-AC9A-492523AACB2C}"/>
            </c:ext>
          </c:extLst>
        </c:ser>
        <c:dLbls>
          <c:showLegendKey val="0"/>
          <c:showVal val="0"/>
          <c:showCatName val="0"/>
          <c:showSerName val="0"/>
          <c:showPercent val="0"/>
          <c:showBubbleSize val="0"/>
        </c:dLbls>
        <c:gapWidth val="243"/>
        <c:axId val="866526032"/>
        <c:axId val="866533480"/>
      </c:barChart>
      <c:catAx>
        <c:axId val="86652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33480"/>
        <c:crosses val="autoZero"/>
        <c:auto val="1"/>
        <c:lblAlgn val="ctr"/>
        <c:lblOffset val="100"/>
        <c:noMultiLvlLbl val="0"/>
      </c:catAx>
      <c:valAx>
        <c:axId val="866533480"/>
        <c:scaling>
          <c:orientation val="minMax"/>
          <c:max val="7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[DC</a:t>
                </a:r>
                <a:r>
                  <a:rPr lang="en-US" sz="1600" baseline="0"/>
                  <a:t> Wh/mi]</a:t>
                </a:r>
                <a:endParaRPr lang="en-US" sz="1600"/>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26032"/>
        <c:crosses val="autoZero"/>
        <c:crossBetween val="between"/>
      </c:valAx>
      <c:dTable>
        <c:showHorzBorder val="1"/>
        <c:showVertBorder val="1"/>
        <c:showOutline val="1"/>
        <c:showKeys val="1"/>
      </c:dTable>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2015 VW EGolf </a:t>
            </a:r>
            <a:r>
              <a:rPr lang="en-US" sz="2000" b="1" baseline="0"/>
              <a:t>Energy Consumption</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 Ambient with 72F Cabin</c:v>
                </c:pt>
              </c:strCache>
            </c:strRef>
          </c:tx>
          <c:invertIfNegative val="0"/>
          <c:dLbls>
            <c:spPr>
              <a:noFill/>
              <a:ln>
                <a:noFill/>
              </a:ln>
              <a:effectLst/>
            </c:spPr>
            <c:txPr>
              <a:bodyPr rot="-5400000" vert="horz" wrap="square" lIns="38100" tIns="19050" rIns="38100" bIns="19050" anchor="t" anchorCtr="1">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AVTEReporting!$D$69:$D$74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76C9-49A1-8EFB-5F065680CD1D}"/>
            </c:ext>
          </c:extLst>
        </c:ser>
        <c:ser>
          <c:idx val="2"/>
          <c:order val="1"/>
          <c:tx>
            <c:strRef>
              <c:f>AVTEReporting!$A$58</c:f>
              <c:strCache>
                <c:ptCount val="1"/>
                <c:pt idx="0">
                  <c:v>20F Ambient with 72F Cabin</c:v>
                </c:pt>
              </c:strCache>
            </c:strRef>
          </c:tx>
          <c:spPr>
            <a:solidFill>
              <a:schemeClr val="accent1"/>
            </a:solidFill>
          </c:spPr>
          <c:invertIfNegative val="0"/>
          <c:dLbls>
            <c:spPr>
              <a:noFill/>
              <a:ln>
                <a:noFill/>
              </a:ln>
              <a:effectLst/>
            </c:spPr>
            <c:txPr>
              <a:bodyPr rot="-5400000" vert="horz"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AVTEReporting!$D$60:$D$65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76C9-49A1-8EFB-5F065680CD1D}"/>
            </c:ext>
          </c:extLst>
        </c:ser>
        <c:ser>
          <c:idx val="0"/>
          <c:order val="2"/>
          <c:tx>
            <c:strRef>
              <c:f>AVTEReporting!$A$39</c:f>
              <c:strCache>
                <c:ptCount val="1"/>
                <c:pt idx="0">
                  <c:v>72F with Climate Off</c:v>
                </c:pt>
              </c:strCache>
            </c:strRef>
          </c:tx>
          <c:spPr>
            <a:solidFill>
              <a:srgbClr val="92D050"/>
            </a:solidFill>
            <a:ln>
              <a:noFill/>
            </a:ln>
            <a:effectLst/>
          </c:spPr>
          <c:invertIfNegative val="0"/>
          <c:dLbls>
            <c:spPr>
              <a:noFill/>
              <a:ln>
                <a:noFill/>
              </a:ln>
              <a:effectLst/>
            </c:spPr>
            <c:txPr>
              <a:bodyPr rot="-5400000" vert="horz"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AVTEReporting!$C$41:$C$46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76C9-49A1-8EFB-5F065680CD1D}"/>
            </c:ext>
          </c:extLst>
        </c:ser>
        <c:ser>
          <c:idx val="1"/>
          <c:order val="3"/>
          <c:tx>
            <c:strRef>
              <c:f>AVTEReporting!$A$48</c:f>
              <c:strCache>
                <c:ptCount val="1"/>
                <c:pt idx="0">
                  <c:v>95F Ambient with 72F Cabin</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AVTEReporting!$D$50:$D$56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76C9-49A1-8EFB-5F065680CD1D}"/>
            </c:ext>
          </c:extLst>
        </c:ser>
        <c:dLbls>
          <c:showLegendKey val="0"/>
          <c:showVal val="1"/>
          <c:showCatName val="0"/>
          <c:showSerName val="0"/>
          <c:showPercent val="0"/>
          <c:showBubbleSize val="0"/>
        </c:dLbls>
        <c:gapWidth val="243"/>
        <c:axId val="866534656"/>
        <c:axId val="866527208"/>
      </c:barChart>
      <c:catAx>
        <c:axId val="86653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27208"/>
        <c:crosses val="autoZero"/>
        <c:auto val="1"/>
        <c:lblAlgn val="ctr"/>
        <c:lblOffset val="100"/>
        <c:noMultiLvlLbl val="0"/>
      </c:catAx>
      <c:valAx>
        <c:axId val="866527208"/>
        <c:scaling>
          <c:orientation val="minMax"/>
          <c:max val="7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(AC Wh/mi)</a:t>
                </a:r>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34656"/>
        <c:crosses val="autoZero"/>
        <c:crossBetween val="between"/>
      </c:valAx>
      <c:spPr>
        <a:noFill/>
        <a:ln>
          <a:noFill/>
        </a:ln>
        <a:effectLst/>
      </c:spPr>
    </c:plotArea>
    <c:legend>
      <c:legendPos val="r"/>
      <c:layout>
        <c:manualLayout>
          <c:xMode val="edge"/>
          <c:yMode val="edge"/>
          <c:x val="0.81187891628895414"/>
          <c:y val="0.12435901552931003"/>
          <c:w val="8.1940870209786118E-2"/>
          <c:h val="0.2452801205703306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Road</a:t>
            </a:r>
            <a:r>
              <a:rPr lang="en-US" baseline="0"/>
              <a:t> L</a:t>
            </a:r>
            <a:r>
              <a:rPr lang="en-US"/>
              <a:t>oad</a:t>
            </a:r>
            <a:r>
              <a:rPr lang="en-US" baseline="0"/>
              <a:t> Power vs. Vehicle Speed</a:t>
            </a:r>
            <a:endParaRPr lang="en-US"/>
          </a:p>
        </c:rich>
      </c:tx>
      <c:overlay val="0"/>
    </c:title>
    <c:autoTitleDeleted val="0"/>
    <c:plotArea>
      <c:layout>
        <c:manualLayout>
          <c:layoutTarget val="inner"/>
          <c:xMode val="edge"/>
          <c:yMode val="edge"/>
          <c:x val="9.6498699788719916E-2"/>
          <c:y val="0.11072658508272543"/>
          <c:w val="0.87801349177189358"/>
          <c:h val="0.74563881047376424"/>
        </c:manualLayout>
      </c:layout>
      <c:scatterChart>
        <c:scatterStyle val="lineMarker"/>
        <c:varyColors val="0"/>
        <c:ser>
          <c:idx val="0"/>
          <c:order val="0"/>
          <c:tx>
            <c:strRef>
              <c:f>TestInfoInstru!$O$28</c:f>
              <c:strCache>
                <c:ptCount val="1"/>
                <c:pt idx="0">
                  <c:v>AVTE Power [kW]</c:v>
                </c:pt>
              </c:strCache>
            </c:strRef>
          </c:tx>
          <c:spPr>
            <a:ln>
              <a:solidFill>
                <a:schemeClr val="accent6">
                  <a:lumMod val="75000"/>
                </a:schemeClr>
              </a:solidFill>
            </a:ln>
          </c:spPr>
          <c:marker>
            <c:symbol val="none"/>
          </c:marker>
          <c:xVal>
            <c:numRef>
              <c:f>TestInfoInstru!$N$29:$N$37</c:f>
              <c:numCache>
                <c:formatCode>General</c:formatCode>
                <c:ptCount val="9"/>
                <c:pt idx="0">
                  <c:v>0</c:v>
                </c:pt>
                <c:pt idx="1">
                  <c:v>10</c:v>
                </c:pt>
                <c:pt idx="2">
                  <c:v>20</c:v>
                </c:pt>
                <c:pt idx="3">
                  <c:v>30</c:v>
                </c:pt>
                <c:pt idx="4">
                  <c:v>40</c:v>
                </c:pt>
                <c:pt idx="5">
                  <c:v>55</c:v>
                </c:pt>
                <c:pt idx="6">
                  <c:v>65</c:v>
                </c:pt>
                <c:pt idx="7">
                  <c:v>70</c:v>
                </c:pt>
                <c:pt idx="8">
                  <c:v>80</c:v>
                </c:pt>
              </c:numCache>
            </c:numRef>
          </c:xVal>
          <c:yVal>
            <c:numRef>
              <c:f>TestInfoInstru!$O$29:$O$37</c:f>
              <c:numCache>
                <c:formatCode>0.0</c:formatCode>
                <c:ptCount val="9"/>
                <c:pt idx="0">
                  <c:v>0</c:v>
                </c:pt>
                <c:pt idx="1">
                  <c:v>0.7062672631255148</c:v>
                </c:pt>
                <c:pt idx="2">
                  <c:v>1.77321464052224</c:v>
                </c:pt>
                <c:pt idx="3">
                  <c:v>3.4342163642492198</c:v>
                </c:pt>
                <c:pt idx="4">
                  <c:v>5.9226466663654964</c:v>
                </c:pt>
                <c:pt idx="5">
                  <c:v>11.717226836649003</c:v>
                </c:pt>
                <c:pt idx="6">
                  <c:v>17.295240849996837</c:v>
                </c:pt>
                <c:pt idx="7">
                  <c:v>20.68625136364054</c:v>
                </c:pt>
                <c:pt idx="8">
                  <c:v>28.818138299904437</c:v>
                </c:pt>
              </c:numCache>
            </c:numRef>
          </c:yVal>
          <c:smooth val="0"/>
          <c:extLst>
            <c:ext xmlns:c16="http://schemas.microsoft.com/office/drawing/2014/chart" uri="{C3380CC4-5D6E-409C-BE32-E72D297353CC}">
              <c16:uniqueId val="{00000000-AC4D-4BE9-A059-B3BA8A67A811}"/>
            </c:ext>
          </c:extLst>
        </c:ser>
        <c:ser>
          <c:idx val="1"/>
          <c:order val="1"/>
          <c:tx>
            <c:strRef>
              <c:f>TestInfoInstru!$O$28</c:f>
              <c:strCache>
                <c:ptCount val="1"/>
                <c:pt idx="0">
                  <c:v>AVTE Power [kW]</c:v>
                </c:pt>
              </c:strCache>
            </c:strRef>
          </c:tx>
          <c:marker>
            <c:symbol val="none"/>
          </c:marker>
          <c:xVal>
            <c:numRef>
              <c:f>TestInfoInstru!$N$29:$N$37</c:f>
              <c:numCache>
                <c:formatCode>General</c:formatCode>
                <c:ptCount val="9"/>
                <c:pt idx="0">
                  <c:v>0</c:v>
                </c:pt>
                <c:pt idx="1">
                  <c:v>10</c:v>
                </c:pt>
                <c:pt idx="2">
                  <c:v>20</c:v>
                </c:pt>
                <c:pt idx="3">
                  <c:v>30</c:v>
                </c:pt>
                <c:pt idx="4">
                  <c:v>40</c:v>
                </c:pt>
                <c:pt idx="5">
                  <c:v>55</c:v>
                </c:pt>
                <c:pt idx="6">
                  <c:v>65</c:v>
                </c:pt>
                <c:pt idx="7">
                  <c:v>70</c:v>
                </c:pt>
                <c:pt idx="8">
                  <c:v>80</c:v>
                </c:pt>
              </c:numCache>
            </c:numRef>
          </c:xVal>
          <c:yVal>
            <c:numRef>
              <c:f>TestInfoInstru!$P$29:$P$37</c:f>
              <c:numCache>
                <c:formatCode>0.0</c:formatCode>
                <c:ptCount val="9"/>
                <c:pt idx="0">
                  <c:v>0</c:v>
                </c:pt>
                <c:pt idx="1">
                  <c:v>0.8056541421158947</c:v>
                </c:pt>
                <c:pt idx="2">
                  <c:v>1.8024063048595507</c:v>
                </c:pt>
                <c:pt idx="3">
                  <c:v>3.1692244576013997</c:v>
                </c:pt>
                <c:pt idx="4">
                  <c:v>5.0850765697118741</c:v>
                </c:pt>
                <c:pt idx="5">
                  <c:v>9.3797858446915789</c:v>
                </c:pt>
                <c:pt idx="6">
                  <c:v>13.451207721219257</c:v>
                </c:pt>
                <c:pt idx="7">
                  <c:v>15.916516355959372</c:v>
                </c:pt>
                <c:pt idx="8">
                  <c:v>21.818183999248667</c:v>
                </c:pt>
              </c:numCache>
            </c:numRef>
          </c:yVal>
          <c:smooth val="0"/>
          <c:extLst>
            <c:ext xmlns:c16="http://schemas.microsoft.com/office/drawing/2014/chart" uri="{C3380CC4-5D6E-409C-BE32-E72D297353CC}">
              <c16:uniqueId val="{00000000-6F6F-4EB6-8BB6-804A5C6B712A}"/>
            </c:ext>
          </c:extLst>
        </c:ser>
        <c:dLbls>
          <c:showLegendKey val="0"/>
          <c:showVal val="0"/>
          <c:showCatName val="0"/>
          <c:showSerName val="0"/>
          <c:showPercent val="0"/>
          <c:showBubbleSize val="0"/>
        </c:dLbls>
        <c:axId val="408112088"/>
        <c:axId val="461518768"/>
      </c:scatterChart>
      <c:valAx>
        <c:axId val="408112088"/>
        <c:scaling>
          <c:orientation val="minMax"/>
          <c:max val="80"/>
          <c:min val="0"/>
        </c:scaling>
        <c:delete val="0"/>
        <c:axPos val="b"/>
        <c:title>
          <c:tx>
            <c:rich>
              <a:bodyPr/>
              <a:lstStyle/>
              <a:p>
                <a:pPr>
                  <a:defRPr sz="1050"/>
                </a:pPr>
                <a:r>
                  <a:rPr lang="en-US" sz="1050"/>
                  <a:t>Vehicle speed [mph]</a:t>
                </a:r>
              </a:p>
            </c:rich>
          </c:tx>
          <c:overlay val="0"/>
        </c:title>
        <c:numFmt formatCode="General" sourceLinked="1"/>
        <c:majorTickMark val="out"/>
        <c:minorTickMark val="none"/>
        <c:tickLblPos val="nextTo"/>
        <c:crossAx val="461518768"/>
        <c:crosses val="autoZero"/>
        <c:crossBetween val="midCat"/>
      </c:valAx>
      <c:valAx>
        <c:axId val="461518768"/>
        <c:scaling>
          <c:orientation val="minMax"/>
        </c:scaling>
        <c:delete val="0"/>
        <c:axPos val="l"/>
        <c:majorGridlines/>
        <c:title>
          <c:tx>
            <c:rich>
              <a:bodyPr rot="-5400000" vert="horz"/>
              <a:lstStyle/>
              <a:p>
                <a:pPr>
                  <a:defRPr sz="1100"/>
                </a:pPr>
                <a:r>
                  <a:rPr lang="en-US" sz="1100"/>
                  <a:t>Road load power [kW]</a:t>
                </a:r>
              </a:p>
            </c:rich>
          </c:tx>
          <c:overlay val="0"/>
        </c:title>
        <c:numFmt formatCode="0.0" sourceLinked="1"/>
        <c:majorTickMark val="out"/>
        <c:minorTickMark val="none"/>
        <c:tickLblPos val="nextTo"/>
        <c:crossAx val="408112088"/>
        <c:crosses val="autoZero"/>
        <c:crossBetween val="midCat"/>
      </c:valAx>
    </c:plotArea>
    <c:legend>
      <c:legendPos val="r"/>
      <c:layout>
        <c:manualLayout>
          <c:xMode val="edge"/>
          <c:yMode val="edge"/>
          <c:x val="0.11460934124177445"/>
          <c:y val="0.14716225830727214"/>
          <c:w val="0.14550987597481585"/>
          <c:h val="0.11070764957449337"/>
        </c:manualLayout>
      </c:layout>
      <c:overlay val="0"/>
      <c:spPr>
        <a:solidFill>
          <a:schemeClr val="bg1"/>
        </a:solidFill>
        <a:ln>
          <a:solidFill>
            <a:sysClr val="windowText" lastClr="000000"/>
          </a:solidFill>
        </a:ln>
      </c:sp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6.4019790806919732E-2"/>
          <c:y val="0.15962931741615491"/>
          <c:w val="0.62350100594091296"/>
          <c:h val="0.74533241408481499"/>
        </c:manualLayout>
      </c:layout>
      <c:scatterChart>
        <c:scatterStyle val="smoothMarker"/>
        <c:varyColors val="0"/>
        <c:ser>
          <c:idx val="0"/>
          <c:order val="0"/>
          <c:tx>
            <c:strRef>
              <c:f>TestInfoInstru!$O$46</c:f>
              <c:strCache>
                <c:ptCount val="1"/>
                <c:pt idx="0">
                  <c:v>Wheel Speed [rpm]</c:v>
                </c:pt>
              </c:strCache>
            </c:strRef>
          </c:tx>
          <c:marker>
            <c:symbol val="none"/>
          </c:marker>
          <c:trendline>
            <c:trendlineType val="linear"/>
            <c:dispRSqr val="0"/>
            <c:dispEq val="1"/>
            <c:trendlineLbl>
              <c:numFmt formatCode="General" sourceLinked="0"/>
            </c:trendlineLbl>
          </c:trendline>
          <c:xVal>
            <c:numRef>
              <c:f>TestInfoInstru!$N$47:$N$54</c:f>
              <c:numCache>
                <c:formatCode>General</c:formatCode>
                <c:ptCount val="8"/>
                <c:pt idx="0">
                  <c:v>10</c:v>
                </c:pt>
                <c:pt idx="1">
                  <c:v>20</c:v>
                </c:pt>
                <c:pt idx="2">
                  <c:v>30</c:v>
                </c:pt>
                <c:pt idx="3">
                  <c:v>40</c:v>
                </c:pt>
                <c:pt idx="4">
                  <c:v>50</c:v>
                </c:pt>
                <c:pt idx="5">
                  <c:v>60</c:v>
                </c:pt>
                <c:pt idx="6">
                  <c:v>70</c:v>
                </c:pt>
                <c:pt idx="7">
                  <c:v>80</c:v>
                </c:pt>
              </c:numCache>
            </c:numRef>
          </c:xVal>
          <c:yVal>
            <c:numRef>
              <c:f>TestInfoInstru!$O$47:$O$54</c:f>
              <c:numCache>
                <c:formatCode>General</c:formatCode>
                <c:ptCount val="8"/>
                <c:pt idx="0">
                  <c:v>138.9</c:v>
                </c:pt>
                <c:pt idx="1">
                  <c:v>278</c:v>
                </c:pt>
                <c:pt idx="2">
                  <c:v>416.9</c:v>
                </c:pt>
                <c:pt idx="3">
                  <c:v>555.5</c:v>
                </c:pt>
                <c:pt idx="4">
                  <c:v>697.3</c:v>
                </c:pt>
                <c:pt idx="5">
                  <c:v>832.7</c:v>
                </c:pt>
                <c:pt idx="6">
                  <c:v>970.6</c:v>
                </c:pt>
                <c:pt idx="7">
                  <c:v>1108</c:v>
                </c:pt>
              </c:numCache>
            </c:numRef>
          </c:yVal>
          <c:smooth val="1"/>
          <c:extLst>
            <c:ext xmlns:c16="http://schemas.microsoft.com/office/drawing/2014/chart" uri="{C3380CC4-5D6E-409C-BE32-E72D297353CC}">
              <c16:uniqueId val="{00000000-B0D5-4250-97AB-0B020EB1CAD2}"/>
            </c:ext>
          </c:extLst>
        </c:ser>
        <c:dLbls>
          <c:showLegendKey val="0"/>
          <c:showVal val="0"/>
          <c:showCatName val="0"/>
          <c:showSerName val="0"/>
          <c:showPercent val="0"/>
          <c:showBubbleSize val="0"/>
        </c:dLbls>
        <c:axId val="461515632"/>
        <c:axId val="461516808"/>
      </c:scatterChart>
      <c:valAx>
        <c:axId val="461515632"/>
        <c:scaling>
          <c:orientation val="minMax"/>
        </c:scaling>
        <c:delete val="0"/>
        <c:axPos val="b"/>
        <c:numFmt formatCode="General" sourceLinked="1"/>
        <c:majorTickMark val="out"/>
        <c:minorTickMark val="none"/>
        <c:tickLblPos val="nextTo"/>
        <c:crossAx val="461516808"/>
        <c:crosses val="autoZero"/>
        <c:crossBetween val="midCat"/>
      </c:valAx>
      <c:valAx>
        <c:axId val="461516808"/>
        <c:scaling>
          <c:orientation val="minMax"/>
        </c:scaling>
        <c:delete val="0"/>
        <c:axPos val="l"/>
        <c:majorGridlines/>
        <c:numFmt formatCode="General" sourceLinked="1"/>
        <c:majorTickMark val="out"/>
        <c:minorTickMark val="none"/>
        <c:tickLblPos val="nextTo"/>
        <c:crossAx val="46151563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'Accessory Load'!$L$6</c:f>
              <c:strCache>
                <c:ptCount val="1"/>
                <c:pt idx="0">
                  <c:v>HV Watts</c:v>
                </c:pt>
              </c:strCache>
            </c:strRef>
          </c:tx>
          <c:spPr>
            <a:solidFill>
              <a:schemeClr val="accent3">
                <a:lumMod val="50000"/>
              </a:schemeClr>
            </a:solidFill>
            <a:ln>
              <a:noFill/>
            </a:ln>
            <a:effectLst/>
          </c:spPr>
          <c:invertIfNegative val="0"/>
          <c:cat>
            <c:strRef>
              <c:f>'Accessory Load'!$A$7:$A$77</c:f>
              <c:strCache>
                <c:ptCount val="67"/>
                <c:pt idx="0">
                  <c:v>Unlock</c:v>
                </c:pt>
                <c:pt idx="2">
                  <c:v>open door</c:v>
                </c:pt>
                <c:pt idx="4">
                  <c:v>close door</c:v>
                </c:pt>
                <c:pt idx="6">
                  <c:v>key on</c:v>
                </c:pt>
                <c:pt idx="8">
                  <c:v>hold for dc dc stable 12V batt charge</c:v>
                </c:pt>
                <c:pt idx="10">
                  <c:v>parking lights</c:v>
                </c:pt>
                <c:pt idx="12">
                  <c:v>headlights </c:v>
                </c:pt>
                <c:pt idx="14">
                  <c:v>brights</c:v>
                </c:pt>
                <c:pt idx="16">
                  <c:v>lights off</c:v>
                </c:pt>
                <c:pt idx="18">
                  <c:v>blinkers</c:v>
                </c:pt>
                <c:pt idx="20">
                  <c:v>hazzard</c:v>
                </c:pt>
                <c:pt idx="22">
                  <c:v>ac max cool 60°F, low fan</c:v>
                </c:pt>
                <c:pt idx="24">
                  <c:v>ac max cool, high fan</c:v>
                </c:pt>
                <c:pt idx="26">
                  <c:v>ac off</c:v>
                </c:pt>
                <c:pt idx="28">
                  <c:v>rear def</c:v>
                </c:pt>
                <c:pt idx="30">
                  <c:v>heater 90°F, max heat, fan low</c:v>
                </c:pt>
                <c:pt idx="32">
                  <c:v>heater 90°F, max heat, fan hi</c:v>
                </c:pt>
                <c:pt idx="34">
                  <c:v>Reduce Heat dial to mid 75°F</c:v>
                </c:pt>
                <c:pt idx="36">
                  <c:v>return to full 90°F</c:v>
                </c:pt>
                <c:pt idx="38">
                  <c:v>Ramp heat off</c:v>
                </c:pt>
                <c:pt idx="40">
                  <c:v>mirror </c:v>
                </c:pt>
                <c:pt idx="42">
                  <c:v>door lock/unlock x2</c:v>
                </c:pt>
                <c:pt idx="44">
                  <c:v> PF window down/up hold</c:v>
                </c:pt>
                <c:pt idx="46">
                  <c:v>radio max (no signal)</c:v>
                </c:pt>
                <c:pt idx="48">
                  <c:v>radio off</c:v>
                </c:pt>
                <c:pt idx="50">
                  <c:v>horn</c:v>
                </c:pt>
                <c:pt idx="52">
                  <c:v>wipers int</c:v>
                </c:pt>
                <c:pt idx="54">
                  <c:v>wipers full on-low</c:v>
                </c:pt>
                <c:pt idx="56">
                  <c:v>wipers max</c:v>
                </c:pt>
                <c:pt idx="58">
                  <c:v>rear wiper</c:v>
                </c:pt>
                <c:pt idx="60">
                  <c:v>defrost max @72°F heat setting</c:v>
                </c:pt>
                <c:pt idx="62">
                  <c:v>key off</c:v>
                </c:pt>
                <c:pt idx="64">
                  <c:v>door open and close</c:v>
                </c:pt>
                <c:pt idx="66">
                  <c:v>full off</c:v>
                </c:pt>
              </c:strCache>
            </c:strRef>
          </c:cat>
          <c:val>
            <c:numRef>
              <c:f>'Accessory Load'!$L$7:$L$77</c:f>
              <c:numCache>
                <c:formatCode>0.00</c:formatCode>
                <c:ptCount val="71"/>
                <c:pt idx="0">
                  <c:v>0</c:v>
                </c:pt>
                <c:pt idx="2">
                  <c:v>0</c:v>
                </c:pt>
                <c:pt idx="4">
                  <c:v>0</c:v>
                </c:pt>
                <c:pt idx="6">
                  <c:v>0</c:v>
                </c:pt>
                <c:pt idx="8">
                  <c:v>0</c:v>
                </c:pt>
                <c:pt idx="10">
                  <c:v>0</c:v>
                </c:pt>
                <c:pt idx="12">
                  <c:v>0</c:v>
                </c:pt>
                <c:pt idx="14">
                  <c:v>0</c:v>
                </c:pt>
                <c:pt idx="16">
                  <c:v>0</c:v>
                </c:pt>
                <c:pt idx="18">
                  <c:v>0</c:v>
                </c:pt>
                <c:pt idx="20">
                  <c:v>0</c:v>
                </c:pt>
                <c:pt idx="22">
                  <c:v>0</c:v>
                </c:pt>
                <c:pt idx="24">
                  <c:v>0</c:v>
                </c:pt>
                <c:pt idx="26">
                  <c:v>0</c:v>
                </c:pt>
                <c:pt idx="28">
                  <c:v>0</c:v>
                </c:pt>
                <c:pt idx="30">
                  <c:v>0</c:v>
                </c:pt>
                <c:pt idx="32">
                  <c:v>0</c:v>
                </c:pt>
                <c:pt idx="34">
                  <c:v>0</c:v>
                </c:pt>
                <c:pt idx="36">
                  <c:v>0</c:v>
                </c:pt>
                <c:pt idx="38">
                  <c:v>0</c:v>
                </c:pt>
                <c:pt idx="40">
                  <c:v>0</c:v>
                </c:pt>
                <c:pt idx="42">
                  <c:v>0</c:v>
                </c:pt>
                <c:pt idx="44">
                  <c:v>0</c:v>
                </c:pt>
                <c:pt idx="46">
                  <c:v>0</c:v>
                </c:pt>
                <c:pt idx="48">
                  <c:v>0</c:v>
                </c:pt>
                <c:pt idx="50">
                  <c:v>0</c:v>
                </c:pt>
                <c:pt idx="52">
                  <c:v>0</c:v>
                </c:pt>
                <c:pt idx="54">
                  <c:v>0</c:v>
                </c:pt>
                <c:pt idx="56">
                  <c:v>0</c:v>
                </c:pt>
                <c:pt idx="58">
                  <c:v>0</c:v>
                </c:pt>
                <c:pt idx="60">
                  <c:v>0</c:v>
                </c:pt>
                <c:pt idx="62">
                  <c:v>0</c:v>
                </c:pt>
                <c:pt idx="64">
                  <c:v>0</c:v>
                </c:pt>
                <c:pt idx="66">
                  <c:v>0</c:v>
                </c:pt>
                <c:pt idx="68">
                  <c:v>0</c:v>
                </c:pt>
                <c:pt idx="70">
                  <c:v>0</c:v>
                </c:pt>
              </c:numCache>
            </c:numRef>
          </c:val>
          <c:extLst>
            <c:ext xmlns:c16="http://schemas.microsoft.com/office/drawing/2014/chart" uri="{C3380CC4-5D6E-409C-BE32-E72D297353CC}">
              <c16:uniqueId val="{00000000-4510-48A0-BF98-2911A67D1D1E}"/>
            </c:ext>
          </c:extLst>
        </c:ser>
        <c:ser>
          <c:idx val="1"/>
          <c:order val="1"/>
          <c:tx>
            <c:v>12V watts</c:v>
          </c:tx>
          <c:spPr>
            <a:solidFill>
              <a:schemeClr val="accent3"/>
            </a:solidFill>
            <a:ln>
              <a:noFill/>
            </a:ln>
            <a:effectLst/>
          </c:spPr>
          <c:invertIfNegative val="0"/>
          <c:cat>
            <c:strRef>
              <c:f>'Accessory Load'!$A$7:$A$77</c:f>
              <c:strCache>
                <c:ptCount val="67"/>
                <c:pt idx="0">
                  <c:v>Unlock</c:v>
                </c:pt>
                <c:pt idx="2">
                  <c:v>open door</c:v>
                </c:pt>
                <c:pt idx="4">
                  <c:v>close door</c:v>
                </c:pt>
                <c:pt idx="6">
                  <c:v>key on</c:v>
                </c:pt>
                <c:pt idx="8">
                  <c:v>hold for dc dc stable 12V batt charge</c:v>
                </c:pt>
                <c:pt idx="10">
                  <c:v>parking lights</c:v>
                </c:pt>
                <c:pt idx="12">
                  <c:v>headlights </c:v>
                </c:pt>
                <c:pt idx="14">
                  <c:v>brights</c:v>
                </c:pt>
                <c:pt idx="16">
                  <c:v>lights off</c:v>
                </c:pt>
                <c:pt idx="18">
                  <c:v>blinkers</c:v>
                </c:pt>
                <c:pt idx="20">
                  <c:v>hazzard</c:v>
                </c:pt>
                <c:pt idx="22">
                  <c:v>ac max cool 60°F, low fan</c:v>
                </c:pt>
                <c:pt idx="24">
                  <c:v>ac max cool, high fan</c:v>
                </c:pt>
                <c:pt idx="26">
                  <c:v>ac off</c:v>
                </c:pt>
                <c:pt idx="28">
                  <c:v>rear def</c:v>
                </c:pt>
                <c:pt idx="30">
                  <c:v>heater 90°F, max heat, fan low</c:v>
                </c:pt>
                <c:pt idx="32">
                  <c:v>heater 90°F, max heat, fan hi</c:v>
                </c:pt>
                <c:pt idx="34">
                  <c:v>Reduce Heat dial to mid 75°F</c:v>
                </c:pt>
                <c:pt idx="36">
                  <c:v>return to full 90°F</c:v>
                </c:pt>
                <c:pt idx="38">
                  <c:v>Ramp heat off</c:v>
                </c:pt>
                <c:pt idx="40">
                  <c:v>mirror </c:v>
                </c:pt>
                <c:pt idx="42">
                  <c:v>door lock/unlock x2</c:v>
                </c:pt>
                <c:pt idx="44">
                  <c:v> PF window down/up hold</c:v>
                </c:pt>
                <c:pt idx="46">
                  <c:v>radio max (no signal)</c:v>
                </c:pt>
                <c:pt idx="48">
                  <c:v>radio off</c:v>
                </c:pt>
                <c:pt idx="50">
                  <c:v>horn</c:v>
                </c:pt>
                <c:pt idx="52">
                  <c:v>wipers int</c:v>
                </c:pt>
                <c:pt idx="54">
                  <c:v>wipers full on-low</c:v>
                </c:pt>
                <c:pt idx="56">
                  <c:v>wipers max</c:v>
                </c:pt>
                <c:pt idx="58">
                  <c:v>rear wiper</c:v>
                </c:pt>
                <c:pt idx="60">
                  <c:v>defrost max @72°F heat setting</c:v>
                </c:pt>
                <c:pt idx="62">
                  <c:v>key off</c:v>
                </c:pt>
                <c:pt idx="64">
                  <c:v>door open and close</c:v>
                </c:pt>
                <c:pt idx="66">
                  <c:v>full off</c:v>
                </c:pt>
              </c:strCache>
            </c:strRef>
          </c:cat>
          <c:val>
            <c:numRef>
              <c:f>'Accessory Load'!$M$7:$M$77</c:f>
              <c:numCache>
                <c:formatCode>0.00</c:formatCode>
                <c:ptCount val="71"/>
                <c:pt idx="0">
                  <c:v>0</c:v>
                </c:pt>
                <c:pt idx="2">
                  <c:v>0</c:v>
                </c:pt>
                <c:pt idx="4">
                  <c:v>0</c:v>
                </c:pt>
                <c:pt idx="6">
                  <c:v>0</c:v>
                </c:pt>
                <c:pt idx="8">
                  <c:v>0</c:v>
                </c:pt>
                <c:pt idx="10">
                  <c:v>0</c:v>
                </c:pt>
                <c:pt idx="12">
                  <c:v>0</c:v>
                </c:pt>
                <c:pt idx="14">
                  <c:v>0</c:v>
                </c:pt>
                <c:pt idx="16">
                  <c:v>0</c:v>
                </c:pt>
                <c:pt idx="18">
                  <c:v>0</c:v>
                </c:pt>
                <c:pt idx="20">
                  <c:v>0</c:v>
                </c:pt>
                <c:pt idx="22">
                  <c:v>0</c:v>
                </c:pt>
                <c:pt idx="24">
                  <c:v>0</c:v>
                </c:pt>
                <c:pt idx="26">
                  <c:v>0</c:v>
                </c:pt>
                <c:pt idx="28">
                  <c:v>0</c:v>
                </c:pt>
                <c:pt idx="30">
                  <c:v>0</c:v>
                </c:pt>
                <c:pt idx="32">
                  <c:v>0</c:v>
                </c:pt>
                <c:pt idx="34">
                  <c:v>0</c:v>
                </c:pt>
                <c:pt idx="36">
                  <c:v>0</c:v>
                </c:pt>
                <c:pt idx="38">
                  <c:v>0</c:v>
                </c:pt>
                <c:pt idx="40">
                  <c:v>0</c:v>
                </c:pt>
                <c:pt idx="42">
                  <c:v>0</c:v>
                </c:pt>
                <c:pt idx="44">
                  <c:v>0</c:v>
                </c:pt>
                <c:pt idx="46">
                  <c:v>0</c:v>
                </c:pt>
                <c:pt idx="48">
                  <c:v>0</c:v>
                </c:pt>
                <c:pt idx="50">
                  <c:v>0</c:v>
                </c:pt>
                <c:pt idx="52">
                  <c:v>0</c:v>
                </c:pt>
                <c:pt idx="54">
                  <c:v>0</c:v>
                </c:pt>
                <c:pt idx="56">
                  <c:v>0</c:v>
                </c:pt>
                <c:pt idx="58">
                  <c:v>0</c:v>
                </c:pt>
                <c:pt idx="60">
                  <c:v>0</c:v>
                </c:pt>
                <c:pt idx="62">
                  <c:v>0</c:v>
                </c:pt>
                <c:pt idx="64">
                  <c:v>0</c:v>
                </c:pt>
                <c:pt idx="66">
                  <c:v>0</c:v>
                </c:pt>
                <c:pt idx="68">
                  <c:v>0</c:v>
                </c:pt>
                <c:pt idx="70">
                  <c:v>0</c:v>
                </c:pt>
              </c:numCache>
            </c:numRef>
          </c:val>
          <c:extLst>
            <c:ext xmlns:c16="http://schemas.microsoft.com/office/drawing/2014/chart" uri="{C3380CC4-5D6E-409C-BE32-E72D297353CC}">
              <c16:uniqueId val="{00000001-4510-48A0-BF98-2911A67D1D1E}"/>
            </c:ext>
          </c:extLst>
        </c:ser>
        <c:ser>
          <c:idx val="2"/>
          <c:order val="2"/>
          <c:tx>
            <c:v>DC-DC Loss</c:v>
          </c:tx>
          <c:spPr>
            <a:solidFill>
              <a:schemeClr val="accent6">
                <a:lumMod val="75000"/>
              </a:schemeClr>
            </a:solidFill>
            <a:ln>
              <a:noFill/>
            </a:ln>
            <a:effectLst/>
          </c:spPr>
          <c:invertIfNegative val="0"/>
          <c:cat>
            <c:strRef>
              <c:f>'Accessory Load'!$A$7:$A$77</c:f>
              <c:strCache>
                <c:ptCount val="67"/>
                <c:pt idx="0">
                  <c:v>Unlock</c:v>
                </c:pt>
                <c:pt idx="2">
                  <c:v>open door</c:v>
                </c:pt>
                <c:pt idx="4">
                  <c:v>close door</c:v>
                </c:pt>
                <c:pt idx="6">
                  <c:v>key on</c:v>
                </c:pt>
                <c:pt idx="8">
                  <c:v>hold for dc dc stable 12V batt charge</c:v>
                </c:pt>
                <c:pt idx="10">
                  <c:v>parking lights</c:v>
                </c:pt>
                <c:pt idx="12">
                  <c:v>headlights </c:v>
                </c:pt>
                <c:pt idx="14">
                  <c:v>brights</c:v>
                </c:pt>
                <c:pt idx="16">
                  <c:v>lights off</c:v>
                </c:pt>
                <c:pt idx="18">
                  <c:v>blinkers</c:v>
                </c:pt>
                <c:pt idx="20">
                  <c:v>hazzard</c:v>
                </c:pt>
                <c:pt idx="22">
                  <c:v>ac max cool 60°F, low fan</c:v>
                </c:pt>
                <c:pt idx="24">
                  <c:v>ac max cool, high fan</c:v>
                </c:pt>
                <c:pt idx="26">
                  <c:v>ac off</c:v>
                </c:pt>
                <c:pt idx="28">
                  <c:v>rear def</c:v>
                </c:pt>
                <c:pt idx="30">
                  <c:v>heater 90°F, max heat, fan low</c:v>
                </c:pt>
                <c:pt idx="32">
                  <c:v>heater 90°F, max heat, fan hi</c:v>
                </c:pt>
                <c:pt idx="34">
                  <c:v>Reduce Heat dial to mid 75°F</c:v>
                </c:pt>
                <c:pt idx="36">
                  <c:v>return to full 90°F</c:v>
                </c:pt>
                <c:pt idx="38">
                  <c:v>Ramp heat off</c:v>
                </c:pt>
                <c:pt idx="40">
                  <c:v>mirror </c:v>
                </c:pt>
                <c:pt idx="42">
                  <c:v>door lock/unlock x2</c:v>
                </c:pt>
                <c:pt idx="44">
                  <c:v> PF window down/up hold</c:v>
                </c:pt>
                <c:pt idx="46">
                  <c:v>radio max (no signal)</c:v>
                </c:pt>
                <c:pt idx="48">
                  <c:v>radio off</c:v>
                </c:pt>
                <c:pt idx="50">
                  <c:v>horn</c:v>
                </c:pt>
                <c:pt idx="52">
                  <c:v>wipers int</c:v>
                </c:pt>
                <c:pt idx="54">
                  <c:v>wipers full on-low</c:v>
                </c:pt>
                <c:pt idx="56">
                  <c:v>wipers max</c:v>
                </c:pt>
                <c:pt idx="58">
                  <c:v>rear wiper</c:v>
                </c:pt>
                <c:pt idx="60">
                  <c:v>defrost max @72°F heat setting</c:v>
                </c:pt>
                <c:pt idx="62">
                  <c:v>key off</c:v>
                </c:pt>
                <c:pt idx="64">
                  <c:v>door open and close</c:v>
                </c:pt>
                <c:pt idx="66">
                  <c:v>full off</c:v>
                </c:pt>
              </c:strCache>
            </c:strRef>
          </c:cat>
          <c:val>
            <c:numRef>
              <c:f>'Accessory Load'!$Q$7:$Q$77</c:f>
              <c:numCache>
                <c:formatCode>0.00</c:formatCode>
                <c:ptCount val="71"/>
                <c:pt idx="0">
                  <c:v>0</c:v>
                </c:pt>
                <c:pt idx="2">
                  <c:v>0</c:v>
                </c:pt>
                <c:pt idx="4">
                  <c:v>0</c:v>
                </c:pt>
                <c:pt idx="6">
                  <c:v>0</c:v>
                </c:pt>
                <c:pt idx="8">
                  <c:v>0</c:v>
                </c:pt>
                <c:pt idx="10">
                  <c:v>0</c:v>
                </c:pt>
                <c:pt idx="12">
                  <c:v>0</c:v>
                </c:pt>
                <c:pt idx="14">
                  <c:v>0</c:v>
                </c:pt>
                <c:pt idx="16">
                  <c:v>0</c:v>
                </c:pt>
                <c:pt idx="18">
                  <c:v>0</c:v>
                </c:pt>
                <c:pt idx="20">
                  <c:v>0</c:v>
                </c:pt>
                <c:pt idx="22">
                  <c:v>0</c:v>
                </c:pt>
                <c:pt idx="24">
                  <c:v>0</c:v>
                </c:pt>
                <c:pt idx="26">
                  <c:v>0</c:v>
                </c:pt>
                <c:pt idx="28">
                  <c:v>0</c:v>
                </c:pt>
                <c:pt idx="30">
                  <c:v>0</c:v>
                </c:pt>
                <c:pt idx="32">
                  <c:v>0</c:v>
                </c:pt>
                <c:pt idx="34">
                  <c:v>0</c:v>
                </c:pt>
                <c:pt idx="36">
                  <c:v>0</c:v>
                </c:pt>
                <c:pt idx="38">
                  <c:v>0</c:v>
                </c:pt>
                <c:pt idx="40">
                  <c:v>0</c:v>
                </c:pt>
                <c:pt idx="42">
                  <c:v>0</c:v>
                </c:pt>
                <c:pt idx="44">
                  <c:v>0</c:v>
                </c:pt>
                <c:pt idx="46">
                  <c:v>0</c:v>
                </c:pt>
                <c:pt idx="48">
                  <c:v>0</c:v>
                </c:pt>
                <c:pt idx="50">
                  <c:v>0</c:v>
                </c:pt>
                <c:pt idx="52">
                  <c:v>0</c:v>
                </c:pt>
                <c:pt idx="54">
                  <c:v>0</c:v>
                </c:pt>
                <c:pt idx="56">
                  <c:v>0</c:v>
                </c:pt>
                <c:pt idx="58">
                  <c:v>0</c:v>
                </c:pt>
                <c:pt idx="60">
                  <c:v>0</c:v>
                </c:pt>
                <c:pt idx="62">
                  <c:v>0</c:v>
                </c:pt>
                <c:pt idx="64">
                  <c:v>0</c:v>
                </c:pt>
                <c:pt idx="66">
                  <c:v>0</c:v>
                </c:pt>
                <c:pt idx="68">
                  <c:v>0</c:v>
                </c:pt>
                <c:pt idx="70">
                  <c:v>0</c:v>
                </c:pt>
              </c:numCache>
            </c:numRef>
          </c:val>
          <c:extLst>
            <c:ext xmlns:c16="http://schemas.microsoft.com/office/drawing/2014/chart" uri="{C3380CC4-5D6E-409C-BE32-E72D297353CC}">
              <c16:uniqueId val="{00000002-4510-48A0-BF98-2911A67D1D1E}"/>
            </c:ext>
          </c:extLst>
        </c:ser>
        <c:dLbls>
          <c:showLegendKey val="0"/>
          <c:showVal val="0"/>
          <c:showCatName val="0"/>
          <c:showSerName val="0"/>
          <c:showPercent val="0"/>
          <c:showBubbleSize val="0"/>
        </c:dLbls>
        <c:gapWidth val="75"/>
        <c:overlap val="100"/>
        <c:axId val="866528384"/>
        <c:axId val="866530736"/>
      </c:barChart>
      <c:catAx>
        <c:axId val="8665283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Accessory Selected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530736"/>
        <c:crosses val="autoZero"/>
        <c:auto val="1"/>
        <c:lblAlgn val="ctr"/>
        <c:lblOffset val="100"/>
        <c:noMultiLvlLbl val="0"/>
      </c:catAx>
      <c:valAx>
        <c:axId val="866530736"/>
        <c:scaling>
          <c:orientation val="minMax"/>
          <c:max val="525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Consumption</a:t>
                </a:r>
                <a:r>
                  <a:rPr lang="en-US" baseline="0"/>
                  <a:t> (Watts)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528384"/>
        <c:crosses val="autoZero"/>
        <c:crossBetween val="between"/>
      </c:valAx>
      <c:spPr>
        <a:gradFill>
          <a:gsLst>
            <a:gs pos="55000">
              <a:schemeClr val="accent1">
                <a:lumMod val="5000"/>
                <a:lumOff val="95000"/>
              </a:schemeClr>
            </a:gs>
            <a:gs pos="0">
              <a:schemeClr val="bg1">
                <a:lumMod val="65000"/>
              </a:schemeClr>
            </a:gs>
            <a:gs pos="15000">
              <a:schemeClr val="bg1">
                <a:lumMod val="75000"/>
              </a:schemeClr>
            </a:gs>
            <a:gs pos="72358">
              <a:schemeClr val="bg1">
                <a:lumMod val="95000"/>
              </a:schemeClr>
            </a:gs>
            <a:gs pos="91000">
              <a:schemeClr val="accent1">
                <a:lumMod val="30000"/>
                <a:lumOff val="70000"/>
              </a:schemeClr>
            </a:gs>
          </a:gsLst>
          <a:lin ang="5400000" scaled="1"/>
        </a:grad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oneCell">
    <xdr:from>
      <xdr:col>14</xdr:col>
      <xdr:colOff>1595438</xdr:colOff>
      <xdr:row>0</xdr:row>
      <xdr:rowOff>0</xdr:rowOff>
    </xdr:from>
    <xdr:to>
      <xdr:col>15</xdr:col>
      <xdr:colOff>7938</xdr:colOff>
      <xdr:row>3</xdr:row>
      <xdr:rowOff>148079</xdr:rowOff>
    </xdr:to>
    <xdr:pic>
      <xdr:nvPicPr>
        <xdr:cNvPr id="4" name="Picture 3" descr="https://docs.anl.gov/main/groups/intranet/@shared/@cpa/@div/documents/multimedia/114726.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192251" y="0"/>
          <a:ext cx="2155825" cy="6910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35</xdr:col>
      <xdr:colOff>523258</xdr:colOff>
      <xdr:row>21</xdr:row>
      <xdr:rowOff>148044</xdr:rowOff>
    </xdr:from>
    <xdr:to>
      <xdr:col>50</xdr:col>
      <xdr:colOff>184481</xdr:colOff>
      <xdr:row>46</xdr:row>
      <xdr:rowOff>95690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88049</xdr:colOff>
      <xdr:row>47</xdr:row>
      <xdr:rowOff>123265</xdr:rowOff>
    </xdr:from>
    <xdr:to>
      <xdr:col>47</xdr:col>
      <xdr:colOff>354390</xdr:colOff>
      <xdr:row>73</xdr:row>
      <xdr:rowOff>171764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519546</xdr:colOff>
      <xdr:row>1</xdr:row>
      <xdr:rowOff>123265</xdr:rowOff>
    </xdr:from>
    <xdr:to>
      <xdr:col>50</xdr:col>
      <xdr:colOff>179294</xdr:colOff>
      <xdr:row>21</xdr:row>
      <xdr:rowOff>78441</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515471</xdr:colOff>
      <xdr:row>67</xdr:row>
      <xdr:rowOff>89649</xdr:rowOff>
    </xdr:from>
    <xdr:to>
      <xdr:col>16</xdr:col>
      <xdr:colOff>257736</xdr:colOff>
      <xdr:row>72</xdr:row>
      <xdr:rowOff>33619</xdr:rowOff>
    </xdr:to>
    <xdr:sp macro="" textlink="">
      <xdr:nvSpPr>
        <xdr:cNvPr id="4" name="TextBox 3"/>
        <xdr:cNvSpPr txBox="1"/>
      </xdr:nvSpPr>
      <xdr:spPr>
        <a:xfrm>
          <a:off x="13928912" y="14679708"/>
          <a:ext cx="3709148" cy="896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No UBE</a:t>
          </a:r>
          <a:r>
            <a:rPr lang="en-US" sz="1100" baseline="0">
              <a:solidFill>
                <a:srgbClr val="FF0000"/>
              </a:solidFill>
            </a:rPr>
            <a:t> and Hioki charge data </a:t>
          </a:r>
        </a:p>
        <a:p>
          <a:endParaRPr lang="en-US" sz="1100" baseline="0">
            <a:solidFill>
              <a:srgbClr val="FF0000"/>
            </a:solidFill>
          </a:endParaRPr>
        </a:p>
        <a:p>
          <a:r>
            <a:rPr lang="en-US" sz="1100" baseline="0">
              <a:solidFill>
                <a:srgbClr val="FF0000"/>
              </a:solidFill>
            </a:rPr>
            <a:t>used the +850W/m2 data here</a:t>
          </a:r>
          <a:endParaRPr lang="en-US" sz="1100">
            <a:solidFill>
              <a:srgbClr val="FF0000"/>
            </a:solidFill>
          </a:endParaRPr>
        </a:p>
      </xdr:txBody>
    </xdr:sp>
    <xdr:clientData/>
  </xdr:twoCellAnchor>
  <xdr:twoCellAnchor>
    <xdr:from>
      <xdr:col>18</xdr:col>
      <xdr:colOff>537882</xdr:colOff>
      <xdr:row>2</xdr:row>
      <xdr:rowOff>112059</xdr:rowOff>
    </xdr:from>
    <xdr:to>
      <xdr:col>23</xdr:col>
      <xdr:colOff>705970</xdr:colOff>
      <xdr:row>5</xdr:row>
      <xdr:rowOff>549088</xdr:rowOff>
    </xdr:to>
    <xdr:sp macro="" textlink="">
      <xdr:nvSpPr>
        <xdr:cNvPr id="3" name="TextBox 2"/>
        <xdr:cNvSpPr txBox="1"/>
      </xdr:nvSpPr>
      <xdr:spPr>
        <a:xfrm>
          <a:off x="19195676" y="493059"/>
          <a:ext cx="4403912" cy="101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UBE: Usable battery energy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35</xdr:col>
      <xdr:colOff>523258</xdr:colOff>
      <xdr:row>21</xdr:row>
      <xdr:rowOff>148044</xdr:rowOff>
    </xdr:from>
    <xdr:to>
      <xdr:col>50</xdr:col>
      <xdr:colOff>184481</xdr:colOff>
      <xdr:row>46</xdr:row>
      <xdr:rowOff>95690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88049</xdr:colOff>
      <xdr:row>47</xdr:row>
      <xdr:rowOff>123265</xdr:rowOff>
    </xdr:from>
    <xdr:to>
      <xdr:col>47</xdr:col>
      <xdr:colOff>354390</xdr:colOff>
      <xdr:row>73</xdr:row>
      <xdr:rowOff>171764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519546</xdr:colOff>
      <xdr:row>1</xdr:row>
      <xdr:rowOff>123265</xdr:rowOff>
    </xdr:from>
    <xdr:to>
      <xdr:col>50</xdr:col>
      <xdr:colOff>179294</xdr:colOff>
      <xdr:row>21</xdr:row>
      <xdr:rowOff>78441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515471</xdr:colOff>
      <xdr:row>67</xdr:row>
      <xdr:rowOff>89649</xdr:rowOff>
    </xdr:from>
    <xdr:to>
      <xdr:col>16</xdr:col>
      <xdr:colOff>257736</xdr:colOff>
      <xdr:row>72</xdr:row>
      <xdr:rowOff>33619</xdr:rowOff>
    </xdr:to>
    <xdr:sp macro="" textlink="">
      <xdr:nvSpPr>
        <xdr:cNvPr id="5" name="TextBox 4"/>
        <xdr:cNvSpPr txBox="1"/>
      </xdr:nvSpPr>
      <xdr:spPr>
        <a:xfrm>
          <a:off x="13907621" y="14662899"/>
          <a:ext cx="3704665" cy="896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No UBE</a:t>
          </a:r>
          <a:r>
            <a:rPr lang="en-US" sz="1100" baseline="0">
              <a:solidFill>
                <a:srgbClr val="FF0000"/>
              </a:solidFill>
            </a:rPr>
            <a:t> and Hioki charge data </a:t>
          </a:r>
        </a:p>
        <a:p>
          <a:endParaRPr lang="en-US" sz="1100" baseline="0">
            <a:solidFill>
              <a:srgbClr val="FF0000"/>
            </a:solidFill>
          </a:endParaRPr>
        </a:p>
        <a:p>
          <a:r>
            <a:rPr lang="en-US" sz="1100" baseline="0">
              <a:solidFill>
                <a:srgbClr val="FF0000"/>
              </a:solidFill>
            </a:rPr>
            <a:t>used the +850W/m2 data here</a:t>
          </a:r>
          <a:endParaRPr lang="en-US" sz="1100">
            <a:solidFill>
              <a:srgbClr val="FF0000"/>
            </a:solidFill>
          </a:endParaRPr>
        </a:p>
      </xdr:txBody>
    </xdr:sp>
    <xdr:clientData/>
  </xdr:twoCellAnchor>
  <xdr:twoCellAnchor>
    <xdr:from>
      <xdr:col>18</xdr:col>
      <xdr:colOff>537882</xdr:colOff>
      <xdr:row>2</xdr:row>
      <xdr:rowOff>112059</xdr:rowOff>
    </xdr:from>
    <xdr:to>
      <xdr:col>23</xdr:col>
      <xdr:colOff>705970</xdr:colOff>
      <xdr:row>5</xdr:row>
      <xdr:rowOff>549088</xdr:rowOff>
    </xdr:to>
    <xdr:sp macro="" textlink="">
      <xdr:nvSpPr>
        <xdr:cNvPr id="6" name="TextBox 5"/>
        <xdr:cNvSpPr txBox="1"/>
      </xdr:nvSpPr>
      <xdr:spPr>
        <a:xfrm>
          <a:off x="19168782" y="493059"/>
          <a:ext cx="4406713" cy="10180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UBE: Usable battery energy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1004607</xdr:colOff>
      <xdr:row>12</xdr:row>
      <xdr:rowOff>136153</xdr:rowOff>
    </xdr:from>
    <xdr:to>
      <xdr:col>14</xdr:col>
      <xdr:colOff>1120</xdr:colOff>
      <xdr:row>34</xdr:row>
      <xdr:rowOff>123703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141945</xdr:colOff>
      <xdr:row>36</xdr:row>
      <xdr:rowOff>176547</xdr:rowOff>
    </xdr:from>
    <xdr:to>
      <xdr:col>13</xdr:col>
      <xdr:colOff>586480</xdr:colOff>
      <xdr:row>64</xdr:row>
      <xdr:rowOff>33579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76</xdr:row>
      <xdr:rowOff>0</xdr:rowOff>
    </xdr:from>
    <xdr:to>
      <xdr:col>13</xdr:col>
      <xdr:colOff>444535</xdr:colOff>
      <xdr:row>104</xdr:row>
      <xdr:rowOff>85632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75</xdr:row>
      <xdr:rowOff>171450</xdr:rowOff>
    </xdr:from>
    <xdr:to>
      <xdr:col>22</xdr:col>
      <xdr:colOff>196885</xdr:colOff>
      <xdr:row>104</xdr:row>
      <xdr:rowOff>66582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447675</xdr:colOff>
      <xdr:row>76</xdr:row>
      <xdr:rowOff>0</xdr:rowOff>
    </xdr:from>
    <xdr:to>
      <xdr:col>28</xdr:col>
      <xdr:colOff>958885</xdr:colOff>
      <xdr:row>104</xdr:row>
      <xdr:rowOff>85632</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17</xdr:col>
      <xdr:colOff>179294</xdr:colOff>
      <xdr:row>20</xdr:row>
      <xdr:rowOff>136473</xdr:rowOff>
    </xdr:from>
    <xdr:to>
      <xdr:col>24</xdr:col>
      <xdr:colOff>694765</xdr:colOff>
      <xdr:row>42</xdr:row>
      <xdr:rowOff>56192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124891</xdr:colOff>
      <xdr:row>44</xdr:row>
      <xdr:rowOff>3021</xdr:rowOff>
    </xdr:from>
    <xdr:to>
      <xdr:col>24</xdr:col>
      <xdr:colOff>33961</xdr:colOff>
      <xdr:row>61</xdr:row>
      <xdr:rowOff>28979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342899</xdr:colOff>
      <xdr:row>94</xdr:row>
      <xdr:rowOff>63499</xdr:rowOff>
    </xdr:from>
    <xdr:to>
      <xdr:col>15</xdr:col>
      <xdr:colOff>372533</xdr:colOff>
      <xdr:row>115</xdr:row>
      <xdr:rowOff>110067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ales\APTF%20Docs\Users\kstutenberg\AppData\Local\Microsoft\Windows\INetCache\Content.Outlook\ZUJC1O24\Lightweight\FEvsMass_Leafonlypowermode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LABC"/>
      <sheetName val="INLcoef"/>
      <sheetName val="THEOcoef"/>
      <sheetName val="LEAFTheoreticalRL"/>
      <sheetName val="FusionConvTheoreticalRL"/>
      <sheetName val="SpdtoABCcalcFocus"/>
    </sheetNames>
    <sheetDataSet>
      <sheetData sheetId="0" refreshError="1"/>
      <sheetData sheetId="1" refreshError="1"/>
      <sheetData sheetId="2" refreshError="1"/>
      <sheetData sheetId="3">
        <row r="2">
          <cell r="H2">
            <v>0</v>
          </cell>
        </row>
      </sheetData>
      <sheetData sheetId="4" refreshError="1"/>
      <sheetData sheetId="5">
        <row r="2">
          <cell r="P2">
            <v>3125</v>
          </cell>
          <cell r="Q2">
            <v>30.85</v>
          </cell>
          <cell r="R2">
            <v>0.50800000000000001</v>
          </cell>
          <cell r="S2">
            <v>1.6490000000000001E-2</v>
          </cell>
        </row>
        <row r="3">
          <cell r="Q3">
            <v>34.296999999999997</v>
          </cell>
          <cell r="R3">
            <v>0.56420000000000003</v>
          </cell>
          <cell r="S3">
            <v>1.84E-2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www.epa.gov/compliance-and-fuel-economy-data/data-cars-used-testing-fuel-economy"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file:///C:\Users\kstutenberg\AppData\All%20Daq\Drive%20Cycles\J1634%20Combined" TargetMode="External"/><Relationship Id="rId1" Type="http://schemas.openxmlformats.org/officeDocument/2006/relationships/hyperlink" Target="file:///C:\Users\kstutenberg\AppData\All%20Daq\Drive%20Cycles\J1634%20Combined"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Y77"/>
  <sheetViews>
    <sheetView zoomScale="85" zoomScaleNormal="85" workbookViewId="0">
      <pane ySplit="5" topLeftCell="A33" activePane="bottomLeft" state="frozen"/>
      <selection pane="bottomLeft" activeCell="E4" sqref="E4"/>
    </sheetView>
  </sheetViews>
  <sheetFormatPr defaultColWidth="9.140625" defaultRowHeight="15" x14ac:dyDescent="0.25"/>
  <cols>
    <col min="1" max="1" width="66.28515625" style="203" customWidth="1"/>
    <col min="2" max="2" width="9.42578125" style="530" customWidth="1"/>
    <col min="3" max="3" width="6.5703125" style="203" customWidth="1"/>
    <col min="4" max="4" width="8.5703125" style="203" customWidth="1"/>
    <col min="5" max="5" width="5.5703125" style="203" customWidth="1"/>
    <col min="6" max="6" width="8.5703125" style="203" customWidth="1"/>
    <col min="7" max="7" width="5.5703125" style="203" customWidth="1"/>
    <col min="8" max="8" width="9.42578125" style="203" customWidth="1"/>
    <col min="9" max="10" width="5.5703125" style="203" customWidth="1"/>
    <col min="11" max="11" width="12.5703125" style="203" customWidth="1"/>
    <col min="12" max="12" width="11" style="203" customWidth="1"/>
    <col min="13" max="13" width="8.5703125" style="203" customWidth="1"/>
    <col min="14" max="14" width="12.85546875" style="203" customWidth="1"/>
    <col min="15" max="15" width="52.42578125" style="203" customWidth="1"/>
    <col min="16" max="16" width="19.140625" style="203" customWidth="1"/>
    <col min="17" max="21" width="9.140625" style="203"/>
    <col min="22" max="22" width="14.5703125" style="203" customWidth="1"/>
    <col min="23" max="16384" width="9.140625" style="203"/>
  </cols>
  <sheetData>
    <row r="1" spans="1:25" ht="14.45" customHeight="1" x14ac:dyDescent="0.25">
      <c r="A1" s="32" t="s">
        <v>5</v>
      </c>
      <c r="B1" s="627" t="s">
        <v>552</v>
      </c>
      <c r="C1" s="32"/>
      <c r="K1" s="32" t="s">
        <v>6</v>
      </c>
      <c r="L1" s="32" t="s">
        <v>417</v>
      </c>
    </row>
    <row r="2" spans="1:25" ht="14.45" customHeight="1" x14ac:dyDescent="0.25">
      <c r="A2" s="32" t="s">
        <v>7</v>
      </c>
      <c r="B2" s="627" t="s">
        <v>418</v>
      </c>
      <c r="C2" s="32"/>
      <c r="K2" s="32" t="s">
        <v>307</v>
      </c>
      <c r="L2" s="20">
        <v>43754</v>
      </c>
    </row>
    <row r="3" spans="1:25" ht="14.45" customHeight="1" x14ac:dyDescent="0.25">
      <c r="A3" s="2" t="s">
        <v>8</v>
      </c>
      <c r="B3" s="628" t="s">
        <v>1016</v>
      </c>
      <c r="C3" s="2"/>
      <c r="D3" s="158"/>
      <c r="E3" s="159" t="s">
        <v>1017</v>
      </c>
      <c r="K3" s="32" t="s">
        <v>302</v>
      </c>
      <c r="L3" s="20">
        <f ca="1">TODAY()</f>
        <v>44504</v>
      </c>
    </row>
    <row r="4" spans="1:25" ht="14.45" customHeight="1" x14ac:dyDescent="0.25">
      <c r="C4" s="4"/>
      <c r="D4" s="3"/>
    </row>
    <row r="5" spans="1:25" s="6" customFormat="1" ht="99.95" customHeight="1" x14ac:dyDescent="0.25">
      <c r="A5" s="160" t="s">
        <v>9</v>
      </c>
      <c r="B5" s="533" t="s">
        <v>10</v>
      </c>
      <c r="C5" s="161" t="s">
        <v>11</v>
      </c>
      <c r="D5" s="161" t="s">
        <v>303</v>
      </c>
      <c r="E5" s="161" t="s">
        <v>12</v>
      </c>
      <c r="F5" s="161" t="s">
        <v>13</v>
      </c>
      <c r="G5" s="161" t="s">
        <v>304</v>
      </c>
      <c r="H5" s="162" t="s">
        <v>14</v>
      </c>
      <c r="I5" s="162" t="s">
        <v>15</v>
      </c>
      <c r="J5" s="162" t="s">
        <v>16</v>
      </c>
      <c r="K5" s="163" t="s">
        <v>17</v>
      </c>
      <c r="L5" s="163" t="s">
        <v>18</v>
      </c>
      <c r="M5" s="163" t="s">
        <v>19</v>
      </c>
      <c r="N5" s="163" t="s">
        <v>20</v>
      </c>
      <c r="O5" s="164" t="s">
        <v>305</v>
      </c>
    </row>
    <row r="6" spans="1:25" ht="14.45" customHeight="1" x14ac:dyDescent="0.25">
      <c r="A6" s="311" t="s">
        <v>612</v>
      </c>
      <c r="B6" s="534"/>
      <c r="C6" s="295"/>
      <c r="D6" s="295"/>
      <c r="E6" s="295"/>
      <c r="F6" s="295"/>
      <c r="G6" s="295"/>
      <c r="H6" s="295"/>
      <c r="I6" s="295"/>
      <c r="J6" s="295"/>
      <c r="K6" s="295"/>
      <c r="L6" s="295"/>
      <c r="M6" s="295"/>
      <c r="N6" s="295"/>
      <c r="O6" s="296"/>
    </row>
    <row r="7" spans="1:25" ht="15" customHeight="1" x14ac:dyDescent="0.25">
      <c r="A7" s="291" t="s">
        <v>362</v>
      </c>
      <c r="B7" s="535"/>
      <c r="C7" s="292"/>
      <c r="D7" s="292"/>
      <c r="E7" s="292"/>
      <c r="F7" s="292"/>
      <c r="G7" s="292"/>
      <c r="H7" s="292"/>
      <c r="I7" s="292"/>
      <c r="J7" s="292"/>
      <c r="K7" s="292"/>
      <c r="L7" s="292"/>
      <c r="M7" s="292"/>
      <c r="N7" s="292"/>
      <c r="O7" s="293"/>
    </row>
    <row r="8" spans="1:25" ht="30" x14ac:dyDescent="0.25">
      <c r="A8" s="291" t="s">
        <v>371</v>
      </c>
      <c r="B8" s="535"/>
      <c r="C8" s="292"/>
      <c r="D8" s="292"/>
      <c r="E8" s="292"/>
      <c r="F8" s="292"/>
      <c r="G8" s="292"/>
      <c r="H8" s="292"/>
      <c r="I8" s="292"/>
      <c r="J8" s="292"/>
      <c r="K8" s="292"/>
      <c r="L8" s="292"/>
      <c r="M8" s="292"/>
      <c r="N8" s="292"/>
      <c r="O8" s="293"/>
    </row>
    <row r="9" spans="1:25" ht="15" customHeight="1" x14ac:dyDescent="0.25">
      <c r="A9" s="33" t="s">
        <v>356</v>
      </c>
      <c r="B9" s="421" t="s">
        <v>610</v>
      </c>
      <c r="C9" s="34" t="s">
        <v>21</v>
      </c>
      <c r="D9" s="34" t="s">
        <v>344</v>
      </c>
      <c r="E9" s="34" t="s">
        <v>22</v>
      </c>
      <c r="F9" s="34" t="s">
        <v>50</v>
      </c>
      <c r="G9" s="34" t="s">
        <v>23</v>
      </c>
      <c r="H9" s="35" t="s">
        <v>23</v>
      </c>
      <c r="I9" s="35" t="s">
        <v>24</v>
      </c>
      <c r="J9" s="35" t="s">
        <v>25</v>
      </c>
      <c r="K9" s="36" t="s">
        <v>26</v>
      </c>
      <c r="L9" s="36" t="s">
        <v>51</v>
      </c>
      <c r="M9" s="36" t="s">
        <v>27</v>
      </c>
      <c r="N9" s="36" t="s">
        <v>411</v>
      </c>
      <c r="O9" s="37" t="s">
        <v>29</v>
      </c>
    </row>
    <row r="10" spans="1:25" s="214" customFormat="1" ht="15" customHeight="1" x14ac:dyDescent="0.25">
      <c r="A10" s="33" t="s">
        <v>380</v>
      </c>
      <c r="B10" s="421"/>
      <c r="C10" s="34" t="s">
        <v>21</v>
      </c>
      <c r="D10" s="34" t="s">
        <v>344</v>
      </c>
      <c r="E10" s="34" t="s">
        <v>22</v>
      </c>
      <c r="F10" s="34" t="s">
        <v>50</v>
      </c>
      <c r="G10" s="34" t="s">
        <v>23</v>
      </c>
      <c r="H10" s="35" t="s">
        <v>23</v>
      </c>
      <c r="I10" s="35" t="s">
        <v>24</v>
      </c>
      <c r="J10" s="35" t="s">
        <v>25</v>
      </c>
      <c r="K10" s="36" t="s">
        <v>26</v>
      </c>
      <c r="L10" s="36" t="s">
        <v>51</v>
      </c>
      <c r="M10" s="36" t="s">
        <v>27</v>
      </c>
      <c r="N10" s="36" t="s">
        <v>411</v>
      </c>
      <c r="O10" s="37"/>
    </row>
    <row r="11" spans="1:25" s="214" customFormat="1" x14ac:dyDescent="0.25">
      <c r="A11" s="308" t="s">
        <v>412</v>
      </c>
      <c r="B11" s="309"/>
      <c r="C11" s="310"/>
      <c r="D11" s="310" t="s">
        <v>344</v>
      </c>
      <c r="E11" s="310" t="s">
        <v>344</v>
      </c>
      <c r="F11" s="310"/>
      <c r="G11" s="310"/>
      <c r="H11" s="310"/>
      <c r="I11" s="310"/>
      <c r="J11" s="310" t="s">
        <v>25</v>
      </c>
      <c r="K11" s="310"/>
      <c r="L11" s="310" t="s">
        <v>51</v>
      </c>
      <c r="M11" s="310" t="s">
        <v>27</v>
      </c>
      <c r="N11" s="310"/>
      <c r="O11" s="308" t="s">
        <v>553</v>
      </c>
      <c r="X11" s="22"/>
      <c r="Y11" s="32"/>
    </row>
    <row r="12" spans="1:25" s="214" customFormat="1" ht="14.45" customHeight="1" x14ac:dyDescent="0.25">
      <c r="A12" s="7"/>
      <c r="B12" s="8"/>
      <c r="C12" s="8"/>
      <c r="D12" s="8"/>
      <c r="E12" s="8"/>
      <c r="F12" s="8"/>
      <c r="G12" s="8"/>
      <c r="H12" s="8"/>
      <c r="I12" s="8"/>
      <c r="J12" s="8"/>
      <c r="K12" s="8"/>
      <c r="L12" s="8"/>
      <c r="M12" s="8"/>
      <c r="N12" s="8"/>
      <c r="O12" s="7"/>
    </row>
    <row r="13" spans="1:25" ht="14.45" customHeight="1" x14ac:dyDescent="0.25">
      <c r="A13" s="311" t="s">
        <v>415</v>
      </c>
      <c r="B13" s="534"/>
      <c r="C13" s="295"/>
      <c r="D13" s="295"/>
      <c r="E13" s="295"/>
      <c r="F13" s="295"/>
      <c r="G13" s="295"/>
      <c r="H13" s="295"/>
      <c r="I13" s="295"/>
      <c r="J13" s="295"/>
      <c r="K13" s="295"/>
      <c r="L13" s="295"/>
      <c r="M13" s="295"/>
      <c r="N13" s="295"/>
      <c r="O13" s="296"/>
      <c r="P13" s="214"/>
      <c r="X13" s="22"/>
      <c r="Y13" s="32"/>
    </row>
    <row r="14" spans="1:25" ht="14.45" customHeight="1" x14ac:dyDescent="0.25">
      <c r="A14" s="297" t="s">
        <v>419</v>
      </c>
      <c r="B14" s="421" t="s">
        <v>610</v>
      </c>
      <c r="C14" s="289" t="s">
        <v>30</v>
      </c>
      <c r="D14" s="289" t="s">
        <v>344</v>
      </c>
      <c r="E14" s="289" t="s">
        <v>344</v>
      </c>
      <c r="F14" s="289" t="s">
        <v>50</v>
      </c>
      <c r="G14" s="289" t="s">
        <v>23</v>
      </c>
      <c r="H14" s="290" t="s">
        <v>23</v>
      </c>
      <c r="I14" s="290" t="s">
        <v>24</v>
      </c>
      <c r="J14" s="290" t="s">
        <v>25</v>
      </c>
      <c r="K14" s="298" t="s">
        <v>26</v>
      </c>
      <c r="L14" s="298" t="s">
        <v>51</v>
      </c>
      <c r="M14" s="298" t="s">
        <v>306</v>
      </c>
      <c r="N14" s="36" t="s">
        <v>411</v>
      </c>
      <c r="O14" s="307"/>
      <c r="P14" s="214"/>
      <c r="X14" s="22"/>
      <c r="Y14" s="32"/>
    </row>
    <row r="15" spans="1:25" ht="15" customHeight="1" x14ac:dyDescent="0.25">
      <c r="A15" s="33" t="s">
        <v>310</v>
      </c>
      <c r="B15" s="421" t="s">
        <v>610</v>
      </c>
      <c r="C15" s="34" t="s">
        <v>249</v>
      </c>
      <c r="D15" s="34" t="s">
        <v>344</v>
      </c>
      <c r="E15" s="34" t="s">
        <v>344</v>
      </c>
      <c r="F15" s="34" t="s">
        <v>50</v>
      </c>
      <c r="G15" s="34" t="s">
        <v>23</v>
      </c>
      <c r="H15" s="35" t="s">
        <v>23</v>
      </c>
      <c r="I15" s="35" t="s">
        <v>24</v>
      </c>
      <c r="J15" s="35" t="s">
        <v>25</v>
      </c>
      <c r="K15" s="36" t="s">
        <v>26</v>
      </c>
      <c r="L15" s="36" t="s">
        <v>51</v>
      </c>
      <c r="M15" s="36" t="s">
        <v>306</v>
      </c>
      <c r="N15" s="36" t="s">
        <v>411</v>
      </c>
      <c r="O15" s="113" t="s">
        <v>348</v>
      </c>
      <c r="P15" s="214"/>
    </row>
    <row r="16" spans="1:25" ht="15.6" customHeight="1" x14ac:dyDescent="0.25">
      <c r="A16" s="297" t="s">
        <v>420</v>
      </c>
      <c r="B16" s="431" t="s">
        <v>610</v>
      </c>
      <c r="C16" s="34" t="s">
        <v>249</v>
      </c>
      <c r="D16" s="34" t="s">
        <v>344</v>
      </c>
      <c r="E16" s="34" t="s">
        <v>344</v>
      </c>
      <c r="F16" s="34" t="s">
        <v>50</v>
      </c>
      <c r="G16" s="34" t="s">
        <v>23</v>
      </c>
      <c r="H16" s="35" t="s">
        <v>23</v>
      </c>
      <c r="I16" s="35" t="s">
        <v>24</v>
      </c>
      <c r="J16" s="35" t="s">
        <v>25</v>
      </c>
      <c r="K16" s="36" t="s">
        <v>26</v>
      </c>
      <c r="L16" s="36" t="s">
        <v>51</v>
      </c>
      <c r="M16" s="36" t="s">
        <v>306</v>
      </c>
      <c r="N16" s="36" t="s">
        <v>411</v>
      </c>
      <c r="O16" s="113"/>
      <c r="P16" s="214"/>
      <c r="X16" s="32"/>
      <c r="Y16" s="32"/>
    </row>
    <row r="17" spans="1:25" ht="14.45" customHeight="1" x14ac:dyDescent="0.25">
      <c r="A17" s="33" t="s">
        <v>349</v>
      </c>
      <c r="B17" s="421" t="s">
        <v>610</v>
      </c>
      <c r="C17" s="34" t="s">
        <v>249</v>
      </c>
      <c r="D17" s="34" t="s">
        <v>344</v>
      </c>
      <c r="E17" s="34" t="s">
        <v>344</v>
      </c>
      <c r="F17" s="34" t="s">
        <v>50</v>
      </c>
      <c r="G17" s="34" t="s">
        <v>23</v>
      </c>
      <c r="H17" s="35" t="s">
        <v>23</v>
      </c>
      <c r="I17" s="35" t="s">
        <v>24</v>
      </c>
      <c r="J17" s="35" t="s">
        <v>25</v>
      </c>
      <c r="K17" s="36" t="s">
        <v>26</v>
      </c>
      <c r="L17" s="36" t="s">
        <v>51</v>
      </c>
      <c r="M17" s="36" t="s">
        <v>306</v>
      </c>
      <c r="N17" s="36" t="s">
        <v>411</v>
      </c>
      <c r="O17" s="113"/>
      <c r="P17" s="214"/>
      <c r="X17" s="32"/>
      <c r="Y17" s="32"/>
    </row>
    <row r="18" spans="1:25" s="214" customFormat="1" ht="14.45" customHeight="1" x14ac:dyDescent="0.25">
      <c r="A18" s="308" t="s">
        <v>412</v>
      </c>
      <c r="B18" s="309" t="s">
        <v>610</v>
      </c>
      <c r="C18" s="310"/>
      <c r="D18" s="310" t="s">
        <v>344</v>
      </c>
      <c r="E18" s="310" t="s">
        <v>344</v>
      </c>
      <c r="F18" s="310"/>
      <c r="G18" s="310"/>
      <c r="H18" s="310"/>
      <c r="I18" s="310"/>
      <c r="J18" s="310" t="s">
        <v>25</v>
      </c>
      <c r="K18" s="310" t="s">
        <v>406</v>
      </c>
      <c r="L18" s="310" t="s">
        <v>51</v>
      </c>
      <c r="M18" s="310" t="s">
        <v>27</v>
      </c>
      <c r="N18" s="310"/>
      <c r="O18" s="308" t="s">
        <v>553</v>
      </c>
      <c r="X18" s="32"/>
      <c r="Y18" s="32"/>
    </row>
    <row r="19" spans="1:25" s="214" customFormat="1" ht="14.45" customHeight="1" x14ac:dyDescent="0.25">
      <c r="A19" s="311" t="s">
        <v>611</v>
      </c>
      <c r="B19" s="534"/>
      <c r="C19" s="295"/>
      <c r="D19" s="295"/>
      <c r="E19" s="295"/>
      <c r="F19" s="295"/>
      <c r="G19" s="295"/>
      <c r="H19" s="295"/>
      <c r="I19" s="295"/>
      <c r="J19" s="295"/>
      <c r="K19" s="295"/>
      <c r="L19" s="295"/>
      <c r="M19" s="295"/>
      <c r="N19" s="295"/>
      <c r="O19" s="296"/>
      <c r="X19" s="22"/>
      <c r="Y19" s="32"/>
    </row>
    <row r="20" spans="1:25" s="411" customFormat="1" ht="14.45" customHeight="1" x14ac:dyDescent="0.25">
      <c r="A20" s="430" t="s">
        <v>419</v>
      </c>
      <c r="B20" s="421" t="s">
        <v>610</v>
      </c>
      <c r="C20" s="428" t="s">
        <v>30</v>
      </c>
      <c r="D20" s="428" t="s">
        <v>344</v>
      </c>
      <c r="E20" s="428" t="s">
        <v>344</v>
      </c>
      <c r="F20" s="428" t="s">
        <v>50</v>
      </c>
      <c r="G20" s="428" t="s">
        <v>23</v>
      </c>
      <c r="H20" s="429" t="s">
        <v>23</v>
      </c>
      <c r="I20" s="429" t="s">
        <v>24</v>
      </c>
      <c r="J20" s="429" t="s">
        <v>25</v>
      </c>
      <c r="K20" s="432" t="s">
        <v>26</v>
      </c>
      <c r="L20" s="432" t="s">
        <v>51</v>
      </c>
      <c r="M20" s="432" t="s">
        <v>306</v>
      </c>
      <c r="N20" s="417" t="s">
        <v>411</v>
      </c>
      <c r="O20" s="433"/>
      <c r="X20" s="412"/>
      <c r="Y20" s="413"/>
    </row>
    <row r="21" spans="1:25" s="411" customFormat="1" ht="15" customHeight="1" x14ac:dyDescent="0.25">
      <c r="A21" s="414" t="s">
        <v>310</v>
      </c>
      <c r="B21" s="421" t="s">
        <v>610</v>
      </c>
      <c r="C21" s="415" t="s">
        <v>249</v>
      </c>
      <c r="D21" s="415" t="s">
        <v>344</v>
      </c>
      <c r="E21" s="415" t="s">
        <v>344</v>
      </c>
      <c r="F21" s="415" t="s">
        <v>50</v>
      </c>
      <c r="G21" s="415" t="s">
        <v>23</v>
      </c>
      <c r="H21" s="416" t="s">
        <v>23</v>
      </c>
      <c r="I21" s="416" t="s">
        <v>24</v>
      </c>
      <c r="J21" s="416" t="s">
        <v>25</v>
      </c>
      <c r="K21" s="417" t="s">
        <v>26</v>
      </c>
      <c r="L21" s="417" t="s">
        <v>51</v>
      </c>
      <c r="M21" s="417" t="s">
        <v>306</v>
      </c>
      <c r="N21" s="417" t="s">
        <v>411</v>
      </c>
      <c r="O21" s="422" t="s">
        <v>348</v>
      </c>
    </row>
    <row r="22" spans="1:25" s="411" customFormat="1" ht="15.6" customHeight="1" x14ac:dyDescent="0.25">
      <c r="A22" s="430" t="s">
        <v>420</v>
      </c>
      <c r="B22" s="431" t="s">
        <v>610</v>
      </c>
      <c r="C22" s="415" t="s">
        <v>249</v>
      </c>
      <c r="D22" s="415" t="s">
        <v>344</v>
      </c>
      <c r="E22" s="415" t="s">
        <v>344</v>
      </c>
      <c r="F22" s="415" t="s">
        <v>50</v>
      </c>
      <c r="G22" s="415" t="s">
        <v>23</v>
      </c>
      <c r="H22" s="416" t="s">
        <v>23</v>
      </c>
      <c r="I22" s="416" t="s">
        <v>24</v>
      </c>
      <c r="J22" s="416" t="s">
        <v>25</v>
      </c>
      <c r="K22" s="417" t="s">
        <v>26</v>
      </c>
      <c r="L22" s="417" t="s">
        <v>51</v>
      </c>
      <c r="M22" s="417" t="s">
        <v>306</v>
      </c>
      <c r="N22" s="417" t="s">
        <v>411</v>
      </c>
      <c r="O22" s="422"/>
      <c r="X22" s="413"/>
      <c r="Y22" s="413"/>
    </row>
    <row r="23" spans="1:25" s="411" customFormat="1" ht="14.25" customHeight="1" x14ac:dyDescent="0.25">
      <c r="A23" s="414" t="s">
        <v>349</v>
      </c>
      <c r="B23" s="421" t="s">
        <v>610</v>
      </c>
      <c r="C23" s="415" t="s">
        <v>249</v>
      </c>
      <c r="D23" s="415" t="s">
        <v>344</v>
      </c>
      <c r="E23" s="415" t="s">
        <v>344</v>
      </c>
      <c r="F23" s="415" t="s">
        <v>50</v>
      </c>
      <c r="G23" s="415" t="s">
        <v>23</v>
      </c>
      <c r="H23" s="416" t="s">
        <v>23</v>
      </c>
      <c r="I23" s="416" t="s">
        <v>24</v>
      </c>
      <c r="J23" s="416" t="s">
        <v>25</v>
      </c>
      <c r="K23" s="417" t="s">
        <v>26</v>
      </c>
      <c r="L23" s="417" t="s">
        <v>51</v>
      </c>
      <c r="M23" s="417" t="s">
        <v>306</v>
      </c>
      <c r="N23" s="417" t="s">
        <v>411</v>
      </c>
      <c r="O23" s="422"/>
      <c r="X23" s="413"/>
      <c r="Y23" s="413"/>
    </row>
    <row r="24" spans="1:25" s="214" customFormat="1" ht="14.45" customHeight="1" x14ac:dyDescent="0.25">
      <c r="A24" s="308" t="s">
        <v>412</v>
      </c>
      <c r="B24" s="309"/>
      <c r="C24" s="310"/>
      <c r="D24" s="310" t="s">
        <v>308</v>
      </c>
      <c r="E24" s="310" t="s">
        <v>308</v>
      </c>
      <c r="F24" s="310"/>
      <c r="G24" s="310"/>
      <c r="H24" s="310"/>
      <c r="I24" s="310"/>
      <c r="J24" s="310" t="s">
        <v>25</v>
      </c>
      <c r="K24" s="310"/>
      <c r="L24" s="310" t="s">
        <v>51</v>
      </c>
      <c r="M24" s="310" t="s">
        <v>27</v>
      </c>
      <c r="N24" s="310"/>
      <c r="O24" s="308" t="s">
        <v>553</v>
      </c>
      <c r="X24" s="32"/>
      <c r="Y24" s="32"/>
    </row>
    <row r="25" spans="1:25" s="214" customFormat="1" ht="14.45" customHeight="1" x14ac:dyDescent="0.25">
      <c r="A25" s="83" t="s">
        <v>614</v>
      </c>
      <c r="B25" s="534"/>
      <c r="C25" s="249"/>
      <c r="D25" s="249"/>
      <c r="E25" s="249"/>
      <c r="F25" s="249"/>
      <c r="G25" s="249"/>
      <c r="H25" s="249"/>
      <c r="I25" s="249"/>
      <c r="J25" s="249"/>
      <c r="K25" s="249"/>
      <c r="L25" s="249"/>
      <c r="M25" s="249"/>
      <c r="N25" s="249"/>
      <c r="O25" s="250"/>
    </row>
    <row r="26" spans="1:25" s="214" customFormat="1" ht="15" customHeight="1" x14ac:dyDescent="0.25">
      <c r="A26" s="33" t="s">
        <v>528</v>
      </c>
      <c r="B26" s="421" t="s">
        <v>610</v>
      </c>
      <c r="C26" s="34"/>
      <c r="D26" s="34"/>
      <c r="E26" s="34"/>
      <c r="F26" s="34"/>
      <c r="G26" s="34"/>
      <c r="H26" s="35"/>
      <c r="I26" s="35"/>
      <c r="J26" s="35"/>
      <c r="K26" s="36"/>
      <c r="L26" s="36"/>
      <c r="M26" s="36"/>
      <c r="N26" s="36"/>
      <c r="O26" s="37"/>
      <c r="P26" s="214" t="s">
        <v>619</v>
      </c>
    </row>
    <row r="27" spans="1:25" s="345" customFormat="1" ht="14.45" customHeight="1" x14ac:dyDescent="0.25">
      <c r="A27" s="33" t="s">
        <v>620</v>
      </c>
      <c r="B27" s="418" t="s">
        <v>610</v>
      </c>
      <c r="C27" s="34" t="s">
        <v>21</v>
      </c>
      <c r="D27" s="34" t="s">
        <v>344</v>
      </c>
      <c r="E27" s="34" t="s">
        <v>344</v>
      </c>
      <c r="F27" s="34" t="s">
        <v>50</v>
      </c>
      <c r="G27" s="34" t="s">
        <v>23</v>
      </c>
      <c r="H27" s="35" t="s">
        <v>24</v>
      </c>
      <c r="I27" s="35" t="s">
        <v>24</v>
      </c>
      <c r="J27" s="35" t="s">
        <v>25</v>
      </c>
      <c r="K27" s="36" t="s">
        <v>26</v>
      </c>
      <c r="L27" s="36" t="s">
        <v>51</v>
      </c>
      <c r="M27" s="36" t="s">
        <v>27</v>
      </c>
      <c r="N27" s="36" t="s">
        <v>411</v>
      </c>
      <c r="O27" s="37"/>
      <c r="P27" s="407" t="s">
        <v>621</v>
      </c>
      <c r="X27" s="22"/>
      <c r="Y27" s="32"/>
    </row>
    <row r="28" spans="1:25" x14ac:dyDescent="0.25">
      <c r="A28" s="33" t="s">
        <v>382</v>
      </c>
      <c r="B28" s="418" t="s">
        <v>610</v>
      </c>
      <c r="C28" s="34" t="s">
        <v>21</v>
      </c>
      <c r="D28" s="34" t="s">
        <v>344</v>
      </c>
      <c r="E28" s="34" t="s">
        <v>344</v>
      </c>
      <c r="F28" s="34" t="s">
        <v>50</v>
      </c>
      <c r="G28" s="34" t="s">
        <v>23</v>
      </c>
      <c r="H28" s="35" t="s">
        <v>24</v>
      </c>
      <c r="I28" s="35" t="s">
        <v>24</v>
      </c>
      <c r="J28" s="35" t="s">
        <v>25</v>
      </c>
      <c r="K28" s="36" t="s">
        <v>26</v>
      </c>
      <c r="L28" s="36" t="s">
        <v>51</v>
      </c>
      <c r="M28" s="36" t="s">
        <v>27</v>
      </c>
      <c r="N28" s="36" t="s">
        <v>411</v>
      </c>
      <c r="O28" s="37" t="s">
        <v>467</v>
      </c>
      <c r="X28" s="22"/>
      <c r="Y28" s="32"/>
    </row>
    <row r="29" spans="1:25" s="345" customFormat="1" ht="14.45" customHeight="1" x14ac:dyDescent="0.25">
      <c r="A29" s="33" t="s">
        <v>345</v>
      </c>
      <c r="B29" s="418" t="s">
        <v>610</v>
      </c>
      <c r="C29" s="34" t="s">
        <v>21</v>
      </c>
      <c r="D29" s="34" t="s">
        <v>344</v>
      </c>
      <c r="E29" s="34" t="s">
        <v>344</v>
      </c>
      <c r="F29" s="34" t="s">
        <v>50</v>
      </c>
      <c r="G29" s="34" t="s">
        <v>23</v>
      </c>
      <c r="H29" s="35" t="s">
        <v>24</v>
      </c>
      <c r="I29" s="35" t="s">
        <v>24</v>
      </c>
      <c r="J29" s="35" t="s">
        <v>25</v>
      </c>
      <c r="K29" s="36" t="s">
        <v>26</v>
      </c>
      <c r="L29" s="36" t="s">
        <v>51</v>
      </c>
      <c r="M29" s="36" t="s">
        <v>27</v>
      </c>
      <c r="N29" s="36" t="s">
        <v>411</v>
      </c>
      <c r="O29" s="37" t="s">
        <v>346</v>
      </c>
      <c r="X29" s="32"/>
      <c r="Y29" s="32"/>
    </row>
    <row r="30" spans="1:25" x14ac:dyDescent="0.25">
      <c r="A30" s="33" t="s">
        <v>414</v>
      </c>
      <c r="B30" s="418" t="s">
        <v>610</v>
      </c>
      <c r="C30" s="34" t="s">
        <v>21</v>
      </c>
      <c r="D30" s="34" t="s">
        <v>344</v>
      </c>
      <c r="E30" s="34" t="s">
        <v>344</v>
      </c>
      <c r="F30" s="34" t="s">
        <v>50</v>
      </c>
      <c r="G30" s="34" t="s">
        <v>23</v>
      </c>
      <c r="H30" s="35" t="s">
        <v>24</v>
      </c>
      <c r="I30" s="35" t="s">
        <v>24</v>
      </c>
      <c r="J30" s="35" t="s">
        <v>25</v>
      </c>
      <c r="K30" s="36" t="s">
        <v>26</v>
      </c>
      <c r="L30" s="36" t="s">
        <v>51</v>
      </c>
      <c r="M30" s="36" t="s">
        <v>27</v>
      </c>
      <c r="N30" s="36" t="s">
        <v>411</v>
      </c>
      <c r="O30" s="37" t="s">
        <v>467</v>
      </c>
      <c r="X30" s="22"/>
      <c r="Y30" s="32"/>
    </row>
    <row r="31" spans="1:25" s="214" customFormat="1" ht="15" customHeight="1" x14ac:dyDescent="0.25">
      <c r="A31" s="33" t="s">
        <v>211</v>
      </c>
      <c r="B31" s="418" t="s">
        <v>610</v>
      </c>
      <c r="C31" s="34" t="s">
        <v>21</v>
      </c>
      <c r="D31" s="34" t="s">
        <v>344</v>
      </c>
      <c r="E31" s="34" t="s">
        <v>344</v>
      </c>
      <c r="F31" s="34" t="s">
        <v>50</v>
      </c>
      <c r="G31" s="34" t="s">
        <v>23</v>
      </c>
      <c r="H31" s="35" t="s">
        <v>24</v>
      </c>
      <c r="I31" s="35" t="s">
        <v>24</v>
      </c>
      <c r="J31" s="35" t="s">
        <v>25</v>
      </c>
      <c r="K31" s="36" t="s">
        <v>26</v>
      </c>
      <c r="L31" s="36" t="s">
        <v>51</v>
      </c>
      <c r="M31" s="36" t="s">
        <v>27</v>
      </c>
      <c r="N31" s="36" t="s">
        <v>411</v>
      </c>
      <c r="O31" s="37"/>
    </row>
    <row r="32" spans="1:25" s="214" customFormat="1" ht="14.45" customHeight="1" x14ac:dyDescent="0.25">
      <c r="A32" s="308" t="s">
        <v>412</v>
      </c>
      <c r="B32" s="309"/>
      <c r="C32" s="310"/>
      <c r="D32" s="310" t="s">
        <v>344</v>
      </c>
      <c r="E32" s="310" t="s">
        <v>344</v>
      </c>
      <c r="F32" s="310"/>
      <c r="G32" s="310"/>
      <c r="H32" s="310"/>
      <c r="I32" s="310"/>
      <c r="J32" s="310" t="s">
        <v>25</v>
      </c>
      <c r="K32" s="310" t="s">
        <v>406</v>
      </c>
      <c r="L32" s="310" t="s">
        <v>51</v>
      </c>
      <c r="M32" s="310" t="s">
        <v>27</v>
      </c>
      <c r="N32" s="310"/>
      <c r="O32" s="308" t="s">
        <v>413</v>
      </c>
      <c r="X32" s="32"/>
      <c r="Y32" s="32"/>
    </row>
    <row r="33" spans="1:25" s="214" customFormat="1" ht="14.45" customHeight="1" x14ac:dyDescent="0.25">
      <c r="A33" s="311" t="s">
        <v>768</v>
      </c>
      <c r="B33" s="534"/>
      <c r="C33" s="295"/>
      <c r="D33" s="295"/>
      <c r="E33" s="295"/>
      <c r="F33" s="295"/>
      <c r="G33" s="295"/>
      <c r="H33" s="295"/>
      <c r="I33" s="295"/>
      <c r="J33" s="295"/>
      <c r="K33" s="295"/>
      <c r="L33" s="295"/>
      <c r="M33" s="295"/>
      <c r="N33" s="295"/>
      <c r="O33" s="296"/>
      <c r="X33" s="22"/>
      <c r="Y33" s="32"/>
    </row>
    <row r="34" spans="1:25" s="411" customFormat="1" ht="14.45" customHeight="1" x14ac:dyDescent="0.25">
      <c r="A34" s="430" t="s">
        <v>419</v>
      </c>
      <c r="B34" s="421" t="s">
        <v>610</v>
      </c>
      <c r="C34" s="428" t="s">
        <v>30</v>
      </c>
      <c r="D34" s="428" t="s">
        <v>344</v>
      </c>
      <c r="E34" s="428" t="s">
        <v>344</v>
      </c>
      <c r="F34" s="428" t="s">
        <v>50</v>
      </c>
      <c r="G34" s="428" t="s">
        <v>23</v>
      </c>
      <c r="H34" s="429" t="s">
        <v>23</v>
      </c>
      <c r="I34" s="429" t="s">
        <v>24</v>
      </c>
      <c r="J34" s="429" t="s">
        <v>25</v>
      </c>
      <c r="K34" s="432" t="s">
        <v>26</v>
      </c>
      <c r="L34" s="432" t="s">
        <v>51</v>
      </c>
      <c r="M34" s="432" t="s">
        <v>306</v>
      </c>
      <c r="N34" s="417" t="s">
        <v>411</v>
      </c>
      <c r="O34" s="433"/>
      <c r="X34" s="412"/>
      <c r="Y34" s="413"/>
    </row>
    <row r="35" spans="1:25" s="411" customFormat="1" ht="14.45" customHeight="1" x14ac:dyDescent="0.25">
      <c r="A35" s="430" t="s">
        <v>437</v>
      </c>
      <c r="B35" s="431" t="s">
        <v>610</v>
      </c>
      <c r="C35" s="415" t="s">
        <v>21</v>
      </c>
      <c r="D35" s="415" t="s">
        <v>344</v>
      </c>
      <c r="E35" s="415" t="s">
        <v>344</v>
      </c>
      <c r="F35" s="415" t="s">
        <v>50</v>
      </c>
      <c r="G35" s="415" t="s">
        <v>23</v>
      </c>
      <c r="H35" s="416" t="s">
        <v>23</v>
      </c>
      <c r="I35" s="416" t="s">
        <v>24</v>
      </c>
      <c r="J35" s="416" t="s">
        <v>25</v>
      </c>
      <c r="K35" s="417" t="s">
        <v>26</v>
      </c>
      <c r="L35" s="417" t="s">
        <v>51</v>
      </c>
      <c r="M35" s="417" t="s">
        <v>306</v>
      </c>
      <c r="N35" s="417" t="s">
        <v>411</v>
      </c>
      <c r="O35" s="433"/>
      <c r="X35" s="412"/>
      <c r="Y35" s="413"/>
    </row>
    <row r="36" spans="1:25" s="411" customFormat="1" ht="15" customHeight="1" x14ac:dyDescent="0.25">
      <c r="A36" s="414" t="s">
        <v>767</v>
      </c>
      <c r="B36" s="421" t="s">
        <v>610</v>
      </c>
      <c r="C36" s="415" t="s">
        <v>21</v>
      </c>
      <c r="D36" s="415" t="s">
        <v>344</v>
      </c>
      <c r="E36" s="415" t="s">
        <v>344</v>
      </c>
      <c r="F36" s="415" t="s">
        <v>50</v>
      </c>
      <c r="G36" s="415" t="s">
        <v>23</v>
      </c>
      <c r="H36" s="416" t="s">
        <v>23</v>
      </c>
      <c r="I36" s="416" t="s">
        <v>24</v>
      </c>
      <c r="J36" s="416" t="s">
        <v>25</v>
      </c>
      <c r="K36" s="417" t="s">
        <v>26</v>
      </c>
      <c r="L36" s="417" t="s">
        <v>51</v>
      </c>
      <c r="M36" s="417" t="s">
        <v>306</v>
      </c>
      <c r="N36" s="417" t="s">
        <v>411</v>
      </c>
      <c r="O36" s="422" t="s">
        <v>436</v>
      </c>
    </row>
    <row r="37" spans="1:25" s="214" customFormat="1" ht="14.25" customHeight="1" x14ac:dyDescent="0.25">
      <c r="A37" s="308" t="s">
        <v>412</v>
      </c>
      <c r="B37" s="309"/>
      <c r="C37" s="310"/>
      <c r="D37" s="310" t="s">
        <v>344</v>
      </c>
      <c r="E37" s="310" t="s">
        <v>344</v>
      </c>
      <c r="F37" s="310"/>
      <c r="G37" s="310"/>
      <c r="H37" s="310"/>
      <c r="I37" s="310"/>
      <c r="J37" s="310" t="s">
        <v>25</v>
      </c>
      <c r="K37" s="310" t="s">
        <v>406</v>
      </c>
      <c r="L37" s="310" t="s">
        <v>51</v>
      </c>
      <c r="M37" s="310" t="s">
        <v>27</v>
      </c>
      <c r="N37" s="310"/>
      <c r="O37" s="308" t="s">
        <v>553</v>
      </c>
      <c r="X37" s="32"/>
      <c r="Y37" s="32"/>
    </row>
    <row r="38" spans="1:25" s="214" customFormat="1" ht="14.45" customHeight="1" x14ac:dyDescent="0.25">
      <c r="A38" s="311" t="s">
        <v>615</v>
      </c>
      <c r="B38" s="534"/>
      <c r="C38" s="295"/>
      <c r="D38" s="295"/>
      <c r="E38" s="295"/>
      <c r="F38" s="295"/>
      <c r="G38" s="295"/>
      <c r="H38" s="295"/>
      <c r="I38" s="295"/>
      <c r="J38" s="295"/>
      <c r="K38" s="295"/>
      <c r="L38" s="295"/>
      <c r="M38" s="295"/>
      <c r="N38" s="295"/>
      <c r="O38" s="296"/>
      <c r="X38" s="22"/>
      <c r="Y38" s="32"/>
    </row>
    <row r="39" spans="1:25" s="214" customFormat="1" ht="14.45" customHeight="1" x14ac:dyDescent="0.25">
      <c r="A39" s="297" t="s">
        <v>551</v>
      </c>
      <c r="B39" s="431" t="s">
        <v>610</v>
      </c>
      <c r="C39" s="289" t="s">
        <v>30</v>
      </c>
      <c r="D39" s="289" t="s">
        <v>344</v>
      </c>
      <c r="E39" s="289" t="s">
        <v>344</v>
      </c>
      <c r="F39" s="289" t="s">
        <v>50</v>
      </c>
      <c r="G39" s="289" t="s">
        <v>23</v>
      </c>
      <c r="H39" s="290" t="s">
        <v>23</v>
      </c>
      <c r="I39" s="290" t="s">
        <v>24</v>
      </c>
      <c r="J39" s="290" t="s">
        <v>25</v>
      </c>
      <c r="K39" s="298" t="s">
        <v>26</v>
      </c>
      <c r="L39" s="298" t="s">
        <v>51</v>
      </c>
      <c r="M39" s="298" t="s">
        <v>306</v>
      </c>
      <c r="N39" s="36" t="s">
        <v>411</v>
      </c>
      <c r="O39" s="307"/>
      <c r="X39" s="22"/>
      <c r="Y39" s="32"/>
    </row>
    <row r="40" spans="1:25" s="214" customFormat="1" ht="14.45" customHeight="1" x14ac:dyDescent="0.25">
      <c r="A40" s="33" t="s">
        <v>349</v>
      </c>
      <c r="B40" s="421" t="s">
        <v>610</v>
      </c>
      <c r="C40" s="34" t="s">
        <v>249</v>
      </c>
      <c r="D40" s="34" t="s">
        <v>344</v>
      </c>
      <c r="E40" s="34" t="s">
        <v>344</v>
      </c>
      <c r="F40" s="34" t="s">
        <v>50</v>
      </c>
      <c r="G40" s="34" t="s">
        <v>23</v>
      </c>
      <c r="H40" s="35" t="s">
        <v>23</v>
      </c>
      <c r="I40" s="35" t="s">
        <v>24</v>
      </c>
      <c r="J40" s="35" t="s">
        <v>25</v>
      </c>
      <c r="K40" s="36" t="s">
        <v>26</v>
      </c>
      <c r="L40" s="36" t="s">
        <v>51</v>
      </c>
      <c r="M40" s="36" t="s">
        <v>306</v>
      </c>
      <c r="N40" s="36" t="s">
        <v>411</v>
      </c>
      <c r="O40" s="113"/>
      <c r="X40" s="32"/>
      <c r="Y40" s="32"/>
    </row>
    <row r="41" spans="1:25" s="214" customFormat="1" ht="14.45" customHeight="1" x14ac:dyDescent="0.25">
      <c r="A41" s="308" t="s">
        <v>412</v>
      </c>
      <c r="B41" s="309"/>
      <c r="C41" s="310"/>
      <c r="D41" s="310" t="s">
        <v>344</v>
      </c>
      <c r="E41" s="310" t="s">
        <v>344</v>
      </c>
      <c r="F41" s="310"/>
      <c r="G41" s="310"/>
      <c r="H41" s="310"/>
      <c r="I41" s="310"/>
      <c r="J41" s="310" t="s">
        <v>25</v>
      </c>
      <c r="K41" s="310" t="s">
        <v>406</v>
      </c>
      <c r="L41" s="310" t="s">
        <v>51</v>
      </c>
      <c r="M41" s="310" t="s">
        <v>27</v>
      </c>
      <c r="N41" s="310"/>
      <c r="O41" s="308" t="s">
        <v>550</v>
      </c>
      <c r="X41" s="32"/>
      <c r="Y41" s="32"/>
    </row>
    <row r="42" spans="1:25" s="411" customFormat="1" ht="14.45" customHeight="1" x14ac:dyDescent="0.25">
      <c r="A42" s="434" t="s">
        <v>804</v>
      </c>
      <c r="B42" s="534"/>
      <c r="C42" s="426"/>
      <c r="D42" s="426"/>
      <c r="E42" s="426"/>
      <c r="F42" s="426"/>
      <c r="G42" s="426"/>
      <c r="H42" s="426"/>
      <c r="I42" s="426"/>
      <c r="J42" s="426"/>
      <c r="K42" s="426"/>
      <c r="L42" s="426"/>
      <c r="M42" s="426"/>
      <c r="N42" s="426"/>
      <c r="O42" s="427"/>
      <c r="X42" s="412"/>
      <c r="Y42" s="413"/>
    </row>
    <row r="43" spans="1:25" s="411" customFormat="1" ht="14.45" customHeight="1" x14ac:dyDescent="0.25">
      <c r="A43" s="515" t="s">
        <v>352</v>
      </c>
      <c r="B43" s="516" t="s">
        <v>610</v>
      </c>
      <c r="C43" s="517" t="s">
        <v>30</v>
      </c>
      <c r="D43" s="518" t="s">
        <v>344</v>
      </c>
      <c r="E43" s="518" t="s">
        <v>344</v>
      </c>
      <c r="F43" s="517" t="s">
        <v>50</v>
      </c>
      <c r="G43" s="517" t="s">
        <v>24</v>
      </c>
      <c r="H43" s="519" t="s">
        <v>24</v>
      </c>
      <c r="I43" s="519" t="s">
        <v>24</v>
      </c>
      <c r="J43" s="519" t="s">
        <v>25</v>
      </c>
      <c r="K43" s="520" t="s">
        <v>26</v>
      </c>
      <c r="L43" s="521" t="s">
        <v>51</v>
      </c>
      <c r="M43" s="521" t="s">
        <v>306</v>
      </c>
      <c r="N43" s="521" t="s">
        <v>28</v>
      </c>
      <c r="O43" s="514" t="s">
        <v>618</v>
      </c>
      <c r="X43" s="412"/>
      <c r="Y43" s="413"/>
    </row>
    <row r="44" spans="1:25" s="411" customFormat="1" ht="15" customHeight="1" x14ac:dyDescent="0.25">
      <c r="A44" s="414" t="s">
        <v>356</v>
      </c>
      <c r="B44" s="421" t="s">
        <v>610</v>
      </c>
      <c r="C44" s="415" t="s">
        <v>21</v>
      </c>
      <c r="D44" s="415" t="s">
        <v>344</v>
      </c>
      <c r="E44" s="415" t="s">
        <v>22</v>
      </c>
      <c r="F44" s="415" t="s">
        <v>50</v>
      </c>
      <c r="G44" s="415" t="s">
        <v>23</v>
      </c>
      <c r="H44" s="416" t="s">
        <v>23</v>
      </c>
      <c r="I44" s="416" t="s">
        <v>24</v>
      </c>
      <c r="J44" s="416" t="s">
        <v>25</v>
      </c>
      <c r="K44" s="417" t="s">
        <v>26</v>
      </c>
      <c r="L44" s="417" t="s">
        <v>51</v>
      </c>
      <c r="M44" s="417" t="s">
        <v>27</v>
      </c>
      <c r="N44" s="417" t="s">
        <v>411</v>
      </c>
      <c r="O44" s="37" t="s">
        <v>29</v>
      </c>
    </row>
    <row r="45" spans="1:25" ht="15.75" x14ac:dyDescent="0.25">
      <c r="A45" s="294" t="s">
        <v>805</v>
      </c>
      <c r="B45" s="534"/>
      <c r="C45" s="295"/>
      <c r="D45" s="295"/>
      <c r="E45" s="295"/>
      <c r="F45" s="295"/>
      <c r="G45" s="295"/>
      <c r="H45" s="295"/>
      <c r="I45" s="295"/>
      <c r="J45" s="295"/>
      <c r="K45" s="295"/>
      <c r="L45" s="295"/>
      <c r="M45" s="295"/>
      <c r="N45" s="295"/>
      <c r="O45" s="296"/>
      <c r="P45" s="214"/>
    </row>
    <row r="46" spans="1:25" s="345" customFormat="1" ht="14.45" customHeight="1" x14ac:dyDescent="0.25">
      <c r="A46" s="308" t="s">
        <v>412</v>
      </c>
      <c r="B46" s="309"/>
      <c r="C46" s="310"/>
      <c r="D46" s="310" t="s">
        <v>308</v>
      </c>
      <c r="E46" s="310" t="s">
        <v>344</v>
      </c>
      <c r="F46" s="310"/>
      <c r="G46" s="310"/>
      <c r="H46" s="310"/>
      <c r="I46" s="310"/>
      <c r="J46" s="310" t="s">
        <v>529</v>
      </c>
      <c r="K46" s="310" t="s">
        <v>406</v>
      </c>
      <c r="L46" s="310" t="s">
        <v>51</v>
      </c>
      <c r="M46" s="310" t="s">
        <v>27</v>
      </c>
      <c r="N46" s="310"/>
      <c r="O46" s="308" t="s">
        <v>553</v>
      </c>
      <c r="X46" s="32"/>
      <c r="Y46" s="32"/>
    </row>
    <row r="47" spans="1:25" s="345" customFormat="1" ht="14.45" customHeight="1" x14ac:dyDescent="0.25">
      <c r="A47" s="297" t="s">
        <v>352</v>
      </c>
      <c r="B47" s="431" t="s">
        <v>610</v>
      </c>
      <c r="C47" s="289" t="s">
        <v>30</v>
      </c>
      <c r="D47" s="289" t="s">
        <v>308</v>
      </c>
      <c r="E47" s="289" t="s">
        <v>308</v>
      </c>
      <c r="F47" s="289" t="s">
        <v>50</v>
      </c>
      <c r="G47" s="34">
        <v>850</v>
      </c>
      <c r="H47" s="290" t="s">
        <v>24</v>
      </c>
      <c r="I47" s="290" t="s">
        <v>24</v>
      </c>
      <c r="J47" s="290" t="s">
        <v>25</v>
      </c>
      <c r="K47" s="298" t="s">
        <v>309</v>
      </c>
      <c r="L47" s="298" t="s">
        <v>51</v>
      </c>
      <c r="M47" s="298" t="s">
        <v>51</v>
      </c>
      <c r="N47" s="36" t="s">
        <v>411</v>
      </c>
      <c r="O47" s="307" t="s">
        <v>361</v>
      </c>
      <c r="X47" s="22"/>
      <c r="Y47" s="32"/>
    </row>
    <row r="48" spans="1:25" ht="15" customHeight="1" x14ac:dyDescent="0.25">
      <c r="A48" s="33" t="s">
        <v>310</v>
      </c>
      <c r="B48" s="431" t="s">
        <v>610</v>
      </c>
      <c r="C48" s="34" t="s">
        <v>249</v>
      </c>
      <c r="D48" s="289" t="s">
        <v>308</v>
      </c>
      <c r="E48" s="34" t="s">
        <v>308</v>
      </c>
      <c r="F48" s="34" t="s">
        <v>50</v>
      </c>
      <c r="G48" s="34">
        <v>850</v>
      </c>
      <c r="H48" s="35" t="s">
        <v>24</v>
      </c>
      <c r="I48" s="35" t="s">
        <v>24</v>
      </c>
      <c r="J48" s="35" t="s">
        <v>25</v>
      </c>
      <c r="K48" s="36" t="s">
        <v>309</v>
      </c>
      <c r="L48" s="36" t="s">
        <v>51</v>
      </c>
      <c r="M48" s="36" t="s">
        <v>51</v>
      </c>
      <c r="N48" s="36" t="s">
        <v>411</v>
      </c>
      <c r="O48" s="113" t="s">
        <v>350</v>
      </c>
      <c r="P48" s="214"/>
    </row>
    <row r="49" spans="1:25" x14ac:dyDescent="0.25">
      <c r="A49" s="410" t="s">
        <v>616</v>
      </c>
      <c r="B49" s="418" t="s">
        <v>610</v>
      </c>
      <c r="C49" s="34" t="s">
        <v>249</v>
      </c>
      <c r="D49" s="289" t="s">
        <v>308</v>
      </c>
      <c r="E49" s="34" t="s">
        <v>308</v>
      </c>
      <c r="F49" s="34" t="s">
        <v>50</v>
      </c>
      <c r="G49" s="34">
        <v>850</v>
      </c>
      <c r="H49" s="35" t="s">
        <v>24</v>
      </c>
      <c r="I49" s="35" t="s">
        <v>24</v>
      </c>
      <c r="J49" s="35" t="s">
        <v>25</v>
      </c>
      <c r="K49" s="36" t="s">
        <v>309</v>
      </c>
      <c r="L49" s="36" t="s">
        <v>51</v>
      </c>
      <c r="M49" s="36" t="s">
        <v>51</v>
      </c>
      <c r="N49" s="36" t="s">
        <v>411</v>
      </c>
      <c r="O49" s="409" t="s">
        <v>617</v>
      </c>
      <c r="P49" s="214"/>
      <c r="X49" s="22"/>
      <c r="Y49" s="32"/>
    </row>
    <row r="50" spans="1:25" s="214" customFormat="1" x14ac:dyDescent="0.25">
      <c r="A50" s="33" t="s">
        <v>363</v>
      </c>
      <c r="B50" s="418" t="s">
        <v>610</v>
      </c>
      <c r="C50" s="34" t="s">
        <v>249</v>
      </c>
      <c r="D50" s="289" t="s">
        <v>308</v>
      </c>
      <c r="E50" s="34" t="s">
        <v>308</v>
      </c>
      <c r="F50" s="34" t="s">
        <v>50</v>
      </c>
      <c r="G50" s="34">
        <v>850</v>
      </c>
      <c r="H50" s="35" t="s">
        <v>24</v>
      </c>
      <c r="I50" s="35" t="s">
        <v>24</v>
      </c>
      <c r="J50" s="35" t="s">
        <v>25</v>
      </c>
      <c r="K50" s="36" t="s">
        <v>309</v>
      </c>
      <c r="L50" s="36" t="s">
        <v>51</v>
      </c>
      <c r="M50" s="36" t="s">
        <v>51</v>
      </c>
      <c r="N50" s="36" t="s">
        <v>411</v>
      </c>
      <c r="O50" s="406"/>
      <c r="X50" s="22"/>
      <c r="Y50" s="32"/>
    </row>
    <row r="51" spans="1:25" s="214" customFormat="1" x14ac:dyDescent="0.25">
      <c r="A51" s="33" t="s">
        <v>267</v>
      </c>
      <c r="B51" s="418" t="s">
        <v>610</v>
      </c>
      <c r="C51" s="34" t="s">
        <v>249</v>
      </c>
      <c r="D51" s="289" t="s">
        <v>308</v>
      </c>
      <c r="E51" s="34" t="s">
        <v>308</v>
      </c>
      <c r="F51" s="34" t="s">
        <v>50</v>
      </c>
      <c r="G51" s="34">
        <v>850</v>
      </c>
      <c r="H51" s="35" t="s">
        <v>24</v>
      </c>
      <c r="I51" s="35" t="s">
        <v>24</v>
      </c>
      <c r="J51" s="35" t="s">
        <v>25</v>
      </c>
      <c r="K51" s="36" t="s">
        <v>309</v>
      </c>
      <c r="L51" s="36" t="s">
        <v>51</v>
      </c>
      <c r="M51" s="36" t="s">
        <v>51</v>
      </c>
      <c r="N51" s="36" t="s">
        <v>411</v>
      </c>
      <c r="O51" s="113"/>
      <c r="X51" s="22"/>
      <c r="Y51" s="32"/>
    </row>
    <row r="52" spans="1:25" ht="15" customHeight="1" x14ac:dyDescent="0.25">
      <c r="A52" s="33" t="s">
        <v>349</v>
      </c>
      <c r="B52" s="418" t="s">
        <v>610</v>
      </c>
      <c r="C52" s="34" t="s">
        <v>249</v>
      </c>
      <c r="D52" s="289" t="s">
        <v>308</v>
      </c>
      <c r="E52" s="34" t="s">
        <v>308</v>
      </c>
      <c r="F52" s="34" t="s">
        <v>50</v>
      </c>
      <c r="G52" s="34">
        <v>850</v>
      </c>
      <c r="H52" s="35" t="s">
        <v>24</v>
      </c>
      <c r="I52" s="35" t="s">
        <v>24</v>
      </c>
      <c r="J52" s="35" t="s">
        <v>25</v>
      </c>
      <c r="K52" s="36" t="s">
        <v>309</v>
      </c>
      <c r="L52" s="36" t="s">
        <v>51</v>
      </c>
      <c r="M52" s="36" t="s">
        <v>51</v>
      </c>
      <c r="N52" s="36" t="s">
        <v>411</v>
      </c>
      <c r="O52" s="113"/>
      <c r="P52" s="214"/>
    </row>
    <row r="53" spans="1:25" s="214" customFormat="1" ht="14.45" customHeight="1" x14ac:dyDescent="0.25">
      <c r="A53" s="308" t="s">
        <v>412</v>
      </c>
      <c r="B53" s="309"/>
      <c r="C53" s="310"/>
      <c r="D53" s="310" t="s">
        <v>308</v>
      </c>
      <c r="E53" s="310" t="s">
        <v>308</v>
      </c>
      <c r="F53" s="310"/>
      <c r="G53" s="310"/>
      <c r="H53" s="310"/>
      <c r="I53" s="310"/>
      <c r="J53" s="310" t="s">
        <v>25</v>
      </c>
      <c r="K53" s="310" t="s">
        <v>406</v>
      </c>
      <c r="L53" s="310" t="s">
        <v>51</v>
      </c>
      <c r="M53" s="310" t="s">
        <v>27</v>
      </c>
      <c r="N53" s="310"/>
      <c r="O53" s="308" t="s">
        <v>553</v>
      </c>
      <c r="X53" s="32"/>
      <c r="Y53" s="32"/>
    </row>
    <row r="54" spans="1:25" s="345" customFormat="1" ht="15.75" x14ac:dyDescent="0.25">
      <c r="A54" s="294" t="s">
        <v>806</v>
      </c>
      <c r="B54" s="534"/>
      <c r="C54" s="295"/>
      <c r="D54" s="295"/>
      <c r="E54" s="295"/>
      <c r="F54" s="295"/>
      <c r="G54" s="295"/>
      <c r="H54" s="295"/>
      <c r="I54" s="295"/>
      <c r="J54" s="295"/>
      <c r="K54" s="295"/>
      <c r="L54" s="295"/>
      <c r="M54" s="295"/>
      <c r="N54" s="295"/>
      <c r="O54" s="296"/>
    </row>
    <row r="55" spans="1:25" s="411" customFormat="1" ht="14.45" customHeight="1" x14ac:dyDescent="0.25">
      <c r="A55" s="430" t="s">
        <v>352</v>
      </c>
      <c r="B55" s="431" t="s">
        <v>610</v>
      </c>
      <c r="C55" s="428" t="s">
        <v>30</v>
      </c>
      <c r="D55" s="428" t="s">
        <v>308</v>
      </c>
      <c r="E55" s="428" t="s">
        <v>308</v>
      </c>
      <c r="F55" s="428" t="s">
        <v>50</v>
      </c>
      <c r="G55" s="408">
        <v>0</v>
      </c>
      <c r="H55" s="429" t="s">
        <v>24</v>
      </c>
      <c r="I55" s="429" t="s">
        <v>24</v>
      </c>
      <c r="J55" s="429" t="s">
        <v>25</v>
      </c>
      <c r="K55" s="432" t="s">
        <v>309</v>
      </c>
      <c r="L55" s="432" t="s">
        <v>51</v>
      </c>
      <c r="M55" s="432" t="s">
        <v>51</v>
      </c>
      <c r="N55" s="417" t="s">
        <v>411</v>
      </c>
      <c r="O55" s="433" t="s">
        <v>361</v>
      </c>
      <c r="X55" s="412"/>
      <c r="Y55" s="413"/>
    </row>
    <row r="56" spans="1:25" s="345" customFormat="1" ht="14.45" customHeight="1" x14ac:dyDescent="0.25">
      <c r="A56" s="308" t="s">
        <v>412</v>
      </c>
      <c r="B56" s="309"/>
      <c r="C56" s="310"/>
      <c r="D56" s="310" t="s">
        <v>308</v>
      </c>
      <c r="E56" s="310" t="s">
        <v>344</v>
      </c>
      <c r="F56" s="310"/>
      <c r="G56" s="310"/>
      <c r="H56" s="310"/>
      <c r="I56" s="310"/>
      <c r="J56" s="310" t="s">
        <v>529</v>
      </c>
      <c r="K56" s="310" t="s">
        <v>406</v>
      </c>
      <c r="L56" s="310" t="s">
        <v>51</v>
      </c>
      <c r="M56" s="310" t="s">
        <v>27</v>
      </c>
      <c r="N56" s="310"/>
      <c r="O56" s="308" t="s">
        <v>553</v>
      </c>
      <c r="X56" s="32"/>
      <c r="Y56" s="32"/>
    </row>
    <row r="57" spans="1:25" s="214" customFormat="1" ht="14.45" customHeight="1" x14ac:dyDescent="0.25">
      <c r="A57" s="311" t="s">
        <v>807</v>
      </c>
      <c r="B57" s="534"/>
      <c r="C57" s="295"/>
      <c r="D57" s="295"/>
      <c r="E57" s="295"/>
      <c r="F57" s="295"/>
      <c r="G57" s="295"/>
      <c r="H57" s="295"/>
      <c r="I57" s="295"/>
      <c r="J57" s="295"/>
      <c r="K57" s="295"/>
      <c r="L57" s="295"/>
      <c r="M57" s="295"/>
      <c r="N57" s="295"/>
      <c r="O57" s="296"/>
      <c r="X57" s="22"/>
      <c r="Y57" s="32"/>
    </row>
    <row r="58" spans="1:25" s="214" customFormat="1" ht="14.45" customHeight="1" x14ac:dyDescent="0.25">
      <c r="A58" s="297" t="s">
        <v>352</v>
      </c>
      <c r="B58" s="431" t="s">
        <v>610</v>
      </c>
      <c r="C58" s="289" t="s">
        <v>30</v>
      </c>
      <c r="D58" s="289" t="s">
        <v>341</v>
      </c>
      <c r="E58" s="289" t="s">
        <v>341</v>
      </c>
      <c r="F58" s="289" t="s">
        <v>50</v>
      </c>
      <c r="G58" s="289" t="s">
        <v>24</v>
      </c>
      <c r="H58" s="290" t="s">
        <v>24</v>
      </c>
      <c r="I58" s="290" t="s">
        <v>24</v>
      </c>
      <c r="J58" s="290" t="s">
        <v>25</v>
      </c>
      <c r="K58" s="298" t="s">
        <v>309</v>
      </c>
      <c r="L58" s="298" t="s">
        <v>51</v>
      </c>
      <c r="M58" s="298" t="s">
        <v>306</v>
      </c>
      <c r="N58" s="298" t="s">
        <v>28</v>
      </c>
      <c r="O58" s="307"/>
      <c r="X58" s="22"/>
      <c r="Y58" s="32"/>
    </row>
    <row r="59" spans="1:25" s="214" customFormat="1" ht="15" customHeight="1" x14ac:dyDescent="0.25">
      <c r="A59" s="33" t="s">
        <v>310</v>
      </c>
      <c r="B59" s="431" t="s">
        <v>610</v>
      </c>
      <c r="C59" s="34" t="s">
        <v>249</v>
      </c>
      <c r="D59" s="34" t="s">
        <v>341</v>
      </c>
      <c r="E59" s="34" t="s">
        <v>341</v>
      </c>
      <c r="F59" s="34" t="s">
        <v>50</v>
      </c>
      <c r="G59" s="34" t="s">
        <v>24</v>
      </c>
      <c r="H59" s="208" t="s">
        <v>24</v>
      </c>
      <c r="I59" s="35" t="s">
        <v>24</v>
      </c>
      <c r="J59" s="35" t="s">
        <v>25</v>
      </c>
      <c r="K59" s="209" t="s">
        <v>309</v>
      </c>
      <c r="L59" s="36" t="s">
        <v>51</v>
      </c>
      <c r="M59" s="36" t="s">
        <v>306</v>
      </c>
      <c r="N59" s="36" t="s">
        <v>28</v>
      </c>
      <c r="O59" s="210"/>
    </row>
    <row r="60" spans="1:25" s="214" customFormat="1" ht="15.6" customHeight="1" x14ac:dyDescent="0.25">
      <c r="A60" s="297" t="s">
        <v>353</v>
      </c>
      <c r="B60" s="431" t="s">
        <v>610</v>
      </c>
      <c r="C60" s="34" t="s">
        <v>249</v>
      </c>
      <c r="D60" s="34" t="s">
        <v>341</v>
      </c>
      <c r="E60" s="34" t="s">
        <v>341</v>
      </c>
      <c r="F60" s="34" t="s">
        <v>50</v>
      </c>
      <c r="G60" s="34" t="s">
        <v>24</v>
      </c>
      <c r="H60" s="208" t="s">
        <v>24</v>
      </c>
      <c r="I60" s="35" t="s">
        <v>24</v>
      </c>
      <c r="J60" s="35" t="s">
        <v>25</v>
      </c>
      <c r="K60" s="209" t="s">
        <v>309</v>
      </c>
      <c r="L60" s="36" t="s">
        <v>51</v>
      </c>
      <c r="M60" s="36" t="s">
        <v>306</v>
      </c>
      <c r="N60" s="36" t="s">
        <v>28</v>
      </c>
      <c r="O60" s="113"/>
      <c r="X60" s="32"/>
      <c r="Y60" s="32"/>
    </row>
    <row r="61" spans="1:25" s="214" customFormat="1" ht="14.45" customHeight="1" x14ac:dyDescent="0.25">
      <c r="A61" s="33" t="s">
        <v>349</v>
      </c>
      <c r="B61" s="431" t="s">
        <v>610</v>
      </c>
      <c r="C61" s="34" t="s">
        <v>249</v>
      </c>
      <c r="D61" s="34" t="s">
        <v>341</v>
      </c>
      <c r="E61" s="34" t="s">
        <v>341</v>
      </c>
      <c r="F61" s="34" t="s">
        <v>50</v>
      </c>
      <c r="G61" s="34" t="s">
        <v>24</v>
      </c>
      <c r="H61" s="35" t="s">
        <v>24</v>
      </c>
      <c r="I61" s="35" t="s">
        <v>24</v>
      </c>
      <c r="J61" s="35" t="s">
        <v>25</v>
      </c>
      <c r="K61" s="36" t="s">
        <v>309</v>
      </c>
      <c r="L61" s="36" t="s">
        <v>51</v>
      </c>
      <c r="M61" s="36" t="s">
        <v>306</v>
      </c>
      <c r="N61" s="36" t="s">
        <v>28</v>
      </c>
      <c r="O61" s="113"/>
      <c r="X61" s="32"/>
      <c r="Y61" s="32"/>
    </row>
    <row r="62" spans="1:25" s="214" customFormat="1" ht="14.45" customHeight="1" x14ac:dyDescent="0.25">
      <c r="A62" s="308" t="s">
        <v>412</v>
      </c>
      <c r="B62" s="309"/>
      <c r="C62" s="310"/>
      <c r="D62" s="310" t="s">
        <v>341</v>
      </c>
      <c r="E62" s="310" t="s">
        <v>341</v>
      </c>
      <c r="F62" s="310"/>
      <c r="G62" s="310"/>
      <c r="H62" s="310"/>
      <c r="I62" s="310"/>
      <c r="J62" s="310" t="s">
        <v>25</v>
      </c>
      <c r="K62" s="310" t="s">
        <v>406</v>
      </c>
      <c r="L62" s="310" t="s">
        <v>51</v>
      </c>
      <c r="M62" s="310" t="s">
        <v>27</v>
      </c>
      <c r="N62" s="310"/>
      <c r="O62" s="308" t="s">
        <v>553</v>
      </c>
      <c r="X62" s="32"/>
      <c r="Y62" s="32"/>
    </row>
    <row r="63" spans="1:25" s="214" customFormat="1" ht="15" customHeight="1" x14ac:dyDescent="0.25">
      <c r="A63" s="291" t="s">
        <v>377</v>
      </c>
      <c r="B63" s="535"/>
      <c r="C63" s="292"/>
      <c r="D63" s="292"/>
      <c r="E63" s="292"/>
      <c r="F63" s="292"/>
      <c r="G63" s="292"/>
      <c r="H63" s="292"/>
      <c r="I63" s="292"/>
      <c r="J63" s="292"/>
      <c r="K63" s="292"/>
      <c r="L63" s="292"/>
      <c r="M63" s="292"/>
      <c r="N63" s="292"/>
      <c r="O63" s="293"/>
    </row>
    <row r="64" spans="1:25" s="214" customFormat="1" ht="14.45" customHeight="1" x14ac:dyDescent="0.25">
      <c r="A64" s="311" t="s">
        <v>808</v>
      </c>
      <c r="B64" s="534"/>
      <c r="C64" s="295"/>
      <c r="D64" s="295"/>
      <c r="E64" s="295"/>
      <c r="F64" s="295"/>
      <c r="G64" s="295"/>
      <c r="H64" s="295"/>
      <c r="I64" s="295"/>
      <c r="J64" s="295"/>
      <c r="K64" s="295"/>
      <c r="L64" s="295"/>
      <c r="M64" s="295"/>
      <c r="N64" s="295"/>
      <c r="O64" s="296"/>
      <c r="X64" s="22"/>
      <c r="Y64" s="32"/>
    </row>
    <row r="65" spans="1:25" s="345" customFormat="1" ht="14.45" customHeight="1" x14ac:dyDescent="0.25">
      <c r="A65" s="297" t="s">
        <v>531</v>
      </c>
      <c r="B65" s="431" t="s">
        <v>610</v>
      </c>
      <c r="C65" s="289" t="s">
        <v>30</v>
      </c>
      <c r="D65" s="289" t="s">
        <v>341</v>
      </c>
      <c r="E65" s="289" t="s">
        <v>341</v>
      </c>
      <c r="F65" s="289" t="s">
        <v>50</v>
      </c>
      <c r="G65" s="289" t="s">
        <v>24</v>
      </c>
      <c r="H65" s="290" t="s">
        <v>24</v>
      </c>
      <c r="I65" s="290" t="s">
        <v>24</v>
      </c>
      <c r="J65" s="290" t="s">
        <v>25</v>
      </c>
      <c r="K65" s="298" t="s">
        <v>309</v>
      </c>
      <c r="L65" s="298" t="s">
        <v>51</v>
      </c>
      <c r="M65" s="298" t="s">
        <v>306</v>
      </c>
      <c r="N65" s="298" t="s">
        <v>28</v>
      </c>
      <c r="O65" s="307"/>
      <c r="X65" s="22"/>
      <c r="Y65" s="32"/>
    </row>
    <row r="66" spans="1:25" s="214" customFormat="1" ht="14.45" customHeight="1" x14ac:dyDescent="0.25">
      <c r="A66" s="297" t="s">
        <v>352</v>
      </c>
      <c r="B66" s="431" t="s">
        <v>610</v>
      </c>
      <c r="C66" s="289" t="s">
        <v>30</v>
      </c>
      <c r="D66" s="289" t="s">
        <v>341</v>
      </c>
      <c r="E66" s="289" t="s">
        <v>341</v>
      </c>
      <c r="F66" s="289" t="s">
        <v>50</v>
      </c>
      <c r="G66" s="289" t="s">
        <v>24</v>
      </c>
      <c r="H66" s="290" t="s">
        <v>24</v>
      </c>
      <c r="I66" s="290" t="s">
        <v>24</v>
      </c>
      <c r="J66" s="290" t="s">
        <v>25</v>
      </c>
      <c r="K66" s="298" t="s">
        <v>309</v>
      </c>
      <c r="L66" s="298" t="s">
        <v>51</v>
      </c>
      <c r="M66" s="298" t="s">
        <v>306</v>
      </c>
      <c r="N66" s="298" t="s">
        <v>28</v>
      </c>
      <c r="O66" s="307"/>
      <c r="X66" s="22"/>
      <c r="Y66" s="32"/>
    </row>
    <row r="67" spans="1:25" s="214" customFormat="1" ht="14.45" customHeight="1" x14ac:dyDescent="0.25">
      <c r="A67" s="308" t="s">
        <v>412</v>
      </c>
      <c r="B67" s="309"/>
      <c r="C67" s="310"/>
      <c r="D67" s="310" t="s">
        <v>341</v>
      </c>
      <c r="E67" s="310" t="s">
        <v>341</v>
      </c>
      <c r="F67" s="310"/>
      <c r="G67" s="310"/>
      <c r="H67" s="310"/>
      <c r="I67" s="310"/>
      <c r="J67" s="310" t="s">
        <v>25</v>
      </c>
      <c r="K67" s="310" t="s">
        <v>406</v>
      </c>
      <c r="L67" s="310" t="s">
        <v>51</v>
      </c>
      <c r="M67" s="310" t="s">
        <v>27</v>
      </c>
      <c r="N67" s="310"/>
      <c r="O67" s="308" t="s">
        <v>553</v>
      </c>
      <c r="X67" s="32"/>
      <c r="Y67" s="32"/>
    </row>
    <row r="68" spans="1:25" s="214" customFormat="1" ht="14.45" customHeight="1" x14ac:dyDescent="0.25">
      <c r="A68" s="311" t="s">
        <v>809</v>
      </c>
      <c r="B68" s="534"/>
      <c r="C68" s="295"/>
      <c r="D68" s="295"/>
      <c r="E68" s="295"/>
      <c r="F68" s="295"/>
      <c r="G68" s="295"/>
      <c r="H68" s="295"/>
      <c r="I68" s="295"/>
      <c r="J68" s="295"/>
      <c r="K68" s="295"/>
      <c r="L68" s="295"/>
      <c r="M68" s="295"/>
      <c r="N68" s="295"/>
      <c r="O68" s="296"/>
      <c r="X68" s="22"/>
      <c r="Y68" s="32"/>
    </row>
    <row r="69" spans="1:25" s="214" customFormat="1" ht="14.45" customHeight="1" x14ac:dyDescent="0.25">
      <c r="A69" s="297" t="s">
        <v>352</v>
      </c>
      <c r="B69" s="431" t="s">
        <v>610</v>
      </c>
      <c r="C69" s="289" t="s">
        <v>30</v>
      </c>
      <c r="D69" s="289" t="s">
        <v>372</v>
      </c>
      <c r="E69" s="289" t="s">
        <v>372</v>
      </c>
      <c r="F69" s="289" t="s">
        <v>50</v>
      </c>
      <c r="G69" s="289" t="s">
        <v>24</v>
      </c>
      <c r="H69" s="290" t="s">
        <v>24</v>
      </c>
      <c r="I69" s="290" t="s">
        <v>24</v>
      </c>
      <c r="J69" s="290" t="s">
        <v>25</v>
      </c>
      <c r="K69" s="298" t="s">
        <v>309</v>
      </c>
      <c r="L69" s="298" t="s">
        <v>51</v>
      </c>
      <c r="M69" s="298" t="s">
        <v>306</v>
      </c>
      <c r="N69" s="298" t="s">
        <v>28</v>
      </c>
      <c r="O69" s="307"/>
      <c r="X69" s="22"/>
      <c r="Y69" s="32"/>
    </row>
    <row r="70" spans="1:25" s="214" customFormat="1" ht="15" customHeight="1" x14ac:dyDescent="0.25">
      <c r="A70" s="33" t="s">
        <v>310</v>
      </c>
      <c r="B70" s="431" t="s">
        <v>610</v>
      </c>
      <c r="C70" s="34" t="s">
        <v>249</v>
      </c>
      <c r="D70" s="34" t="s">
        <v>372</v>
      </c>
      <c r="E70" s="34" t="s">
        <v>372</v>
      </c>
      <c r="F70" s="34" t="s">
        <v>50</v>
      </c>
      <c r="G70" s="34" t="s">
        <v>24</v>
      </c>
      <c r="H70" s="208" t="s">
        <v>24</v>
      </c>
      <c r="I70" s="35" t="s">
        <v>24</v>
      </c>
      <c r="J70" s="35" t="s">
        <v>25</v>
      </c>
      <c r="K70" s="209" t="s">
        <v>309</v>
      </c>
      <c r="L70" s="36" t="s">
        <v>51</v>
      </c>
      <c r="M70" s="36" t="s">
        <v>306</v>
      </c>
      <c r="N70" s="36" t="s">
        <v>28</v>
      </c>
      <c r="O70" s="210" t="s">
        <v>350</v>
      </c>
    </row>
    <row r="71" spans="1:25" s="214" customFormat="1" ht="15.6" customHeight="1" x14ac:dyDescent="0.25">
      <c r="A71" s="297" t="s">
        <v>353</v>
      </c>
      <c r="B71" s="431" t="s">
        <v>610</v>
      </c>
      <c r="C71" s="34" t="s">
        <v>249</v>
      </c>
      <c r="D71" s="34" t="s">
        <v>372</v>
      </c>
      <c r="E71" s="34" t="s">
        <v>372</v>
      </c>
      <c r="F71" s="34" t="s">
        <v>50</v>
      </c>
      <c r="G71" s="34" t="s">
        <v>24</v>
      </c>
      <c r="H71" s="208" t="s">
        <v>24</v>
      </c>
      <c r="I71" s="35" t="s">
        <v>24</v>
      </c>
      <c r="J71" s="35" t="s">
        <v>25</v>
      </c>
      <c r="K71" s="209" t="s">
        <v>309</v>
      </c>
      <c r="L71" s="36" t="s">
        <v>51</v>
      </c>
      <c r="M71" s="36" t="s">
        <v>306</v>
      </c>
      <c r="N71" s="36" t="s">
        <v>28</v>
      </c>
      <c r="O71" s="113"/>
      <c r="X71" s="32"/>
      <c r="Y71" s="32"/>
    </row>
    <row r="72" spans="1:25" s="214" customFormat="1" ht="14.45" customHeight="1" x14ac:dyDescent="0.25">
      <c r="A72" s="33" t="s">
        <v>349</v>
      </c>
      <c r="B72" s="431" t="s">
        <v>610</v>
      </c>
      <c r="C72" s="34" t="s">
        <v>249</v>
      </c>
      <c r="D72" s="34" t="s">
        <v>372</v>
      </c>
      <c r="E72" s="34" t="s">
        <v>372</v>
      </c>
      <c r="F72" s="34" t="s">
        <v>50</v>
      </c>
      <c r="G72" s="34" t="s">
        <v>24</v>
      </c>
      <c r="H72" s="35" t="s">
        <v>24</v>
      </c>
      <c r="I72" s="35" t="s">
        <v>24</v>
      </c>
      <c r="J72" s="35" t="s">
        <v>25</v>
      </c>
      <c r="K72" s="36" t="s">
        <v>309</v>
      </c>
      <c r="L72" s="36" t="s">
        <v>51</v>
      </c>
      <c r="M72" s="36" t="s">
        <v>306</v>
      </c>
      <c r="N72" s="36" t="s">
        <v>28</v>
      </c>
      <c r="O72" s="113"/>
      <c r="X72" s="32"/>
      <c r="Y72" s="32"/>
    </row>
    <row r="73" spans="1:25" s="214" customFormat="1" ht="15" customHeight="1" x14ac:dyDescent="0.25">
      <c r="A73" s="291" t="s">
        <v>378</v>
      </c>
      <c r="B73" s="535"/>
      <c r="C73" s="292"/>
      <c r="D73" s="292"/>
      <c r="E73" s="292"/>
      <c r="F73" s="292"/>
      <c r="G73" s="292"/>
      <c r="H73" s="292"/>
      <c r="I73" s="292"/>
      <c r="J73" s="292"/>
      <c r="K73" s="292"/>
      <c r="L73" s="292"/>
      <c r="M73" s="292"/>
      <c r="N73" s="292"/>
      <c r="O73" s="293"/>
      <c r="X73" s="22"/>
      <c r="Y73" s="32"/>
    </row>
    <row r="74" spans="1:25" s="214" customFormat="1" ht="14.25" customHeight="1" x14ac:dyDescent="0.25">
      <c r="A74" s="308" t="s">
        <v>412</v>
      </c>
      <c r="B74" s="309"/>
      <c r="C74" s="310"/>
      <c r="D74" s="310" t="s">
        <v>372</v>
      </c>
      <c r="E74" s="310" t="s">
        <v>344</v>
      </c>
      <c r="F74" s="310"/>
      <c r="G74" s="310"/>
      <c r="H74" s="310"/>
      <c r="I74" s="310"/>
      <c r="J74" s="310" t="s">
        <v>25</v>
      </c>
      <c r="K74" s="310" t="s">
        <v>406</v>
      </c>
      <c r="L74" s="310" t="s">
        <v>51</v>
      </c>
      <c r="M74" s="310" t="s">
        <v>27</v>
      </c>
      <c r="N74" s="310"/>
      <c r="O74" s="308" t="s">
        <v>553</v>
      </c>
      <c r="Q74" s="345"/>
      <c r="X74" s="32"/>
      <c r="Y74" s="32"/>
    </row>
    <row r="75" spans="1:25" s="411" customFormat="1" ht="14.25" customHeight="1" x14ac:dyDescent="0.25">
      <c r="A75" s="434" t="s">
        <v>862</v>
      </c>
      <c r="B75" s="534"/>
      <c r="C75" s="426"/>
      <c r="D75" s="426"/>
      <c r="E75" s="426"/>
      <c r="F75" s="426"/>
      <c r="G75" s="426"/>
      <c r="H75" s="426"/>
      <c r="I75" s="426"/>
      <c r="J75" s="426"/>
      <c r="K75" s="426"/>
      <c r="L75" s="426"/>
      <c r="M75" s="426"/>
      <c r="N75" s="426"/>
      <c r="O75" s="427"/>
      <c r="X75" s="412"/>
      <c r="Y75" s="413"/>
    </row>
    <row r="76" spans="1:25" s="411" customFormat="1" ht="14.45" customHeight="1" x14ac:dyDescent="0.25">
      <c r="A76" s="414" t="s">
        <v>613</v>
      </c>
      <c r="B76" s="421"/>
      <c r="C76" s="415" t="s">
        <v>21</v>
      </c>
      <c r="D76" s="415" t="s">
        <v>344</v>
      </c>
      <c r="E76" s="415" t="s">
        <v>344</v>
      </c>
      <c r="F76" s="415" t="s">
        <v>50</v>
      </c>
      <c r="G76" s="415" t="s">
        <v>23</v>
      </c>
      <c r="H76" s="416" t="s">
        <v>23</v>
      </c>
      <c r="I76" s="416" t="s">
        <v>24</v>
      </c>
      <c r="J76" s="416" t="s">
        <v>25</v>
      </c>
      <c r="K76" s="417" t="s">
        <v>26</v>
      </c>
      <c r="L76" s="417" t="s">
        <v>51</v>
      </c>
      <c r="M76" s="417" t="s">
        <v>306</v>
      </c>
      <c r="N76" s="417" t="s">
        <v>411</v>
      </c>
      <c r="O76" s="422" t="s">
        <v>532</v>
      </c>
      <c r="X76" s="412"/>
      <c r="Y76" s="413"/>
    </row>
    <row r="77" spans="1:25" s="411" customFormat="1" ht="15" customHeight="1" x14ac:dyDescent="0.25">
      <c r="A77" s="414" t="s">
        <v>356</v>
      </c>
      <c r="B77" s="421"/>
      <c r="C77" s="415" t="s">
        <v>21</v>
      </c>
      <c r="D77" s="415" t="s">
        <v>344</v>
      </c>
      <c r="E77" s="415" t="s">
        <v>22</v>
      </c>
      <c r="F77" s="415" t="s">
        <v>50</v>
      </c>
      <c r="G77" s="415" t="s">
        <v>23</v>
      </c>
      <c r="H77" s="416" t="s">
        <v>23</v>
      </c>
      <c r="I77" s="416" t="s">
        <v>24</v>
      </c>
      <c r="J77" s="416" t="s">
        <v>25</v>
      </c>
      <c r="K77" s="417" t="s">
        <v>26</v>
      </c>
      <c r="L77" s="417" t="s">
        <v>51</v>
      </c>
      <c r="M77" s="417" t="s">
        <v>27</v>
      </c>
      <c r="N77" s="417" t="s">
        <v>411</v>
      </c>
      <c r="O77" s="37" t="s">
        <v>29</v>
      </c>
    </row>
  </sheetData>
  <pageMargins left="0.7" right="0.7" top="0.75" bottom="0.75" header="0.3" footer="0.3"/>
  <pageSetup scale="53" fitToHeight="0" orientation="landscape"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312"/>
  <sheetViews>
    <sheetView zoomScaleNormal="100" workbookViewId="0">
      <pane xSplit="2" ySplit="7" topLeftCell="AF228" activePane="bottomRight" state="frozen"/>
      <selection pane="topRight" activeCell="C1" sqref="C1"/>
      <selection pane="bottomLeft" activeCell="A8" sqref="A8"/>
      <selection pane="bottomRight" activeCell="AU242" sqref="AU242"/>
    </sheetView>
  </sheetViews>
  <sheetFormatPr defaultColWidth="9.140625" defaultRowHeight="11.25" x14ac:dyDescent="0.2"/>
  <cols>
    <col min="1" max="1" width="16" style="548" customWidth="1"/>
    <col min="2" max="2" width="50.140625" style="549" customWidth="1"/>
    <col min="3" max="3" width="14.42578125" style="549" customWidth="1"/>
    <col min="4" max="4" width="64.5703125" style="548" customWidth="1"/>
    <col min="5" max="5" width="16.42578125" style="549" customWidth="1"/>
    <col min="6" max="6" width="8.42578125" style="559" bestFit="1" customWidth="1"/>
    <col min="7" max="7" width="118" style="549" customWidth="1"/>
    <col min="8" max="8" width="59" style="548" customWidth="1"/>
    <col min="9" max="12" width="10" style="548" customWidth="1"/>
    <col min="13" max="13" width="10.85546875" style="548" customWidth="1"/>
    <col min="14" max="14" width="5.42578125" style="548" customWidth="1"/>
    <col min="15" max="15" width="6" style="548" customWidth="1"/>
    <col min="16" max="16" width="5.5703125" style="548" customWidth="1"/>
    <col min="17" max="17" width="8.5703125" style="548" customWidth="1"/>
    <col min="18" max="18" width="9" style="548" customWidth="1"/>
    <col min="19" max="19" width="9.5703125" style="556" customWidth="1"/>
    <col min="20" max="20" width="10" style="556" customWidth="1"/>
    <col min="21" max="21" width="11.42578125" style="556" bestFit="1" customWidth="1"/>
    <col min="22" max="23" width="14.42578125" style="557" customWidth="1"/>
    <col min="24" max="24" width="9.5703125" style="556" customWidth="1"/>
    <col min="25" max="25" width="12.5703125" style="556" customWidth="1"/>
    <col min="26" max="26" width="11.42578125" style="558" bestFit="1" customWidth="1"/>
    <col min="27" max="27" width="14.42578125" style="557" customWidth="1"/>
    <col min="28" max="29" width="12.42578125" style="548" customWidth="1"/>
    <col min="30" max="31" width="9.5703125" style="557" customWidth="1"/>
    <col min="32" max="37" width="9.5703125" style="548" customWidth="1"/>
    <col min="38" max="39" width="9.5703125" style="557" customWidth="1"/>
    <col min="40" max="41" width="9.42578125" style="548" customWidth="1"/>
    <col min="42" max="44" width="9.140625" style="550"/>
    <col min="45" max="45" width="11" style="548" customWidth="1"/>
    <col min="46" max="46" width="13.140625" style="548" bestFit="1" customWidth="1"/>
    <col min="47" max="47" width="26.28515625" style="548" customWidth="1"/>
    <col min="48" max="48" width="14.5703125" style="550" customWidth="1"/>
    <col min="49" max="49" width="12.42578125" style="550" customWidth="1"/>
    <col min="50" max="16384" width="9.140625" style="550"/>
  </cols>
  <sheetData>
    <row r="1" spans="1:71" x14ac:dyDescent="0.2">
      <c r="A1" s="548">
        <v>1</v>
      </c>
      <c r="B1" s="549">
        <v>2</v>
      </c>
      <c r="C1" s="549">
        <v>3</v>
      </c>
      <c r="D1" s="548">
        <v>4</v>
      </c>
      <c r="E1" s="549">
        <v>5</v>
      </c>
      <c r="F1" s="549">
        <v>6</v>
      </c>
      <c r="G1" s="548">
        <v>7</v>
      </c>
      <c r="H1" s="549">
        <v>8</v>
      </c>
      <c r="I1" s="549">
        <v>9</v>
      </c>
      <c r="J1" s="548">
        <v>10</v>
      </c>
      <c r="K1" s="549">
        <v>11</v>
      </c>
      <c r="L1" s="549">
        <v>12</v>
      </c>
      <c r="M1" s="548">
        <v>13</v>
      </c>
      <c r="N1" s="549">
        <v>14</v>
      </c>
      <c r="O1" s="549">
        <v>15</v>
      </c>
      <c r="P1" s="548">
        <v>16</v>
      </c>
      <c r="Q1" s="549">
        <v>17</v>
      </c>
      <c r="R1" s="549">
        <v>18</v>
      </c>
      <c r="S1" s="548">
        <v>19</v>
      </c>
      <c r="T1" s="549">
        <v>20</v>
      </c>
      <c r="U1" s="549">
        <v>21</v>
      </c>
      <c r="V1" s="548">
        <v>22</v>
      </c>
      <c r="W1" s="549">
        <v>23</v>
      </c>
      <c r="X1" s="549">
        <v>24</v>
      </c>
      <c r="Y1" s="548">
        <v>25</v>
      </c>
      <c r="Z1" s="549">
        <v>26</v>
      </c>
      <c r="AA1" s="549">
        <v>27</v>
      </c>
      <c r="AB1" s="548">
        <v>28</v>
      </c>
      <c r="AC1" s="549">
        <v>29</v>
      </c>
      <c r="AD1" s="549">
        <v>30</v>
      </c>
      <c r="AE1" s="548">
        <v>31</v>
      </c>
      <c r="AF1" s="549">
        <v>32</v>
      </c>
      <c r="AG1" s="549">
        <v>33</v>
      </c>
      <c r="AH1" s="548">
        <v>34</v>
      </c>
      <c r="AI1" s="549">
        <v>35</v>
      </c>
      <c r="AJ1" s="549">
        <v>36</v>
      </c>
      <c r="AK1" s="548">
        <v>37</v>
      </c>
      <c r="AL1" s="549">
        <v>38</v>
      </c>
      <c r="AM1" s="549">
        <v>39</v>
      </c>
      <c r="AN1" s="548">
        <v>40</v>
      </c>
      <c r="AO1" s="549">
        <v>41</v>
      </c>
      <c r="AP1" s="549">
        <v>42</v>
      </c>
      <c r="AQ1" s="548">
        <v>43</v>
      </c>
      <c r="AR1" s="549">
        <v>44</v>
      </c>
      <c r="AS1" s="549">
        <v>45</v>
      </c>
      <c r="AT1" s="548">
        <v>46</v>
      </c>
      <c r="AU1" s="549">
        <v>47</v>
      </c>
      <c r="AV1" s="549">
        <v>48</v>
      </c>
      <c r="AW1" s="548">
        <v>49</v>
      </c>
      <c r="AX1" s="549">
        <v>50</v>
      </c>
      <c r="AY1" s="549">
        <v>51</v>
      </c>
      <c r="AZ1" s="548">
        <v>52</v>
      </c>
      <c r="BA1" s="549">
        <v>53</v>
      </c>
      <c r="BB1" s="549">
        <v>54</v>
      </c>
      <c r="BC1" s="548">
        <v>55</v>
      </c>
      <c r="BD1" s="549">
        <v>56</v>
      </c>
      <c r="BE1" s="549">
        <v>57</v>
      </c>
      <c r="BF1" s="548">
        <v>58</v>
      </c>
      <c r="BG1" s="549">
        <v>59</v>
      </c>
      <c r="BH1" s="549">
        <v>60</v>
      </c>
      <c r="BI1" s="548">
        <v>61</v>
      </c>
      <c r="BJ1" s="549">
        <v>62</v>
      </c>
      <c r="BK1" s="549">
        <v>63</v>
      </c>
      <c r="BL1" s="548">
        <v>64</v>
      </c>
    </row>
    <row r="2" spans="1:71" ht="12" thickBot="1" x14ac:dyDescent="0.25">
      <c r="A2" s="551" t="s">
        <v>5</v>
      </c>
      <c r="B2" s="552" t="str">
        <f>TestPlan!B1</f>
        <v>2019 Nissan Leaf E-Plus</v>
      </c>
      <c r="C2" s="552"/>
      <c r="F2" s="553" t="s">
        <v>6</v>
      </c>
      <c r="G2" s="554" t="s">
        <v>337</v>
      </c>
      <c r="H2" s="554"/>
      <c r="I2" s="554"/>
      <c r="J2" s="554"/>
      <c r="K2" s="554"/>
      <c r="L2" s="554"/>
      <c r="N2" s="551"/>
      <c r="O2" s="551"/>
      <c r="P2" s="551"/>
      <c r="Q2" s="555"/>
      <c r="R2" s="555"/>
    </row>
    <row r="3" spans="1:71" ht="12" thickBot="1" x14ac:dyDescent="0.25">
      <c r="A3" s="551" t="s">
        <v>7</v>
      </c>
      <c r="B3" s="552" t="str">
        <f>TestPlan!B2</f>
        <v>NHTSA 2020 Vehicle Technology Assessment</v>
      </c>
      <c r="C3" s="552"/>
      <c r="H3" s="560"/>
      <c r="I3" s="560"/>
      <c r="J3" s="560"/>
      <c r="K3" s="560"/>
      <c r="L3" s="560"/>
      <c r="N3" s="19"/>
      <c r="O3" s="19"/>
      <c r="P3" s="19"/>
      <c r="Q3" s="555"/>
      <c r="R3" s="555"/>
      <c r="S3" s="561"/>
      <c r="T3" s="632" t="s">
        <v>944</v>
      </c>
      <c r="U3" s="633"/>
      <c r="X3" s="561"/>
      <c r="Y3" s="632" t="s">
        <v>944</v>
      </c>
      <c r="Z3" s="633"/>
      <c r="AE3" s="562" t="s">
        <v>405</v>
      </c>
      <c r="AF3" s="563" t="s">
        <v>403</v>
      </c>
      <c r="AG3" s="563" t="s">
        <v>404</v>
      </c>
      <c r="AH3" s="548" t="e">
        <f>#REF!/#REF!</f>
        <v>#REF!</v>
      </c>
      <c r="AK3" s="563"/>
      <c r="AL3" s="562"/>
      <c r="AM3" s="562"/>
    </row>
    <row r="4" spans="1:71" x14ac:dyDescent="0.2">
      <c r="A4" s="548" t="s">
        <v>381</v>
      </c>
      <c r="Q4" s="555"/>
      <c r="R4" s="555"/>
    </row>
    <row r="5" spans="1:71" x14ac:dyDescent="0.2">
      <c r="A5" s="548" t="s">
        <v>381</v>
      </c>
      <c r="Q5" s="555"/>
      <c r="R5" s="555"/>
    </row>
    <row r="6" spans="1:71" s="564" customFormat="1" ht="15" customHeight="1" thickBot="1" x14ac:dyDescent="0.25">
      <c r="A6" s="564" t="s">
        <v>381</v>
      </c>
      <c r="B6" s="565"/>
      <c r="C6" s="565"/>
      <c r="E6" s="565"/>
      <c r="F6" s="566"/>
      <c r="G6" s="565"/>
      <c r="Q6" s="567"/>
      <c r="R6" s="567"/>
      <c r="S6" s="568" t="s">
        <v>104</v>
      </c>
      <c r="T6" s="568"/>
      <c r="U6" s="568"/>
      <c r="V6" s="569"/>
      <c r="W6" s="569"/>
      <c r="X6" s="568" t="s">
        <v>104</v>
      </c>
      <c r="Y6" s="568"/>
      <c r="Z6" s="570"/>
      <c r="AA6" s="569"/>
      <c r="AB6" s="571"/>
      <c r="AC6" s="571"/>
      <c r="AD6" s="569"/>
      <c r="AE6" s="569"/>
      <c r="AF6" s="571"/>
      <c r="AG6" s="571"/>
      <c r="AH6" s="571"/>
      <c r="AI6" s="571"/>
      <c r="AJ6" s="571"/>
      <c r="AK6" s="571"/>
      <c r="AL6" s="569"/>
      <c r="AM6" s="569"/>
      <c r="AN6" s="571"/>
      <c r="AO6" s="571"/>
      <c r="AP6" s="635" t="s">
        <v>106</v>
      </c>
      <c r="AQ6" s="636"/>
      <c r="AR6" s="635"/>
      <c r="AS6" s="572" t="s">
        <v>370</v>
      </c>
      <c r="AT6" s="572"/>
      <c r="AU6" s="572"/>
      <c r="AV6" s="634" t="s">
        <v>370</v>
      </c>
      <c r="AW6" s="634"/>
      <c r="AX6" s="634"/>
      <c r="AY6" s="634"/>
    </row>
    <row r="7" spans="1:71" s="575" customFormat="1" ht="56.25" x14ac:dyDescent="0.25">
      <c r="A7" s="373" t="s">
        <v>369</v>
      </c>
      <c r="B7" s="354" t="s">
        <v>1</v>
      </c>
      <c r="C7" s="354" t="s">
        <v>505</v>
      </c>
      <c r="D7" s="367" t="s">
        <v>98</v>
      </c>
      <c r="E7" s="355" t="s">
        <v>506</v>
      </c>
      <c r="F7" s="355" t="s">
        <v>393</v>
      </c>
      <c r="G7" s="355" t="s">
        <v>2</v>
      </c>
      <c r="H7" s="355" t="s">
        <v>3</v>
      </c>
      <c r="I7" s="356" t="s">
        <v>90</v>
      </c>
      <c r="J7" s="357" t="s">
        <v>368</v>
      </c>
      <c r="K7" s="357" t="s">
        <v>299</v>
      </c>
      <c r="L7" s="357" t="s">
        <v>300</v>
      </c>
      <c r="M7" s="357" t="s">
        <v>507</v>
      </c>
      <c r="N7" s="358" t="s">
        <v>207</v>
      </c>
      <c r="O7" s="358" t="s">
        <v>46</v>
      </c>
      <c r="P7" s="358" t="s">
        <v>47</v>
      </c>
      <c r="Q7" s="358" t="s">
        <v>48</v>
      </c>
      <c r="R7" s="359" t="s">
        <v>301</v>
      </c>
      <c r="S7" s="359" t="s">
        <v>113</v>
      </c>
      <c r="T7" s="379" t="s">
        <v>508</v>
      </c>
      <c r="U7" s="379" t="s">
        <v>509</v>
      </c>
      <c r="V7" s="443" t="s">
        <v>510</v>
      </c>
      <c r="W7" s="443" t="s">
        <v>511</v>
      </c>
      <c r="X7" s="444" t="s">
        <v>670</v>
      </c>
      <c r="Y7" s="444" t="s">
        <v>671</v>
      </c>
      <c r="Z7" s="443" t="s">
        <v>648</v>
      </c>
      <c r="AA7" s="443" t="s">
        <v>649</v>
      </c>
      <c r="AB7" s="444" t="s">
        <v>662</v>
      </c>
      <c r="AC7" s="444" t="s">
        <v>663</v>
      </c>
      <c r="AD7" s="443" t="s">
        <v>652</v>
      </c>
      <c r="AE7" s="443" t="s">
        <v>653</v>
      </c>
      <c r="AF7" s="360" t="s">
        <v>664</v>
      </c>
      <c r="AG7" s="360" t="s">
        <v>665</v>
      </c>
      <c r="AH7" s="441" t="s">
        <v>658</v>
      </c>
      <c r="AI7" s="441" t="s">
        <v>659</v>
      </c>
      <c r="AJ7" s="360" t="s">
        <v>668</v>
      </c>
      <c r="AK7" s="360" t="s">
        <v>669</v>
      </c>
      <c r="AL7" s="441" t="s">
        <v>656</v>
      </c>
      <c r="AM7" s="441" t="s">
        <v>657</v>
      </c>
      <c r="AN7" s="360" t="s">
        <v>666</v>
      </c>
      <c r="AO7" s="360" t="s">
        <v>667</v>
      </c>
      <c r="AP7" s="342" t="s">
        <v>508</v>
      </c>
      <c r="AQ7" s="344" t="s">
        <v>509</v>
      </c>
      <c r="AR7" s="342" t="s">
        <v>526</v>
      </c>
      <c r="AS7" s="445" t="s">
        <v>651</v>
      </c>
      <c r="AT7" s="445" t="s">
        <v>650</v>
      </c>
      <c r="AU7" s="382" t="s">
        <v>527</v>
      </c>
      <c r="AV7" s="340" t="s">
        <v>366</v>
      </c>
      <c r="AW7" s="340" t="s">
        <v>530</v>
      </c>
      <c r="AX7" s="340"/>
      <c r="AY7" s="340"/>
      <c r="AZ7" s="573" t="s">
        <v>512</v>
      </c>
      <c r="BA7" s="573" t="s">
        <v>513</v>
      </c>
      <c r="BB7" s="573" t="s">
        <v>514</v>
      </c>
      <c r="BC7" s="573" t="s">
        <v>515</v>
      </c>
      <c r="BD7" s="573" t="s">
        <v>516</v>
      </c>
      <c r="BE7" s="573" t="s">
        <v>517</v>
      </c>
      <c r="BF7" s="573" t="s">
        <v>518</v>
      </c>
      <c r="BG7" s="573" t="s">
        <v>519</v>
      </c>
      <c r="BH7" s="573" t="s">
        <v>520</v>
      </c>
      <c r="BI7" s="573" t="s">
        <v>521</v>
      </c>
      <c r="BJ7" s="573" t="s">
        <v>522</v>
      </c>
      <c r="BK7" s="573" t="s">
        <v>523</v>
      </c>
      <c r="BL7" s="574" t="s">
        <v>524</v>
      </c>
    </row>
    <row r="8" spans="1:71" s="548" customFormat="1" ht="15" customHeight="1" x14ac:dyDescent="0.2">
      <c r="A8" s="576" t="s">
        <v>765</v>
      </c>
      <c r="B8" s="435"/>
      <c r="C8" s="435"/>
      <c r="D8" s="436"/>
      <c r="E8" s="435"/>
      <c r="F8" s="435"/>
      <c r="G8" s="436"/>
      <c r="H8" s="436"/>
      <c r="I8" s="436"/>
      <c r="J8" s="436"/>
      <c r="K8" s="436"/>
      <c r="L8" s="436"/>
      <c r="M8" s="436"/>
      <c r="N8" s="436"/>
      <c r="O8" s="436"/>
      <c r="P8" s="437"/>
      <c r="Q8" s="438"/>
      <c r="R8" s="435"/>
      <c r="S8" s="435"/>
      <c r="T8" s="435"/>
      <c r="U8" s="435"/>
      <c r="V8" s="442"/>
      <c r="W8" s="442"/>
      <c r="X8" s="435"/>
      <c r="Y8" s="435"/>
      <c r="Z8" s="442"/>
      <c r="AA8" s="442"/>
      <c r="AB8" s="435"/>
      <c r="AC8" s="435"/>
      <c r="AD8" s="442"/>
      <c r="AE8" s="442"/>
      <c r="AF8" s="435"/>
      <c r="AG8" s="435"/>
      <c r="AH8" s="435"/>
      <c r="AI8" s="435"/>
      <c r="AJ8" s="435"/>
      <c r="AK8" s="435"/>
      <c r="AL8" s="442"/>
      <c r="AM8" s="442"/>
      <c r="AN8" s="435"/>
      <c r="AO8" s="435"/>
      <c r="AP8" s="435"/>
      <c r="AQ8" s="435"/>
      <c r="AR8" s="435"/>
      <c r="AS8" s="435"/>
      <c r="AT8" s="435"/>
      <c r="AU8" s="435"/>
      <c r="AV8" s="435"/>
      <c r="AW8" s="435"/>
      <c r="AX8" s="435"/>
      <c r="AY8" s="435"/>
      <c r="AZ8" s="435"/>
      <c r="BA8" s="435"/>
      <c r="BB8" s="435"/>
      <c r="BC8" s="435"/>
      <c r="BD8" s="435"/>
      <c r="BE8" s="435"/>
      <c r="BF8" s="435"/>
      <c r="BG8" s="435"/>
      <c r="BH8" s="435"/>
      <c r="BI8" s="435"/>
      <c r="BJ8" s="435"/>
      <c r="BK8" s="435"/>
      <c r="BL8" s="439"/>
    </row>
    <row r="9" spans="1:71" s="577" customFormat="1" ht="15" customHeight="1" x14ac:dyDescent="0.2">
      <c r="A9" s="403">
        <v>62007002</v>
      </c>
      <c r="B9" s="403" t="s">
        <v>766</v>
      </c>
      <c r="C9" s="403"/>
      <c r="D9" s="402"/>
      <c r="E9" s="346"/>
      <c r="F9" s="374"/>
      <c r="G9" s="362"/>
      <c r="H9" s="362"/>
      <c r="I9" s="370"/>
      <c r="J9" s="363"/>
      <c r="K9" s="363"/>
      <c r="L9" s="363"/>
      <c r="M9" s="363"/>
      <c r="N9" s="347"/>
      <c r="O9" s="347"/>
      <c r="P9" s="347"/>
      <c r="Q9" s="347"/>
      <c r="R9" s="348"/>
      <c r="S9" s="348"/>
      <c r="T9" s="380"/>
      <c r="U9" s="380"/>
      <c r="V9" s="352"/>
      <c r="W9" s="352"/>
      <c r="X9" s="352"/>
      <c r="Y9" s="352"/>
      <c r="Z9" s="372"/>
      <c r="AA9" s="352"/>
      <c r="AB9" s="352"/>
      <c r="AC9" s="371"/>
      <c r="AD9" s="372"/>
      <c r="AE9" s="352"/>
      <c r="AF9" s="352"/>
      <c r="AG9" s="371"/>
      <c r="AH9" s="372"/>
      <c r="AI9" s="352"/>
      <c r="AJ9" s="352"/>
      <c r="AK9" s="371"/>
      <c r="AL9" s="372"/>
      <c r="AM9" s="352"/>
      <c r="AN9" s="352"/>
      <c r="AO9" s="371"/>
      <c r="AP9" s="341"/>
      <c r="AQ9" s="341"/>
      <c r="AR9" s="341"/>
      <c r="AS9" s="526"/>
      <c r="AT9" s="383"/>
      <c r="AU9" s="383"/>
      <c r="AV9" s="341"/>
      <c r="AW9" s="341"/>
      <c r="AX9" s="341"/>
      <c r="AY9" s="341"/>
      <c r="AZ9" s="362"/>
      <c r="BA9" s="550"/>
      <c r="BB9" s="550"/>
      <c r="BC9" s="550"/>
      <c r="BD9" s="550"/>
      <c r="BE9" s="550"/>
      <c r="BF9" s="550"/>
      <c r="BG9" s="550"/>
      <c r="BH9" s="550"/>
      <c r="BI9" s="550"/>
      <c r="BJ9" s="550"/>
      <c r="BK9" s="550"/>
      <c r="BL9" s="550"/>
      <c r="BM9" s="550"/>
      <c r="BN9" s="550"/>
      <c r="BO9" s="550"/>
      <c r="BP9" s="550"/>
      <c r="BQ9" s="550"/>
      <c r="BR9" s="550"/>
      <c r="BS9" s="550"/>
    </row>
    <row r="10" spans="1:71" s="577" customFormat="1" ht="15" customHeight="1" x14ac:dyDescent="0.2">
      <c r="A10" s="403">
        <v>62007003</v>
      </c>
      <c r="B10" s="403" t="s">
        <v>766</v>
      </c>
      <c r="C10" s="403"/>
      <c r="D10" s="402"/>
      <c r="E10" s="346"/>
      <c r="F10" s="374"/>
      <c r="G10" s="362"/>
      <c r="H10" s="362"/>
      <c r="I10" s="370"/>
      <c r="J10" s="363"/>
      <c r="K10" s="363"/>
      <c r="L10" s="363"/>
      <c r="M10" s="363"/>
      <c r="N10" s="347"/>
      <c r="O10" s="347"/>
      <c r="P10" s="347"/>
      <c r="Q10" s="347"/>
      <c r="R10" s="348"/>
      <c r="S10" s="348"/>
      <c r="T10" s="380"/>
      <c r="U10" s="380"/>
      <c r="V10" s="352"/>
      <c r="W10" s="352"/>
      <c r="X10" s="352"/>
      <c r="Y10" s="352"/>
      <c r="Z10" s="372"/>
      <c r="AA10" s="352"/>
      <c r="AB10" s="352"/>
      <c r="AC10" s="371"/>
      <c r="AD10" s="372"/>
      <c r="AE10" s="352"/>
      <c r="AF10" s="352"/>
      <c r="AG10" s="371"/>
      <c r="AH10" s="372"/>
      <c r="AI10" s="352"/>
      <c r="AJ10" s="352"/>
      <c r="AK10" s="371"/>
      <c r="AL10" s="372"/>
      <c r="AM10" s="352"/>
      <c r="AN10" s="352"/>
      <c r="AO10" s="371"/>
      <c r="AP10" s="341"/>
      <c r="AQ10" s="341"/>
      <c r="AR10" s="341"/>
      <c r="AS10" s="526"/>
      <c r="AT10" s="383"/>
      <c r="AU10" s="383"/>
      <c r="AV10" s="341"/>
      <c r="AW10" s="341"/>
      <c r="AX10" s="341"/>
      <c r="AY10" s="341"/>
      <c r="AZ10" s="362"/>
      <c r="BA10" s="550"/>
      <c r="BB10" s="550"/>
      <c r="BC10" s="550"/>
      <c r="BD10" s="550"/>
      <c r="BE10" s="550"/>
      <c r="BF10" s="550"/>
      <c r="BG10" s="550"/>
      <c r="BH10" s="550"/>
      <c r="BI10" s="550"/>
      <c r="BJ10" s="550"/>
      <c r="BK10" s="550"/>
      <c r="BL10" s="550"/>
      <c r="BM10" s="550"/>
      <c r="BN10" s="550"/>
      <c r="BO10" s="550"/>
      <c r="BP10" s="550"/>
      <c r="BQ10" s="550"/>
      <c r="BR10" s="550"/>
      <c r="BS10" s="550"/>
    </row>
    <row r="11" spans="1:71" s="577" customFormat="1" ht="15" customHeight="1" x14ac:dyDescent="0.2">
      <c r="A11" s="403">
        <v>62007004</v>
      </c>
      <c r="B11" s="403" t="s">
        <v>766</v>
      </c>
      <c r="C11" s="403"/>
      <c r="D11" s="402"/>
      <c r="E11" s="346"/>
      <c r="F11" s="374"/>
      <c r="G11" s="362"/>
      <c r="H11" s="362"/>
      <c r="I11" s="370"/>
      <c r="J11" s="363"/>
      <c r="K11" s="363"/>
      <c r="L11" s="363"/>
      <c r="M11" s="363"/>
      <c r="N11" s="347"/>
      <c r="O11" s="347"/>
      <c r="P11" s="347"/>
      <c r="Q11" s="347"/>
      <c r="R11" s="348"/>
      <c r="S11" s="348"/>
      <c r="T11" s="380"/>
      <c r="U11" s="380"/>
      <c r="V11" s="352"/>
      <c r="W11" s="352"/>
      <c r="X11" s="352"/>
      <c r="Y11" s="352"/>
      <c r="Z11" s="372"/>
      <c r="AA11" s="352"/>
      <c r="AB11" s="352"/>
      <c r="AC11" s="371"/>
      <c r="AD11" s="372"/>
      <c r="AE11" s="352"/>
      <c r="AF11" s="352"/>
      <c r="AG11" s="371"/>
      <c r="AH11" s="372"/>
      <c r="AI11" s="352"/>
      <c r="AJ11" s="352"/>
      <c r="AK11" s="371"/>
      <c r="AL11" s="372"/>
      <c r="AM11" s="352"/>
      <c r="AN11" s="352"/>
      <c r="AO11" s="371"/>
      <c r="AP11" s="341"/>
      <c r="AQ11" s="341"/>
      <c r="AR11" s="341"/>
      <c r="AS11" s="526"/>
      <c r="AT11" s="383"/>
      <c r="AU11" s="383"/>
      <c r="AV11" s="341"/>
      <c r="AW11" s="341"/>
      <c r="AX11" s="341"/>
      <c r="AY11" s="341"/>
      <c r="AZ11" s="362"/>
      <c r="BA11" s="550"/>
      <c r="BB11" s="550"/>
      <c r="BC11" s="550"/>
      <c r="BD11" s="550"/>
      <c r="BE11" s="550"/>
      <c r="BF11" s="550"/>
      <c r="BG11" s="550"/>
      <c r="BH11" s="550"/>
      <c r="BI11" s="550"/>
      <c r="BJ11" s="550"/>
      <c r="BK11" s="550"/>
      <c r="BL11" s="550"/>
      <c r="BM11" s="550"/>
      <c r="BN11" s="550"/>
      <c r="BO11" s="550"/>
      <c r="BP11" s="550"/>
      <c r="BQ11" s="550"/>
      <c r="BR11" s="550"/>
      <c r="BS11" s="550"/>
    </row>
    <row r="12" spans="1:71" s="577" customFormat="1" ht="15" customHeight="1" x14ac:dyDescent="0.2">
      <c r="A12" s="403">
        <v>62007005</v>
      </c>
      <c r="B12" s="403" t="s">
        <v>766</v>
      </c>
      <c r="C12" s="403"/>
      <c r="D12" s="402"/>
      <c r="E12" s="346"/>
      <c r="F12" s="374"/>
      <c r="G12" s="362"/>
      <c r="H12" s="362"/>
      <c r="I12" s="370"/>
      <c r="J12" s="363"/>
      <c r="K12" s="363"/>
      <c r="L12" s="363"/>
      <c r="M12" s="363"/>
      <c r="N12" s="347"/>
      <c r="O12" s="347"/>
      <c r="P12" s="347"/>
      <c r="Q12" s="347"/>
      <c r="R12" s="348"/>
      <c r="S12" s="348"/>
      <c r="T12" s="380"/>
      <c r="U12" s="380"/>
      <c r="V12" s="352"/>
      <c r="W12" s="352"/>
      <c r="X12" s="352"/>
      <c r="Y12" s="352"/>
      <c r="Z12" s="372"/>
      <c r="AA12" s="352"/>
      <c r="AB12" s="352"/>
      <c r="AC12" s="371"/>
      <c r="AD12" s="372"/>
      <c r="AE12" s="352"/>
      <c r="AF12" s="352"/>
      <c r="AG12" s="371"/>
      <c r="AH12" s="372"/>
      <c r="AI12" s="352"/>
      <c r="AJ12" s="352"/>
      <c r="AK12" s="371"/>
      <c r="AL12" s="372"/>
      <c r="AM12" s="352"/>
      <c r="AN12" s="352"/>
      <c r="AO12" s="371"/>
      <c r="AP12" s="341"/>
      <c r="AQ12" s="341"/>
      <c r="AR12" s="341"/>
      <c r="AS12" s="526"/>
      <c r="AT12" s="383"/>
      <c r="AU12" s="383"/>
      <c r="AV12" s="341"/>
      <c r="AW12" s="341"/>
      <c r="AX12" s="341"/>
      <c r="AY12" s="341"/>
      <c r="AZ12" s="362"/>
      <c r="BA12" s="550"/>
      <c r="BB12" s="550"/>
      <c r="BC12" s="550"/>
      <c r="BD12" s="550"/>
      <c r="BE12" s="550"/>
      <c r="BF12" s="550"/>
      <c r="BG12" s="550"/>
      <c r="BH12" s="550"/>
      <c r="BI12" s="550"/>
      <c r="BJ12" s="550"/>
      <c r="BK12" s="550"/>
      <c r="BL12" s="550"/>
      <c r="BM12" s="550"/>
      <c r="BN12" s="550"/>
      <c r="BO12" s="550"/>
      <c r="BP12" s="550"/>
      <c r="BQ12" s="550"/>
      <c r="BR12" s="550"/>
      <c r="BS12" s="550"/>
    </row>
    <row r="13" spans="1:71" s="548" customFormat="1" ht="15" customHeight="1" x14ac:dyDescent="0.2">
      <c r="A13" s="576" t="s">
        <v>525</v>
      </c>
      <c r="B13" s="435"/>
      <c r="C13" s="435"/>
      <c r="D13" s="436"/>
      <c r="E13" s="435"/>
      <c r="F13" s="435"/>
      <c r="G13" s="436"/>
      <c r="H13" s="436"/>
      <c r="I13" s="436"/>
      <c r="J13" s="436"/>
      <c r="K13" s="436"/>
      <c r="L13" s="436"/>
      <c r="M13" s="436"/>
      <c r="N13" s="436"/>
      <c r="O13" s="436"/>
      <c r="P13" s="437"/>
      <c r="Q13" s="438"/>
      <c r="R13" s="435"/>
      <c r="S13" s="435"/>
      <c r="T13" s="435"/>
      <c r="U13" s="435"/>
      <c r="V13" s="442"/>
      <c r="W13" s="442"/>
      <c r="X13" s="435"/>
      <c r="Y13" s="435"/>
      <c r="Z13" s="442"/>
      <c r="AA13" s="442"/>
      <c r="AB13" s="435"/>
      <c r="AC13" s="435"/>
      <c r="AD13" s="442"/>
      <c r="AE13" s="442"/>
      <c r="AF13" s="435"/>
      <c r="AG13" s="435"/>
      <c r="AH13" s="435"/>
      <c r="AI13" s="435"/>
      <c r="AJ13" s="435"/>
      <c r="AK13" s="435"/>
      <c r="AL13" s="442"/>
      <c r="AM13" s="442"/>
      <c r="AN13" s="435"/>
      <c r="AO13" s="435"/>
      <c r="AP13" s="435"/>
      <c r="AQ13" s="435"/>
      <c r="AR13" s="435"/>
      <c r="AS13" s="435"/>
      <c r="AT13" s="435"/>
      <c r="AU13" s="435"/>
      <c r="AV13" s="435"/>
      <c r="AW13" s="435"/>
      <c r="AX13" s="435"/>
      <c r="AY13" s="435"/>
      <c r="AZ13" s="435"/>
      <c r="BA13" s="435"/>
      <c r="BB13" s="435"/>
      <c r="BC13" s="435"/>
      <c r="BD13" s="435"/>
      <c r="BE13" s="435"/>
      <c r="BF13" s="435"/>
      <c r="BG13" s="435"/>
      <c r="BH13" s="435"/>
      <c r="BI13" s="435"/>
      <c r="BJ13" s="435"/>
      <c r="BK13" s="435"/>
      <c r="BL13" s="439"/>
    </row>
    <row r="14" spans="1:71" s="577" customFormat="1" ht="15" customHeight="1" x14ac:dyDescent="0.2">
      <c r="A14" s="403">
        <v>62007010</v>
      </c>
      <c r="B14" s="403" t="s">
        <v>674</v>
      </c>
      <c r="C14" s="403" t="s">
        <v>773</v>
      </c>
      <c r="D14" s="402" t="s">
        <v>682</v>
      </c>
      <c r="E14" s="346" t="s">
        <v>683</v>
      </c>
      <c r="F14" s="346" t="str">
        <f>LEFT(E14,8)</f>
        <v>07/27/20</v>
      </c>
      <c r="G14" s="362" t="s">
        <v>684</v>
      </c>
      <c r="H14" s="362" t="s">
        <v>685</v>
      </c>
      <c r="I14" s="370"/>
      <c r="J14" s="363">
        <v>24.038357000000001</v>
      </c>
      <c r="K14" s="363">
        <v>42.946617000000003</v>
      </c>
      <c r="L14" s="363">
        <v>29.232849000000002</v>
      </c>
      <c r="M14" s="363">
        <v>29.179106999999998</v>
      </c>
      <c r="N14" s="347">
        <v>4250</v>
      </c>
      <c r="O14" s="347">
        <v>30.36</v>
      </c>
      <c r="P14" s="347">
        <v>0.3201</v>
      </c>
      <c r="Q14" s="347">
        <v>1.9560000000000001E-2</v>
      </c>
      <c r="R14" s="348">
        <v>10.291707049999999</v>
      </c>
      <c r="S14" s="348">
        <f t="shared" ref="S14:S37" si="0">R14+R13</f>
        <v>10.291707049999999</v>
      </c>
      <c r="T14" s="380">
        <v>79.400000000000006</v>
      </c>
      <c r="U14" s="380">
        <v>75.2</v>
      </c>
      <c r="V14" s="352">
        <v>10408</v>
      </c>
      <c r="W14" s="352">
        <v>13133</v>
      </c>
      <c r="X14" s="352">
        <f t="shared" ref="X14:X37" si="1">W14-V14</f>
        <v>2725</v>
      </c>
      <c r="Y14" s="352">
        <f t="shared" ref="Y14:Y37" si="2">X14/$R14</f>
        <v>264.77628898307984</v>
      </c>
      <c r="Z14" s="372">
        <v>962.34</v>
      </c>
      <c r="AA14" s="352">
        <v>994.4</v>
      </c>
      <c r="AB14" s="352">
        <f t="shared" ref="AB14:AB37" si="3">AA14-Z14</f>
        <v>32.059999999999945</v>
      </c>
      <c r="AC14" s="371">
        <f t="shared" ref="AC14:AC37" si="4">AB14/$R14</f>
        <v>3.1151294769899174</v>
      </c>
      <c r="AD14" s="372">
        <v>-37.82</v>
      </c>
      <c r="AE14" s="352">
        <v>-38.630000000000003</v>
      </c>
      <c r="AF14" s="352">
        <f t="shared" ref="AF14:AF37" si="5">AE14-AD14</f>
        <v>-0.81000000000000227</v>
      </c>
      <c r="AG14" s="371">
        <f t="shared" ref="AG14:AG37" si="6">AF14/$R14</f>
        <v>-7.8704144615154223E-2</v>
      </c>
      <c r="AH14" s="372">
        <v>0</v>
      </c>
      <c r="AI14" s="352">
        <v>0</v>
      </c>
      <c r="AJ14" s="352">
        <f t="shared" ref="AJ14:AJ37" si="7">AI14-AH14</f>
        <v>0</v>
      </c>
      <c r="AK14" s="371">
        <f t="shared" ref="AK14:AK37" si="8">AJ14/$R14</f>
        <v>0</v>
      </c>
      <c r="AL14" s="372">
        <v>0</v>
      </c>
      <c r="AM14" s="352">
        <v>0</v>
      </c>
      <c r="AN14" s="352">
        <f t="shared" ref="AN14:AN37" si="9">AM14-AL14</f>
        <v>0</v>
      </c>
      <c r="AO14" s="371">
        <f t="shared" ref="AO14:AO37" si="10">AN14/$R14</f>
        <v>0</v>
      </c>
      <c r="AP14" s="341">
        <v>79.400000000000006</v>
      </c>
      <c r="AQ14" s="341">
        <v>75.2</v>
      </c>
      <c r="AR14" s="341">
        <f t="shared" ref="AR14:AR37" si="11">AQ14-AP14</f>
        <v>-4.2000000000000028</v>
      </c>
      <c r="AS14" s="526">
        <v>351.9</v>
      </c>
      <c r="AT14" s="383">
        <v>353</v>
      </c>
      <c r="AU14" s="383">
        <f t="shared" ref="AU14:AU37" si="12">AT14-AS14</f>
        <v>1.1000000000000227</v>
      </c>
      <c r="AV14" s="341"/>
      <c r="AW14" s="341"/>
      <c r="AX14" s="341"/>
      <c r="AY14" s="341"/>
      <c r="AZ14" s="362" t="s">
        <v>686</v>
      </c>
      <c r="BA14" s="550">
        <v>1944.7725101399999</v>
      </c>
      <c r="BB14" s="550">
        <v>-0.55454740999999996</v>
      </c>
      <c r="BC14" s="550">
        <v>1299.5263507899999</v>
      </c>
      <c r="BD14" s="550">
        <v>1306.7730267699999</v>
      </c>
      <c r="BE14" s="550">
        <v>8.0490722800000007</v>
      </c>
      <c r="BF14" s="550">
        <v>8.0201909899999997</v>
      </c>
      <c r="BG14" s="550">
        <v>0.34224737999999999</v>
      </c>
      <c r="BH14" s="550">
        <v>10.291783560000001</v>
      </c>
      <c r="BI14" s="550">
        <v>10.256680340000001</v>
      </c>
      <c r="BJ14" s="550">
        <v>1.779584E-2</v>
      </c>
      <c r="BK14" s="550">
        <v>0.36010730000000002</v>
      </c>
      <c r="BL14" s="550">
        <v>0.28277405</v>
      </c>
      <c r="BM14" s="550"/>
      <c r="BN14" s="550"/>
      <c r="BO14" s="550"/>
      <c r="BP14" s="550"/>
      <c r="BQ14" s="550"/>
      <c r="BR14" s="550"/>
      <c r="BS14" s="550"/>
    </row>
    <row r="15" spans="1:71" s="577" customFormat="1" ht="15" customHeight="1" x14ac:dyDescent="0.2">
      <c r="A15" s="403">
        <v>62007010</v>
      </c>
      <c r="B15" s="403" t="s">
        <v>674</v>
      </c>
      <c r="C15" s="403" t="s">
        <v>774</v>
      </c>
      <c r="D15" s="402" t="s">
        <v>682</v>
      </c>
      <c r="E15" s="346" t="s">
        <v>683</v>
      </c>
      <c r="F15" s="346" t="str">
        <f t="shared" ref="F15:F78" si="13">LEFT(E15,8)</f>
        <v>07/27/20</v>
      </c>
      <c r="G15" s="362" t="s">
        <v>684</v>
      </c>
      <c r="H15" s="362" t="s">
        <v>685</v>
      </c>
      <c r="I15" s="370"/>
      <c r="J15" s="363">
        <v>24.664563000000001</v>
      </c>
      <c r="K15" s="363">
        <v>40.950802000000003</v>
      </c>
      <c r="L15" s="363">
        <v>29.234024000000002</v>
      </c>
      <c r="M15" s="363">
        <v>29.958921</v>
      </c>
      <c r="N15" s="347">
        <v>4250</v>
      </c>
      <c r="O15" s="347">
        <v>30.36</v>
      </c>
      <c r="P15" s="347">
        <v>0.3201</v>
      </c>
      <c r="Q15" s="347">
        <v>1.9560000000000001E-2</v>
      </c>
      <c r="R15" s="348">
        <v>10.29091539</v>
      </c>
      <c r="S15" s="348">
        <f t="shared" si="0"/>
        <v>20.582622440000002</v>
      </c>
      <c r="T15" s="380">
        <v>75.2</v>
      </c>
      <c r="U15" s="380">
        <v>71</v>
      </c>
      <c r="V15" s="352">
        <v>13134</v>
      </c>
      <c r="W15" s="352">
        <v>15801</v>
      </c>
      <c r="X15" s="352">
        <f t="shared" si="1"/>
        <v>2667</v>
      </c>
      <c r="Y15" s="352">
        <f t="shared" si="2"/>
        <v>259.16061875230321</v>
      </c>
      <c r="Z15" s="372">
        <v>995.03</v>
      </c>
      <c r="AA15" s="352">
        <v>1026.9823100000001</v>
      </c>
      <c r="AB15" s="352">
        <f t="shared" si="3"/>
        <v>31.952310000000125</v>
      </c>
      <c r="AC15" s="371">
        <f t="shared" si="4"/>
        <v>3.1049045482435091</v>
      </c>
      <c r="AD15" s="372">
        <v>-38.65</v>
      </c>
      <c r="AE15" s="352">
        <v>-39.369999999999997</v>
      </c>
      <c r="AF15" s="352">
        <f t="shared" si="5"/>
        <v>-0.71999999999999886</v>
      </c>
      <c r="AG15" s="371">
        <f t="shared" si="6"/>
        <v>-6.9964621485436085E-2</v>
      </c>
      <c r="AH15" s="372">
        <v>0</v>
      </c>
      <c r="AI15" s="352">
        <v>0</v>
      </c>
      <c r="AJ15" s="352">
        <f t="shared" si="7"/>
        <v>0</v>
      </c>
      <c r="AK15" s="371">
        <f t="shared" si="8"/>
        <v>0</v>
      </c>
      <c r="AL15" s="372">
        <v>0</v>
      </c>
      <c r="AM15" s="352">
        <v>0</v>
      </c>
      <c r="AN15" s="352">
        <f t="shared" si="9"/>
        <v>0</v>
      </c>
      <c r="AO15" s="371">
        <f t="shared" si="10"/>
        <v>0</v>
      </c>
      <c r="AP15" s="341">
        <v>75.2</v>
      </c>
      <c r="AQ15" s="341">
        <v>71</v>
      </c>
      <c r="AR15" s="341">
        <f t="shared" si="11"/>
        <v>-4.2000000000000028</v>
      </c>
      <c r="AS15" s="526">
        <v>353</v>
      </c>
      <c r="AT15" s="383">
        <v>354.1</v>
      </c>
      <c r="AU15" s="383">
        <f t="shared" si="12"/>
        <v>1.1000000000000227</v>
      </c>
      <c r="AV15" s="341"/>
      <c r="AW15" s="341"/>
      <c r="AX15" s="341"/>
      <c r="AY15" s="341"/>
      <c r="AZ15" s="362" t="s">
        <v>686</v>
      </c>
      <c r="BA15" s="550">
        <v>1941.2716402900001</v>
      </c>
      <c r="BB15" s="550">
        <v>-0.54052940999999999</v>
      </c>
      <c r="BC15" s="550">
        <v>1299.6738335699999</v>
      </c>
      <c r="BD15" s="550">
        <v>1306.7371321099999</v>
      </c>
      <c r="BE15" s="550">
        <v>8.0480464099999995</v>
      </c>
      <c r="BF15" s="550">
        <v>8.0201008900000001</v>
      </c>
      <c r="BG15" s="550">
        <v>0.33478184</v>
      </c>
      <c r="BH15" s="550">
        <v>10.291018080000001</v>
      </c>
      <c r="BI15" s="550">
        <v>10.25668057</v>
      </c>
      <c r="BJ15" s="550">
        <v>1.361421E-2</v>
      </c>
      <c r="BK15" s="550">
        <v>0.34844349000000002</v>
      </c>
      <c r="BL15" s="550">
        <v>0.28276836999999999</v>
      </c>
      <c r="BM15" s="550"/>
      <c r="BN15" s="550"/>
      <c r="BO15" s="550"/>
      <c r="BP15" s="550"/>
      <c r="BQ15" s="550"/>
      <c r="BR15" s="550"/>
      <c r="BS15" s="550"/>
    </row>
    <row r="16" spans="1:71" s="577" customFormat="1" ht="15" customHeight="1" x14ac:dyDescent="0.2">
      <c r="A16" s="403">
        <v>62007011</v>
      </c>
      <c r="B16" s="403" t="s">
        <v>647</v>
      </c>
      <c r="C16" s="403" t="s">
        <v>773</v>
      </c>
      <c r="D16" s="402" t="s">
        <v>687</v>
      </c>
      <c r="E16" s="346" t="s">
        <v>688</v>
      </c>
      <c r="F16" s="346" t="str">
        <f t="shared" si="13"/>
        <v>07/27/20</v>
      </c>
      <c r="G16" s="362" t="s">
        <v>689</v>
      </c>
      <c r="H16" s="362" t="s">
        <v>690</v>
      </c>
      <c r="I16" s="370"/>
      <c r="J16" s="363">
        <v>21.476144000000001</v>
      </c>
      <c r="K16" s="363">
        <v>48.831038999999997</v>
      </c>
      <c r="L16" s="363">
        <v>29.234528999999998</v>
      </c>
      <c r="M16" s="363">
        <v>28.346620000000001</v>
      </c>
      <c r="N16" s="347">
        <v>4250</v>
      </c>
      <c r="O16" s="347">
        <v>30.36</v>
      </c>
      <c r="P16" s="347">
        <v>0.3201</v>
      </c>
      <c r="Q16" s="347">
        <v>1.9560000000000001E-2</v>
      </c>
      <c r="R16" s="348">
        <v>7.40001116</v>
      </c>
      <c r="S16" s="348">
        <f t="shared" si="0"/>
        <v>17.69092655</v>
      </c>
      <c r="T16" s="380">
        <v>70.3</v>
      </c>
      <c r="U16" s="380">
        <v>67.7</v>
      </c>
      <c r="V16" s="352">
        <v>16247</v>
      </c>
      <c r="W16" s="352">
        <v>17843</v>
      </c>
      <c r="X16" s="352">
        <f t="shared" si="1"/>
        <v>1596</v>
      </c>
      <c r="Y16" s="352">
        <f t="shared" si="2"/>
        <v>215.675350413931</v>
      </c>
      <c r="Z16" s="372">
        <v>1123.371545</v>
      </c>
      <c r="AA16" s="352">
        <v>1181.03</v>
      </c>
      <c r="AB16" s="352">
        <f t="shared" si="3"/>
        <v>57.658455000000004</v>
      </c>
      <c r="AC16" s="371">
        <f t="shared" si="4"/>
        <v>7.7916713574253587</v>
      </c>
      <c r="AD16" s="372">
        <v>-41.32</v>
      </c>
      <c r="AE16" s="352">
        <v>-42.34</v>
      </c>
      <c r="AF16" s="352">
        <f t="shared" si="5"/>
        <v>-1.0200000000000031</v>
      </c>
      <c r="AG16" s="371">
        <f t="shared" si="6"/>
        <v>-0.1378376299637909</v>
      </c>
      <c r="AH16" s="372">
        <v>0</v>
      </c>
      <c r="AI16" s="352">
        <v>0</v>
      </c>
      <c r="AJ16" s="352">
        <f t="shared" si="7"/>
        <v>0</v>
      </c>
      <c r="AK16" s="371">
        <f t="shared" si="8"/>
        <v>0</v>
      </c>
      <c r="AL16" s="372">
        <v>0</v>
      </c>
      <c r="AM16" s="352">
        <v>0.05</v>
      </c>
      <c r="AN16" s="352">
        <f t="shared" si="9"/>
        <v>0.05</v>
      </c>
      <c r="AO16" s="371">
        <f t="shared" si="10"/>
        <v>6.7567465668524748E-3</v>
      </c>
      <c r="AP16" s="341">
        <v>70.3</v>
      </c>
      <c r="AQ16" s="341">
        <v>67.7</v>
      </c>
      <c r="AR16" s="341">
        <f t="shared" si="11"/>
        <v>-2.5999999999999943</v>
      </c>
      <c r="AS16" s="526">
        <v>357.3</v>
      </c>
      <c r="AT16" s="383">
        <v>359.2</v>
      </c>
      <c r="AU16" s="383">
        <f t="shared" si="12"/>
        <v>1.8999999999999773</v>
      </c>
      <c r="AV16" s="341"/>
      <c r="AW16" s="341"/>
      <c r="AX16" s="341"/>
      <c r="AY16" s="341"/>
      <c r="AZ16" s="362" t="s">
        <v>686</v>
      </c>
      <c r="BA16" s="550">
        <v>1819.14149496</v>
      </c>
      <c r="BB16" s="550">
        <v>-1.9733649900000001</v>
      </c>
      <c r="BC16" s="550">
        <v>5357.1516871399999</v>
      </c>
      <c r="BD16" s="550">
        <v>5464.9960049299998</v>
      </c>
      <c r="BE16" s="550">
        <v>6.1394926700000001</v>
      </c>
      <c r="BF16" s="550">
        <v>6.2773213500000002</v>
      </c>
      <c r="BG16" s="550">
        <v>-0.68246918000000001</v>
      </c>
      <c r="BH16" s="550">
        <v>7.3999736199999999</v>
      </c>
      <c r="BI16" s="550">
        <v>7.4508232000000003</v>
      </c>
      <c r="BJ16" s="550">
        <v>-1.54716202</v>
      </c>
      <c r="BK16" s="550">
        <v>-2.1956607799999999</v>
      </c>
      <c r="BL16" s="550">
        <v>0.65006620000000004</v>
      </c>
      <c r="BM16" s="550"/>
      <c r="BN16" s="550"/>
      <c r="BO16" s="550"/>
      <c r="BP16" s="550"/>
      <c r="BQ16" s="550"/>
      <c r="BR16" s="550"/>
      <c r="BS16" s="550"/>
    </row>
    <row r="17" spans="1:71" s="577" customFormat="1" ht="15" customHeight="1" x14ac:dyDescent="0.2">
      <c r="A17" s="403">
        <v>62007011</v>
      </c>
      <c r="B17" s="403" t="s">
        <v>647</v>
      </c>
      <c r="C17" s="403" t="s">
        <v>774</v>
      </c>
      <c r="D17" s="402" t="s">
        <v>687</v>
      </c>
      <c r="E17" s="346" t="s">
        <v>688</v>
      </c>
      <c r="F17" s="346" t="str">
        <f t="shared" si="13"/>
        <v>07/27/20</v>
      </c>
      <c r="G17" s="362" t="s">
        <v>689</v>
      </c>
      <c r="H17" s="362" t="s">
        <v>690</v>
      </c>
      <c r="I17" s="370"/>
      <c r="J17" s="363">
        <v>22.506878</v>
      </c>
      <c r="K17" s="363">
        <v>45.647247</v>
      </c>
      <c r="L17" s="363">
        <v>29.239682999999999</v>
      </c>
      <c r="M17" s="363">
        <v>29.590185000000002</v>
      </c>
      <c r="N17" s="347">
        <v>4250</v>
      </c>
      <c r="O17" s="347">
        <v>30.36</v>
      </c>
      <c r="P17" s="347">
        <v>0.3201</v>
      </c>
      <c r="Q17" s="347">
        <v>1.9560000000000001E-2</v>
      </c>
      <c r="R17" s="348">
        <v>7.4099066899999997</v>
      </c>
      <c r="S17" s="348">
        <f t="shared" si="0"/>
        <v>14.80991785</v>
      </c>
      <c r="T17" s="380">
        <v>67.7</v>
      </c>
      <c r="U17" s="380">
        <v>64.7</v>
      </c>
      <c r="V17" s="352">
        <v>17843</v>
      </c>
      <c r="W17" s="352">
        <v>19765</v>
      </c>
      <c r="X17" s="352">
        <f t="shared" si="1"/>
        <v>1922</v>
      </c>
      <c r="Y17" s="352">
        <f t="shared" si="2"/>
        <v>259.38248353300116</v>
      </c>
      <c r="Z17" s="372">
        <v>1181.04</v>
      </c>
      <c r="AA17" s="352">
        <v>1238.32</v>
      </c>
      <c r="AB17" s="352">
        <f t="shared" si="3"/>
        <v>57.279999999999973</v>
      </c>
      <c r="AC17" s="371">
        <f t="shared" si="4"/>
        <v>7.730191808933558</v>
      </c>
      <c r="AD17" s="372">
        <v>-42.340764</v>
      </c>
      <c r="AE17" s="352">
        <v>-43.32</v>
      </c>
      <c r="AF17" s="352">
        <f t="shared" si="5"/>
        <v>-0.97923600000000022</v>
      </c>
      <c r="AG17" s="371">
        <f t="shared" si="6"/>
        <v>-0.13215227140734753</v>
      </c>
      <c r="AH17" s="372">
        <v>0</v>
      </c>
      <c r="AI17" s="352">
        <v>0</v>
      </c>
      <c r="AJ17" s="352">
        <f t="shared" si="7"/>
        <v>0</v>
      </c>
      <c r="AK17" s="371">
        <f t="shared" si="8"/>
        <v>0</v>
      </c>
      <c r="AL17" s="372">
        <v>0.05</v>
      </c>
      <c r="AM17" s="352">
        <v>0.05</v>
      </c>
      <c r="AN17" s="352">
        <f t="shared" si="9"/>
        <v>0</v>
      </c>
      <c r="AO17" s="371">
        <f t="shared" si="10"/>
        <v>0</v>
      </c>
      <c r="AP17" s="341">
        <v>67.7</v>
      </c>
      <c r="AQ17" s="341">
        <v>64.7</v>
      </c>
      <c r="AR17" s="341">
        <f t="shared" si="11"/>
        <v>-3</v>
      </c>
      <c r="AS17" s="526">
        <v>359.2</v>
      </c>
      <c r="AT17" s="383">
        <v>361.1</v>
      </c>
      <c r="AU17" s="383">
        <f t="shared" si="12"/>
        <v>1.9000000000000341</v>
      </c>
      <c r="AV17" s="341"/>
      <c r="AW17" s="341"/>
      <c r="AX17" s="341"/>
      <c r="AY17" s="341"/>
      <c r="AZ17" s="362" t="s">
        <v>686</v>
      </c>
      <c r="BA17" s="550">
        <v>1792.07039661</v>
      </c>
      <c r="BB17" s="550">
        <v>-0.56889993000000005</v>
      </c>
      <c r="BC17" s="550">
        <v>5433.6439109599996</v>
      </c>
      <c r="BD17" s="550">
        <v>5464.73277186</v>
      </c>
      <c r="BE17" s="550">
        <v>6.1644096800000003</v>
      </c>
      <c r="BF17" s="550">
        <v>6.2769583899999999</v>
      </c>
      <c r="BG17" s="550">
        <v>-0.55029006999999996</v>
      </c>
      <c r="BH17" s="550">
        <v>7.40982027</v>
      </c>
      <c r="BI17" s="550">
        <v>7.4508213999999997</v>
      </c>
      <c r="BJ17" s="550">
        <v>-1.2654453400000001</v>
      </c>
      <c r="BK17" s="550">
        <v>-1.79304541</v>
      </c>
      <c r="BL17" s="550">
        <v>0.65005760999999995</v>
      </c>
      <c r="BM17" s="550"/>
      <c r="BN17" s="550"/>
      <c r="BO17" s="550"/>
      <c r="BP17" s="550"/>
      <c r="BQ17" s="550"/>
      <c r="BR17" s="550"/>
      <c r="BS17" s="550"/>
    </row>
    <row r="18" spans="1:71" s="577" customFormat="1" ht="15" customHeight="1" x14ac:dyDescent="0.2">
      <c r="A18" s="403">
        <v>62007011</v>
      </c>
      <c r="B18" s="403" t="s">
        <v>647</v>
      </c>
      <c r="C18" s="403" t="s">
        <v>776</v>
      </c>
      <c r="D18" s="402" t="s">
        <v>687</v>
      </c>
      <c r="E18" s="346" t="s">
        <v>688</v>
      </c>
      <c r="F18" s="346" t="str">
        <f t="shared" si="13"/>
        <v>07/27/20</v>
      </c>
      <c r="G18" s="362" t="s">
        <v>689</v>
      </c>
      <c r="H18" s="362" t="s">
        <v>690</v>
      </c>
      <c r="I18" s="370"/>
      <c r="J18" s="363" t="s">
        <v>691</v>
      </c>
      <c r="K18" s="363" t="s">
        <v>691</v>
      </c>
      <c r="L18" s="363" t="s">
        <v>691</v>
      </c>
      <c r="M18" s="363" t="s">
        <v>691</v>
      </c>
      <c r="N18" s="347">
        <v>4250</v>
      </c>
      <c r="O18" s="347">
        <v>30.36</v>
      </c>
      <c r="P18" s="347">
        <v>0.3201</v>
      </c>
      <c r="Q18" s="347">
        <v>1.9560000000000001E-2</v>
      </c>
      <c r="R18" s="348" t="s">
        <v>988</v>
      </c>
      <c r="S18" s="348" t="e">
        <f t="shared" si="0"/>
        <v>#VALUE!</v>
      </c>
      <c r="T18" s="380">
        <v>64.7</v>
      </c>
      <c r="U18" s="380">
        <v>70.3</v>
      </c>
      <c r="V18" s="352">
        <v>19765</v>
      </c>
      <c r="W18" s="352">
        <v>16246</v>
      </c>
      <c r="X18" s="352">
        <f t="shared" si="1"/>
        <v>-3519</v>
      </c>
      <c r="Y18" s="352" t="e">
        <f t="shared" si="2"/>
        <v>#VALUE!</v>
      </c>
      <c r="Z18" s="372">
        <v>1238.32</v>
      </c>
      <c r="AA18" s="352">
        <v>1122.46</v>
      </c>
      <c r="AB18" s="352">
        <f t="shared" si="3"/>
        <v>-115.8599999999999</v>
      </c>
      <c r="AC18" s="371" t="e">
        <f t="shared" si="4"/>
        <v>#VALUE!</v>
      </c>
      <c r="AD18" s="372">
        <v>-43.32</v>
      </c>
      <c r="AE18" s="352">
        <v>-41.3</v>
      </c>
      <c r="AF18" s="352">
        <f t="shared" si="5"/>
        <v>2.0200000000000031</v>
      </c>
      <c r="AG18" s="371" t="e">
        <f t="shared" si="6"/>
        <v>#VALUE!</v>
      </c>
      <c r="AH18" s="372">
        <v>0</v>
      </c>
      <c r="AI18" s="352">
        <v>0</v>
      </c>
      <c r="AJ18" s="352">
        <f t="shared" si="7"/>
        <v>0</v>
      </c>
      <c r="AK18" s="371" t="e">
        <f t="shared" si="8"/>
        <v>#VALUE!</v>
      </c>
      <c r="AL18" s="372">
        <v>0.05</v>
      </c>
      <c r="AM18" s="352">
        <v>0</v>
      </c>
      <c r="AN18" s="352">
        <f t="shared" si="9"/>
        <v>-0.05</v>
      </c>
      <c r="AO18" s="371" t="e">
        <f t="shared" si="10"/>
        <v>#VALUE!</v>
      </c>
      <c r="AP18" s="341">
        <v>64.7</v>
      </c>
      <c r="AQ18" s="341">
        <v>70.3</v>
      </c>
      <c r="AR18" s="341">
        <f t="shared" si="11"/>
        <v>5.5999999999999943</v>
      </c>
      <c r="AS18" s="526">
        <v>361.1</v>
      </c>
      <c r="AT18" s="383">
        <v>357.3</v>
      </c>
      <c r="AU18" s="383">
        <f t="shared" si="12"/>
        <v>-3.8000000000000114</v>
      </c>
      <c r="AV18" s="341"/>
      <c r="AW18" s="341"/>
      <c r="AX18" s="341"/>
      <c r="AY18" s="341"/>
      <c r="AZ18" s="362" t="s">
        <v>686</v>
      </c>
      <c r="BA18" s="550"/>
      <c r="BB18" s="550"/>
      <c r="BC18" s="550"/>
      <c r="BD18" s="550"/>
      <c r="BE18" s="550"/>
      <c r="BF18" s="550"/>
      <c r="BG18" s="550"/>
      <c r="BH18" s="550"/>
      <c r="BI18" s="550"/>
      <c r="BJ18" s="550"/>
      <c r="BK18" s="550"/>
      <c r="BL18" s="550"/>
      <c r="BM18" s="550"/>
      <c r="BN18" s="550"/>
      <c r="BO18" s="550"/>
      <c r="BP18" s="550"/>
      <c r="BQ18" s="550"/>
      <c r="BR18" s="550"/>
      <c r="BS18" s="550"/>
    </row>
    <row r="19" spans="1:71" s="577" customFormat="1" ht="15" customHeight="1" x14ac:dyDescent="0.2">
      <c r="A19" s="403">
        <v>62007012</v>
      </c>
      <c r="B19" s="403" t="s">
        <v>646</v>
      </c>
      <c r="C19" s="403" t="s">
        <v>773</v>
      </c>
      <c r="D19" s="402" t="s">
        <v>692</v>
      </c>
      <c r="E19" s="346" t="s">
        <v>693</v>
      </c>
      <c r="F19" s="346" t="str">
        <f t="shared" si="13"/>
        <v>07/29/20</v>
      </c>
      <c r="G19" s="362" t="s">
        <v>694</v>
      </c>
      <c r="H19" s="362" t="s">
        <v>695</v>
      </c>
      <c r="I19" s="370"/>
      <c r="J19" s="363">
        <v>25.575984999999999</v>
      </c>
      <c r="K19" s="363">
        <v>37.892060000000001</v>
      </c>
      <c r="L19" s="363">
        <v>29.254916999999999</v>
      </c>
      <c r="M19" s="363">
        <v>27.570754999999998</v>
      </c>
      <c r="N19" s="347">
        <v>4250</v>
      </c>
      <c r="O19" s="347">
        <v>30.36</v>
      </c>
      <c r="P19" s="347">
        <v>0.3201</v>
      </c>
      <c r="Q19" s="347">
        <v>1.9560000000000001E-2</v>
      </c>
      <c r="R19" s="348">
        <v>10.31195419</v>
      </c>
      <c r="S19" s="348" t="e">
        <f t="shared" si="0"/>
        <v>#VALUE!</v>
      </c>
      <c r="T19" s="380">
        <v>61.7</v>
      </c>
      <c r="U19" s="380">
        <v>57.8</v>
      </c>
      <c r="V19" s="352">
        <v>21977</v>
      </c>
      <c r="W19" s="352">
        <v>24509</v>
      </c>
      <c r="X19" s="352">
        <f t="shared" si="1"/>
        <v>2532</v>
      </c>
      <c r="Y19" s="352">
        <f t="shared" si="2"/>
        <v>245.54026844450132</v>
      </c>
      <c r="Z19" s="372">
        <v>3119.6959489999999</v>
      </c>
      <c r="AA19" s="352">
        <v>3152.58</v>
      </c>
      <c r="AB19" s="352">
        <f t="shared" si="3"/>
        <v>32.884050999999999</v>
      </c>
      <c r="AC19" s="371">
        <f t="shared" si="4"/>
        <v>3.1889252409489224</v>
      </c>
      <c r="AD19" s="372">
        <v>-75.930000000000007</v>
      </c>
      <c r="AE19" s="352">
        <v>-76.94</v>
      </c>
      <c r="AF19" s="352">
        <f t="shared" si="5"/>
        <v>-1.0099999999999909</v>
      </c>
      <c r="AG19" s="371">
        <f t="shared" si="6"/>
        <v>-9.7944577855033216E-2</v>
      </c>
      <c r="AH19" s="372">
        <v>0</v>
      </c>
      <c r="AI19" s="352">
        <v>0</v>
      </c>
      <c r="AJ19" s="352">
        <f t="shared" si="7"/>
        <v>0</v>
      </c>
      <c r="AK19" s="371">
        <f t="shared" si="8"/>
        <v>0</v>
      </c>
      <c r="AL19" s="372">
        <v>0.05</v>
      </c>
      <c r="AM19" s="352">
        <v>0.05</v>
      </c>
      <c r="AN19" s="352">
        <f t="shared" si="9"/>
        <v>0</v>
      </c>
      <c r="AO19" s="371">
        <f t="shared" si="10"/>
        <v>0</v>
      </c>
      <c r="AP19" s="341">
        <v>61.7</v>
      </c>
      <c r="AQ19" s="341">
        <v>57.8</v>
      </c>
      <c r="AR19" s="341">
        <f t="shared" si="11"/>
        <v>-3.9000000000000057</v>
      </c>
      <c r="AS19" s="526">
        <v>584.9</v>
      </c>
      <c r="AT19" s="383">
        <v>586</v>
      </c>
      <c r="AU19" s="383">
        <f t="shared" si="12"/>
        <v>1.1000000000000227</v>
      </c>
      <c r="AV19" s="341"/>
      <c r="AW19" s="341"/>
      <c r="AX19" s="341"/>
      <c r="AY19" s="341"/>
      <c r="AZ19" s="362" t="s">
        <v>686</v>
      </c>
      <c r="BA19" s="550">
        <v>1945.50156681</v>
      </c>
      <c r="BB19" s="550">
        <v>-0.48108021000000001</v>
      </c>
      <c r="BC19" s="550">
        <v>1300.5137817499999</v>
      </c>
      <c r="BD19" s="550">
        <v>1306.80054051</v>
      </c>
      <c r="BE19" s="550">
        <v>8.0792501600000008</v>
      </c>
      <c r="BF19" s="550">
        <v>8.0202601300000005</v>
      </c>
      <c r="BG19" s="550">
        <v>0.53969312999999997</v>
      </c>
      <c r="BH19" s="550">
        <v>10.31203522</v>
      </c>
      <c r="BI19" s="550">
        <v>10.256680619999999</v>
      </c>
      <c r="BJ19" s="550">
        <v>0.19438981999999999</v>
      </c>
      <c r="BK19" s="550">
        <v>0.73551270999999996</v>
      </c>
      <c r="BL19" s="550">
        <v>0.28277848999999999</v>
      </c>
      <c r="BM19" s="550"/>
      <c r="BN19" s="550"/>
      <c r="BO19" s="550"/>
      <c r="BP19" s="550"/>
      <c r="BQ19" s="550"/>
      <c r="BR19" s="550"/>
      <c r="BS19" s="550"/>
    </row>
    <row r="20" spans="1:71" s="577" customFormat="1" ht="15" customHeight="1" x14ac:dyDescent="0.2">
      <c r="A20" s="403">
        <v>62007012</v>
      </c>
      <c r="B20" s="403" t="s">
        <v>646</v>
      </c>
      <c r="C20" s="403" t="s">
        <v>774</v>
      </c>
      <c r="D20" s="402" t="s">
        <v>692</v>
      </c>
      <c r="E20" s="346" t="s">
        <v>693</v>
      </c>
      <c r="F20" s="346" t="str">
        <f t="shared" si="13"/>
        <v>07/29/20</v>
      </c>
      <c r="G20" s="362" t="s">
        <v>694</v>
      </c>
      <c r="H20" s="362" t="s">
        <v>695</v>
      </c>
      <c r="I20" s="370"/>
      <c r="J20" s="363">
        <v>24.951632</v>
      </c>
      <c r="K20" s="363">
        <v>39.212017000000003</v>
      </c>
      <c r="L20" s="363">
        <v>29.248663000000001</v>
      </c>
      <c r="M20" s="363">
        <v>29.838415000000001</v>
      </c>
      <c r="N20" s="347">
        <v>4250</v>
      </c>
      <c r="O20" s="347">
        <v>30.36</v>
      </c>
      <c r="P20" s="347">
        <v>0.3201</v>
      </c>
      <c r="Q20" s="347">
        <v>1.9560000000000001E-2</v>
      </c>
      <c r="R20" s="348">
        <v>10.31278618</v>
      </c>
      <c r="S20" s="348">
        <f t="shared" si="0"/>
        <v>20.624740369999998</v>
      </c>
      <c r="T20" s="380">
        <v>57.8</v>
      </c>
      <c r="U20" s="380">
        <v>53.9</v>
      </c>
      <c r="V20" s="352">
        <v>24510</v>
      </c>
      <c r="W20" s="352">
        <v>26918</v>
      </c>
      <c r="X20" s="352">
        <f t="shared" si="1"/>
        <v>2408</v>
      </c>
      <c r="Y20" s="352">
        <f t="shared" si="2"/>
        <v>233.49655058978445</v>
      </c>
      <c r="Z20" s="372">
        <v>3153.2</v>
      </c>
      <c r="AA20" s="352">
        <v>3185.28</v>
      </c>
      <c r="AB20" s="352">
        <f t="shared" si="3"/>
        <v>32.080000000000382</v>
      </c>
      <c r="AC20" s="371">
        <f t="shared" si="4"/>
        <v>3.1107015543689265</v>
      </c>
      <c r="AD20" s="372">
        <v>-76.959999999999994</v>
      </c>
      <c r="AE20" s="352">
        <v>-77.61</v>
      </c>
      <c r="AF20" s="352">
        <f t="shared" si="5"/>
        <v>-0.65000000000000568</v>
      </c>
      <c r="AG20" s="371">
        <f t="shared" si="6"/>
        <v>-6.3028553938272933E-2</v>
      </c>
      <c r="AH20" s="372">
        <v>0</v>
      </c>
      <c r="AI20" s="352">
        <v>0</v>
      </c>
      <c r="AJ20" s="352">
        <f t="shared" si="7"/>
        <v>0</v>
      </c>
      <c r="AK20" s="371">
        <f t="shared" si="8"/>
        <v>0</v>
      </c>
      <c r="AL20" s="372">
        <v>0.05</v>
      </c>
      <c r="AM20" s="352">
        <v>0.05</v>
      </c>
      <c r="AN20" s="352">
        <f t="shared" si="9"/>
        <v>0</v>
      </c>
      <c r="AO20" s="371">
        <f t="shared" si="10"/>
        <v>0</v>
      </c>
      <c r="AP20" s="341">
        <v>57.8</v>
      </c>
      <c r="AQ20" s="341">
        <v>53.9</v>
      </c>
      <c r="AR20" s="341">
        <f t="shared" si="11"/>
        <v>-3.8999999999999986</v>
      </c>
      <c r="AS20" s="526">
        <v>586</v>
      </c>
      <c r="AT20" s="383">
        <v>587</v>
      </c>
      <c r="AU20" s="383">
        <f t="shared" si="12"/>
        <v>1</v>
      </c>
      <c r="AV20" s="341"/>
      <c r="AW20" s="341"/>
      <c r="AX20" s="341"/>
      <c r="AY20" s="341"/>
      <c r="AZ20" s="362" t="s">
        <v>686</v>
      </c>
      <c r="BA20" s="550">
        <v>1941.6370213800001</v>
      </c>
      <c r="BB20" s="550">
        <v>-0.38328056999999999</v>
      </c>
      <c r="BC20" s="550">
        <v>1301.7520557400001</v>
      </c>
      <c r="BD20" s="550">
        <v>1306.76061531</v>
      </c>
      <c r="BE20" s="550">
        <v>8.0847933300000001</v>
      </c>
      <c r="BF20" s="550">
        <v>8.0201560300000008</v>
      </c>
      <c r="BG20" s="550">
        <v>0.54784748000000005</v>
      </c>
      <c r="BH20" s="550">
        <v>10.312871510000001</v>
      </c>
      <c r="BI20" s="550">
        <v>10.25668054</v>
      </c>
      <c r="BJ20" s="550">
        <v>0.25602481999999999</v>
      </c>
      <c r="BK20" s="550">
        <v>0.80593568999999998</v>
      </c>
      <c r="BL20" s="550">
        <v>0.28277233000000002</v>
      </c>
      <c r="BM20" s="550"/>
      <c r="BN20" s="550"/>
      <c r="BO20" s="550"/>
      <c r="BP20" s="550"/>
      <c r="BQ20" s="550"/>
      <c r="BR20" s="550"/>
      <c r="BS20" s="550"/>
    </row>
    <row r="21" spans="1:71" s="577" customFormat="1" ht="15" customHeight="1" x14ac:dyDescent="0.2">
      <c r="A21" s="403">
        <v>62007012</v>
      </c>
      <c r="B21" s="403" t="s">
        <v>646</v>
      </c>
      <c r="C21" s="403" t="s">
        <v>776</v>
      </c>
      <c r="D21" s="402" t="s">
        <v>692</v>
      </c>
      <c r="E21" s="346" t="s">
        <v>693</v>
      </c>
      <c r="F21" s="346" t="str">
        <f t="shared" si="13"/>
        <v>07/29/20</v>
      </c>
      <c r="G21" s="362" t="s">
        <v>694</v>
      </c>
      <c r="H21" s="362" t="s">
        <v>695</v>
      </c>
      <c r="I21" s="370"/>
      <c r="J21" s="363">
        <v>24.741537000000001</v>
      </c>
      <c r="K21" s="363">
        <v>39.612512000000002</v>
      </c>
      <c r="L21" s="363">
        <v>29.244717000000001</v>
      </c>
      <c r="M21" s="363">
        <v>29.912095000000001</v>
      </c>
      <c r="N21" s="347">
        <v>4250</v>
      </c>
      <c r="O21" s="347">
        <v>30.36</v>
      </c>
      <c r="P21" s="347">
        <v>0.3201</v>
      </c>
      <c r="Q21" s="347">
        <v>1.9560000000000001E-2</v>
      </c>
      <c r="R21" s="348">
        <v>10.323624560000001</v>
      </c>
      <c r="S21" s="348">
        <f t="shared" si="0"/>
        <v>20.636410740000002</v>
      </c>
      <c r="T21" s="380">
        <v>53.9</v>
      </c>
      <c r="U21" s="380">
        <v>49.9</v>
      </c>
      <c r="V21" s="352">
        <v>26919</v>
      </c>
      <c r="W21" s="352">
        <v>29318</v>
      </c>
      <c r="X21" s="352">
        <f t="shared" si="1"/>
        <v>2399</v>
      </c>
      <c r="Y21" s="352">
        <f t="shared" si="2"/>
        <v>232.37962462284659</v>
      </c>
      <c r="Z21" s="372">
        <v>3185.91</v>
      </c>
      <c r="AA21" s="352">
        <v>3217.86474</v>
      </c>
      <c r="AB21" s="352">
        <f t="shared" si="3"/>
        <v>31.954740000000129</v>
      </c>
      <c r="AC21" s="371">
        <f t="shared" si="4"/>
        <v>3.0953024118885746</v>
      </c>
      <c r="AD21" s="372">
        <v>-77.62</v>
      </c>
      <c r="AE21" s="352">
        <v>-78.17</v>
      </c>
      <c r="AF21" s="352">
        <f t="shared" si="5"/>
        <v>-0.54999999999999716</v>
      </c>
      <c r="AG21" s="371">
        <f t="shared" si="6"/>
        <v>-5.3275862252007075E-2</v>
      </c>
      <c r="AH21" s="372">
        <v>0</v>
      </c>
      <c r="AI21" s="352">
        <v>0</v>
      </c>
      <c r="AJ21" s="352">
        <f t="shared" si="7"/>
        <v>0</v>
      </c>
      <c r="AK21" s="371">
        <f t="shared" si="8"/>
        <v>0</v>
      </c>
      <c r="AL21" s="372">
        <v>0.05</v>
      </c>
      <c r="AM21" s="352">
        <v>0.05</v>
      </c>
      <c r="AN21" s="352">
        <f t="shared" si="9"/>
        <v>0</v>
      </c>
      <c r="AO21" s="371">
        <f t="shared" si="10"/>
        <v>0</v>
      </c>
      <c r="AP21" s="341">
        <v>53.9</v>
      </c>
      <c r="AQ21" s="341">
        <v>49.9</v>
      </c>
      <c r="AR21" s="341">
        <f t="shared" si="11"/>
        <v>-4</v>
      </c>
      <c r="AS21" s="526">
        <v>587.1</v>
      </c>
      <c r="AT21" s="383">
        <v>588.1</v>
      </c>
      <c r="AU21" s="383">
        <f t="shared" si="12"/>
        <v>1</v>
      </c>
      <c r="AV21" s="341"/>
      <c r="AW21" s="341"/>
      <c r="AX21" s="341"/>
      <c r="AY21" s="341"/>
      <c r="AZ21" s="362" t="s">
        <v>686</v>
      </c>
      <c r="BA21" s="550">
        <v>1976.30780185</v>
      </c>
      <c r="BB21" s="550">
        <v>-0.34343677</v>
      </c>
      <c r="BC21" s="550">
        <v>1302.2434780799999</v>
      </c>
      <c r="BD21" s="550">
        <v>1306.7312737499999</v>
      </c>
      <c r="BE21" s="550">
        <v>8.0894034399999999</v>
      </c>
      <c r="BF21" s="550">
        <v>8.0237867000000005</v>
      </c>
      <c r="BG21" s="550">
        <v>0.54449223000000002</v>
      </c>
      <c r="BH21" s="550">
        <v>10.3237185</v>
      </c>
      <c r="BI21" s="550">
        <v>10.26781107</v>
      </c>
      <c r="BJ21" s="550">
        <v>0.27106878000000001</v>
      </c>
      <c r="BK21" s="550">
        <v>0.81777774999999997</v>
      </c>
      <c r="BL21" s="550">
        <v>0.28263721000000003</v>
      </c>
      <c r="BM21" s="550"/>
      <c r="BN21" s="550"/>
      <c r="BO21" s="550"/>
      <c r="BP21" s="550"/>
      <c r="BQ21" s="550"/>
      <c r="BR21" s="550"/>
      <c r="BS21" s="550"/>
    </row>
    <row r="22" spans="1:71" s="577" customFormat="1" ht="15" customHeight="1" x14ac:dyDescent="0.2">
      <c r="A22" s="403">
        <v>62007013</v>
      </c>
      <c r="B22" s="403" t="s">
        <v>675</v>
      </c>
      <c r="C22" s="403" t="s">
        <v>773</v>
      </c>
      <c r="D22" s="402" t="s">
        <v>698</v>
      </c>
      <c r="E22" s="346" t="s">
        <v>699</v>
      </c>
      <c r="F22" s="346" t="str">
        <f t="shared" si="13"/>
        <v>07/29/20</v>
      </c>
      <c r="G22" s="362" t="s">
        <v>700</v>
      </c>
      <c r="H22" s="362" t="s">
        <v>701</v>
      </c>
      <c r="I22" s="370"/>
      <c r="J22" s="363">
        <v>21.648461000000001</v>
      </c>
      <c r="K22" s="363">
        <v>48.378940999999998</v>
      </c>
      <c r="L22" s="363">
        <v>29.227235</v>
      </c>
      <c r="M22" s="363">
        <v>28.107178999999999</v>
      </c>
      <c r="N22" s="347">
        <v>4250</v>
      </c>
      <c r="O22" s="347">
        <v>30.36</v>
      </c>
      <c r="P22" s="347">
        <v>0.3201</v>
      </c>
      <c r="Q22" s="347">
        <v>1.9560000000000001E-2</v>
      </c>
      <c r="R22" s="348">
        <v>7.4951755999999996</v>
      </c>
      <c r="S22" s="348">
        <f t="shared" si="0"/>
        <v>17.818800160000002</v>
      </c>
      <c r="T22" s="380">
        <v>49.8</v>
      </c>
      <c r="U22" s="380">
        <v>46.9</v>
      </c>
      <c r="V22" s="352">
        <v>29336</v>
      </c>
      <c r="W22" s="352">
        <v>30808</v>
      </c>
      <c r="X22" s="352">
        <f t="shared" si="1"/>
        <v>1472</v>
      </c>
      <c r="Y22" s="352">
        <f t="shared" si="2"/>
        <v>196.39299711670532</v>
      </c>
      <c r="Z22" s="372">
        <v>3235.3475979999998</v>
      </c>
      <c r="AA22" s="352">
        <v>3328.6033929999999</v>
      </c>
      <c r="AB22" s="352">
        <f t="shared" si="3"/>
        <v>93.255795000000035</v>
      </c>
      <c r="AC22" s="371">
        <f t="shared" si="4"/>
        <v>12.442109428363498</v>
      </c>
      <c r="AD22" s="372">
        <v>-45.453798999999997</v>
      </c>
      <c r="AE22" s="352">
        <v>-78.78</v>
      </c>
      <c r="AF22" s="352">
        <f t="shared" si="5"/>
        <v>-33.326201000000005</v>
      </c>
      <c r="AG22" s="371">
        <f t="shared" si="6"/>
        <v>-4.4463535984400426</v>
      </c>
      <c r="AH22" s="372">
        <v>0</v>
      </c>
      <c r="AI22" s="352">
        <v>0</v>
      </c>
      <c r="AJ22" s="352">
        <f t="shared" si="7"/>
        <v>0</v>
      </c>
      <c r="AK22" s="371">
        <f t="shared" si="8"/>
        <v>0</v>
      </c>
      <c r="AL22" s="372">
        <v>0.1</v>
      </c>
      <c r="AM22" s="352">
        <v>0.1</v>
      </c>
      <c r="AN22" s="352">
        <f t="shared" si="9"/>
        <v>0</v>
      </c>
      <c r="AO22" s="371">
        <f t="shared" si="10"/>
        <v>0</v>
      </c>
      <c r="AP22" s="341">
        <v>49.8</v>
      </c>
      <c r="AQ22" s="341">
        <v>46.9</v>
      </c>
      <c r="AR22" s="341">
        <f t="shared" si="11"/>
        <v>-2.8999999999999986</v>
      </c>
      <c r="AS22" s="526">
        <v>591.1</v>
      </c>
      <c r="AT22" s="383">
        <v>593</v>
      </c>
      <c r="AU22" s="383">
        <f t="shared" si="12"/>
        <v>1.8999999999999773</v>
      </c>
      <c r="AV22" s="341"/>
      <c r="AW22" s="341"/>
      <c r="AX22" s="341"/>
      <c r="AY22" s="341"/>
      <c r="AZ22" s="362" t="s">
        <v>686</v>
      </c>
      <c r="BA22" s="550">
        <v>1818.9806699200001</v>
      </c>
      <c r="BB22" s="550">
        <v>-0.51762026000000005</v>
      </c>
      <c r="BC22" s="550">
        <v>5436.6895144299997</v>
      </c>
      <c r="BD22" s="550">
        <v>5464.9773443499998</v>
      </c>
      <c r="BE22" s="550">
        <v>6.2576656699999997</v>
      </c>
      <c r="BF22" s="550">
        <v>6.27730633</v>
      </c>
      <c r="BG22" s="550">
        <v>0.59471759000000002</v>
      </c>
      <c r="BH22" s="550">
        <v>7.4951345800000002</v>
      </c>
      <c r="BI22" s="550">
        <v>7.4508232300000001</v>
      </c>
      <c r="BJ22" s="550">
        <v>-0.91044974999999995</v>
      </c>
      <c r="BK22" s="550">
        <v>-0.31288350999999998</v>
      </c>
      <c r="BL22" s="550">
        <v>0.65006507000000002</v>
      </c>
      <c r="BM22" s="550"/>
      <c r="BN22" s="550"/>
      <c r="BO22" s="550"/>
      <c r="BP22" s="550"/>
      <c r="BQ22" s="550"/>
      <c r="BR22" s="550"/>
      <c r="BS22" s="550"/>
    </row>
    <row r="23" spans="1:71" s="577" customFormat="1" ht="15" customHeight="1" x14ac:dyDescent="0.2">
      <c r="A23" s="403">
        <v>62007013</v>
      </c>
      <c r="B23" s="403" t="s">
        <v>675</v>
      </c>
      <c r="C23" s="403" t="s">
        <v>774</v>
      </c>
      <c r="D23" s="402" t="s">
        <v>698</v>
      </c>
      <c r="E23" s="346" t="s">
        <v>699</v>
      </c>
      <c r="F23" s="346" t="str">
        <f t="shared" si="13"/>
        <v>07/29/20</v>
      </c>
      <c r="G23" s="362" t="s">
        <v>700</v>
      </c>
      <c r="H23" s="362" t="s">
        <v>701</v>
      </c>
      <c r="I23" s="370"/>
      <c r="J23" s="363">
        <v>21.059744999999999</v>
      </c>
      <c r="K23" s="363">
        <v>49.595573999999999</v>
      </c>
      <c r="L23" s="363">
        <v>29.226804000000001</v>
      </c>
      <c r="M23" s="363">
        <v>28.452171</v>
      </c>
      <c r="N23" s="347">
        <v>4250</v>
      </c>
      <c r="O23" s="347">
        <v>30.36</v>
      </c>
      <c r="P23" s="347">
        <v>0.3201</v>
      </c>
      <c r="Q23" s="347">
        <v>1.9560000000000001E-2</v>
      </c>
      <c r="R23" s="348">
        <v>9.9999999999999995E-8</v>
      </c>
      <c r="S23" s="348">
        <f t="shared" si="0"/>
        <v>7.4951756999999999</v>
      </c>
      <c r="T23" s="380">
        <v>46.9</v>
      </c>
      <c r="U23" s="380">
        <v>46.9</v>
      </c>
      <c r="V23" s="352">
        <v>30808</v>
      </c>
      <c r="W23" s="352">
        <v>30809</v>
      </c>
      <c r="X23" s="352">
        <f t="shared" si="1"/>
        <v>1</v>
      </c>
      <c r="Y23" s="352">
        <f t="shared" si="2"/>
        <v>10000000</v>
      </c>
      <c r="Z23" s="372">
        <v>3328.61</v>
      </c>
      <c r="AA23" s="352">
        <v>3328.69</v>
      </c>
      <c r="AB23" s="352">
        <f t="shared" si="3"/>
        <v>7.999999999992724E-2</v>
      </c>
      <c r="AC23" s="371">
        <f t="shared" si="4"/>
        <v>799999.9999992724</v>
      </c>
      <c r="AD23" s="372">
        <v>-78.78</v>
      </c>
      <c r="AE23" s="352">
        <v>-78.790000000000006</v>
      </c>
      <c r="AF23" s="352">
        <f t="shared" si="5"/>
        <v>-1.0000000000005116E-2</v>
      </c>
      <c r="AG23" s="371">
        <f t="shared" si="6"/>
        <v>-100000.00000005116</v>
      </c>
      <c r="AH23" s="372">
        <v>0</v>
      </c>
      <c r="AI23" s="352">
        <v>0</v>
      </c>
      <c r="AJ23" s="352">
        <f t="shared" si="7"/>
        <v>0</v>
      </c>
      <c r="AK23" s="371">
        <f t="shared" si="8"/>
        <v>0</v>
      </c>
      <c r="AL23" s="372">
        <v>0.1</v>
      </c>
      <c r="AM23" s="352">
        <v>0.1</v>
      </c>
      <c r="AN23" s="352">
        <f t="shared" si="9"/>
        <v>0</v>
      </c>
      <c r="AO23" s="371">
        <f t="shared" si="10"/>
        <v>0</v>
      </c>
      <c r="AP23" s="341">
        <v>46.9</v>
      </c>
      <c r="AQ23" s="341">
        <v>46.9</v>
      </c>
      <c r="AR23" s="341">
        <f t="shared" si="11"/>
        <v>0</v>
      </c>
      <c r="AS23" s="526">
        <v>593</v>
      </c>
      <c r="AT23" s="383">
        <v>593</v>
      </c>
      <c r="AU23" s="383">
        <f t="shared" si="12"/>
        <v>0</v>
      </c>
      <c r="AV23" s="341"/>
      <c r="AW23" s="341"/>
      <c r="AX23" s="341"/>
      <c r="AY23" s="341"/>
      <c r="AZ23" s="362" t="s">
        <v>686</v>
      </c>
      <c r="BA23" s="550">
        <v>0</v>
      </c>
      <c r="BB23" s="550" t="s">
        <v>691</v>
      </c>
      <c r="BC23" s="550">
        <v>0</v>
      </c>
      <c r="BD23" s="550">
        <v>0</v>
      </c>
      <c r="BE23" s="550">
        <v>0</v>
      </c>
      <c r="BF23" s="550">
        <v>0</v>
      </c>
      <c r="BG23" s="550" t="s">
        <v>691</v>
      </c>
      <c r="BH23" s="550">
        <v>0</v>
      </c>
      <c r="BI23" s="550">
        <v>0</v>
      </c>
      <c r="BJ23" s="550" t="s">
        <v>691</v>
      </c>
      <c r="BK23" s="550" t="s">
        <v>691</v>
      </c>
      <c r="BL23" s="550" t="s">
        <v>691</v>
      </c>
      <c r="BM23" s="550"/>
      <c r="BN23" s="550"/>
      <c r="BO23" s="550"/>
      <c r="BP23" s="550"/>
      <c r="BQ23" s="550"/>
      <c r="BR23" s="550"/>
      <c r="BS23" s="550"/>
    </row>
    <row r="24" spans="1:71" s="577" customFormat="1" ht="15" customHeight="1" x14ac:dyDescent="0.2">
      <c r="A24" s="403">
        <v>62007013</v>
      </c>
      <c r="B24" s="403" t="s">
        <v>675</v>
      </c>
      <c r="C24" s="403" t="s">
        <v>776</v>
      </c>
      <c r="D24" s="402" t="s">
        <v>698</v>
      </c>
      <c r="E24" s="346" t="s">
        <v>699</v>
      </c>
      <c r="F24" s="346" t="str">
        <f t="shared" si="13"/>
        <v>07/29/20</v>
      </c>
      <c r="G24" s="362" t="s">
        <v>700</v>
      </c>
      <c r="H24" s="362" t="s">
        <v>701</v>
      </c>
      <c r="I24" s="370"/>
      <c r="J24" s="363" t="s">
        <v>691</v>
      </c>
      <c r="K24" s="363" t="s">
        <v>691</v>
      </c>
      <c r="L24" s="363" t="s">
        <v>691</v>
      </c>
      <c r="M24" s="363" t="s">
        <v>691</v>
      </c>
      <c r="N24" s="347">
        <v>4250</v>
      </c>
      <c r="O24" s="347">
        <v>30.36</v>
      </c>
      <c r="P24" s="347">
        <v>0.3201</v>
      </c>
      <c r="Q24" s="347">
        <v>1.9560000000000001E-2</v>
      </c>
      <c r="R24" s="348" t="s">
        <v>988</v>
      </c>
      <c r="S24" s="348" t="e">
        <f t="shared" si="0"/>
        <v>#VALUE!</v>
      </c>
      <c r="T24" s="380">
        <v>46.9</v>
      </c>
      <c r="U24" s="380">
        <v>49.8</v>
      </c>
      <c r="V24" s="352">
        <v>30809</v>
      </c>
      <c r="W24" s="352">
        <v>29333</v>
      </c>
      <c r="X24" s="352">
        <f t="shared" si="1"/>
        <v>-1476</v>
      </c>
      <c r="Y24" s="352" t="e">
        <f t="shared" si="2"/>
        <v>#VALUE!</v>
      </c>
      <c r="Z24" s="372">
        <v>3328.69</v>
      </c>
      <c r="AA24" s="352">
        <v>3232.388191</v>
      </c>
      <c r="AB24" s="352">
        <f t="shared" si="3"/>
        <v>-96.301809000000048</v>
      </c>
      <c r="AC24" s="371" t="e">
        <f t="shared" si="4"/>
        <v>#VALUE!</v>
      </c>
      <c r="AD24" s="372">
        <v>-78.790000000000006</v>
      </c>
      <c r="AE24" s="352">
        <v>-43.474094999999998</v>
      </c>
      <c r="AF24" s="352">
        <f t="shared" si="5"/>
        <v>35.315905000000008</v>
      </c>
      <c r="AG24" s="371" t="e">
        <f t="shared" si="6"/>
        <v>#VALUE!</v>
      </c>
      <c r="AH24" s="372">
        <v>0</v>
      </c>
      <c r="AI24" s="352">
        <v>0</v>
      </c>
      <c r="AJ24" s="352">
        <f t="shared" si="7"/>
        <v>0</v>
      </c>
      <c r="AK24" s="371" t="e">
        <f t="shared" si="8"/>
        <v>#VALUE!</v>
      </c>
      <c r="AL24" s="372">
        <v>0.1</v>
      </c>
      <c r="AM24" s="352">
        <v>0.1</v>
      </c>
      <c r="AN24" s="352">
        <f t="shared" si="9"/>
        <v>0</v>
      </c>
      <c r="AO24" s="371" t="e">
        <f t="shared" si="10"/>
        <v>#VALUE!</v>
      </c>
      <c r="AP24" s="341">
        <v>46.9</v>
      </c>
      <c r="AQ24" s="341">
        <v>49.8</v>
      </c>
      <c r="AR24" s="341">
        <f t="shared" si="11"/>
        <v>2.8999999999999986</v>
      </c>
      <c r="AS24" s="526">
        <v>593</v>
      </c>
      <c r="AT24" s="383">
        <v>591.1</v>
      </c>
      <c r="AU24" s="383">
        <f t="shared" si="12"/>
        <v>-1.8999999999999773</v>
      </c>
      <c r="AV24" s="341"/>
      <c r="AW24" s="341"/>
      <c r="AX24" s="341"/>
      <c r="AY24" s="341"/>
      <c r="AZ24" s="362" t="s">
        <v>686</v>
      </c>
      <c r="BA24" s="550"/>
      <c r="BB24" s="550"/>
      <c r="BC24" s="550"/>
      <c r="BD24" s="550"/>
      <c r="BE24" s="550"/>
      <c r="BF24" s="550"/>
      <c r="BG24" s="550"/>
      <c r="BH24" s="550"/>
      <c r="BI24" s="550"/>
      <c r="BJ24" s="550"/>
      <c r="BK24" s="550"/>
      <c r="BL24" s="550"/>
      <c r="BM24" s="550"/>
      <c r="BN24" s="550"/>
      <c r="BO24" s="550"/>
      <c r="BP24" s="550"/>
      <c r="BQ24" s="550"/>
      <c r="BR24" s="550"/>
      <c r="BS24" s="550"/>
    </row>
    <row r="25" spans="1:71" s="577" customFormat="1" ht="15" customHeight="1" x14ac:dyDescent="0.2">
      <c r="A25" s="403">
        <v>62007013</v>
      </c>
      <c r="B25" s="403" t="s">
        <v>675</v>
      </c>
      <c r="C25" s="403" t="s">
        <v>777</v>
      </c>
      <c r="D25" s="402" t="s">
        <v>698</v>
      </c>
      <c r="E25" s="346" t="s">
        <v>699</v>
      </c>
      <c r="F25" s="346" t="str">
        <f t="shared" si="13"/>
        <v>07/29/20</v>
      </c>
      <c r="G25" s="362" t="s">
        <v>700</v>
      </c>
      <c r="H25" s="362" t="s">
        <v>701</v>
      </c>
      <c r="I25" s="370"/>
      <c r="J25" s="363" t="s">
        <v>691</v>
      </c>
      <c r="K25" s="363" t="s">
        <v>691</v>
      </c>
      <c r="L25" s="363" t="s">
        <v>691</v>
      </c>
      <c r="M25" s="363" t="s">
        <v>691</v>
      </c>
      <c r="N25" s="347">
        <v>4250</v>
      </c>
      <c r="O25" s="347">
        <v>30.36</v>
      </c>
      <c r="P25" s="347">
        <v>0.3201</v>
      </c>
      <c r="Q25" s="347">
        <v>1.9560000000000001E-2</v>
      </c>
      <c r="R25" s="348" t="s">
        <v>989</v>
      </c>
      <c r="S25" s="348" t="e">
        <f t="shared" si="0"/>
        <v>#VALUE!</v>
      </c>
      <c r="T25" s="380">
        <v>46.9</v>
      </c>
      <c r="U25" s="380">
        <v>49.8</v>
      </c>
      <c r="V25" s="352">
        <v>30809</v>
      </c>
      <c r="W25" s="352">
        <v>29333</v>
      </c>
      <c r="X25" s="352">
        <f t="shared" si="1"/>
        <v>-1476</v>
      </c>
      <c r="Y25" s="352" t="e">
        <f t="shared" si="2"/>
        <v>#VALUE!</v>
      </c>
      <c r="Z25" s="372">
        <v>3328.69</v>
      </c>
      <c r="AA25" s="352">
        <v>3232.388191</v>
      </c>
      <c r="AB25" s="352">
        <f t="shared" si="3"/>
        <v>-96.301809000000048</v>
      </c>
      <c r="AC25" s="371" t="e">
        <f t="shared" si="4"/>
        <v>#VALUE!</v>
      </c>
      <c r="AD25" s="372">
        <v>-78.790000000000006</v>
      </c>
      <c r="AE25" s="352">
        <v>-43.474094999999998</v>
      </c>
      <c r="AF25" s="352">
        <f t="shared" si="5"/>
        <v>35.315905000000008</v>
      </c>
      <c r="AG25" s="371" t="e">
        <f t="shared" si="6"/>
        <v>#VALUE!</v>
      </c>
      <c r="AH25" s="372">
        <v>0</v>
      </c>
      <c r="AI25" s="352">
        <v>0</v>
      </c>
      <c r="AJ25" s="352">
        <f t="shared" si="7"/>
        <v>0</v>
      </c>
      <c r="AK25" s="371" t="e">
        <f t="shared" si="8"/>
        <v>#VALUE!</v>
      </c>
      <c r="AL25" s="372">
        <v>0.1</v>
      </c>
      <c r="AM25" s="352">
        <v>0.1</v>
      </c>
      <c r="AN25" s="352">
        <f t="shared" si="9"/>
        <v>0</v>
      </c>
      <c r="AO25" s="371" t="e">
        <f t="shared" si="10"/>
        <v>#VALUE!</v>
      </c>
      <c r="AP25" s="341">
        <v>46.9</v>
      </c>
      <c r="AQ25" s="341">
        <v>49.8</v>
      </c>
      <c r="AR25" s="341">
        <f t="shared" si="11"/>
        <v>2.8999999999999986</v>
      </c>
      <c r="AS25" s="526">
        <v>593</v>
      </c>
      <c r="AT25" s="383">
        <v>591.1</v>
      </c>
      <c r="AU25" s="383">
        <f t="shared" si="12"/>
        <v>-1.8999999999999773</v>
      </c>
      <c r="AV25" s="341"/>
      <c r="AW25" s="341"/>
      <c r="AX25" s="341"/>
      <c r="AY25" s="341"/>
      <c r="AZ25" s="362" t="s">
        <v>686</v>
      </c>
      <c r="BA25" s="550"/>
      <c r="BB25" s="550"/>
      <c r="BC25" s="550"/>
      <c r="BD25" s="550"/>
      <c r="BE25" s="550"/>
      <c r="BF25" s="550"/>
      <c r="BG25" s="550"/>
      <c r="BH25" s="550"/>
      <c r="BI25" s="550"/>
      <c r="BJ25" s="550"/>
      <c r="BK25" s="550"/>
      <c r="BL25" s="550"/>
      <c r="BM25" s="550"/>
      <c r="BN25" s="550"/>
      <c r="BO25" s="550"/>
      <c r="BP25" s="550"/>
      <c r="BQ25" s="550"/>
      <c r="BR25" s="550"/>
      <c r="BS25" s="550"/>
    </row>
    <row r="26" spans="1:71" s="577" customFormat="1" ht="15" customHeight="1" x14ac:dyDescent="0.2">
      <c r="A26" s="403">
        <v>62007014</v>
      </c>
      <c r="B26" s="403" t="s">
        <v>676</v>
      </c>
      <c r="C26" s="403" t="s">
        <v>773</v>
      </c>
      <c r="D26" s="402" t="s">
        <v>702</v>
      </c>
      <c r="E26" s="346" t="s">
        <v>703</v>
      </c>
      <c r="F26" s="346" t="str">
        <f t="shared" si="13"/>
        <v>07/29/20</v>
      </c>
      <c r="G26" s="362" t="s">
        <v>704</v>
      </c>
      <c r="H26" s="362" t="s">
        <v>685</v>
      </c>
      <c r="I26" s="370"/>
      <c r="J26" s="363">
        <v>25.965519</v>
      </c>
      <c r="K26" s="363">
        <v>37.323636</v>
      </c>
      <c r="L26" s="363">
        <v>29.234726999999999</v>
      </c>
      <c r="M26" s="363">
        <v>28.742516999999999</v>
      </c>
      <c r="N26" s="347">
        <v>4250</v>
      </c>
      <c r="O26" s="347">
        <v>30.36</v>
      </c>
      <c r="P26" s="347">
        <v>0.3201</v>
      </c>
      <c r="Q26" s="347">
        <v>1.9560000000000001E-2</v>
      </c>
      <c r="R26" s="348">
        <v>10.312655169999999</v>
      </c>
      <c r="S26" s="348" t="e">
        <f t="shared" si="0"/>
        <v>#VALUE!</v>
      </c>
      <c r="T26" s="380">
        <v>46.5</v>
      </c>
      <c r="U26" s="380">
        <v>41.7</v>
      </c>
      <c r="V26" s="352">
        <v>30954</v>
      </c>
      <c r="W26" s="352">
        <v>33274</v>
      </c>
      <c r="X26" s="352">
        <f t="shared" si="1"/>
        <v>2320</v>
      </c>
      <c r="Y26" s="352">
        <f t="shared" si="2"/>
        <v>224.96631194932121</v>
      </c>
      <c r="Z26" s="372">
        <v>3453.23</v>
      </c>
      <c r="AA26" s="352">
        <v>3485.8692620000002</v>
      </c>
      <c r="AB26" s="352">
        <f t="shared" si="3"/>
        <v>32.639262000000144</v>
      </c>
      <c r="AC26" s="371">
        <f t="shared" si="4"/>
        <v>3.1649717227964045</v>
      </c>
      <c r="AD26" s="372">
        <v>-82.29</v>
      </c>
      <c r="AE26" s="352">
        <v>-83.45</v>
      </c>
      <c r="AF26" s="352">
        <f t="shared" si="5"/>
        <v>-1.1599999999999966</v>
      </c>
      <c r="AG26" s="371">
        <f t="shared" si="6"/>
        <v>-0.11248315597466027</v>
      </c>
      <c r="AH26" s="372">
        <v>0</v>
      </c>
      <c r="AI26" s="352">
        <v>0</v>
      </c>
      <c r="AJ26" s="352">
        <f t="shared" si="7"/>
        <v>0</v>
      </c>
      <c r="AK26" s="371">
        <f t="shared" si="8"/>
        <v>0</v>
      </c>
      <c r="AL26" s="372">
        <v>0.1</v>
      </c>
      <c r="AM26" s="352">
        <v>0.1</v>
      </c>
      <c r="AN26" s="352">
        <f t="shared" si="9"/>
        <v>0</v>
      </c>
      <c r="AO26" s="371">
        <f t="shared" si="10"/>
        <v>0</v>
      </c>
      <c r="AP26" s="341">
        <v>46.5</v>
      </c>
      <c r="AQ26" s="341">
        <v>41.7</v>
      </c>
      <c r="AR26" s="341">
        <f t="shared" si="11"/>
        <v>-4.7999999999999972</v>
      </c>
      <c r="AS26" s="526">
        <v>606.20000000000005</v>
      </c>
      <c r="AT26" s="383">
        <v>607.20000000000005</v>
      </c>
      <c r="AU26" s="383">
        <f t="shared" si="12"/>
        <v>1</v>
      </c>
      <c r="AV26" s="341"/>
      <c r="AW26" s="341"/>
      <c r="AX26" s="341"/>
      <c r="AY26" s="341"/>
      <c r="AZ26" s="362" t="s">
        <v>686</v>
      </c>
      <c r="BA26" s="550">
        <v>1943.17933232</v>
      </c>
      <c r="BB26" s="550">
        <v>-0.42189589999999999</v>
      </c>
      <c r="BC26" s="550">
        <v>1301.2603479899999</v>
      </c>
      <c r="BD26" s="550">
        <v>1306.7735721500001</v>
      </c>
      <c r="BE26" s="550">
        <v>8.0834510999999996</v>
      </c>
      <c r="BF26" s="550">
        <v>8.02018919</v>
      </c>
      <c r="BG26" s="550">
        <v>0.54655796999999995</v>
      </c>
      <c r="BH26" s="550">
        <v>10.31273916</v>
      </c>
      <c r="BI26" s="550">
        <v>10.25668046</v>
      </c>
      <c r="BJ26" s="550">
        <v>0.24032967</v>
      </c>
      <c r="BK26" s="550">
        <v>0.78878331999999995</v>
      </c>
      <c r="BL26" s="550">
        <v>0.28277425</v>
      </c>
      <c r="BM26" s="550"/>
      <c r="BN26" s="550"/>
      <c r="BO26" s="550"/>
      <c r="BP26" s="550"/>
      <c r="BQ26" s="550"/>
      <c r="BR26" s="550"/>
      <c r="BS26" s="550"/>
    </row>
    <row r="27" spans="1:71" s="577" customFormat="1" ht="15" customHeight="1" x14ac:dyDescent="0.2">
      <c r="A27" s="403">
        <v>62007014</v>
      </c>
      <c r="B27" s="403" t="s">
        <v>676</v>
      </c>
      <c r="C27" s="403" t="s">
        <v>774</v>
      </c>
      <c r="D27" s="402" t="s">
        <v>702</v>
      </c>
      <c r="E27" s="346" t="s">
        <v>703</v>
      </c>
      <c r="F27" s="346" t="str">
        <f t="shared" si="13"/>
        <v>07/29/20</v>
      </c>
      <c r="G27" s="362" t="s">
        <v>704</v>
      </c>
      <c r="H27" s="362" t="s">
        <v>685</v>
      </c>
      <c r="I27" s="370"/>
      <c r="J27" s="363">
        <v>25.184664000000001</v>
      </c>
      <c r="K27" s="363">
        <v>38.758595999999997</v>
      </c>
      <c r="L27" s="363">
        <v>29.221095999999999</v>
      </c>
      <c r="M27" s="363">
        <v>30.782336000000001</v>
      </c>
      <c r="N27" s="347">
        <v>4250</v>
      </c>
      <c r="O27" s="347">
        <v>30.36</v>
      </c>
      <c r="P27" s="347">
        <v>0.3201</v>
      </c>
      <c r="Q27" s="347">
        <v>1.9560000000000001E-2</v>
      </c>
      <c r="R27" s="348">
        <v>10.31207487</v>
      </c>
      <c r="S27" s="348">
        <f t="shared" si="0"/>
        <v>20.624730039999999</v>
      </c>
      <c r="T27" s="380">
        <v>41.7</v>
      </c>
      <c r="U27" s="380">
        <v>37.700000000000003</v>
      </c>
      <c r="V27" s="352">
        <v>33274</v>
      </c>
      <c r="W27" s="352">
        <v>35507</v>
      </c>
      <c r="X27" s="352">
        <f t="shared" si="1"/>
        <v>2233</v>
      </c>
      <c r="Y27" s="352">
        <f t="shared" si="2"/>
        <v>216.54226022895429</v>
      </c>
      <c r="Z27" s="372">
        <v>3486.489239</v>
      </c>
      <c r="AA27" s="352">
        <v>3518.8288499999999</v>
      </c>
      <c r="AB27" s="352">
        <f t="shared" si="3"/>
        <v>32.339610999999877</v>
      </c>
      <c r="AC27" s="371">
        <f t="shared" si="4"/>
        <v>3.1360915633072666</v>
      </c>
      <c r="AD27" s="372">
        <v>-83.47</v>
      </c>
      <c r="AE27" s="352">
        <v>-84.43</v>
      </c>
      <c r="AF27" s="352">
        <f t="shared" si="5"/>
        <v>-0.96000000000000796</v>
      </c>
      <c r="AG27" s="371">
        <f t="shared" si="6"/>
        <v>-9.3094746896461189E-2</v>
      </c>
      <c r="AH27" s="372">
        <v>0</v>
      </c>
      <c r="AI27" s="352">
        <v>0</v>
      </c>
      <c r="AJ27" s="352">
        <f t="shared" si="7"/>
        <v>0</v>
      </c>
      <c r="AK27" s="371">
        <f t="shared" si="8"/>
        <v>0</v>
      </c>
      <c r="AL27" s="372">
        <v>0.1</v>
      </c>
      <c r="AM27" s="352">
        <v>0.1</v>
      </c>
      <c r="AN27" s="352">
        <f t="shared" si="9"/>
        <v>0</v>
      </c>
      <c r="AO27" s="371">
        <f t="shared" si="10"/>
        <v>0</v>
      </c>
      <c r="AP27" s="341">
        <v>41.7</v>
      </c>
      <c r="AQ27" s="341">
        <v>37.700000000000003</v>
      </c>
      <c r="AR27" s="341">
        <f t="shared" si="11"/>
        <v>-4</v>
      </c>
      <c r="AS27" s="526">
        <v>607.20000000000005</v>
      </c>
      <c r="AT27" s="383">
        <v>608.29999999999995</v>
      </c>
      <c r="AU27" s="383">
        <f t="shared" si="12"/>
        <v>1.0999999999999091</v>
      </c>
      <c r="AV27" s="341"/>
      <c r="AW27" s="341"/>
      <c r="AX27" s="341"/>
      <c r="AY27" s="341"/>
      <c r="AZ27" s="362" t="s">
        <v>686</v>
      </c>
      <c r="BA27" s="550">
        <v>1943.4012125500001</v>
      </c>
      <c r="BB27" s="550">
        <v>-0.37740036999999999</v>
      </c>
      <c r="BC27" s="550">
        <v>1301.8076851000001</v>
      </c>
      <c r="BD27" s="550">
        <v>1306.73932416</v>
      </c>
      <c r="BE27" s="550">
        <v>8.0852715600000007</v>
      </c>
      <c r="BF27" s="550">
        <v>8.0201018899999994</v>
      </c>
      <c r="BG27" s="550">
        <v>0.54104965999999999</v>
      </c>
      <c r="BH27" s="550">
        <v>10.312174300000001</v>
      </c>
      <c r="BI27" s="550">
        <v>10.25668057</v>
      </c>
      <c r="BJ27" s="550">
        <v>0.26934089999999999</v>
      </c>
      <c r="BK27" s="550">
        <v>0.81257915999999997</v>
      </c>
      <c r="BL27" s="550">
        <v>0.28276878999999999</v>
      </c>
      <c r="BM27" s="550"/>
      <c r="BN27" s="550"/>
      <c r="BO27" s="550"/>
      <c r="BP27" s="550"/>
      <c r="BQ27" s="550"/>
      <c r="BR27" s="550"/>
      <c r="BS27" s="550"/>
    </row>
    <row r="28" spans="1:71" s="577" customFormat="1" ht="15" customHeight="1" x14ac:dyDescent="0.2">
      <c r="A28" s="403">
        <v>62007014</v>
      </c>
      <c r="B28" s="403" t="s">
        <v>676</v>
      </c>
      <c r="C28" s="403" t="s">
        <v>776</v>
      </c>
      <c r="D28" s="402" t="s">
        <v>702</v>
      </c>
      <c r="E28" s="346" t="s">
        <v>703</v>
      </c>
      <c r="F28" s="346" t="str">
        <f t="shared" si="13"/>
        <v>07/29/20</v>
      </c>
      <c r="G28" s="362" t="s">
        <v>704</v>
      </c>
      <c r="H28" s="362" t="s">
        <v>685</v>
      </c>
      <c r="I28" s="370"/>
      <c r="J28" s="363">
        <v>25.043216000000001</v>
      </c>
      <c r="K28" s="363">
        <v>39.156649000000002</v>
      </c>
      <c r="L28" s="363">
        <v>29.217876</v>
      </c>
      <c r="M28" s="363">
        <v>30.784555999999998</v>
      </c>
      <c r="N28" s="347">
        <v>4250</v>
      </c>
      <c r="O28" s="347">
        <v>30.36</v>
      </c>
      <c r="P28" s="347">
        <v>0.3201</v>
      </c>
      <c r="Q28" s="347">
        <v>1.9560000000000001E-2</v>
      </c>
      <c r="R28" s="348">
        <v>10.31281939</v>
      </c>
      <c r="S28" s="348">
        <f t="shared" si="0"/>
        <v>20.624894259999998</v>
      </c>
      <c r="T28" s="380">
        <v>37.700000000000003</v>
      </c>
      <c r="U28" s="380">
        <v>33.9</v>
      </c>
      <c r="V28" s="352">
        <v>35508</v>
      </c>
      <c r="W28" s="352">
        <v>37731</v>
      </c>
      <c r="X28" s="352">
        <f t="shared" si="1"/>
        <v>2223</v>
      </c>
      <c r="Y28" s="352">
        <f t="shared" si="2"/>
        <v>215.55696031635827</v>
      </c>
      <c r="Z28" s="372">
        <v>3519.53</v>
      </c>
      <c r="AA28" s="352">
        <v>3551.6883549999998</v>
      </c>
      <c r="AB28" s="352">
        <f t="shared" si="3"/>
        <v>32.158354999999574</v>
      </c>
      <c r="AC28" s="371">
        <f t="shared" si="4"/>
        <v>3.1182893623815877</v>
      </c>
      <c r="AD28" s="372">
        <v>-84.45</v>
      </c>
      <c r="AE28" s="352">
        <v>-85.3</v>
      </c>
      <c r="AF28" s="352">
        <f t="shared" si="5"/>
        <v>-0.84999999999999432</v>
      </c>
      <c r="AG28" s="371">
        <f t="shared" si="6"/>
        <v>-8.2421689729601122E-2</v>
      </c>
      <c r="AH28" s="372">
        <v>0</v>
      </c>
      <c r="AI28" s="352">
        <v>0</v>
      </c>
      <c r="AJ28" s="352">
        <f t="shared" si="7"/>
        <v>0</v>
      </c>
      <c r="AK28" s="371">
        <f t="shared" si="8"/>
        <v>0</v>
      </c>
      <c r="AL28" s="372">
        <v>0.1</v>
      </c>
      <c r="AM28" s="352">
        <v>0.1</v>
      </c>
      <c r="AN28" s="352">
        <f t="shared" si="9"/>
        <v>0</v>
      </c>
      <c r="AO28" s="371">
        <f t="shared" si="10"/>
        <v>0</v>
      </c>
      <c r="AP28" s="341">
        <v>37.700000000000003</v>
      </c>
      <c r="AQ28" s="341">
        <v>33.9</v>
      </c>
      <c r="AR28" s="341">
        <f t="shared" si="11"/>
        <v>-3.8000000000000043</v>
      </c>
      <c r="AS28" s="526">
        <v>608.29999999999995</v>
      </c>
      <c r="AT28" s="383">
        <v>609.4</v>
      </c>
      <c r="AU28" s="383">
        <f t="shared" si="12"/>
        <v>1.1000000000000227</v>
      </c>
      <c r="AV28" s="341"/>
      <c r="AW28" s="341"/>
      <c r="AX28" s="341"/>
      <c r="AY28" s="341"/>
      <c r="AZ28" s="362" t="s">
        <v>686</v>
      </c>
      <c r="BA28" s="550">
        <v>1942.9933943399999</v>
      </c>
      <c r="BB28" s="550">
        <v>-0.30966023999999998</v>
      </c>
      <c r="BC28" s="550">
        <v>1302.6720325599999</v>
      </c>
      <c r="BD28" s="550">
        <v>1306.7184199599999</v>
      </c>
      <c r="BE28" s="550">
        <v>8.0866121999999994</v>
      </c>
      <c r="BF28" s="550">
        <v>8.0200424600000009</v>
      </c>
      <c r="BG28" s="550">
        <v>0.54802233</v>
      </c>
      <c r="BH28" s="550">
        <v>10.312889309999999</v>
      </c>
      <c r="BI28" s="550">
        <v>10.25668041</v>
      </c>
      <c r="BJ28" s="550">
        <v>0.27969833</v>
      </c>
      <c r="BK28" s="550">
        <v>0.83004226999999997</v>
      </c>
      <c r="BL28" s="550">
        <v>0.28276589000000002</v>
      </c>
      <c r="BM28" s="550"/>
      <c r="BN28" s="550"/>
      <c r="BO28" s="550"/>
      <c r="BP28" s="550"/>
      <c r="BQ28" s="550"/>
      <c r="BR28" s="550"/>
      <c r="BS28" s="550"/>
    </row>
    <row r="29" spans="1:71" s="577" customFormat="1" ht="15" customHeight="1" x14ac:dyDescent="0.2">
      <c r="A29" s="403">
        <v>62007014</v>
      </c>
      <c r="B29" s="403" t="s">
        <v>676</v>
      </c>
      <c r="C29" s="403" t="s">
        <v>777</v>
      </c>
      <c r="D29" s="402" t="s">
        <v>702</v>
      </c>
      <c r="E29" s="346" t="s">
        <v>703</v>
      </c>
      <c r="F29" s="346" t="str">
        <f t="shared" si="13"/>
        <v>07/29/20</v>
      </c>
      <c r="G29" s="362" t="s">
        <v>704</v>
      </c>
      <c r="H29" s="362" t="s">
        <v>685</v>
      </c>
      <c r="I29" s="370"/>
      <c r="J29" s="363">
        <v>24.953544999999998</v>
      </c>
      <c r="K29" s="363">
        <v>39.301724</v>
      </c>
      <c r="L29" s="363">
        <v>29.216159000000001</v>
      </c>
      <c r="M29" s="363">
        <v>30.765470000000001</v>
      </c>
      <c r="N29" s="347">
        <v>4250</v>
      </c>
      <c r="O29" s="347">
        <v>30.36</v>
      </c>
      <c r="P29" s="347">
        <v>0.3201</v>
      </c>
      <c r="Q29" s="347">
        <v>1.9560000000000001E-2</v>
      </c>
      <c r="R29" s="348">
        <v>10.31270492</v>
      </c>
      <c r="S29" s="348">
        <f t="shared" si="0"/>
        <v>20.625524309999999</v>
      </c>
      <c r="T29" s="380">
        <v>33.9</v>
      </c>
      <c r="U29" s="380">
        <v>30.1</v>
      </c>
      <c r="V29" s="352">
        <v>37732</v>
      </c>
      <c r="W29" s="352">
        <v>39950</v>
      </c>
      <c r="X29" s="352">
        <f t="shared" si="1"/>
        <v>2218</v>
      </c>
      <c r="Y29" s="352">
        <f t="shared" si="2"/>
        <v>215.07451412660026</v>
      </c>
      <c r="Z29" s="372">
        <v>3552.3178400000002</v>
      </c>
      <c r="AA29" s="352">
        <v>3584.35</v>
      </c>
      <c r="AB29" s="352">
        <f t="shared" si="3"/>
        <v>32.032159999999749</v>
      </c>
      <c r="AC29" s="371">
        <f t="shared" si="4"/>
        <v>3.1060871273333932</v>
      </c>
      <c r="AD29" s="372">
        <v>-85.32</v>
      </c>
      <c r="AE29" s="352">
        <v>-86.1</v>
      </c>
      <c r="AF29" s="352">
        <f t="shared" si="5"/>
        <v>-0.78000000000000114</v>
      </c>
      <c r="AG29" s="371">
        <f t="shared" si="6"/>
        <v>-7.5634860693754941E-2</v>
      </c>
      <c r="AH29" s="372">
        <v>0</v>
      </c>
      <c r="AI29" s="352">
        <v>0</v>
      </c>
      <c r="AJ29" s="352">
        <f t="shared" si="7"/>
        <v>0</v>
      </c>
      <c r="AK29" s="371">
        <f t="shared" si="8"/>
        <v>0</v>
      </c>
      <c r="AL29" s="372">
        <v>0.1</v>
      </c>
      <c r="AM29" s="352">
        <v>0.1</v>
      </c>
      <c r="AN29" s="352">
        <f t="shared" si="9"/>
        <v>0</v>
      </c>
      <c r="AO29" s="371">
        <f t="shared" si="10"/>
        <v>0</v>
      </c>
      <c r="AP29" s="341">
        <v>33.9</v>
      </c>
      <c r="AQ29" s="341">
        <v>30.1</v>
      </c>
      <c r="AR29" s="341">
        <f t="shared" si="11"/>
        <v>-3.7999999999999972</v>
      </c>
      <c r="AS29" s="526">
        <v>609.4</v>
      </c>
      <c r="AT29" s="383">
        <v>610.4</v>
      </c>
      <c r="AU29" s="383">
        <f t="shared" si="12"/>
        <v>1</v>
      </c>
      <c r="AV29" s="341"/>
      <c r="AW29" s="341"/>
      <c r="AX29" s="341"/>
      <c r="AY29" s="341"/>
      <c r="AZ29" s="362" t="s">
        <v>686</v>
      </c>
      <c r="BA29" s="550">
        <v>1942.4975810000001</v>
      </c>
      <c r="BB29" s="550">
        <v>-0.29331942999999999</v>
      </c>
      <c r="BC29" s="550">
        <v>1302.8696794099999</v>
      </c>
      <c r="BD29" s="550">
        <v>1306.7024917000001</v>
      </c>
      <c r="BE29" s="550">
        <v>8.0867521199999999</v>
      </c>
      <c r="BF29" s="550">
        <v>8.0200066799999998</v>
      </c>
      <c r="BG29" s="550">
        <v>0.54685854</v>
      </c>
      <c r="BH29" s="550">
        <v>10.312769830000001</v>
      </c>
      <c r="BI29" s="550">
        <v>10.256680299999999</v>
      </c>
      <c r="BJ29" s="550">
        <v>0.28302280000000002</v>
      </c>
      <c r="BK29" s="550">
        <v>0.83223676000000002</v>
      </c>
      <c r="BL29" s="550">
        <v>0.28276329</v>
      </c>
      <c r="BM29" s="550"/>
      <c r="BN29" s="550"/>
      <c r="BO29" s="550"/>
      <c r="BP29" s="550"/>
      <c r="BQ29" s="550"/>
      <c r="BR29" s="550"/>
      <c r="BS29" s="550"/>
    </row>
    <row r="30" spans="1:71" s="577" customFormat="1" ht="15" customHeight="1" x14ac:dyDescent="0.2">
      <c r="A30" s="403">
        <v>62007015</v>
      </c>
      <c r="B30" s="403" t="s">
        <v>676</v>
      </c>
      <c r="C30" s="403" t="s">
        <v>773</v>
      </c>
      <c r="D30" s="402" t="s">
        <v>702</v>
      </c>
      <c r="E30" s="346" t="s">
        <v>705</v>
      </c>
      <c r="F30" s="346" t="str">
        <f t="shared" si="13"/>
        <v>07/29/20</v>
      </c>
      <c r="G30" s="362" t="s">
        <v>706</v>
      </c>
      <c r="H30" s="362" t="s">
        <v>685</v>
      </c>
      <c r="I30" s="370"/>
      <c r="J30" s="363">
        <v>24.634564000000001</v>
      </c>
      <c r="K30" s="363">
        <v>40.039439000000002</v>
      </c>
      <c r="L30" s="363">
        <v>29.206910000000001</v>
      </c>
      <c r="M30" s="363">
        <v>30.410622</v>
      </c>
      <c r="N30" s="347">
        <v>4250</v>
      </c>
      <c r="O30" s="347">
        <v>30.36</v>
      </c>
      <c r="P30" s="347">
        <v>0.3201</v>
      </c>
      <c r="Q30" s="347">
        <v>1.9560000000000001E-2</v>
      </c>
      <c r="R30" s="348">
        <v>10.311780150000001</v>
      </c>
      <c r="S30" s="348">
        <f t="shared" si="0"/>
        <v>20.624485069999999</v>
      </c>
      <c r="T30" s="380">
        <v>30.1</v>
      </c>
      <c r="U30" s="380">
        <v>26.3</v>
      </c>
      <c r="V30" s="352">
        <v>39958</v>
      </c>
      <c r="W30" s="352">
        <v>42168</v>
      </c>
      <c r="X30" s="352">
        <f t="shared" si="1"/>
        <v>2210</v>
      </c>
      <c r="Y30" s="352">
        <f t="shared" si="2"/>
        <v>214.31799047810381</v>
      </c>
      <c r="Z30" s="372">
        <v>3587.9382380000002</v>
      </c>
      <c r="AA30" s="352">
        <v>3620.02</v>
      </c>
      <c r="AB30" s="352">
        <f t="shared" si="3"/>
        <v>32.081761999999799</v>
      </c>
      <c r="AC30" s="371">
        <f t="shared" si="4"/>
        <v>3.1111759107858594</v>
      </c>
      <c r="AD30" s="372">
        <v>-85.81</v>
      </c>
      <c r="AE30" s="352">
        <v>-86.75</v>
      </c>
      <c r="AF30" s="352">
        <f t="shared" si="5"/>
        <v>-0.93999999999999773</v>
      </c>
      <c r="AG30" s="371">
        <f t="shared" si="6"/>
        <v>-9.1157878302903658E-2</v>
      </c>
      <c r="AH30" s="372">
        <v>0</v>
      </c>
      <c r="AI30" s="352">
        <v>0</v>
      </c>
      <c r="AJ30" s="352">
        <f t="shared" si="7"/>
        <v>0</v>
      </c>
      <c r="AK30" s="371">
        <f t="shared" si="8"/>
        <v>0</v>
      </c>
      <c r="AL30" s="372">
        <v>0.1</v>
      </c>
      <c r="AM30" s="352">
        <v>0.1</v>
      </c>
      <c r="AN30" s="352">
        <f t="shared" si="9"/>
        <v>0</v>
      </c>
      <c r="AO30" s="371">
        <f t="shared" si="10"/>
        <v>0</v>
      </c>
      <c r="AP30" s="341">
        <v>30.1</v>
      </c>
      <c r="AQ30" s="341">
        <v>26.3</v>
      </c>
      <c r="AR30" s="341">
        <f t="shared" si="11"/>
        <v>-3.8000000000000007</v>
      </c>
      <c r="AS30" s="526">
        <v>610.70000000000005</v>
      </c>
      <c r="AT30" s="383">
        <v>611.79999999999995</v>
      </c>
      <c r="AU30" s="383">
        <f t="shared" si="12"/>
        <v>1.0999999999999091</v>
      </c>
      <c r="AV30" s="341"/>
      <c r="AW30" s="341"/>
      <c r="AX30" s="341"/>
      <c r="AY30" s="341"/>
      <c r="AZ30" s="362" t="s">
        <v>686</v>
      </c>
      <c r="BA30" s="550">
        <v>1943.9988374100001</v>
      </c>
      <c r="BB30" s="550">
        <v>1.86717665</v>
      </c>
      <c r="BC30" s="550">
        <v>1331.18281353</v>
      </c>
      <c r="BD30" s="550">
        <v>1306.7828689</v>
      </c>
      <c r="BE30" s="550">
        <v>8.1259374100000006</v>
      </c>
      <c r="BF30" s="550">
        <v>8.0202161499999995</v>
      </c>
      <c r="BG30" s="550">
        <v>0.53804023000000001</v>
      </c>
      <c r="BH30" s="550">
        <v>10.31186542</v>
      </c>
      <c r="BI30" s="550">
        <v>10.25668035</v>
      </c>
      <c r="BJ30" s="550">
        <v>0.76999452000000002</v>
      </c>
      <c r="BK30" s="550">
        <v>1.3181847</v>
      </c>
      <c r="BL30" s="550">
        <v>0.28277549000000002</v>
      </c>
      <c r="BM30" s="550"/>
      <c r="BN30" s="550"/>
      <c r="BO30" s="550"/>
      <c r="BP30" s="550"/>
      <c r="BQ30" s="550"/>
      <c r="BR30" s="550"/>
      <c r="BS30" s="550"/>
    </row>
    <row r="31" spans="1:71" s="577" customFormat="1" ht="15" customHeight="1" x14ac:dyDescent="0.2">
      <c r="A31" s="403">
        <v>62007015</v>
      </c>
      <c r="B31" s="403" t="s">
        <v>676</v>
      </c>
      <c r="C31" s="403" t="s">
        <v>774</v>
      </c>
      <c r="D31" s="402" t="s">
        <v>702</v>
      </c>
      <c r="E31" s="346" t="s">
        <v>705</v>
      </c>
      <c r="F31" s="346" t="str">
        <f t="shared" si="13"/>
        <v>07/29/20</v>
      </c>
      <c r="G31" s="362" t="s">
        <v>706</v>
      </c>
      <c r="H31" s="362" t="s">
        <v>685</v>
      </c>
      <c r="I31" s="370"/>
      <c r="J31" s="363">
        <v>24.896803999999999</v>
      </c>
      <c r="K31" s="363">
        <v>39.323878999999998</v>
      </c>
      <c r="L31" s="363">
        <v>29.207426000000002</v>
      </c>
      <c r="M31" s="363">
        <v>30.693919999999999</v>
      </c>
      <c r="N31" s="347">
        <v>4250</v>
      </c>
      <c r="O31" s="347">
        <v>30.36</v>
      </c>
      <c r="P31" s="347">
        <v>0.3201</v>
      </c>
      <c r="Q31" s="347">
        <v>1.9560000000000001E-2</v>
      </c>
      <c r="R31" s="348">
        <v>10.31145708</v>
      </c>
      <c r="S31" s="348">
        <f t="shared" si="0"/>
        <v>20.623237230000001</v>
      </c>
      <c r="T31" s="380">
        <v>26.3</v>
      </c>
      <c r="U31" s="380">
        <v>22.5</v>
      </c>
      <c r="V31" s="352">
        <v>42169</v>
      </c>
      <c r="W31" s="352">
        <v>44368</v>
      </c>
      <c r="X31" s="352">
        <f t="shared" si="1"/>
        <v>2199</v>
      </c>
      <c r="Y31" s="352">
        <f t="shared" si="2"/>
        <v>213.25793075986891</v>
      </c>
      <c r="Z31" s="372">
        <v>3620.62</v>
      </c>
      <c r="AA31" s="352">
        <v>3652.4</v>
      </c>
      <c r="AB31" s="352">
        <f t="shared" si="3"/>
        <v>31.7800000000002</v>
      </c>
      <c r="AC31" s="371">
        <f t="shared" si="4"/>
        <v>3.0820086582758872</v>
      </c>
      <c r="AD31" s="372">
        <v>-86.77</v>
      </c>
      <c r="AE31" s="352">
        <v>-87.49</v>
      </c>
      <c r="AF31" s="352">
        <f t="shared" si="5"/>
        <v>-0.71999999999999886</v>
      </c>
      <c r="AG31" s="371">
        <f t="shared" si="6"/>
        <v>-6.9825243359302125E-2</v>
      </c>
      <c r="AH31" s="372">
        <v>0</v>
      </c>
      <c r="AI31" s="352">
        <v>0</v>
      </c>
      <c r="AJ31" s="352">
        <f t="shared" si="7"/>
        <v>0</v>
      </c>
      <c r="AK31" s="371">
        <f t="shared" si="8"/>
        <v>0</v>
      </c>
      <c r="AL31" s="372">
        <v>0.1</v>
      </c>
      <c r="AM31" s="352">
        <v>0.1</v>
      </c>
      <c r="AN31" s="352">
        <f t="shared" si="9"/>
        <v>0</v>
      </c>
      <c r="AO31" s="371">
        <f t="shared" si="10"/>
        <v>0</v>
      </c>
      <c r="AP31" s="341">
        <v>26.3</v>
      </c>
      <c r="AQ31" s="341">
        <v>22.5</v>
      </c>
      <c r="AR31" s="341">
        <f t="shared" si="11"/>
        <v>-3.8000000000000007</v>
      </c>
      <c r="AS31" s="526">
        <v>611.79999999999995</v>
      </c>
      <c r="AT31" s="383">
        <v>612.79999999999995</v>
      </c>
      <c r="AU31" s="383">
        <f t="shared" si="12"/>
        <v>1</v>
      </c>
      <c r="AV31" s="341"/>
      <c r="AW31" s="341"/>
      <c r="AX31" s="341"/>
      <c r="AY31" s="341"/>
      <c r="AZ31" s="362" t="s">
        <v>686</v>
      </c>
      <c r="BA31" s="550">
        <v>1943.14834683</v>
      </c>
      <c r="BB31" s="550">
        <v>1.87297</v>
      </c>
      <c r="BC31" s="550">
        <v>1331.22599633</v>
      </c>
      <c r="BD31" s="550">
        <v>1306.7509431399999</v>
      </c>
      <c r="BE31" s="550">
        <v>8.1272927999999993</v>
      </c>
      <c r="BF31" s="550">
        <v>8.0201192100000007</v>
      </c>
      <c r="BG31" s="550">
        <v>0.53492594999999998</v>
      </c>
      <c r="BH31" s="550">
        <v>10.311545949999999</v>
      </c>
      <c r="BI31" s="550">
        <v>10.256680299999999</v>
      </c>
      <c r="BJ31" s="550">
        <v>0.79081544000000004</v>
      </c>
      <c r="BK31" s="550">
        <v>1.3363091300000001</v>
      </c>
      <c r="BL31" s="550">
        <v>0.2827712</v>
      </c>
      <c r="BM31" s="550"/>
      <c r="BN31" s="550"/>
      <c r="BO31" s="550"/>
      <c r="BP31" s="550"/>
      <c r="BQ31" s="550"/>
      <c r="BR31" s="550"/>
      <c r="BS31" s="550"/>
    </row>
    <row r="32" spans="1:71" s="577" customFormat="1" ht="15" customHeight="1" x14ac:dyDescent="0.2">
      <c r="A32" s="403">
        <v>62007015</v>
      </c>
      <c r="B32" s="403" t="s">
        <v>676</v>
      </c>
      <c r="C32" s="403" t="s">
        <v>776</v>
      </c>
      <c r="D32" s="402" t="s">
        <v>702</v>
      </c>
      <c r="E32" s="346" t="s">
        <v>705</v>
      </c>
      <c r="F32" s="346" t="str">
        <f t="shared" si="13"/>
        <v>07/29/20</v>
      </c>
      <c r="G32" s="362" t="s">
        <v>706</v>
      </c>
      <c r="H32" s="362" t="s">
        <v>685</v>
      </c>
      <c r="I32" s="370"/>
      <c r="J32" s="363">
        <v>24.921417000000002</v>
      </c>
      <c r="K32" s="363">
        <v>39.081926000000003</v>
      </c>
      <c r="L32" s="363">
        <v>29.204988</v>
      </c>
      <c r="M32" s="363">
        <v>30.776513999999999</v>
      </c>
      <c r="N32" s="347">
        <v>4250</v>
      </c>
      <c r="O32" s="347">
        <v>30.36</v>
      </c>
      <c r="P32" s="347">
        <v>0.3201</v>
      </c>
      <c r="Q32" s="347">
        <v>1.9560000000000001E-2</v>
      </c>
      <c r="R32" s="348">
        <v>10.3119052</v>
      </c>
      <c r="S32" s="348">
        <f t="shared" si="0"/>
        <v>20.623362280000002</v>
      </c>
      <c r="T32" s="380">
        <v>22.5</v>
      </c>
      <c r="U32" s="380">
        <v>18.7</v>
      </c>
      <c r="V32" s="352">
        <v>44368</v>
      </c>
      <c r="W32" s="352">
        <v>46560</v>
      </c>
      <c r="X32" s="352">
        <f t="shared" si="1"/>
        <v>2192</v>
      </c>
      <c r="Y32" s="352">
        <f t="shared" si="2"/>
        <v>212.56983627041103</v>
      </c>
      <c r="Z32" s="372">
        <v>3653.08</v>
      </c>
      <c r="AA32" s="352">
        <v>3684.79</v>
      </c>
      <c r="AB32" s="352">
        <f t="shared" si="3"/>
        <v>31.710000000000036</v>
      </c>
      <c r="AC32" s="371">
        <f t="shared" si="4"/>
        <v>3.0750864544410317</v>
      </c>
      <c r="AD32" s="372">
        <v>-87.5</v>
      </c>
      <c r="AE32" s="352">
        <v>-88.17</v>
      </c>
      <c r="AF32" s="352">
        <f t="shared" si="5"/>
        <v>-0.67000000000000171</v>
      </c>
      <c r="AG32" s="371">
        <f t="shared" si="6"/>
        <v>-6.4973444480463383E-2</v>
      </c>
      <c r="AH32" s="372">
        <v>0</v>
      </c>
      <c r="AI32" s="352">
        <v>0</v>
      </c>
      <c r="AJ32" s="352">
        <f t="shared" si="7"/>
        <v>0</v>
      </c>
      <c r="AK32" s="371">
        <f t="shared" si="8"/>
        <v>0</v>
      </c>
      <c r="AL32" s="372">
        <v>0.1</v>
      </c>
      <c r="AM32" s="352">
        <v>0.1</v>
      </c>
      <c r="AN32" s="352">
        <f t="shared" si="9"/>
        <v>0</v>
      </c>
      <c r="AO32" s="371">
        <f t="shared" si="10"/>
        <v>0</v>
      </c>
      <c r="AP32" s="341">
        <v>22.5</v>
      </c>
      <c r="AQ32" s="341">
        <v>18.7</v>
      </c>
      <c r="AR32" s="341">
        <f t="shared" si="11"/>
        <v>-3.8000000000000007</v>
      </c>
      <c r="AS32" s="526">
        <v>612.9</v>
      </c>
      <c r="AT32" s="383">
        <v>613.9</v>
      </c>
      <c r="AU32" s="383">
        <f t="shared" si="12"/>
        <v>1</v>
      </c>
      <c r="AV32" s="341"/>
      <c r="AW32" s="341"/>
      <c r="AX32" s="341"/>
      <c r="AY32" s="341"/>
      <c r="AZ32" s="362" t="s">
        <v>686</v>
      </c>
      <c r="BA32" s="550">
        <v>1943.13988068</v>
      </c>
      <c r="BB32" s="550">
        <v>1.94418242</v>
      </c>
      <c r="BC32" s="550">
        <v>1332.1261947999999</v>
      </c>
      <c r="BD32" s="550">
        <v>1306.72115192</v>
      </c>
      <c r="BE32" s="550">
        <v>8.1276580200000001</v>
      </c>
      <c r="BF32" s="550">
        <v>8.0200486099999999</v>
      </c>
      <c r="BG32" s="550">
        <v>0.53925020000000001</v>
      </c>
      <c r="BH32" s="550">
        <v>10.311989499999999</v>
      </c>
      <c r="BI32" s="550">
        <v>10.25668033</v>
      </c>
      <c r="BJ32" s="550">
        <v>0.79187976999999998</v>
      </c>
      <c r="BK32" s="550">
        <v>1.3417550600000001</v>
      </c>
      <c r="BL32" s="550">
        <v>0.28276628999999998</v>
      </c>
      <c r="BM32" s="550"/>
      <c r="BN32" s="550"/>
      <c r="BO32" s="550"/>
      <c r="BP32" s="550"/>
      <c r="BQ32" s="550"/>
      <c r="BR32" s="550"/>
      <c r="BS32" s="550"/>
    </row>
    <row r="33" spans="1:71" s="577" customFormat="1" ht="15" customHeight="1" x14ac:dyDescent="0.2">
      <c r="A33" s="403">
        <v>62007015</v>
      </c>
      <c r="B33" s="403" t="s">
        <v>676</v>
      </c>
      <c r="C33" s="403" t="s">
        <v>777</v>
      </c>
      <c r="D33" s="402" t="s">
        <v>702</v>
      </c>
      <c r="E33" s="346" t="s">
        <v>705</v>
      </c>
      <c r="F33" s="346" t="str">
        <f t="shared" si="13"/>
        <v>07/29/20</v>
      </c>
      <c r="G33" s="362" t="s">
        <v>706</v>
      </c>
      <c r="H33" s="362" t="s">
        <v>685</v>
      </c>
      <c r="I33" s="370"/>
      <c r="J33" s="363">
        <v>24.917826000000002</v>
      </c>
      <c r="K33" s="363">
        <v>39.059367000000002</v>
      </c>
      <c r="L33" s="363">
        <v>29.199152999999999</v>
      </c>
      <c r="M33" s="363">
        <v>30.868023999999998</v>
      </c>
      <c r="N33" s="347">
        <v>4250</v>
      </c>
      <c r="O33" s="347">
        <v>30.36</v>
      </c>
      <c r="P33" s="347">
        <v>0.3201</v>
      </c>
      <c r="Q33" s="347">
        <v>1.9560000000000001E-2</v>
      </c>
      <c r="R33" s="348">
        <v>10.311885009999999</v>
      </c>
      <c r="S33" s="348">
        <f t="shared" si="0"/>
        <v>20.623790209999999</v>
      </c>
      <c r="T33" s="380">
        <v>18.7</v>
      </c>
      <c r="U33" s="380">
        <v>14.9</v>
      </c>
      <c r="V33" s="352">
        <v>46561</v>
      </c>
      <c r="W33" s="352">
        <v>48751</v>
      </c>
      <c r="X33" s="352">
        <f t="shared" si="1"/>
        <v>2190</v>
      </c>
      <c r="Y33" s="352">
        <f t="shared" si="2"/>
        <v>212.3763015080402</v>
      </c>
      <c r="Z33" s="372">
        <v>3685.387084</v>
      </c>
      <c r="AA33" s="352">
        <v>3717.0466379999998</v>
      </c>
      <c r="AB33" s="352">
        <f t="shared" si="3"/>
        <v>31.659553999999844</v>
      </c>
      <c r="AC33" s="371">
        <f t="shared" si="4"/>
        <v>3.0702004501890627</v>
      </c>
      <c r="AD33" s="372">
        <v>-88.18</v>
      </c>
      <c r="AE33" s="352">
        <v>-88.8</v>
      </c>
      <c r="AF33" s="352">
        <f t="shared" si="5"/>
        <v>-0.61999999999999034</v>
      </c>
      <c r="AG33" s="371">
        <f t="shared" si="6"/>
        <v>-6.0124797687206792E-2</v>
      </c>
      <c r="AH33" s="372">
        <v>0</v>
      </c>
      <c r="AI33" s="352">
        <v>0</v>
      </c>
      <c r="AJ33" s="352">
        <f t="shared" si="7"/>
        <v>0</v>
      </c>
      <c r="AK33" s="371">
        <f t="shared" si="8"/>
        <v>0</v>
      </c>
      <c r="AL33" s="372">
        <v>0.1</v>
      </c>
      <c r="AM33" s="352">
        <v>0.1</v>
      </c>
      <c r="AN33" s="352">
        <f t="shared" si="9"/>
        <v>0</v>
      </c>
      <c r="AO33" s="371">
        <f t="shared" si="10"/>
        <v>0</v>
      </c>
      <c r="AP33" s="341">
        <v>18.7</v>
      </c>
      <c r="AQ33" s="341">
        <v>14.9</v>
      </c>
      <c r="AR33" s="341">
        <f t="shared" si="11"/>
        <v>-3.7999999999999989</v>
      </c>
      <c r="AS33" s="526">
        <v>613.9</v>
      </c>
      <c r="AT33" s="383">
        <v>615</v>
      </c>
      <c r="AU33" s="383">
        <f t="shared" si="12"/>
        <v>1.1000000000000227</v>
      </c>
      <c r="AV33" s="341"/>
      <c r="AW33" s="341"/>
      <c r="AX33" s="341"/>
      <c r="AY33" s="341"/>
      <c r="AZ33" s="362" t="s">
        <v>686</v>
      </c>
      <c r="BA33" s="550">
        <v>1942.57243305</v>
      </c>
      <c r="BB33" s="550">
        <v>1.92615599</v>
      </c>
      <c r="BC33" s="550">
        <v>1331.8757599200001</v>
      </c>
      <c r="BD33" s="550">
        <v>1306.70655343</v>
      </c>
      <c r="BE33" s="550">
        <v>8.1282539000000007</v>
      </c>
      <c r="BF33" s="550">
        <v>8.0200094199999992</v>
      </c>
      <c r="BG33" s="550">
        <v>0.53911308999999996</v>
      </c>
      <c r="BH33" s="550">
        <v>10.311975410000001</v>
      </c>
      <c r="BI33" s="550">
        <v>10.256680299999999</v>
      </c>
      <c r="BJ33" s="550">
        <v>0.79977284999999998</v>
      </c>
      <c r="BK33" s="550">
        <v>1.3496803100000001</v>
      </c>
      <c r="BL33" s="550">
        <v>0.28276424999999999</v>
      </c>
      <c r="BM33" s="550"/>
      <c r="BN33" s="550"/>
      <c r="BO33" s="550"/>
      <c r="BP33" s="550"/>
      <c r="BQ33" s="550"/>
      <c r="BR33" s="550"/>
      <c r="BS33" s="550"/>
    </row>
    <row r="34" spans="1:71" s="577" customFormat="1" ht="15" customHeight="1" x14ac:dyDescent="0.2">
      <c r="A34" s="403">
        <v>62007016</v>
      </c>
      <c r="B34" s="403" t="s">
        <v>636</v>
      </c>
      <c r="C34" s="403" t="s">
        <v>773</v>
      </c>
      <c r="D34" s="402" t="s">
        <v>707</v>
      </c>
      <c r="E34" s="346" t="s">
        <v>708</v>
      </c>
      <c r="F34" s="346" t="str">
        <f t="shared" si="13"/>
        <v>07/29/20</v>
      </c>
      <c r="G34" s="362" t="s">
        <v>709</v>
      </c>
      <c r="H34" s="362" t="s">
        <v>710</v>
      </c>
      <c r="I34" s="370"/>
      <c r="J34" s="363">
        <v>26.322814000000001</v>
      </c>
      <c r="K34" s="363">
        <v>36.284891999999999</v>
      </c>
      <c r="L34" s="363">
        <v>29.211724</v>
      </c>
      <c r="M34" s="363">
        <v>31.908346999999999</v>
      </c>
      <c r="N34" s="347">
        <v>4250</v>
      </c>
      <c r="O34" s="347">
        <v>30.36</v>
      </c>
      <c r="P34" s="347">
        <v>0.3201</v>
      </c>
      <c r="Q34" s="347">
        <v>1.9560000000000001E-2</v>
      </c>
      <c r="R34" s="348">
        <v>30.06170195</v>
      </c>
      <c r="S34" s="348">
        <f t="shared" si="0"/>
        <v>40.373586959999997</v>
      </c>
      <c r="T34" s="380">
        <v>14.8</v>
      </c>
      <c r="U34" s="380">
        <v>0</v>
      </c>
      <c r="V34" s="352">
        <v>48754</v>
      </c>
      <c r="W34" s="352">
        <v>57096</v>
      </c>
      <c r="X34" s="352">
        <f t="shared" si="1"/>
        <v>8342</v>
      </c>
      <c r="Y34" s="352">
        <f t="shared" si="2"/>
        <v>277.49593199595938</v>
      </c>
      <c r="Z34" s="372">
        <v>3720.5267039999999</v>
      </c>
      <c r="AA34" s="352">
        <v>3789.22</v>
      </c>
      <c r="AB34" s="352">
        <f t="shared" si="3"/>
        <v>68.693295999999918</v>
      </c>
      <c r="AC34" s="371">
        <f t="shared" si="4"/>
        <v>2.285076743633935</v>
      </c>
      <c r="AD34" s="372">
        <v>-88.12</v>
      </c>
      <c r="AE34" s="352">
        <v>-88.43</v>
      </c>
      <c r="AF34" s="352">
        <f t="shared" si="5"/>
        <v>-0.31000000000000227</v>
      </c>
      <c r="AG34" s="371">
        <f t="shared" si="6"/>
        <v>-1.0312124061226091E-2</v>
      </c>
      <c r="AH34" s="372">
        <v>0</v>
      </c>
      <c r="AI34" s="352">
        <v>0</v>
      </c>
      <c r="AJ34" s="352">
        <f t="shared" si="7"/>
        <v>0</v>
      </c>
      <c r="AK34" s="371">
        <f t="shared" si="8"/>
        <v>0</v>
      </c>
      <c r="AL34" s="372">
        <v>0.1</v>
      </c>
      <c r="AM34" s="352">
        <v>0.1</v>
      </c>
      <c r="AN34" s="352">
        <f t="shared" si="9"/>
        <v>0</v>
      </c>
      <c r="AO34" s="371">
        <f t="shared" si="10"/>
        <v>0</v>
      </c>
      <c r="AP34" s="341">
        <v>14.8</v>
      </c>
      <c r="AQ34" s="341">
        <v>0</v>
      </c>
      <c r="AR34" s="341">
        <f t="shared" si="11"/>
        <v>-14.8</v>
      </c>
      <c r="AS34" s="526">
        <v>615.70000000000005</v>
      </c>
      <c r="AT34" s="383">
        <v>618.1</v>
      </c>
      <c r="AU34" s="383">
        <f t="shared" si="12"/>
        <v>2.3999999999999773</v>
      </c>
      <c r="AV34" s="341"/>
      <c r="AW34" s="341"/>
      <c r="AX34" s="341"/>
      <c r="AY34" s="341"/>
      <c r="AZ34" s="362" t="s">
        <v>686</v>
      </c>
      <c r="BA34" s="550">
        <v>77.556657630000004</v>
      </c>
      <c r="BB34" s="550">
        <v>9.3748847899999994</v>
      </c>
      <c r="BC34" s="550">
        <v>635.63433044999999</v>
      </c>
      <c r="BD34" s="550">
        <v>581.15200000000004</v>
      </c>
      <c r="BE34" s="550">
        <v>28.8379695</v>
      </c>
      <c r="BF34" s="550">
        <v>30.356550169999998</v>
      </c>
      <c r="BG34" s="550">
        <v>-2.8350737600000002</v>
      </c>
      <c r="BH34" s="550">
        <v>30.061948950000001</v>
      </c>
      <c r="BI34" s="550">
        <v>30.939095120000001</v>
      </c>
      <c r="BJ34" s="550">
        <v>-2.2815409600000001</v>
      </c>
      <c r="BK34" s="550">
        <v>-5.00248106</v>
      </c>
      <c r="BL34" s="550">
        <v>2.721229E-2</v>
      </c>
      <c r="BM34" s="550"/>
      <c r="BN34" s="550"/>
      <c r="BO34" s="550"/>
      <c r="BP34" s="550"/>
      <c r="BQ34" s="550"/>
      <c r="BR34" s="550"/>
      <c r="BS34" s="550"/>
    </row>
    <row r="35" spans="1:71" s="577" customFormat="1" ht="15" customHeight="1" x14ac:dyDescent="0.2">
      <c r="A35" s="403">
        <v>62007017</v>
      </c>
      <c r="B35" s="403" t="s">
        <v>645</v>
      </c>
      <c r="C35" s="403" t="s">
        <v>773</v>
      </c>
      <c r="D35" s="402" t="s">
        <v>711</v>
      </c>
      <c r="E35" s="346" t="s">
        <v>712</v>
      </c>
      <c r="F35" s="346" t="str">
        <f t="shared" si="13"/>
        <v>07/29/20</v>
      </c>
      <c r="G35" s="362" t="s">
        <v>713</v>
      </c>
      <c r="H35" s="362" t="s">
        <v>685</v>
      </c>
      <c r="I35" s="370"/>
      <c r="J35" s="363">
        <v>-543.45267999999999</v>
      </c>
      <c r="K35" s="363">
        <v>-1159.4706200000001</v>
      </c>
      <c r="L35" s="363">
        <v>-724.674128</v>
      </c>
      <c r="M35" s="363">
        <v>-554.52242999999999</v>
      </c>
      <c r="N35" s="347">
        <v>4250</v>
      </c>
      <c r="O35" s="347">
        <v>30.36</v>
      </c>
      <c r="P35" s="347">
        <v>0.3201</v>
      </c>
      <c r="Q35" s="347">
        <v>1.9560000000000001E-2</v>
      </c>
      <c r="R35" s="348">
        <v>1.443465E-2</v>
      </c>
      <c r="S35" s="348">
        <f t="shared" si="0"/>
        <v>30.076136599999998</v>
      </c>
      <c r="T35" s="380" t="s">
        <v>990</v>
      </c>
      <c r="U35" s="380" t="s">
        <v>991</v>
      </c>
      <c r="V35" s="352">
        <v>57096</v>
      </c>
      <c r="W35" s="352">
        <v>-3958</v>
      </c>
      <c r="X35" s="352">
        <f t="shared" si="1"/>
        <v>-61054</v>
      </c>
      <c r="Y35" s="352">
        <f t="shared" si="2"/>
        <v>-4229683.4353448125</v>
      </c>
      <c r="Z35" s="372">
        <v>3789.23</v>
      </c>
      <c r="AA35" s="352">
        <v>4743.54</v>
      </c>
      <c r="AB35" s="352">
        <f t="shared" si="3"/>
        <v>954.31</v>
      </c>
      <c r="AC35" s="371">
        <f t="shared" si="4"/>
        <v>66112.444707699877</v>
      </c>
      <c r="AD35" s="372">
        <v>-86.72</v>
      </c>
      <c r="AE35" s="352">
        <v>-111.41</v>
      </c>
      <c r="AF35" s="352">
        <f t="shared" si="5"/>
        <v>-24.689999999999998</v>
      </c>
      <c r="AG35" s="371">
        <f t="shared" si="6"/>
        <v>-1710.4675208612607</v>
      </c>
      <c r="AH35" s="372" t="s">
        <v>992</v>
      </c>
      <c r="AI35" s="352" t="s">
        <v>993</v>
      </c>
      <c r="AJ35" s="352" t="e">
        <f t="shared" si="7"/>
        <v>#VALUE!</v>
      </c>
      <c r="AK35" s="371" t="e">
        <f t="shared" si="8"/>
        <v>#VALUE!</v>
      </c>
      <c r="AL35" s="372" t="s">
        <v>994</v>
      </c>
      <c r="AM35" s="352" t="s">
        <v>995</v>
      </c>
      <c r="AN35" s="352" t="e">
        <f t="shared" si="9"/>
        <v>#VALUE!</v>
      </c>
      <c r="AO35" s="371" t="e">
        <f t="shared" si="10"/>
        <v>#VALUE!</v>
      </c>
      <c r="AP35" s="341" t="s">
        <v>951</v>
      </c>
      <c r="AQ35" s="341" t="s">
        <v>996</v>
      </c>
      <c r="AR35" s="341" t="e">
        <f t="shared" si="11"/>
        <v>#VALUE!</v>
      </c>
      <c r="AS35" s="526">
        <v>618.79999999999995</v>
      </c>
      <c r="AT35" s="383">
        <v>68831.5</v>
      </c>
      <c r="AU35" s="383">
        <f t="shared" si="12"/>
        <v>68212.7</v>
      </c>
      <c r="AV35" s="341"/>
      <c r="AW35" s="341"/>
      <c r="AX35" s="341"/>
      <c r="AY35" s="341"/>
      <c r="AZ35" s="362" t="s">
        <v>714</v>
      </c>
      <c r="BA35" s="550">
        <v>0</v>
      </c>
      <c r="BB35" s="550" t="s">
        <v>691</v>
      </c>
      <c r="BC35" s="550">
        <v>0</v>
      </c>
      <c r="BD35" s="550">
        <v>0</v>
      </c>
      <c r="BE35" s="550">
        <v>0</v>
      </c>
      <c r="BF35" s="550">
        <v>0</v>
      </c>
      <c r="BG35" s="550" t="s">
        <v>691</v>
      </c>
      <c r="BH35" s="550">
        <v>0</v>
      </c>
      <c r="BI35" s="550">
        <v>0</v>
      </c>
      <c r="BJ35" s="550" t="s">
        <v>691</v>
      </c>
      <c r="BK35" s="550" t="s">
        <v>691</v>
      </c>
      <c r="BL35" s="550" t="s">
        <v>691</v>
      </c>
      <c r="BM35" s="550"/>
      <c r="BN35" s="550"/>
      <c r="BO35" s="550"/>
      <c r="BP35" s="550"/>
      <c r="BQ35" s="550"/>
      <c r="BR35" s="550"/>
      <c r="BS35" s="550"/>
    </row>
    <row r="36" spans="1:71" s="577" customFormat="1" ht="15" customHeight="1" x14ac:dyDescent="0.2">
      <c r="A36" s="403">
        <v>62007022</v>
      </c>
      <c r="B36" s="403" t="s">
        <v>674</v>
      </c>
      <c r="C36" s="403" t="s">
        <v>773</v>
      </c>
      <c r="D36" s="402" t="s">
        <v>682</v>
      </c>
      <c r="E36" s="346" t="s">
        <v>715</v>
      </c>
      <c r="F36" s="346" t="str">
        <f t="shared" si="13"/>
        <v>07/30/20</v>
      </c>
      <c r="G36" s="362" t="s">
        <v>716</v>
      </c>
      <c r="H36" s="362" t="s">
        <v>717</v>
      </c>
      <c r="I36" s="370"/>
      <c r="J36" s="363">
        <v>25.934951000000002</v>
      </c>
      <c r="K36" s="363">
        <v>36.811639</v>
      </c>
      <c r="L36" s="363">
        <v>29.200762000000001</v>
      </c>
      <c r="M36" s="363">
        <v>28.885345999999998</v>
      </c>
      <c r="N36" s="347">
        <v>4250</v>
      </c>
      <c r="O36" s="347">
        <v>30.36</v>
      </c>
      <c r="P36" s="347">
        <v>0.3201</v>
      </c>
      <c r="Q36" s="347">
        <v>1.9560000000000001E-2</v>
      </c>
      <c r="R36" s="348">
        <v>10.245464269999999</v>
      </c>
      <c r="S36" s="348">
        <f t="shared" si="0"/>
        <v>10.259898919999999</v>
      </c>
      <c r="T36" s="380">
        <v>88.4</v>
      </c>
      <c r="U36" s="380">
        <v>84.9</v>
      </c>
      <c r="V36" s="352">
        <v>6546</v>
      </c>
      <c r="W36" s="352">
        <v>8916</v>
      </c>
      <c r="X36" s="352">
        <f t="shared" si="1"/>
        <v>2370</v>
      </c>
      <c r="Y36" s="352">
        <f t="shared" si="2"/>
        <v>231.32187449422437</v>
      </c>
      <c r="Z36" s="372">
        <v>360.96</v>
      </c>
      <c r="AA36" s="352">
        <v>393.54</v>
      </c>
      <c r="AB36" s="352">
        <f t="shared" si="3"/>
        <v>32.580000000000041</v>
      </c>
      <c r="AC36" s="371">
        <f t="shared" si="4"/>
        <v>3.1799437430471897</v>
      </c>
      <c r="AD36" s="372">
        <v>3.07</v>
      </c>
      <c r="AE36" s="352">
        <v>2.11</v>
      </c>
      <c r="AF36" s="352">
        <f t="shared" si="5"/>
        <v>-0.96</v>
      </c>
      <c r="AG36" s="371">
        <f t="shared" si="6"/>
        <v>-9.3699999795128858E-2</v>
      </c>
      <c r="AH36" s="372">
        <v>0</v>
      </c>
      <c r="AI36" s="352">
        <v>0</v>
      </c>
      <c r="AJ36" s="352">
        <f t="shared" si="7"/>
        <v>0</v>
      </c>
      <c r="AK36" s="371">
        <f t="shared" si="8"/>
        <v>0</v>
      </c>
      <c r="AL36" s="372">
        <v>0.05</v>
      </c>
      <c r="AM36" s="352">
        <v>0.05</v>
      </c>
      <c r="AN36" s="352">
        <f t="shared" si="9"/>
        <v>0</v>
      </c>
      <c r="AO36" s="371">
        <f t="shared" si="10"/>
        <v>0</v>
      </c>
      <c r="AP36" s="341">
        <v>88.4</v>
      </c>
      <c r="AQ36" s="341">
        <v>84.9</v>
      </c>
      <c r="AR36" s="341">
        <f t="shared" si="11"/>
        <v>-3.5</v>
      </c>
      <c r="AS36" s="526">
        <v>29.9</v>
      </c>
      <c r="AT36" s="383">
        <v>30.9</v>
      </c>
      <c r="AU36" s="383">
        <f t="shared" si="12"/>
        <v>1</v>
      </c>
      <c r="AV36" s="341"/>
      <c r="AW36" s="341"/>
      <c r="AX36" s="341"/>
      <c r="AY36" s="341"/>
      <c r="AZ36" s="362" t="s">
        <v>686</v>
      </c>
      <c r="BA36" s="550">
        <v>1944.73643305</v>
      </c>
      <c r="BB36" s="550">
        <v>-0.23012404</v>
      </c>
      <c r="BC36" s="550">
        <v>1303.7608643999999</v>
      </c>
      <c r="BD36" s="550">
        <v>1306.7680519</v>
      </c>
      <c r="BE36" s="550">
        <v>7.9792762100000001</v>
      </c>
      <c r="BF36" s="550">
        <v>8.0201719400000009</v>
      </c>
      <c r="BG36" s="550">
        <v>-0.10840123</v>
      </c>
      <c r="BH36" s="550">
        <v>10.245561909999999</v>
      </c>
      <c r="BI36" s="550">
        <v>10.25668027</v>
      </c>
      <c r="BJ36" s="550">
        <v>-0.40356742000000001</v>
      </c>
      <c r="BK36" s="550">
        <v>-0.50991081999999999</v>
      </c>
      <c r="BL36" s="550">
        <v>0.28277363</v>
      </c>
      <c r="BM36" s="550"/>
      <c r="BN36" s="550"/>
      <c r="BO36" s="550"/>
      <c r="BP36" s="550"/>
      <c r="BQ36" s="550"/>
      <c r="BR36" s="550"/>
      <c r="BS36" s="550"/>
    </row>
    <row r="37" spans="1:71" s="577" customFormat="1" ht="15" customHeight="1" x14ac:dyDescent="0.2">
      <c r="A37" s="403">
        <v>62007022</v>
      </c>
      <c r="B37" s="403" t="s">
        <v>674</v>
      </c>
      <c r="C37" s="403" t="s">
        <v>774</v>
      </c>
      <c r="D37" s="402" t="s">
        <v>682</v>
      </c>
      <c r="E37" s="346" t="s">
        <v>715</v>
      </c>
      <c r="F37" s="346" t="str">
        <f t="shared" si="13"/>
        <v>07/30/20</v>
      </c>
      <c r="G37" s="362" t="s">
        <v>716</v>
      </c>
      <c r="H37" s="362" t="s">
        <v>717</v>
      </c>
      <c r="I37" s="370"/>
      <c r="J37" s="363">
        <v>25.086224000000001</v>
      </c>
      <c r="K37" s="363">
        <v>38.190508000000001</v>
      </c>
      <c r="L37" s="363">
        <v>29.184479</v>
      </c>
      <c r="M37" s="363">
        <v>30.772383999999999</v>
      </c>
      <c r="N37" s="347">
        <v>4250</v>
      </c>
      <c r="O37" s="347">
        <v>30.36</v>
      </c>
      <c r="P37" s="347">
        <v>0.3201</v>
      </c>
      <c r="Q37" s="347">
        <v>1.9560000000000001E-2</v>
      </c>
      <c r="R37" s="348">
        <v>10.24516586</v>
      </c>
      <c r="S37" s="348">
        <f t="shared" si="0"/>
        <v>20.49063013</v>
      </c>
      <c r="T37" s="380">
        <v>84.8</v>
      </c>
      <c r="U37" s="380">
        <v>81.3</v>
      </c>
      <c r="V37" s="352">
        <v>8917</v>
      </c>
      <c r="W37" s="352">
        <v>11218</v>
      </c>
      <c r="X37" s="352">
        <f t="shared" si="1"/>
        <v>2301</v>
      </c>
      <c r="Y37" s="352">
        <f t="shared" si="2"/>
        <v>224.59372853920786</v>
      </c>
      <c r="Z37" s="372">
        <v>394.16</v>
      </c>
      <c r="AA37" s="352">
        <v>426.44</v>
      </c>
      <c r="AB37" s="352">
        <f t="shared" si="3"/>
        <v>32.279999999999973</v>
      </c>
      <c r="AC37" s="371">
        <f t="shared" si="4"/>
        <v>3.1507542621667204</v>
      </c>
      <c r="AD37" s="372">
        <v>2.1</v>
      </c>
      <c r="AE37" s="352">
        <v>1.36</v>
      </c>
      <c r="AF37" s="352">
        <f t="shared" si="5"/>
        <v>-0.74</v>
      </c>
      <c r="AG37" s="371">
        <f t="shared" si="6"/>
        <v>-7.2229186926994274E-2</v>
      </c>
      <c r="AH37" s="372">
        <v>0</v>
      </c>
      <c r="AI37" s="352">
        <v>0</v>
      </c>
      <c r="AJ37" s="352">
        <f t="shared" si="7"/>
        <v>0</v>
      </c>
      <c r="AK37" s="371">
        <f t="shared" si="8"/>
        <v>0</v>
      </c>
      <c r="AL37" s="372">
        <v>0.05</v>
      </c>
      <c r="AM37" s="352">
        <v>0.05</v>
      </c>
      <c r="AN37" s="352">
        <f t="shared" si="9"/>
        <v>0</v>
      </c>
      <c r="AO37" s="371">
        <f t="shared" si="10"/>
        <v>0</v>
      </c>
      <c r="AP37" s="341">
        <v>84.8</v>
      </c>
      <c r="AQ37" s="341">
        <v>81.3</v>
      </c>
      <c r="AR37" s="341">
        <f t="shared" si="11"/>
        <v>-3.5</v>
      </c>
      <c r="AS37" s="526">
        <v>31</v>
      </c>
      <c r="AT37" s="383">
        <v>32</v>
      </c>
      <c r="AU37" s="383">
        <f t="shared" si="12"/>
        <v>1</v>
      </c>
      <c r="AV37" s="341"/>
      <c r="AW37" s="341"/>
      <c r="AX37" s="341"/>
      <c r="AY37" s="341"/>
      <c r="AZ37" s="362" t="s">
        <v>686</v>
      </c>
      <c r="BA37" s="550">
        <v>1941.2511752099999</v>
      </c>
      <c r="BB37" s="550">
        <v>-0.12413042000000001</v>
      </c>
      <c r="BC37" s="550">
        <v>1305.1140147599999</v>
      </c>
      <c r="BD37" s="550">
        <v>1306.73607173</v>
      </c>
      <c r="BE37" s="550">
        <v>7.9802279800000004</v>
      </c>
      <c r="BF37" s="550">
        <v>8.0200940500000009</v>
      </c>
      <c r="BG37" s="550">
        <v>-0.11145119000000001</v>
      </c>
      <c r="BH37" s="550">
        <v>10.245248950000001</v>
      </c>
      <c r="BI37" s="550">
        <v>10.256680149999999</v>
      </c>
      <c r="BJ37" s="550">
        <v>-0.38755265999999999</v>
      </c>
      <c r="BK37" s="550">
        <v>-0.49707741</v>
      </c>
      <c r="BL37" s="550">
        <v>0.28276837999999999</v>
      </c>
      <c r="BM37" s="550"/>
      <c r="BN37" s="550"/>
      <c r="BO37" s="550"/>
      <c r="BP37" s="550"/>
      <c r="BQ37" s="550"/>
      <c r="BR37" s="550"/>
      <c r="BS37" s="550"/>
    </row>
    <row r="38" spans="1:71" s="548" customFormat="1" ht="15" customHeight="1" x14ac:dyDescent="0.2">
      <c r="A38" s="576" t="s">
        <v>851</v>
      </c>
      <c r="B38" s="435"/>
      <c r="C38" s="435"/>
      <c r="D38" s="436"/>
      <c r="E38" s="435"/>
      <c r="F38" s="435"/>
      <c r="G38" s="436"/>
      <c r="H38" s="436"/>
      <c r="I38" s="436"/>
      <c r="J38" s="436"/>
      <c r="K38" s="436"/>
      <c r="L38" s="436"/>
      <c r="M38" s="436"/>
      <c r="N38" s="436"/>
      <c r="O38" s="436"/>
      <c r="P38" s="437"/>
      <c r="Q38" s="438"/>
      <c r="R38" s="435"/>
      <c r="S38" s="435"/>
      <c r="T38" s="435"/>
      <c r="U38" s="435"/>
      <c r="V38" s="442"/>
      <c r="W38" s="442"/>
      <c r="X38" s="435"/>
      <c r="Y38" s="435"/>
      <c r="Z38" s="442"/>
      <c r="AA38" s="442"/>
      <c r="AB38" s="435"/>
      <c r="AC38" s="435"/>
      <c r="AD38" s="442"/>
      <c r="AE38" s="442"/>
      <c r="AF38" s="435"/>
      <c r="AG38" s="435"/>
      <c r="AH38" s="435"/>
      <c r="AI38" s="435"/>
      <c r="AJ38" s="435"/>
      <c r="AK38" s="435"/>
      <c r="AL38" s="442"/>
      <c r="AM38" s="442"/>
      <c r="AN38" s="435"/>
      <c r="AO38" s="435"/>
      <c r="AP38" s="435"/>
      <c r="AQ38" s="435"/>
      <c r="AR38" s="435"/>
      <c r="AS38" s="435"/>
      <c r="AT38" s="435"/>
      <c r="AU38" s="435"/>
      <c r="AV38" s="435"/>
      <c r="AW38" s="435"/>
      <c r="AX38" s="435"/>
      <c r="AY38" s="435"/>
      <c r="AZ38" s="435"/>
      <c r="BA38" s="435"/>
      <c r="BB38" s="435"/>
      <c r="BC38" s="435"/>
      <c r="BD38" s="435"/>
      <c r="BE38" s="435"/>
      <c r="BF38" s="435"/>
      <c r="BG38" s="435"/>
      <c r="BH38" s="435"/>
      <c r="BI38" s="435"/>
      <c r="BJ38" s="435"/>
      <c r="BK38" s="435"/>
      <c r="BL38" s="439"/>
      <c r="BM38" s="578"/>
    </row>
    <row r="39" spans="1:71" s="577" customFormat="1" ht="15" customHeight="1" x14ac:dyDescent="0.2">
      <c r="A39" s="403">
        <v>62007023</v>
      </c>
      <c r="B39" s="403" t="s">
        <v>627</v>
      </c>
      <c r="C39" s="403" t="s">
        <v>773</v>
      </c>
      <c r="D39" s="402" t="s">
        <v>718</v>
      </c>
      <c r="E39" s="346" t="s">
        <v>719</v>
      </c>
      <c r="F39" s="346" t="str">
        <f t="shared" si="13"/>
        <v>07/31/20</v>
      </c>
      <c r="G39" s="362" t="s">
        <v>720</v>
      </c>
      <c r="H39" s="362" t="s">
        <v>685</v>
      </c>
      <c r="I39" s="370"/>
      <c r="J39" s="363">
        <v>24.09009</v>
      </c>
      <c r="K39" s="363">
        <v>41.712361000000001</v>
      </c>
      <c r="L39" s="363">
        <v>29.253447999999999</v>
      </c>
      <c r="M39" s="363">
        <v>25.256694</v>
      </c>
      <c r="N39" s="347">
        <v>4250</v>
      </c>
      <c r="O39" s="347">
        <v>30.36</v>
      </c>
      <c r="P39" s="347">
        <v>0.3201</v>
      </c>
      <c r="Q39" s="347">
        <v>1.9560000000000001E-2</v>
      </c>
      <c r="R39" s="348">
        <v>3.5809648599999999</v>
      </c>
      <c r="S39" s="348">
        <f>R39+R38</f>
        <v>3.5809648599999999</v>
      </c>
      <c r="T39" s="380">
        <v>98.3</v>
      </c>
      <c r="U39" s="380">
        <v>97</v>
      </c>
      <c r="V39" s="352">
        <v>-378</v>
      </c>
      <c r="W39" s="352">
        <v>507</v>
      </c>
      <c r="X39" s="352">
        <f>W39-V39</f>
        <v>885</v>
      </c>
      <c r="Y39" s="352">
        <f t="shared" ref="Y39:Y61" si="14">X39/$R39</f>
        <v>247.1400962030105</v>
      </c>
      <c r="Z39" s="372">
        <v>635.46214399999997</v>
      </c>
      <c r="AA39" s="352">
        <v>658.71</v>
      </c>
      <c r="AB39" s="352">
        <f>AA39-Z39</f>
        <v>23.24785600000007</v>
      </c>
      <c r="AC39" s="371">
        <f t="shared" ref="AC39:AC61" si="15">AB39/$R39</f>
        <v>6.4920648229985902</v>
      </c>
      <c r="AD39" s="372">
        <v>-0.36</v>
      </c>
      <c r="AE39" s="352">
        <v>-1.57</v>
      </c>
      <c r="AF39" s="352">
        <f>AE39-AD39</f>
        <v>-1.21</v>
      </c>
      <c r="AG39" s="371">
        <f t="shared" ref="AG39:AG61" si="16">AF39/$R39</f>
        <v>-0.33789775865044375</v>
      </c>
      <c r="AH39" s="372">
        <v>0</v>
      </c>
      <c r="AI39" s="352">
        <v>0</v>
      </c>
      <c r="AJ39" s="352">
        <f>AI39-AH39</f>
        <v>0</v>
      </c>
      <c r="AK39" s="371">
        <f t="shared" ref="AK39:AK61" si="17">AJ39/$R39</f>
        <v>0</v>
      </c>
      <c r="AL39" s="372">
        <v>0.05</v>
      </c>
      <c r="AM39" s="352">
        <v>0.05</v>
      </c>
      <c r="AN39" s="352">
        <f>AM39-AL39</f>
        <v>0</v>
      </c>
      <c r="AO39" s="371">
        <f t="shared" ref="AO39:AO61" si="18">AN39/$R39</f>
        <v>0</v>
      </c>
      <c r="AP39" s="341">
        <v>98.3</v>
      </c>
      <c r="AQ39" s="341">
        <v>97</v>
      </c>
      <c r="AR39" s="341">
        <f>AQ39-AP39</f>
        <v>-1.2999999999999972</v>
      </c>
      <c r="AS39" s="526">
        <v>13078.4</v>
      </c>
      <c r="AT39" s="383">
        <v>13079.1</v>
      </c>
      <c r="AU39" s="383">
        <f>AT39-AS39</f>
        <v>0.7000000000007276</v>
      </c>
      <c r="AV39" s="341"/>
      <c r="AW39" s="341"/>
      <c r="AX39" s="341"/>
      <c r="AY39" s="341"/>
      <c r="AZ39" s="362" t="s">
        <v>686</v>
      </c>
      <c r="BA39" s="550">
        <v>2418.0556403700002</v>
      </c>
      <c r="BB39" s="550">
        <v>-1.7597331300000001</v>
      </c>
      <c r="BC39" s="550">
        <v>2012.7673618199999</v>
      </c>
      <c r="BD39" s="550">
        <v>2048.82114641</v>
      </c>
      <c r="BE39" s="550">
        <v>3.21454643</v>
      </c>
      <c r="BF39" s="550">
        <v>3.2585134099999999</v>
      </c>
      <c r="BG39" s="550">
        <v>-0.28020405999999998</v>
      </c>
      <c r="BH39" s="550">
        <v>3.5809184799999998</v>
      </c>
      <c r="BI39" s="550">
        <v>3.5909805499999998</v>
      </c>
      <c r="BJ39" s="550">
        <v>-1.0837142099999999</v>
      </c>
      <c r="BK39" s="550">
        <v>-1.34929575</v>
      </c>
      <c r="BL39" s="550">
        <v>0.59039169999999996</v>
      </c>
      <c r="BM39" s="550"/>
      <c r="BN39" s="550"/>
      <c r="BO39" s="550"/>
      <c r="BP39" s="550"/>
      <c r="BQ39" s="550"/>
      <c r="BR39" s="550"/>
      <c r="BS39" s="550"/>
    </row>
    <row r="40" spans="1:71" s="577" customFormat="1" ht="15" customHeight="1" x14ac:dyDescent="0.2">
      <c r="A40" s="403">
        <f>A39</f>
        <v>62007023</v>
      </c>
      <c r="B40" s="403" t="s">
        <v>628</v>
      </c>
      <c r="C40" s="403" t="s">
        <v>774</v>
      </c>
      <c r="D40" s="402" t="s">
        <v>718</v>
      </c>
      <c r="E40" s="346" t="s">
        <v>719</v>
      </c>
      <c r="F40" s="346" t="str">
        <f t="shared" si="13"/>
        <v>07/31/20</v>
      </c>
      <c r="G40" s="362" t="s">
        <v>720</v>
      </c>
      <c r="H40" s="362" t="s">
        <v>685</v>
      </c>
      <c r="I40" s="370"/>
      <c r="J40" s="363">
        <v>22.084057999999999</v>
      </c>
      <c r="K40" s="363">
        <v>46.148006000000002</v>
      </c>
      <c r="L40" s="363">
        <v>29.247273</v>
      </c>
      <c r="M40" s="363">
        <v>27.868120999999999</v>
      </c>
      <c r="N40" s="347">
        <v>4250</v>
      </c>
      <c r="O40" s="347">
        <v>30.36</v>
      </c>
      <c r="P40" s="347">
        <v>0.3201</v>
      </c>
      <c r="Q40" s="347">
        <v>1.9560000000000001E-2</v>
      </c>
      <c r="R40" s="348">
        <v>3.8431392500000001</v>
      </c>
      <c r="S40" s="348">
        <f>R40+R39</f>
        <v>7.42410411</v>
      </c>
      <c r="T40" s="380">
        <v>97</v>
      </c>
      <c r="U40" s="380">
        <v>95.9</v>
      </c>
      <c r="V40" s="352">
        <v>507</v>
      </c>
      <c r="W40" s="352">
        <v>1223</v>
      </c>
      <c r="X40" s="352">
        <f>W40-V40</f>
        <v>716</v>
      </c>
      <c r="Y40" s="352">
        <f t="shared" si="14"/>
        <v>186.30602573143815</v>
      </c>
      <c r="Z40" s="372">
        <v>658.72</v>
      </c>
      <c r="AA40" s="352">
        <v>695.92</v>
      </c>
      <c r="AB40" s="352">
        <f>AA40-Z40</f>
        <v>37.199999999999932</v>
      </c>
      <c r="AC40" s="371">
        <f t="shared" si="15"/>
        <v>9.6795868117450929</v>
      </c>
      <c r="AD40" s="372">
        <v>-1.57</v>
      </c>
      <c r="AE40" s="352">
        <v>-2.39</v>
      </c>
      <c r="AF40" s="352">
        <f>AE40-AD40</f>
        <v>-0.82000000000000006</v>
      </c>
      <c r="AG40" s="371">
        <f t="shared" si="16"/>
        <v>-0.21336723617287612</v>
      </c>
      <c r="AH40" s="372">
        <v>0</v>
      </c>
      <c r="AI40" s="352">
        <v>0</v>
      </c>
      <c r="AJ40" s="352">
        <f>AI40-AH40</f>
        <v>0</v>
      </c>
      <c r="AK40" s="371">
        <f t="shared" si="17"/>
        <v>0</v>
      </c>
      <c r="AL40" s="372">
        <v>0.05</v>
      </c>
      <c r="AM40" s="352">
        <v>0.05</v>
      </c>
      <c r="AN40" s="352">
        <f>AM40-AL40</f>
        <v>0</v>
      </c>
      <c r="AO40" s="371">
        <f t="shared" si="18"/>
        <v>0</v>
      </c>
      <c r="AP40" s="341">
        <v>97</v>
      </c>
      <c r="AQ40" s="341">
        <v>95.9</v>
      </c>
      <c r="AR40" s="341">
        <f>AQ40-AP40</f>
        <v>-1.0999999999999943</v>
      </c>
      <c r="AS40" s="526">
        <v>13079.1</v>
      </c>
      <c r="AT40" s="383">
        <v>13080.3</v>
      </c>
      <c r="AU40" s="383">
        <f>AT40-AS40</f>
        <v>1.1999999999989086</v>
      </c>
      <c r="AV40" s="341"/>
      <c r="AW40" s="341"/>
      <c r="AX40" s="341"/>
      <c r="AY40" s="341"/>
      <c r="AZ40" s="362" t="s">
        <v>686</v>
      </c>
      <c r="BA40" s="550">
        <v>1482.6170568</v>
      </c>
      <c r="BB40" s="550">
        <v>-2.1179543600000001</v>
      </c>
      <c r="BC40" s="550">
        <v>3343.7784983299998</v>
      </c>
      <c r="BD40" s="550">
        <v>3416.1305850499998</v>
      </c>
      <c r="BE40" s="550">
        <v>2.95611793</v>
      </c>
      <c r="BF40" s="550">
        <v>3.0186155399999999</v>
      </c>
      <c r="BG40" s="550">
        <v>-0.43644960999999999</v>
      </c>
      <c r="BH40" s="550">
        <v>3.8429837400000002</v>
      </c>
      <c r="BI40" s="550">
        <v>3.85982995</v>
      </c>
      <c r="BJ40" s="550">
        <v>-1.6685017799999999</v>
      </c>
      <c r="BK40" s="550">
        <v>-2.0704066299999999</v>
      </c>
      <c r="BL40" s="550">
        <v>0.71450946000000004</v>
      </c>
      <c r="BM40" s="550"/>
      <c r="BN40" s="550"/>
      <c r="BO40" s="550"/>
      <c r="BP40" s="550"/>
      <c r="BQ40" s="550"/>
      <c r="BR40" s="550"/>
      <c r="BS40" s="550"/>
    </row>
    <row r="41" spans="1:71" s="577" customFormat="1" ht="15" customHeight="1" x14ac:dyDescent="0.2">
      <c r="A41" s="403">
        <f>A40</f>
        <v>62007023</v>
      </c>
      <c r="B41" s="403" t="s">
        <v>629</v>
      </c>
      <c r="C41" s="403" t="s">
        <v>775</v>
      </c>
      <c r="D41" s="402" t="s">
        <v>718</v>
      </c>
      <c r="E41" s="346" t="s">
        <v>719</v>
      </c>
      <c r="F41" s="346" t="str">
        <f t="shared" si="13"/>
        <v>07/31/20</v>
      </c>
      <c r="G41" s="362" t="s">
        <v>720</v>
      </c>
      <c r="H41" s="362" t="s">
        <v>685</v>
      </c>
      <c r="I41" s="370"/>
      <c r="J41" s="364">
        <f>AVERAGE(J39:J40)</f>
        <v>23.087074000000001</v>
      </c>
      <c r="K41" s="364">
        <f>AVERAGE(K39:K40)</f>
        <v>43.930183499999998</v>
      </c>
      <c r="L41" s="364">
        <f>AVERAGE(L39:L40)</f>
        <v>29.250360499999999</v>
      </c>
      <c r="M41" s="364">
        <f>AVERAGE(M39:M40)</f>
        <v>26.562407499999999</v>
      </c>
      <c r="N41" s="349"/>
      <c r="O41" s="347"/>
      <c r="P41" s="366"/>
      <c r="Q41" s="365"/>
      <c r="R41" s="350">
        <f>R40+R39</f>
        <v>7.42410411</v>
      </c>
      <c r="S41" s="350">
        <f>S40</f>
        <v>7.42410411</v>
      </c>
      <c r="T41" s="381">
        <f>T39</f>
        <v>98.3</v>
      </c>
      <c r="U41" s="381">
        <f>U40</f>
        <v>95.9</v>
      </c>
      <c r="V41" s="353">
        <f>V39</f>
        <v>-378</v>
      </c>
      <c r="W41" s="353">
        <f>W40</f>
        <v>1223</v>
      </c>
      <c r="X41" s="353">
        <f>SUM(X39:X40)</f>
        <v>1601</v>
      </c>
      <c r="Y41" s="353">
        <f t="shared" si="14"/>
        <v>215.64891551608372</v>
      </c>
      <c r="Z41" s="353">
        <f>Z39</f>
        <v>635.46214399999997</v>
      </c>
      <c r="AA41" s="353">
        <f>AA40</f>
        <v>695.92</v>
      </c>
      <c r="AB41" s="353">
        <f>SUM(AB39:AB40)</f>
        <v>60.447856000000002</v>
      </c>
      <c r="AC41" s="351">
        <f t="shared" si="15"/>
        <v>8.1421078024187352</v>
      </c>
      <c r="AD41" s="353">
        <f>AD39</f>
        <v>-0.36</v>
      </c>
      <c r="AE41" s="353">
        <f>AE40</f>
        <v>-2.39</v>
      </c>
      <c r="AF41" s="353">
        <f>SUM(AF39:AF40)</f>
        <v>-2.0300000000000002</v>
      </c>
      <c r="AG41" s="351">
        <f t="shared" si="16"/>
        <v>-0.27343366552008119</v>
      </c>
      <c r="AH41" s="353">
        <f>AH39</f>
        <v>0</v>
      </c>
      <c r="AI41" s="353">
        <f>AI40</f>
        <v>0</v>
      </c>
      <c r="AJ41" s="353">
        <f>SUM(AJ39:AJ40)</f>
        <v>0</v>
      </c>
      <c r="AK41" s="351">
        <f t="shared" si="17"/>
        <v>0</v>
      </c>
      <c r="AL41" s="353">
        <f>AL39</f>
        <v>0.05</v>
      </c>
      <c r="AM41" s="353">
        <f>AM40</f>
        <v>0.05</v>
      </c>
      <c r="AN41" s="353">
        <f>SUM(AN39:AN40)</f>
        <v>0</v>
      </c>
      <c r="AO41" s="351">
        <f t="shared" si="18"/>
        <v>0</v>
      </c>
      <c r="AP41" s="343"/>
      <c r="AQ41" s="343"/>
      <c r="AR41" s="343">
        <f>SUM(AR39:AR40)</f>
        <v>-2.3999999999999915</v>
      </c>
      <c r="AS41" s="384">
        <f>AS39</f>
        <v>13078.4</v>
      </c>
      <c r="AT41" s="384">
        <f>AT40</f>
        <v>13080.3</v>
      </c>
      <c r="AU41" s="384">
        <f>SUM(AU39:AU40)</f>
        <v>1.8999999999996362</v>
      </c>
      <c r="AV41" s="343"/>
      <c r="AW41" s="343"/>
      <c r="AX41" s="343"/>
      <c r="AY41" s="343"/>
      <c r="AZ41" s="362" t="s">
        <v>686</v>
      </c>
      <c r="BA41" s="550"/>
      <c r="BB41" s="550"/>
      <c r="BC41" s="550"/>
      <c r="BD41" s="550"/>
      <c r="BE41" s="550"/>
      <c r="BF41" s="550"/>
      <c r="BG41" s="550"/>
      <c r="BH41" s="550"/>
      <c r="BI41" s="550"/>
      <c r="BJ41" s="550"/>
      <c r="BK41" s="550"/>
      <c r="BL41" s="550"/>
      <c r="BM41" s="550"/>
      <c r="BN41" s="550"/>
      <c r="BO41" s="550"/>
      <c r="BP41" s="550"/>
      <c r="BQ41" s="550"/>
      <c r="BR41" s="550"/>
      <c r="BS41" s="550"/>
    </row>
    <row r="42" spans="1:71" s="577" customFormat="1" ht="15" customHeight="1" x14ac:dyDescent="0.2">
      <c r="A42" s="403">
        <f t="shared" ref="A42:A48" si="19">A41</f>
        <v>62007023</v>
      </c>
      <c r="B42" s="403" t="s">
        <v>630</v>
      </c>
      <c r="C42" s="403" t="s">
        <v>776</v>
      </c>
      <c r="D42" s="402" t="s">
        <v>718</v>
      </c>
      <c r="E42" s="346" t="s">
        <v>719</v>
      </c>
      <c r="F42" s="346" t="str">
        <f t="shared" si="13"/>
        <v>07/31/20</v>
      </c>
      <c r="G42" s="362" t="s">
        <v>720</v>
      </c>
      <c r="H42" s="362" t="s">
        <v>685</v>
      </c>
      <c r="I42" s="370"/>
      <c r="J42" s="363">
        <v>25.021509000000002</v>
      </c>
      <c r="K42" s="363">
        <v>39.028905000000002</v>
      </c>
      <c r="L42" s="363">
        <v>29.258141999999999</v>
      </c>
      <c r="M42" s="363">
        <v>29.292351</v>
      </c>
      <c r="N42" s="347">
        <v>4250</v>
      </c>
      <c r="O42" s="347">
        <v>30.36</v>
      </c>
      <c r="P42" s="347">
        <v>0.3201</v>
      </c>
      <c r="Q42" s="347">
        <v>1.9560000000000001E-2</v>
      </c>
      <c r="R42" s="348">
        <v>10.245664769999999</v>
      </c>
      <c r="S42" s="348">
        <f>R42+R41</f>
        <v>17.669768879999999</v>
      </c>
      <c r="T42" s="380">
        <v>95.9</v>
      </c>
      <c r="U42" s="380">
        <v>92.6</v>
      </c>
      <c r="V42" s="352">
        <v>1224</v>
      </c>
      <c r="W42" s="352">
        <v>3499</v>
      </c>
      <c r="X42" s="352">
        <f>W42-V42</f>
        <v>2275</v>
      </c>
      <c r="Y42" s="352">
        <f t="shared" si="14"/>
        <v>222.04513333886877</v>
      </c>
      <c r="Z42" s="372">
        <v>696.62</v>
      </c>
      <c r="AA42" s="352">
        <v>728.87</v>
      </c>
      <c r="AB42" s="352">
        <f>AA42-Z42</f>
        <v>32.25</v>
      </c>
      <c r="AC42" s="371">
        <f t="shared" si="15"/>
        <v>3.1476727693092386</v>
      </c>
      <c r="AD42" s="372">
        <v>-2.4012570000000002</v>
      </c>
      <c r="AE42" s="352">
        <v>-3.01</v>
      </c>
      <c r="AF42" s="352">
        <f>AE42-AD42</f>
        <v>-0.60874299999999959</v>
      </c>
      <c r="AG42" s="371">
        <f t="shared" si="16"/>
        <v>-5.9414690375429846E-2</v>
      </c>
      <c r="AH42" s="372">
        <v>0</v>
      </c>
      <c r="AI42" s="352">
        <v>0</v>
      </c>
      <c r="AJ42" s="352">
        <f>AI42-AH42</f>
        <v>0</v>
      </c>
      <c r="AK42" s="371">
        <f t="shared" si="17"/>
        <v>0</v>
      </c>
      <c r="AL42" s="372">
        <v>0.05</v>
      </c>
      <c r="AM42" s="352">
        <v>0.05</v>
      </c>
      <c r="AN42" s="352">
        <f>AM42-AL42</f>
        <v>0</v>
      </c>
      <c r="AO42" s="371">
        <f t="shared" si="18"/>
        <v>0</v>
      </c>
      <c r="AP42" s="341">
        <v>95.9</v>
      </c>
      <c r="AQ42" s="341">
        <v>92.6</v>
      </c>
      <c r="AR42" s="341">
        <f>AQ42-AP42</f>
        <v>-3.3000000000000114</v>
      </c>
      <c r="AS42" s="526">
        <v>13080.3</v>
      </c>
      <c r="AT42" s="383">
        <v>13081.4</v>
      </c>
      <c r="AU42" s="383">
        <f>AT42-AS42</f>
        <v>1.1000000000003638</v>
      </c>
      <c r="AV42" s="341"/>
      <c r="AW42" s="341"/>
      <c r="AX42" s="341"/>
      <c r="AY42" s="341"/>
      <c r="AZ42" s="362" t="s">
        <v>686</v>
      </c>
      <c r="BA42" s="550">
        <v>1945.1372722599999</v>
      </c>
      <c r="BB42" s="550">
        <v>-0.73727732999999995</v>
      </c>
      <c r="BC42" s="550">
        <v>1297.08416663</v>
      </c>
      <c r="BD42" s="550">
        <v>1306.7183044599999</v>
      </c>
      <c r="BE42" s="550">
        <v>7.9743216099999996</v>
      </c>
      <c r="BF42" s="550">
        <v>8.0200500600000009</v>
      </c>
      <c r="BG42" s="550">
        <v>-0.10670022</v>
      </c>
      <c r="BH42" s="550">
        <v>10.24573646</v>
      </c>
      <c r="BI42" s="550">
        <v>10.256680360000001</v>
      </c>
      <c r="BJ42" s="550">
        <v>-0.46613422999999998</v>
      </c>
      <c r="BK42" s="550">
        <v>-0.57017666</v>
      </c>
      <c r="BL42" s="550">
        <v>0.28276562</v>
      </c>
      <c r="BM42" s="550"/>
      <c r="BN42" s="550"/>
      <c r="BO42" s="550"/>
      <c r="BP42" s="550"/>
      <c r="BQ42" s="550"/>
      <c r="BR42" s="550"/>
      <c r="BS42" s="550"/>
    </row>
    <row r="43" spans="1:71" s="577" customFormat="1" ht="15" customHeight="1" x14ac:dyDescent="0.2">
      <c r="A43" s="403">
        <f t="shared" si="19"/>
        <v>62007023</v>
      </c>
      <c r="B43" s="403" t="s">
        <v>631</v>
      </c>
      <c r="C43" s="403" t="s">
        <v>777</v>
      </c>
      <c r="D43" s="402" t="s">
        <v>718</v>
      </c>
      <c r="E43" s="346" t="s">
        <v>719</v>
      </c>
      <c r="F43" s="346" t="str">
        <f t="shared" si="13"/>
        <v>07/31/20</v>
      </c>
      <c r="G43" s="362" t="s">
        <v>720</v>
      </c>
      <c r="H43" s="362" t="s">
        <v>685</v>
      </c>
      <c r="I43" s="370"/>
      <c r="J43" s="363">
        <v>20.580904</v>
      </c>
      <c r="K43" s="363">
        <v>50.757021000000002</v>
      </c>
      <c r="L43" s="363">
        <v>29.250682999999999</v>
      </c>
      <c r="M43" s="363">
        <v>28.756247999999999</v>
      </c>
      <c r="N43" s="347">
        <v>4250</v>
      </c>
      <c r="O43" s="347">
        <v>30.36</v>
      </c>
      <c r="P43" s="347">
        <v>0.3201</v>
      </c>
      <c r="Q43" s="347">
        <v>1.9560000000000001E-2</v>
      </c>
      <c r="R43" s="348">
        <v>3.5821696699999999</v>
      </c>
      <c r="S43" s="348">
        <f>R43+R42</f>
        <v>13.82783444</v>
      </c>
      <c r="T43" s="380">
        <v>92.5</v>
      </c>
      <c r="U43" s="380">
        <v>91.4</v>
      </c>
      <c r="V43" s="352">
        <v>3504</v>
      </c>
      <c r="W43" s="352">
        <v>4244</v>
      </c>
      <c r="X43" s="352">
        <f>W43-V43</f>
        <v>740</v>
      </c>
      <c r="Y43" s="352">
        <f t="shared" si="14"/>
        <v>206.57871295080224</v>
      </c>
      <c r="Z43" s="372">
        <v>733.06051100000002</v>
      </c>
      <c r="AA43" s="352">
        <v>755.61</v>
      </c>
      <c r="AB43" s="352">
        <f>AA43-Z43</f>
        <v>22.549488999999994</v>
      </c>
      <c r="AC43" s="371">
        <f t="shared" si="15"/>
        <v>6.2949248855652318</v>
      </c>
      <c r="AD43" s="372">
        <v>-1.38</v>
      </c>
      <c r="AE43" s="352">
        <v>-2.5499999999999998</v>
      </c>
      <c r="AF43" s="352">
        <f>AE43-AD43</f>
        <v>-1.17</v>
      </c>
      <c r="AG43" s="371">
        <f t="shared" si="16"/>
        <v>-0.32661769480059272</v>
      </c>
      <c r="AH43" s="372">
        <v>0</v>
      </c>
      <c r="AI43" s="352">
        <v>0</v>
      </c>
      <c r="AJ43" s="352">
        <f>AI43-AH43</f>
        <v>0</v>
      </c>
      <c r="AK43" s="371">
        <f t="shared" si="17"/>
        <v>0</v>
      </c>
      <c r="AL43" s="372">
        <v>0.05</v>
      </c>
      <c r="AM43" s="352">
        <v>0.05</v>
      </c>
      <c r="AN43" s="352">
        <f>AM43-AL43</f>
        <v>0</v>
      </c>
      <c r="AO43" s="371">
        <f t="shared" si="18"/>
        <v>0</v>
      </c>
      <c r="AP43" s="341">
        <v>92.5</v>
      </c>
      <c r="AQ43" s="341">
        <v>91.4</v>
      </c>
      <c r="AR43" s="341">
        <f>AQ43-AP43</f>
        <v>-1.0999999999999943</v>
      </c>
      <c r="AS43" s="526">
        <v>13082.2</v>
      </c>
      <c r="AT43" s="383">
        <v>13082.9</v>
      </c>
      <c r="AU43" s="383">
        <f>AT43-AS43</f>
        <v>0.69999999999890861</v>
      </c>
      <c r="AV43" s="341"/>
      <c r="AW43" s="341"/>
      <c r="AX43" s="341"/>
      <c r="AY43" s="341"/>
      <c r="AZ43" s="362" t="s">
        <v>686</v>
      </c>
      <c r="BA43" s="550">
        <v>2410.4862861000001</v>
      </c>
      <c r="BB43" s="550">
        <v>-2.1939605800000002</v>
      </c>
      <c r="BC43" s="550">
        <v>2003.6975272499999</v>
      </c>
      <c r="BD43" s="550">
        <v>2048.6439683899998</v>
      </c>
      <c r="BE43" s="550">
        <v>3.20969843</v>
      </c>
      <c r="BF43" s="550">
        <v>3.2582768</v>
      </c>
      <c r="BG43" s="550">
        <v>-0.2467239</v>
      </c>
      <c r="BH43" s="550">
        <v>3.5821196199999998</v>
      </c>
      <c r="BI43" s="550">
        <v>3.59097942</v>
      </c>
      <c r="BJ43" s="550">
        <v>-1.2630290500000001</v>
      </c>
      <c r="BK43" s="550">
        <v>-1.4909221699999999</v>
      </c>
      <c r="BL43" s="550">
        <v>0.59035954000000002</v>
      </c>
      <c r="BM43" s="550"/>
      <c r="BN43" s="550"/>
      <c r="BO43" s="550"/>
      <c r="BP43" s="550"/>
      <c r="BQ43" s="550"/>
      <c r="BR43" s="550"/>
      <c r="BS43" s="550"/>
    </row>
    <row r="44" spans="1:71" s="577" customFormat="1" ht="15" customHeight="1" x14ac:dyDescent="0.2">
      <c r="A44" s="403">
        <f t="shared" si="19"/>
        <v>62007023</v>
      </c>
      <c r="B44" s="403" t="s">
        <v>225</v>
      </c>
      <c r="C44" s="403" t="s">
        <v>778</v>
      </c>
      <c r="D44" s="402" t="s">
        <v>718</v>
      </c>
      <c r="E44" s="346" t="s">
        <v>719</v>
      </c>
      <c r="F44" s="346" t="str">
        <f t="shared" si="13"/>
        <v>07/31/20</v>
      </c>
      <c r="G44" s="362" t="s">
        <v>720</v>
      </c>
      <c r="H44" s="362" t="s">
        <v>685</v>
      </c>
      <c r="I44" s="370"/>
      <c r="J44" s="363">
        <v>20.089029</v>
      </c>
      <c r="K44" s="363">
        <v>51.945056999999998</v>
      </c>
      <c r="L44" s="363">
        <v>29.251954000000001</v>
      </c>
      <c r="M44" s="363">
        <v>28.050961000000001</v>
      </c>
      <c r="N44" s="347">
        <v>4250</v>
      </c>
      <c r="O44" s="347">
        <v>30.36</v>
      </c>
      <c r="P44" s="347">
        <v>0.3201</v>
      </c>
      <c r="Q44" s="347">
        <v>1.9560000000000001E-2</v>
      </c>
      <c r="R44" s="348">
        <v>3.8434497400000001</v>
      </c>
      <c r="S44" s="348">
        <f>R44+R43</f>
        <v>7.4256194099999995</v>
      </c>
      <c r="T44" s="380">
        <v>91.4</v>
      </c>
      <c r="U44" s="380">
        <v>90.5</v>
      </c>
      <c r="V44" s="352">
        <v>4244</v>
      </c>
      <c r="W44" s="352">
        <v>4892</v>
      </c>
      <c r="X44" s="352">
        <f>W44-V44</f>
        <v>648</v>
      </c>
      <c r="Y44" s="352">
        <f t="shared" si="14"/>
        <v>168.59853616818728</v>
      </c>
      <c r="Z44" s="372">
        <v>755.62007800000003</v>
      </c>
      <c r="AA44" s="352">
        <v>792.72986800000001</v>
      </c>
      <c r="AB44" s="352">
        <f>AA44-Z44</f>
        <v>37.109789999999975</v>
      </c>
      <c r="AC44" s="371">
        <f t="shared" si="15"/>
        <v>9.6553337523284419</v>
      </c>
      <c r="AD44" s="372">
        <v>-2.5499999999999998</v>
      </c>
      <c r="AE44" s="352">
        <v>-3.37</v>
      </c>
      <c r="AF44" s="352">
        <f>AE44-AD44</f>
        <v>-0.82000000000000028</v>
      </c>
      <c r="AG44" s="371">
        <f t="shared" si="16"/>
        <v>-0.21334999947208891</v>
      </c>
      <c r="AH44" s="372">
        <v>0</v>
      </c>
      <c r="AI44" s="352">
        <v>0</v>
      </c>
      <c r="AJ44" s="352">
        <f>AI44-AH44</f>
        <v>0</v>
      </c>
      <c r="AK44" s="371">
        <f t="shared" si="17"/>
        <v>0</v>
      </c>
      <c r="AL44" s="372">
        <v>0.05</v>
      </c>
      <c r="AM44" s="352">
        <v>0.05</v>
      </c>
      <c r="AN44" s="352">
        <f>AM44-AL44</f>
        <v>0</v>
      </c>
      <c r="AO44" s="371">
        <f t="shared" si="18"/>
        <v>0</v>
      </c>
      <c r="AP44" s="341">
        <v>91.4</v>
      </c>
      <c r="AQ44" s="341">
        <v>90.5</v>
      </c>
      <c r="AR44" s="341">
        <f>AQ44-AP44</f>
        <v>-0.90000000000000568</v>
      </c>
      <c r="AS44" s="526">
        <v>13082.9</v>
      </c>
      <c r="AT44" s="383">
        <v>13084.1</v>
      </c>
      <c r="AU44" s="383">
        <f>AT44-AS44</f>
        <v>1.2000000000007276</v>
      </c>
      <c r="AV44" s="341"/>
      <c r="AW44" s="341"/>
      <c r="AX44" s="341"/>
      <c r="AY44" s="341"/>
      <c r="AZ44" s="362" t="s">
        <v>686</v>
      </c>
      <c r="BA44" s="550">
        <v>1481.7251466099999</v>
      </c>
      <c r="BB44" s="550">
        <v>-2.0695466599999999</v>
      </c>
      <c r="BC44" s="550">
        <v>3345.2994058700001</v>
      </c>
      <c r="BD44" s="550">
        <v>3415.9950165199998</v>
      </c>
      <c r="BE44" s="550">
        <v>2.9552306499999998</v>
      </c>
      <c r="BF44" s="550">
        <v>3.01842576</v>
      </c>
      <c r="BG44" s="550">
        <v>-0.42789494</v>
      </c>
      <c r="BH44" s="550">
        <v>3.8433136399999999</v>
      </c>
      <c r="BI44" s="550">
        <v>3.8598296599999999</v>
      </c>
      <c r="BJ44" s="550">
        <v>-1.7013704300000001</v>
      </c>
      <c r="BK44" s="550">
        <v>-2.0936447199999999</v>
      </c>
      <c r="BL44" s="550">
        <v>0.71451640999999999</v>
      </c>
      <c r="BM44" s="550"/>
      <c r="BN44" s="550"/>
      <c r="BO44" s="550"/>
      <c r="BP44" s="550"/>
      <c r="BQ44" s="550"/>
      <c r="BR44" s="550"/>
      <c r="BS44" s="550"/>
    </row>
    <row r="45" spans="1:71" s="577" customFormat="1" ht="15" customHeight="1" x14ac:dyDescent="0.2">
      <c r="A45" s="403">
        <f t="shared" si="19"/>
        <v>62007023</v>
      </c>
      <c r="B45" s="403" t="s">
        <v>632</v>
      </c>
      <c r="C45" s="403" t="s">
        <v>779</v>
      </c>
      <c r="D45" s="402" t="s">
        <v>718</v>
      </c>
      <c r="E45" s="346" t="s">
        <v>719</v>
      </c>
      <c r="F45" s="346" t="str">
        <f t="shared" si="13"/>
        <v>07/31/20</v>
      </c>
      <c r="G45" s="362" t="s">
        <v>720</v>
      </c>
      <c r="H45" s="362" t="s">
        <v>685</v>
      </c>
      <c r="I45" s="370"/>
      <c r="J45" s="364">
        <f>AVERAGE(J43:J44)</f>
        <v>20.3349665</v>
      </c>
      <c r="K45" s="364">
        <f>AVERAGE(K43:K44)</f>
        <v>51.351039</v>
      </c>
      <c r="L45" s="364">
        <f>AVERAGE(L43:L44)</f>
        <v>29.2513185</v>
      </c>
      <c r="M45" s="364">
        <f>AVERAGE(M43:M44)</f>
        <v>28.4036045</v>
      </c>
      <c r="N45" s="349"/>
      <c r="O45" s="347"/>
      <c r="P45" s="366"/>
      <c r="Q45" s="365"/>
      <c r="R45" s="350">
        <f>R44+R43</f>
        <v>7.4256194099999995</v>
      </c>
      <c r="S45" s="350">
        <f>S44</f>
        <v>7.4256194099999995</v>
      </c>
      <c r="T45" s="381">
        <f>T43</f>
        <v>92.5</v>
      </c>
      <c r="U45" s="381">
        <f>U44</f>
        <v>90.5</v>
      </c>
      <c r="V45" s="353">
        <f>V43</f>
        <v>3504</v>
      </c>
      <c r="W45" s="353">
        <f>W44</f>
        <v>4892</v>
      </c>
      <c r="X45" s="353">
        <f>SUM(X43:X44)</f>
        <v>1388</v>
      </c>
      <c r="Y45" s="353">
        <f t="shared" si="14"/>
        <v>186.92043361807578</v>
      </c>
      <c r="Z45" s="353">
        <f>Z43</f>
        <v>733.06051100000002</v>
      </c>
      <c r="AA45" s="353">
        <f>AA44</f>
        <v>792.72986800000001</v>
      </c>
      <c r="AB45" s="353">
        <f>SUM(AB43:AB44)</f>
        <v>59.65927899999997</v>
      </c>
      <c r="AC45" s="351">
        <f t="shared" si="15"/>
        <v>8.034249495692908</v>
      </c>
      <c r="AD45" s="353">
        <f>AD43</f>
        <v>-1.38</v>
      </c>
      <c r="AE45" s="353">
        <f>AE44</f>
        <v>-3.37</v>
      </c>
      <c r="AF45" s="353">
        <f>SUM(AF43:AF44)</f>
        <v>-1.9900000000000002</v>
      </c>
      <c r="AG45" s="351">
        <f t="shared" si="16"/>
        <v>-0.26799111159940264</v>
      </c>
      <c r="AH45" s="353">
        <f>AH43</f>
        <v>0</v>
      </c>
      <c r="AI45" s="353">
        <f>AI44</f>
        <v>0</v>
      </c>
      <c r="AJ45" s="353">
        <f>SUM(AJ43:AJ44)</f>
        <v>0</v>
      </c>
      <c r="AK45" s="351">
        <f t="shared" si="17"/>
        <v>0</v>
      </c>
      <c r="AL45" s="353">
        <f>AL43</f>
        <v>0.05</v>
      </c>
      <c r="AM45" s="353">
        <f>AM44</f>
        <v>0.05</v>
      </c>
      <c r="AN45" s="353">
        <f>SUM(AN43:AN44)</f>
        <v>0</v>
      </c>
      <c r="AO45" s="351">
        <f t="shared" si="18"/>
        <v>0</v>
      </c>
      <c r="AP45" s="343"/>
      <c r="AQ45" s="343"/>
      <c r="AR45" s="343">
        <f>SUM(AR43:AR44)</f>
        <v>-2</v>
      </c>
      <c r="AS45" s="384">
        <f>AS43</f>
        <v>13082.2</v>
      </c>
      <c r="AT45" s="384">
        <f>AT44</f>
        <v>13084.1</v>
      </c>
      <c r="AU45" s="384">
        <f>SUM(AU43:AU44)</f>
        <v>1.8999999999996362</v>
      </c>
      <c r="AV45" s="343"/>
      <c r="AW45" s="343"/>
      <c r="AX45" s="343"/>
      <c r="AY45" s="343"/>
      <c r="AZ45" s="362" t="s">
        <v>686</v>
      </c>
      <c r="BA45" s="550"/>
      <c r="BB45" s="550"/>
      <c r="BC45" s="550"/>
      <c r="BD45" s="550"/>
      <c r="BE45" s="550"/>
      <c r="BF45" s="550"/>
      <c r="BG45" s="550"/>
      <c r="BH45" s="550"/>
      <c r="BI45" s="550"/>
      <c r="BJ45" s="550"/>
      <c r="BK45" s="550"/>
      <c r="BL45" s="550"/>
      <c r="BM45" s="550"/>
      <c r="BN45" s="550"/>
      <c r="BO45" s="550"/>
      <c r="BP45" s="550"/>
      <c r="BQ45" s="550"/>
      <c r="BR45" s="550"/>
      <c r="BS45" s="550"/>
    </row>
    <row r="46" spans="1:71" s="577" customFormat="1" ht="15" customHeight="1" x14ac:dyDescent="0.2">
      <c r="A46" s="403">
        <f t="shared" si="19"/>
        <v>62007023</v>
      </c>
      <c r="B46" s="403" t="s">
        <v>633</v>
      </c>
      <c r="C46" s="403" t="s">
        <v>780</v>
      </c>
      <c r="D46" s="402" t="s">
        <v>718</v>
      </c>
      <c r="E46" s="346" t="s">
        <v>719</v>
      </c>
      <c r="F46" s="346" t="str">
        <f t="shared" si="13"/>
        <v>07/31/20</v>
      </c>
      <c r="G46" s="362" t="s">
        <v>720</v>
      </c>
      <c r="H46" s="362" t="s">
        <v>685</v>
      </c>
      <c r="I46" s="370"/>
      <c r="J46" s="363">
        <v>23.179281</v>
      </c>
      <c r="K46" s="363">
        <v>42.648066999999998</v>
      </c>
      <c r="L46" s="363">
        <v>29.256159</v>
      </c>
      <c r="M46" s="363">
        <v>30.434981000000001</v>
      </c>
      <c r="N46" s="347">
        <v>4250</v>
      </c>
      <c r="O46" s="347">
        <v>30.36</v>
      </c>
      <c r="P46" s="347">
        <v>0.3201</v>
      </c>
      <c r="Q46" s="347">
        <v>1.9560000000000001E-2</v>
      </c>
      <c r="R46" s="348">
        <v>1.76521003</v>
      </c>
      <c r="S46" s="348">
        <f>R46+R45</f>
        <v>9.1908294399999999</v>
      </c>
      <c r="T46" s="380">
        <v>90.4</v>
      </c>
      <c r="U46" s="380">
        <v>86.8</v>
      </c>
      <c r="V46" s="352">
        <v>4897</v>
      </c>
      <c r="W46" s="352">
        <v>7306</v>
      </c>
      <c r="X46" s="352">
        <f>W46-V46-X47</f>
        <v>554</v>
      </c>
      <c r="Y46" s="352">
        <f t="shared" si="14"/>
        <v>313.8436733219786</v>
      </c>
      <c r="Z46" s="372">
        <v>796.65</v>
      </c>
      <c r="AA46" s="352">
        <v>821.99</v>
      </c>
      <c r="AB46" s="352">
        <f>AA46-Z46-AB47</f>
        <v>10.040000000000077</v>
      </c>
      <c r="AC46" s="371">
        <f t="shared" si="15"/>
        <v>5.6877084479290421</v>
      </c>
      <c r="AD46" s="372">
        <v>-3.44</v>
      </c>
      <c r="AE46" s="352">
        <v>-3.88</v>
      </c>
      <c r="AF46" s="352">
        <f>AE46-AD46-AF47</f>
        <v>-0.18000000000000016</v>
      </c>
      <c r="AG46" s="371">
        <f t="shared" si="16"/>
        <v>-0.10197086858836858</v>
      </c>
      <c r="AH46" s="372">
        <v>0</v>
      </c>
      <c r="AI46" s="352">
        <v>0</v>
      </c>
      <c r="AJ46" s="352">
        <f>AI46-AH46-AJ47</f>
        <v>0</v>
      </c>
      <c r="AK46" s="371">
        <f t="shared" si="17"/>
        <v>0</v>
      </c>
      <c r="AL46" s="372">
        <v>0.05</v>
      </c>
      <c r="AM46" s="352">
        <v>0.05</v>
      </c>
      <c r="AN46" s="352">
        <f>AM46-AL46-AN47</f>
        <v>0</v>
      </c>
      <c r="AO46" s="371">
        <f t="shared" si="18"/>
        <v>0</v>
      </c>
      <c r="AP46" s="341">
        <v>90.4</v>
      </c>
      <c r="AQ46" s="341">
        <v>86.8</v>
      </c>
      <c r="AR46" s="341">
        <f>AQ46-AP46-AR47</f>
        <v>-0.79999999999999716</v>
      </c>
      <c r="AS46" s="526">
        <v>13084.3</v>
      </c>
      <c r="AT46" s="383">
        <v>13085.1</v>
      </c>
      <c r="AU46" s="383">
        <f>AT46-AS46-AU47</f>
        <v>0.2000000000007276</v>
      </c>
      <c r="AV46" s="341"/>
      <c r="AW46" s="341"/>
      <c r="AX46" s="341"/>
      <c r="AY46" s="341"/>
      <c r="AZ46" s="362" t="s">
        <v>686</v>
      </c>
      <c r="BA46" s="550">
        <v>5560.7046395799998</v>
      </c>
      <c r="BB46" s="550">
        <v>-1.1761884300000001</v>
      </c>
      <c r="BC46" s="550">
        <v>2430.3574709999998</v>
      </c>
      <c r="BD46" s="550">
        <v>2459.2832764499999</v>
      </c>
      <c r="BE46" s="550">
        <v>3.1645429100000002</v>
      </c>
      <c r="BF46" s="550">
        <v>3.2077174300000002</v>
      </c>
      <c r="BG46" s="550">
        <v>-0.39031665999999998</v>
      </c>
      <c r="BH46" s="550">
        <v>1.76518788</v>
      </c>
      <c r="BI46" s="550">
        <v>1.7721047000000001</v>
      </c>
      <c r="BJ46" s="550">
        <v>-0.96867877000000002</v>
      </c>
      <c r="BK46" s="550">
        <v>-1.3459574299999999</v>
      </c>
      <c r="BL46" s="550">
        <v>0.81478353999999997</v>
      </c>
      <c r="BM46" s="550"/>
      <c r="BN46" s="550"/>
      <c r="BO46" s="550"/>
      <c r="BP46" s="550"/>
      <c r="BQ46" s="550"/>
      <c r="BR46" s="550"/>
      <c r="BS46" s="550"/>
    </row>
    <row r="47" spans="1:71" s="577" customFormat="1" ht="15" customHeight="1" x14ac:dyDescent="0.2">
      <c r="A47" s="403">
        <f t="shared" si="19"/>
        <v>62007023</v>
      </c>
      <c r="B47" s="403" t="s">
        <v>634</v>
      </c>
      <c r="C47" s="403" t="s">
        <v>781</v>
      </c>
      <c r="D47" s="402" t="s">
        <v>718</v>
      </c>
      <c r="E47" s="346" t="s">
        <v>719</v>
      </c>
      <c r="F47" s="346" t="str">
        <f t="shared" si="13"/>
        <v>07/31/20</v>
      </c>
      <c r="G47" s="362" t="s">
        <v>720</v>
      </c>
      <c r="H47" s="362" t="s">
        <v>685</v>
      </c>
      <c r="I47" s="370"/>
      <c r="J47" s="363">
        <v>27.114179</v>
      </c>
      <c r="K47" s="363">
        <v>34.506101000000001</v>
      </c>
      <c r="L47" s="363">
        <v>29.290227000000002</v>
      </c>
      <c r="M47" s="363">
        <v>30.605827999999999</v>
      </c>
      <c r="N47" s="347">
        <v>4250</v>
      </c>
      <c r="O47" s="347">
        <v>30.36</v>
      </c>
      <c r="P47" s="347">
        <v>0.3201</v>
      </c>
      <c r="Q47" s="347">
        <v>1.9560000000000001E-2</v>
      </c>
      <c r="R47" s="348">
        <v>6.2272161700000002</v>
      </c>
      <c r="S47" s="348">
        <f>R47+R46</f>
        <v>7.9924262000000006</v>
      </c>
      <c r="T47" s="380">
        <v>89.9</v>
      </c>
      <c r="U47" s="380">
        <v>87.1</v>
      </c>
      <c r="V47" s="352">
        <v>5269</v>
      </c>
      <c r="W47" s="352">
        <v>7124</v>
      </c>
      <c r="X47" s="352">
        <f>W47-V47</f>
        <v>1855</v>
      </c>
      <c r="Y47" s="352">
        <f t="shared" si="14"/>
        <v>297.88591713526461</v>
      </c>
      <c r="Z47" s="372">
        <v>802.23</v>
      </c>
      <c r="AA47" s="352">
        <v>817.53</v>
      </c>
      <c r="AB47" s="352">
        <f>AA47-Z47</f>
        <v>15.299999999999955</v>
      </c>
      <c r="AC47" s="371">
        <f t="shared" si="15"/>
        <v>2.4569566211156526</v>
      </c>
      <c r="AD47" s="372">
        <v>-3.54</v>
      </c>
      <c r="AE47" s="352">
        <v>-3.8</v>
      </c>
      <c r="AF47" s="352">
        <f>AE47-AD47</f>
        <v>-0.25999999999999979</v>
      </c>
      <c r="AG47" s="371">
        <f t="shared" si="16"/>
        <v>-4.1752204018958891E-2</v>
      </c>
      <c r="AH47" s="372">
        <v>0</v>
      </c>
      <c r="AI47" s="352">
        <v>0</v>
      </c>
      <c r="AJ47" s="352">
        <f>AI47-AH47</f>
        <v>0</v>
      </c>
      <c r="AK47" s="371">
        <f t="shared" si="17"/>
        <v>0</v>
      </c>
      <c r="AL47" s="372">
        <v>0.05</v>
      </c>
      <c r="AM47" s="352">
        <v>0.05</v>
      </c>
      <c r="AN47" s="352">
        <f>AM47-AL47</f>
        <v>0</v>
      </c>
      <c r="AO47" s="371">
        <f t="shared" si="18"/>
        <v>0</v>
      </c>
      <c r="AP47" s="341">
        <v>89.9</v>
      </c>
      <c r="AQ47" s="341">
        <v>87.1</v>
      </c>
      <c r="AR47" s="341">
        <f>AQ47-AP47</f>
        <v>-2.8000000000000114</v>
      </c>
      <c r="AS47" s="526">
        <v>13084.4</v>
      </c>
      <c r="AT47" s="383">
        <v>13085</v>
      </c>
      <c r="AU47" s="383">
        <f>AT47-AS47</f>
        <v>0.6000000000003638</v>
      </c>
      <c r="AV47" s="341"/>
      <c r="AW47" s="341"/>
      <c r="AX47" s="341"/>
      <c r="AY47" s="341"/>
      <c r="AZ47" s="362" t="s">
        <v>686</v>
      </c>
      <c r="BA47" s="550">
        <v>11813.604418159999</v>
      </c>
      <c r="BB47" s="550">
        <v>-9.4198781599999997</v>
      </c>
      <c r="BC47" s="550">
        <v>1031.07690146</v>
      </c>
      <c r="BD47" s="550">
        <v>1138.30372545</v>
      </c>
      <c r="BE47" s="550">
        <v>6.92148465</v>
      </c>
      <c r="BF47" s="550">
        <v>7.0841276300000002</v>
      </c>
      <c r="BG47" s="550">
        <v>-0.12193759999999999</v>
      </c>
      <c r="BH47" s="550">
        <v>6.2272555299999999</v>
      </c>
      <c r="BI47" s="550">
        <v>6.2348581699999999</v>
      </c>
      <c r="BJ47" s="550">
        <v>-2.2250250899999999</v>
      </c>
      <c r="BK47" s="550">
        <v>-2.29587881</v>
      </c>
      <c r="BL47" s="550">
        <v>0.34892423</v>
      </c>
      <c r="BM47" s="550"/>
      <c r="BN47" s="550"/>
      <c r="BO47" s="550"/>
      <c r="BP47" s="550"/>
      <c r="BQ47" s="550"/>
      <c r="BR47" s="550"/>
      <c r="BS47" s="550"/>
    </row>
    <row r="48" spans="1:71" s="577" customFormat="1" ht="15" customHeight="1" x14ac:dyDescent="0.2">
      <c r="A48" s="403">
        <f t="shared" si="19"/>
        <v>62007023</v>
      </c>
      <c r="B48" s="403" t="s">
        <v>635</v>
      </c>
      <c r="C48" s="403" t="s">
        <v>782</v>
      </c>
      <c r="D48" s="402" t="s">
        <v>718</v>
      </c>
      <c r="E48" s="346" t="s">
        <v>719</v>
      </c>
      <c r="F48" s="346" t="str">
        <f t="shared" si="13"/>
        <v>07/31/20</v>
      </c>
      <c r="G48" s="362" t="s">
        <v>720</v>
      </c>
      <c r="H48" s="362" t="s">
        <v>685</v>
      </c>
      <c r="I48" s="370"/>
      <c r="J48" s="364">
        <f>AVERAGE(J46:J47)</f>
        <v>25.146729999999998</v>
      </c>
      <c r="K48" s="364">
        <f>AVERAGE(K46:K47)</f>
        <v>38.577083999999999</v>
      </c>
      <c r="L48" s="364">
        <f>AVERAGE(L46:L47)</f>
        <v>29.273192999999999</v>
      </c>
      <c r="M48" s="364">
        <f>AVERAGE(M46:M47)</f>
        <v>30.520404499999998</v>
      </c>
      <c r="N48" s="349"/>
      <c r="O48" s="347"/>
      <c r="P48" s="366"/>
      <c r="Q48" s="365"/>
      <c r="R48" s="350">
        <f>R47+R46</f>
        <v>7.9924262000000006</v>
      </c>
      <c r="S48" s="350">
        <f>S47</f>
        <v>7.9924262000000006</v>
      </c>
      <c r="T48" s="381">
        <f>T46</f>
        <v>90.4</v>
      </c>
      <c r="U48" s="381">
        <f>U47</f>
        <v>87.1</v>
      </c>
      <c r="V48" s="353">
        <f>V46</f>
        <v>4897</v>
      </c>
      <c r="W48" s="353">
        <f>W47</f>
        <v>7124</v>
      </c>
      <c r="X48" s="353">
        <f>SUM(X46:X47)</f>
        <v>2409</v>
      </c>
      <c r="Y48" s="353">
        <f t="shared" si="14"/>
        <v>301.41035271617523</v>
      </c>
      <c r="Z48" s="353">
        <f>Z46</f>
        <v>796.65</v>
      </c>
      <c r="AA48" s="353">
        <f>AA47</f>
        <v>817.53</v>
      </c>
      <c r="AB48" s="353">
        <f>SUM(AB46:AB47)</f>
        <v>25.340000000000032</v>
      </c>
      <c r="AC48" s="351">
        <f t="shared" si="15"/>
        <v>3.170501593120751</v>
      </c>
      <c r="AD48" s="353">
        <f>AD46</f>
        <v>-3.44</v>
      </c>
      <c r="AE48" s="353">
        <f>AE47</f>
        <v>-3.8</v>
      </c>
      <c r="AF48" s="353">
        <f>SUM(AF46:AF47)</f>
        <v>-0.43999999999999995</v>
      </c>
      <c r="AG48" s="351">
        <f t="shared" si="16"/>
        <v>-5.5052119217566239E-2</v>
      </c>
      <c r="AH48" s="353">
        <f>AH46</f>
        <v>0</v>
      </c>
      <c r="AI48" s="353">
        <f>AI47</f>
        <v>0</v>
      </c>
      <c r="AJ48" s="353">
        <f>SUM(AJ46:AJ47)</f>
        <v>0</v>
      </c>
      <c r="AK48" s="351">
        <f t="shared" si="17"/>
        <v>0</v>
      </c>
      <c r="AL48" s="353">
        <f>AL46</f>
        <v>0.05</v>
      </c>
      <c r="AM48" s="353">
        <f>AM47</f>
        <v>0.05</v>
      </c>
      <c r="AN48" s="353">
        <f>SUM(AN46:AN47)</f>
        <v>0</v>
      </c>
      <c r="AO48" s="351">
        <f t="shared" si="18"/>
        <v>0</v>
      </c>
      <c r="AP48" s="343"/>
      <c r="AQ48" s="343"/>
      <c r="AR48" s="343">
        <f>SUM(AR46:AR47)</f>
        <v>-3.6000000000000085</v>
      </c>
      <c r="AS48" s="384">
        <f>AS46</f>
        <v>13084.3</v>
      </c>
      <c r="AT48" s="384">
        <f>AT47</f>
        <v>13085</v>
      </c>
      <c r="AU48" s="384">
        <f>SUM(AU46:AU47)</f>
        <v>0.80000000000109139</v>
      </c>
      <c r="AV48" s="343"/>
      <c r="AW48" s="343"/>
      <c r="AX48" s="343"/>
      <c r="AY48" s="343"/>
      <c r="AZ48" s="362" t="s">
        <v>686</v>
      </c>
      <c r="BA48" s="550"/>
      <c r="BB48" s="550"/>
      <c r="BC48" s="550"/>
      <c r="BD48" s="550"/>
      <c r="BE48" s="550"/>
      <c r="BF48" s="550"/>
      <c r="BG48" s="550"/>
      <c r="BH48" s="550"/>
      <c r="BI48" s="550"/>
      <c r="BJ48" s="550"/>
      <c r="BK48" s="550"/>
      <c r="BL48" s="550"/>
      <c r="BM48" s="550"/>
      <c r="BN48" s="550"/>
      <c r="BO48" s="550"/>
      <c r="BP48" s="550"/>
      <c r="BQ48" s="550"/>
      <c r="BR48" s="550"/>
      <c r="BS48" s="550"/>
    </row>
    <row r="49" spans="1:71" s="577" customFormat="1" ht="15" customHeight="1" x14ac:dyDescent="0.2">
      <c r="A49" s="403">
        <f>A48+1</f>
        <v>62007024</v>
      </c>
      <c r="B49" s="403" t="s">
        <v>636</v>
      </c>
      <c r="C49" s="403" t="s">
        <v>773</v>
      </c>
      <c r="D49" s="402" t="s">
        <v>721</v>
      </c>
      <c r="E49" s="346" t="s">
        <v>722</v>
      </c>
      <c r="F49" s="346" t="str">
        <f t="shared" si="13"/>
        <v>07/31/20</v>
      </c>
      <c r="G49" s="362" t="s">
        <v>723</v>
      </c>
      <c r="H49" s="362" t="s">
        <v>685</v>
      </c>
      <c r="I49" s="370"/>
      <c r="J49" s="363">
        <v>159.206424</v>
      </c>
      <c r="K49" s="363">
        <v>208.56320199999999</v>
      </c>
      <c r="L49" s="363">
        <v>175.31380100000001</v>
      </c>
      <c r="M49" s="363">
        <v>190.826425</v>
      </c>
      <c r="N49" s="347">
        <v>4250</v>
      </c>
      <c r="O49" s="347">
        <v>30.36</v>
      </c>
      <c r="P49" s="347">
        <v>0.3201</v>
      </c>
      <c r="Q49" s="347">
        <v>1.9560000000000001E-2</v>
      </c>
      <c r="R49" s="348">
        <v>141.27587179</v>
      </c>
      <c r="S49" s="348">
        <f>R49+R48</f>
        <v>149.26829799000001</v>
      </c>
      <c r="T49" s="380">
        <v>86.8</v>
      </c>
      <c r="U49" s="380">
        <v>22.3</v>
      </c>
      <c r="V49" s="352">
        <v>7310</v>
      </c>
      <c r="W49" s="352">
        <v>46581</v>
      </c>
      <c r="X49" s="352">
        <f>W49-V49</f>
        <v>39271</v>
      </c>
      <c r="Y49" s="352">
        <f t="shared" si="14"/>
        <v>277.97386420219379</v>
      </c>
      <c r="Z49" s="372">
        <v>825.23</v>
      </c>
      <c r="AA49" s="352">
        <v>1147.83</v>
      </c>
      <c r="AB49" s="352">
        <f>AA49-Z49</f>
        <v>322.59999999999991</v>
      </c>
      <c r="AC49" s="371">
        <f t="shared" si="15"/>
        <v>2.2834755568136207</v>
      </c>
      <c r="AD49" s="372">
        <v>-2.83</v>
      </c>
      <c r="AE49" s="352">
        <v>-8.23</v>
      </c>
      <c r="AF49" s="352">
        <f>AE49-AD49</f>
        <v>-5.4</v>
      </c>
      <c r="AG49" s="371">
        <f t="shared" si="16"/>
        <v>-3.8223087435813874E-2</v>
      </c>
      <c r="AH49" s="372">
        <v>0</v>
      </c>
      <c r="AI49" s="352">
        <v>0</v>
      </c>
      <c r="AJ49" s="352">
        <f>AI49-AH49</f>
        <v>0</v>
      </c>
      <c r="AK49" s="371">
        <f t="shared" si="17"/>
        <v>0</v>
      </c>
      <c r="AL49" s="372">
        <v>0.05</v>
      </c>
      <c r="AM49" s="352">
        <v>0.05</v>
      </c>
      <c r="AN49" s="352">
        <f>AM49-AL49</f>
        <v>0</v>
      </c>
      <c r="AO49" s="371">
        <f t="shared" si="18"/>
        <v>0</v>
      </c>
      <c r="AP49" s="341">
        <v>86.8</v>
      </c>
      <c r="AQ49" s="341">
        <v>22.3</v>
      </c>
      <c r="AR49" s="341">
        <f>AQ49-AP49</f>
        <v>-64.5</v>
      </c>
      <c r="AS49" s="526">
        <v>13085.7</v>
      </c>
      <c r="AT49" s="383">
        <v>13096.5</v>
      </c>
      <c r="AU49" s="383">
        <f>AT49-AS49</f>
        <v>10.799999999999272</v>
      </c>
      <c r="AV49" s="341"/>
      <c r="AW49" s="341"/>
      <c r="AX49" s="341"/>
      <c r="AY49" s="341"/>
      <c r="AZ49" s="362" t="s">
        <v>686</v>
      </c>
      <c r="BA49" s="550">
        <v>17.090217760000002</v>
      </c>
      <c r="BB49" s="550">
        <v>63.728928029999999</v>
      </c>
      <c r="BC49" s="550">
        <v>951.51393983000003</v>
      </c>
      <c r="BD49" s="550">
        <v>581.15200000000004</v>
      </c>
      <c r="BE49" s="550">
        <v>135.68272683000001</v>
      </c>
      <c r="BF49" s="550">
        <v>136.03433522</v>
      </c>
      <c r="BG49" s="550">
        <v>-0.10763062</v>
      </c>
      <c r="BH49" s="550">
        <v>141.27707681999999</v>
      </c>
      <c r="BI49" s="550">
        <v>141.42929805</v>
      </c>
      <c r="BJ49" s="550">
        <v>-0.15123059</v>
      </c>
      <c r="BK49" s="550">
        <v>-0.25847031999999998</v>
      </c>
      <c r="BL49" s="550">
        <v>6.0725199999999997E-3</v>
      </c>
      <c r="BM49" s="550"/>
      <c r="BN49" s="550"/>
      <c r="BO49" s="550"/>
      <c r="BP49" s="550"/>
      <c r="BQ49" s="550"/>
      <c r="BR49" s="550"/>
      <c r="BS49" s="550"/>
    </row>
    <row r="50" spans="1:71" s="577" customFormat="1" ht="15" customHeight="1" x14ac:dyDescent="0.2">
      <c r="A50" s="403">
        <f>A49+1</f>
        <v>62007025</v>
      </c>
      <c r="B50" s="403" t="s">
        <v>637</v>
      </c>
      <c r="C50" s="403" t="s">
        <v>810</v>
      </c>
      <c r="D50" s="402" t="s">
        <v>724</v>
      </c>
      <c r="E50" s="346" t="s">
        <v>725</v>
      </c>
      <c r="F50" s="346" t="str">
        <f t="shared" si="13"/>
        <v>07/31/20</v>
      </c>
      <c r="G50" s="362" t="s">
        <v>726</v>
      </c>
      <c r="H50" s="362" t="s">
        <v>685</v>
      </c>
      <c r="I50" s="370"/>
      <c r="J50" s="363">
        <v>22.400153</v>
      </c>
      <c r="K50" s="363">
        <v>43.284002999999998</v>
      </c>
      <c r="L50" s="363">
        <v>29.260092</v>
      </c>
      <c r="M50" s="363">
        <v>32.930567000000003</v>
      </c>
      <c r="N50" s="347">
        <v>4250</v>
      </c>
      <c r="O50" s="347">
        <v>30.36</v>
      </c>
      <c r="P50" s="347">
        <v>0.3201</v>
      </c>
      <c r="Q50" s="347">
        <v>1.9560000000000001E-2</v>
      </c>
      <c r="R50" s="348">
        <v>1.76540151</v>
      </c>
      <c r="S50" s="348">
        <f>R50+R49</f>
        <v>143.0412733</v>
      </c>
      <c r="T50" s="380">
        <v>22.3</v>
      </c>
      <c r="U50" s="380">
        <v>18.100000000000001</v>
      </c>
      <c r="V50" s="352">
        <v>46583</v>
      </c>
      <c r="W50" s="352">
        <v>48950</v>
      </c>
      <c r="X50" s="352">
        <f>W50-V50-X51</f>
        <v>534</v>
      </c>
      <c r="Y50" s="352">
        <f t="shared" si="14"/>
        <v>302.48076540956396</v>
      </c>
      <c r="Z50" s="372">
        <v>1149.81</v>
      </c>
      <c r="AA50" s="352">
        <v>1175.6500000000001</v>
      </c>
      <c r="AB50" s="352">
        <f>AA50-Z50-AB51</f>
        <v>10.610163000000284</v>
      </c>
      <c r="AC50" s="371">
        <f t="shared" si="15"/>
        <v>6.0100566017983548</v>
      </c>
      <c r="AD50" s="372">
        <v>-6.98</v>
      </c>
      <c r="AE50" s="352">
        <v>-8.01</v>
      </c>
      <c r="AF50" s="352">
        <f>AE50-AD50-AF51</f>
        <v>-0.62999999999999989</v>
      </c>
      <c r="AG50" s="371">
        <f t="shared" si="16"/>
        <v>-0.35685932997757541</v>
      </c>
      <c r="AH50" s="372">
        <v>0</v>
      </c>
      <c r="AI50" s="352">
        <v>0</v>
      </c>
      <c r="AJ50" s="352">
        <f>AI50-AH50-AJ51</f>
        <v>0</v>
      </c>
      <c r="AK50" s="371">
        <f t="shared" si="17"/>
        <v>0</v>
      </c>
      <c r="AL50" s="372">
        <v>0.05</v>
      </c>
      <c r="AM50" s="352">
        <v>0.05</v>
      </c>
      <c r="AN50" s="352">
        <f>AM50-AL50-AN51</f>
        <v>0</v>
      </c>
      <c r="AO50" s="371">
        <f t="shared" si="18"/>
        <v>0</v>
      </c>
      <c r="AP50" s="341">
        <v>22.3</v>
      </c>
      <c r="AQ50" s="341">
        <v>18.100000000000001</v>
      </c>
      <c r="AR50" s="341">
        <f>AQ50-AP50-AR51</f>
        <v>-0.99999999999999645</v>
      </c>
      <c r="AS50" s="526">
        <v>13097</v>
      </c>
      <c r="AT50" s="383">
        <v>13097.8</v>
      </c>
      <c r="AU50" s="383">
        <f>AT50-AS50-AU51</f>
        <v>0.2999999999992724</v>
      </c>
      <c r="AV50" s="341"/>
      <c r="AW50" s="341"/>
      <c r="AX50" s="341"/>
      <c r="AY50" s="341"/>
      <c r="AZ50" s="362" t="s">
        <v>686</v>
      </c>
      <c r="BA50" s="550">
        <v>5546.9152112600004</v>
      </c>
      <c r="BB50" s="550">
        <v>-1.10656764</v>
      </c>
      <c r="BC50" s="550">
        <v>2432.4789579399999</v>
      </c>
      <c r="BD50" s="550">
        <v>2459.69717077</v>
      </c>
      <c r="BE50" s="550">
        <v>3.16628657</v>
      </c>
      <c r="BF50" s="550">
        <v>3.2085636000000002</v>
      </c>
      <c r="BG50" s="550">
        <v>-0.38481717999999998</v>
      </c>
      <c r="BH50" s="550">
        <v>1.7653800900000001</v>
      </c>
      <c r="BI50" s="550">
        <v>1.77219982</v>
      </c>
      <c r="BJ50" s="550">
        <v>-0.94526889000000003</v>
      </c>
      <c r="BK50" s="550">
        <v>-1.31763092</v>
      </c>
      <c r="BL50" s="550">
        <v>0.81481000999999997</v>
      </c>
      <c r="BM50" s="550"/>
      <c r="BN50" s="550"/>
      <c r="BO50" s="550"/>
      <c r="BP50" s="550"/>
      <c r="BQ50" s="550"/>
      <c r="BR50" s="550"/>
      <c r="BS50" s="550"/>
    </row>
    <row r="51" spans="1:71" s="577" customFormat="1" ht="15" customHeight="1" x14ac:dyDescent="0.2">
      <c r="A51" s="403">
        <f>A50</f>
        <v>62007025</v>
      </c>
      <c r="B51" s="403" t="s">
        <v>638</v>
      </c>
      <c r="C51" s="403" t="s">
        <v>774</v>
      </c>
      <c r="D51" s="402" t="s">
        <v>724</v>
      </c>
      <c r="E51" s="346" t="s">
        <v>725</v>
      </c>
      <c r="F51" s="346" t="str">
        <f t="shared" si="13"/>
        <v>07/31/20</v>
      </c>
      <c r="G51" s="362" t="s">
        <v>726</v>
      </c>
      <c r="H51" s="362" t="s">
        <v>685</v>
      </c>
      <c r="I51" s="370"/>
      <c r="J51" s="363">
        <v>26.117889000000002</v>
      </c>
      <c r="K51" s="363">
        <v>35.840434000000002</v>
      </c>
      <c r="L51" s="363">
        <v>29.289035999999999</v>
      </c>
      <c r="M51" s="363">
        <v>31.500156</v>
      </c>
      <c r="N51" s="347">
        <v>4250</v>
      </c>
      <c r="O51" s="347">
        <v>30.36</v>
      </c>
      <c r="P51" s="347">
        <v>0.3201</v>
      </c>
      <c r="Q51" s="347">
        <v>1.9560000000000001E-2</v>
      </c>
      <c r="R51" s="348">
        <v>6.2279140000000002</v>
      </c>
      <c r="S51" s="348">
        <f>R51+R50</f>
        <v>7.9933155100000004</v>
      </c>
      <c r="T51" s="380">
        <v>21.6</v>
      </c>
      <c r="U51" s="380">
        <v>18.399999999999999</v>
      </c>
      <c r="V51" s="352">
        <v>46943</v>
      </c>
      <c r="W51" s="352">
        <v>48776</v>
      </c>
      <c r="X51" s="352">
        <f>W51-V51</f>
        <v>1833</v>
      </c>
      <c r="Y51" s="352">
        <f t="shared" si="14"/>
        <v>294.32005644265479</v>
      </c>
      <c r="Z51" s="372">
        <v>1155.9261120000001</v>
      </c>
      <c r="AA51" s="352">
        <v>1171.155949</v>
      </c>
      <c r="AB51" s="352">
        <f>AA51-Z51</f>
        <v>15.229836999999861</v>
      </c>
      <c r="AC51" s="371">
        <f t="shared" si="15"/>
        <v>2.445415431234256</v>
      </c>
      <c r="AD51" s="372">
        <v>-7.53</v>
      </c>
      <c r="AE51" s="352">
        <v>-7.93</v>
      </c>
      <c r="AF51" s="352">
        <f>AE51-AD51</f>
        <v>-0.39999999999999947</v>
      </c>
      <c r="AG51" s="371">
        <f t="shared" si="16"/>
        <v>-6.4226962671610349E-2</v>
      </c>
      <c r="AH51" s="372">
        <v>0</v>
      </c>
      <c r="AI51" s="352">
        <v>0</v>
      </c>
      <c r="AJ51" s="352">
        <f>AI51-AH51</f>
        <v>0</v>
      </c>
      <c r="AK51" s="371">
        <f t="shared" si="17"/>
        <v>0</v>
      </c>
      <c r="AL51" s="372">
        <v>0.05</v>
      </c>
      <c r="AM51" s="352">
        <v>0.05</v>
      </c>
      <c r="AN51" s="352">
        <f>AM51-AL51</f>
        <v>0</v>
      </c>
      <c r="AO51" s="371">
        <f t="shared" si="18"/>
        <v>0</v>
      </c>
      <c r="AP51" s="341">
        <v>21.6</v>
      </c>
      <c r="AQ51" s="341">
        <v>18.399999999999999</v>
      </c>
      <c r="AR51" s="341">
        <f>AQ51-AP51</f>
        <v>-3.2000000000000028</v>
      </c>
      <c r="AS51" s="526">
        <v>13097.2</v>
      </c>
      <c r="AT51" s="383">
        <v>13097.7</v>
      </c>
      <c r="AU51" s="383">
        <f>AT51-AS51</f>
        <v>0.5</v>
      </c>
      <c r="AV51" s="341"/>
      <c r="AW51" s="341"/>
      <c r="AX51" s="341"/>
      <c r="AY51" s="341"/>
      <c r="AZ51" s="362" t="s">
        <v>686</v>
      </c>
      <c r="BA51" s="550">
        <v>11825.438130099999</v>
      </c>
      <c r="BB51" s="550">
        <v>-9.5406898499999997</v>
      </c>
      <c r="BC51" s="550">
        <v>1030.56637763</v>
      </c>
      <c r="BD51" s="550">
        <v>1139.25960295</v>
      </c>
      <c r="BE51" s="550">
        <v>6.9218571400000002</v>
      </c>
      <c r="BF51" s="550">
        <v>7.0877692999999997</v>
      </c>
      <c r="BG51" s="550">
        <v>-0.12513284999999999</v>
      </c>
      <c r="BH51" s="550">
        <v>6.2279497099999999</v>
      </c>
      <c r="BI51" s="550">
        <v>6.23575268</v>
      </c>
      <c r="BJ51" s="550">
        <v>-2.2687990400000002</v>
      </c>
      <c r="BK51" s="550">
        <v>-2.3408233100000002</v>
      </c>
      <c r="BL51" s="550">
        <v>0.34915618999999998</v>
      </c>
      <c r="BM51" s="550"/>
      <c r="BN51" s="550"/>
      <c r="BO51" s="550"/>
      <c r="BP51" s="550"/>
      <c r="BQ51" s="550"/>
      <c r="BR51" s="550"/>
      <c r="BS51" s="550"/>
    </row>
    <row r="52" spans="1:71" s="577" customFormat="1" ht="15" customHeight="1" x14ac:dyDescent="0.2">
      <c r="A52" s="403">
        <f t="shared" ref="A52:A59" si="20">A51</f>
        <v>62007025</v>
      </c>
      <c r="B52" s="403" t="s">
        <v>639</v>
      </c>
      <c r="C52" s="403" t="s">
        <v>775</v>
      </c>
      <c r="D52" s="402" t="s">
        <v>724</v>
      </c>
      <c r="E52" s="346" t="s">
        <v>725</v>
      </c>
      <c r="F52" s="346" t="str">
        <f t="shared" si="13"/>
        <v>07/31/20</v>
      </c>
      <c r="G52" s="362" t="s">
        <v>726</v>
      </c>
      <c r="H52" s="362" t="s">
        <v>685</v>
      </c>
      <c r="I52" s="370"/>
      <c r="J52" s="364">
        <f>AVERAGE(J50:J51)</f>
        <v>24.259021000000001</v>
      </c>
      <c r="K52" s="364">
        <f>AVERAGE(K50:K51)</f>
        <v>39.5622185</v>
      </c>
      <c r="L52" s="364">
        <f>AVERAGE(L50:L51)</f>
        <v>29.274563999999998</v>
      </c>
      <c r="M52" s="364">
        <f>AVERAGE(M50:M51)</f>
        <v>32.2153615</v>
      </c>
      <c r="N52" s="349"/>
      <c r="O52" s="347"/>
      <c r="P52" s="366"/>
      <c r="Q52" s="365"/>
      <c r="R52" s="350">
        <f>R51+R50</f>
        <v>7.9933155100000004</v>
      </c>
      <c r="S52" s="350">
        <f>S51</f>
        <v>7.9933155100000004</v>
      </c>
      <c r="T52" s="381">
        <f>T50</f>
        <v>22.3</v>
      </c>
      <c r="U52" s="381">
        <f>U51</f>
        <v>18.399999999999999</v>
      </c>
      <c r="V52" s="353">
        <f>V50</f>
        <v>46583</v>
      </c>
      <c r="W52" s="353">
        <f>W51</f>
        <v>48776</v>
      </c>
      <c r="X52" s="353">
        <f>SUM(X50:X51)</f>
        <v>2367</v>
      </c>
      <c r="Y52" s="353">
        <f t="shared" si="14"/>
        <v>296.12242842644901</v>
      </c>
      <c r="Z52" s="353">
        <f>Z50</f>
        <v>1149.81</v>
      </c>
      <c r="AA52" s="353">
        <f>AA51</f>
        <v>1171.155949</v>
      </c>
      <c r="AB52" s="353">
        <f>SUM(AB50:AB51)</f>
        <v>25.840000000000146</v>
      </c>
      <c r="AC52" s="351">
        <f t="shared" si="15"/>
        <v>3.2327011197885449</v>
      </c>
      <c r="AD52" s="353">
        <f>AD50</f>
        <v>-6.98</v>
      </c>
      <c r="AE52" s="353">
        <f>AE51</f>
        <v>-7.93</v>
      </c>
      <c r="AF52" s="353">
        <f>SUM(AF50:AF51)</f>
        <v>-1.0299999999999994</v>
      </c>
      <c r="AG52" s="351">
        <f t="shared" si="16"/>
        <v>-0.12885766847454258</v>
      </c>
      <c r="AH52" s="353">
        <f>AH50</f>
        <v>0</v>
      </c>
      <c r="AI52" s="353">
        <f>AI51</f>
        <v>0</v>
      </c>
      <c r="AJ52" s="353">
        <f>SUM(AJ50:AJ51)</f>
        <v>0</v>
      </c>
      <c r="AK52" s="351">
        <f t="shared" si="17"/>
        <v>0</v>
      </c>
      <c r="AL52" s="353">
        <f>AL50</f>
        <v>0.05</v>
      </c>
      <c r="AM52" s="353">
        <f>AM51</f>
        <v>0.05</v>
      </c>
      <c r="AN52" s="353">
        <f>SUM(AN50:AN51)</f>
        <v>0</v>
      </c>
      <c r="AO52" s="351">
        <f t="shared" si="18"/>
        <v>0</v>
      </c>
      <c r="AP52" s="343"/>
      <c r="AQ52" s="343"/>
      <c r="AR52" s="343">
        <f>SUM(AR50:AR51)</f>
        <v>-4.1999999999999993</v>
      </c>
      <c r="AS52" s="384">
        <f>AS50</f>
        <v>13097</v>
      </c>
      <c r="AT52" s="384">
        <f>AT51</f>
        <v>13097.7</v>
      </c>
      <c r="AU52" s="384">
        <f>SUM(AU50:AU51)</f>
        <v>0.7999999999992724</v>
      </c>
      <c r="AV52" s="343"/>
      <c r="AW52" s="343"/>
      <c r="AX52" s="343"/>
      <c r="AY52" s="343"/>
      <c r="AZ52" s="362" t="s">
        <v>686</v>
      </c>
      <c r="BA52" s="550"/>
      <c r="BB52" s="550"/>
      <c r="BC52" s="550"/>
      <c r="BD52" s="550"/>
      <c r="BE52" s="550"/>
      <c r="BF52" s="550"/>
      <c r="BG52" s="550"/>
      <c r="BH52" s="550"/>
      <c r="BI52" s="550"/>
      <c r="BJ52" s="550"/>
      <c r="BK52" s="550"/>
      <c r="BL52" s="550"/>
      <c r="BM52" s="550"/>
      <c r="BN52" s="550"/>
      <c r="BO52" s="550"/>
      <c r="BP52" s="550"/>
      <c r="BQ52" s="550"/>
      <c r="BR52" s="550"/>
      <c r="BS52" s="550"/>
    </row>
    <row r="53" spans="1:71" s="577" customFormat="1" ht="15" customHeight="1" x14ac:dyDescent="0.2">
      <c r="A53" s="403">
        <f t="shared" si="20"/>
        <v>62007025</v>
      </c>
      <c r="B53" s="403" t="s">
        <v>640</v>
      </c>
      <c r="C53" s="403" t="s">
        <v>776</v>
      </c>
      <c r="D53" s="402" t="s">
        <v>724</v>
      </c>
      <c r="E53" s="346" t="s">
        <v>725</v>
      </c>
      <c r="F53" s="346" t="str">
        <f t="shared" si="13"/>
        <v>07/31/20</v>
      </c>
      <c r="G53" s="362" t="s">
        <v>726</v>
      </c>
      <c r="H53" s="362" t="s">
        <v>685</v>
      </c>
      <c r="I53" s="370"/>
      <c r="J53" s="363">
        <v>21.059021999999999</v>
      </c>
      <c r="K53" s="363">
        <v>49.846119000000002</v>
      </c>
      <c r="L53" s="363">
        <v>29.251467999999999</v>
      </c>
      <c r="M53" s="363">
        <v>29.878104</v>
      </c>
      <c r="N53" s="347">
        <v>4250</v>
      </c>
      <c r="O53" s="347">
        <v>30.36</v>
      </c>
      <c r="P53" s="347">
        <v>0.3201</v>
      </c>
      <c r="Q53" s="347">
        <v>1.9560000000000001E-2</v>
      </c>
      <c r="R53" s="348">
        <v>3.5811620899999999</v>
      </c>
      <c r="S53" s="348">
        <f>R53+R52</f>
        <v>11.5744776</v>
      </c>
      <c r="T53" s="380">
        <v>18.100000000000001</v>
      </c>
      <c r="U53" s="380">
        <v>16.8</v>
      </c>
      <c r="V53" s="352">
        <v>48956</v>
      </c>
      <c r="W53" s="352">
        <v>49676</v>
      </c>
      <c r="X53" s="352">
        <f>W53-V53</f>
        <v>720</v>
      </c>
      <c r="Y53" s="352">
        <f t="shared" si="14"/>
        <v>201.0520557029576</v>
      </c>
      <c r="Z53" s="372">
        <v>1180.8654100000001</v>
      </c>
      <c r="AA53" s="352">
        <v>1202.5899999999999</v>
      </c>
      <c r="AB53" s="352">
        <f>AA53-Z53</f>
        <v>21.724589999999807</v>
      </c>
      <c r="AC53" s="371">
        <f t="shared" si="15"/>
        <v>6.0663520538942732</v>
      </c>
      <c r="AD53" s="372">
        <v>-7.12</v>
      </c>
      <c r="AE53" s="352">
        <v>-7.71</v>
      </c>
      <c r="AF53" s="352">
        <f>AE53-AD53</f>
        <v>-0.58999999999999986</v>
      </c>
      <c r="AG53" s="371">
        <f t="shared" si="16"/>
        <v>-0.16475099008992355</v>
      </c>
      <c r="AH53" s="372">
        <v>0</v>
      </c>
      <c r="AI53" s="352">
        <v>0</v>
      </c>
      <c r="AJ53" s="352">
        <f>AI53-AH53</f>
        <v>0</v>
      </c>
      <c r="AK53" s="371">
        <f t="shared" si="17"/>
        <v>0</v>
      </c>
      <c r="AL53" s="372">
        <v>0.05</v>
      </c>
      <c r="AM53" s="352">
        <v>0.05</v>
      </c>
      <c r="AN53" s="352">
        <f>AM53-AL53</f>
        <v>0</v>
      </c>
      <c r="AO53" s="371">
        <f t="shared" si="18"/>
        <v>0</v>
      </c>
      <c r="AP53" s="341">
        <v>18.100000000000001</v>
      </c>
      <c r="AQ53" s="341">
        <v>16.8</v>
      </c>
      <c r="AR53" s="341">
        <f>AQ53-AP53</f>
        <v>-1.3000000000000007</v>
      </c>
      <c r="AS53" s="526">
        <v>13098.6</v>
      </c>
      <c r="AT53" s="383">
        <v>13099.3</v>
      </c>
      <c r="AU53" s="383">
        <f>AT53-AS53</f>
        <v>0.69999999999890861</v>
      </c>
      <c r="AV53" s="341"/>
      <c r="AW53" s="341"/>
      <c r="AX53" s="341"/>
      <c r="AY53" s="341"/>
      <c r="AZ53" s="362" t="s">
        <v>686</v>
      </c>
      <c r="BA53" s="550">
        <v>2413.1498118099998</v>
      </c>
      <c r="BB53" s="550">
        <v>-2.1863294</v>
      </c>
      <c r="BC53" s="550">
        <v>2003.9298758</v>
      </c>
      <c r="BD53" s="550">
        <v>2048.7216802500002</v>
      </c>
      <c r="BE53" s="550">
        <v>3.20924626</v>
      </c>
      <c r="BF53" s="550">
        <v>3.2583832099999999</v>
      </c>
      <c r="BG53" s="550">
        <v>-0.27440500000000001</v>
      </c>
      <c r="BH53" s="550">
        <v>3.5811260300000001</v>
      </c>
      <c r="BI53" s="550">
        <v>3.59097986</v>
      </c>
      <c r="BJ53" s="550">
        <v>-1.25249919</v>
      </c>
      <c r="BK53" s="550">
        <v>-1.5080163</v>
      </c>
      <c r="BL53" s="550">
        <v>0.59037289000000004</v>
      </c>
      <c r="BM53" s="550"/>
      <c r="BN53" s="550"/>
      <c r="BO53" s="550"/>
      <c r="BP53" s="550"/>
      <c r="BQ53" s="550"/>
      <c r="BR53" s="550"/>
      <c r="BS53" s="550"/>
    </row>
    <row r="54" spans="1:71" s="577" customFormat="1" ht="15" customHeight="1" x14ac:dyDescent="0.2">
      <c r="A54" s="403">
        <f t="shared" si="20"/>
        <v>62007025</v>
      </c>
      <c r="B54" s="403" t="s">
        <v>220</v>
      </c>
      <c r="C54" s="403" t="s">
        <v>777</v>
      </c>
      <c r="D54" s="402" t="s">
        <v>724</v>
      </c>
      <c r="E54" s="346" t="s">
        <v>725</v>
      </c>
      <c r="F54" s="346" t="str">
        <f t="shared" si="13"/>
        <v>07/31/20</v>
      </c>
      <c r="G54" s="362" t="s">
        <v>726</v>
      </c>
      <c r="H54" s="362" t="s">
        <v>685</v>
      </c>
      <c r="I54" s="370"/>
      <c r="J54" s="363">
        <v>20.812963</v>
      </c>
      <c r="K54" s="363">
        <v>50.044047999999997</v>
      </c>
      <c r="L54" s="363">
        <v>29.250340000000001</v>
      </c>
      <c r="M54" s="363">
        <v>29.241768</v>
      </c>
      <c r="N54" s="347">
        <v>4250</v>
      </c>
      <c r="O54" s="347">
        <v>30.36</v>
      </c>
      <c r="P54" s="347">
        <v>0.3201</v>
      </c>
      <c r="Q54" s="347">
        <v>1.9560000000000001E-2</v>
      </c>
      <c r="R54" s="348">
        <v>3.8431491499999999</v>
      </c>
      <c r="S54" s="348">
        <f>R54+R53</f>
        <v>7.4243112399999998</v>
      </c>
      <c r="T54" s="380">
        <v>16.8</v>
      </c>
      <c r="U54" s="380">
        <v>15.7</v>
      </c>
      <c r="V54" s="352">
        <v>49676</v>
      </c>
      <c r="W54" s="352">
        <v>50305</v>
      </c>
      <c r="X54" s="352">
        <f>W54-V54</f>
        <v>629</v>
      </c>
      <c r="Y54" s="352">
        <f t="shared" si="14"/>
        <v>163.66786076985849</v>
      </c>
      <c r="Z54" s="372">
        <v>1202.5999999999999</v>
      </c>
      <c r="AA54" s="352">
        <v>1239.19</v>
      </c>
      <c r="AB54" s="352">
        <f>AA54-Z54</f>
        <v>36.590000000000146</v>
      </c>
      <c r="AC54" s="371">
        <f t="shared" si="15"/>
        <v>9.5208378784883081</v>
      </c>
      <c r="AD54" s="372">
        <v>-7.71</v>
      </c>
      <c r="AE54" s="352">
        <v>-8.36</v>
      </c>
      <c r="AF54" s="352">
        <f>AE54-AD54</f>
        <v>-0.64999999999999947</v>
      </c>
      <c r="AG54" s="371">
        <f t="shared" si="16"/>
        <v>-0.16913212957139576</v>
      </c>
      <c r="AH54" s="372">
        <v>0</v>
      </c>
      <c r="AI54" s="352">
        <v>0</v>
      </c>
      <c r="AJ54" s="352">
        <f>AI54-AH54</f>
        <v>0</v>
      </c>
      <c r="AK54" s="371">
        <f t="shared" si="17"/>
        <v>0</v>
      </c>
      <c r="AL54" s="372">
        <v>0.05</v>
      </c>
      <c r="AM54" s="352">
        <v>0.05</v>
      </c>
      <c r="AN54" s="352">
        <f>AM54-AL54</f>
        <v>0</v>
      </c>
      <c r="AO54" s="371">
        <f t="shared" si="18"/>
        <v>0</v>
      </c>
      <c r="AP54" s="341">
        <v>16.8</v>
      </c>
      <c r="AQ54" s="341">
        <v>15.7</v>
      </c>
      <c r="AR54" s="341">
        <f>AQ54-AP54</f>
        <v>-1.1000000000000014</v>
      </c>
      <c r="AS54" s="526">
        <v>13099.3</v>
      </c>
      <c r="AT54" s="383">
        <v>13100.5</v>
      </c>
      <c r="AU54" s="383">
        <f>AT54-AS54</f>
        <v>1.2000000000007276</v>
      </c>
      <c r="AV54" s="341"/>
      <c r="AW54" s="341"/>
      <c r="AX54" s="341"/>
      <c r="AY54" s="341"/>
      <c r="AZ54" s="362" t="s">
        <v>686</v>
      </c>
      <c r="BA54" s="550">
        <v>1482.0670295699999</v>
      </c>
      <c r="BB54" s="550">
        <v>-2.0888505400000001</v>
      </c>
      <c r="BC54" s="550">
        <v>3344.6747608599999</v>
      </c>
      <c r="BD54" s="550">
        <v>3416.0305329399998</v>
      </c>
      <c r="BE54" s="550">
        <v>2.9554303399999999</v>
      </c>
      <c r="BF54" s="550">
        <v>3.01849341</v>
      </c>
      <c r="BG54" s="550">
        <v>-0.43382817000000001</v>
      </c>
      <c r="BH54" s="550">
        <v>3.8430847300000002</v>
      </c>
      <c r="BI54" s="550">
        <v>3.8598297600000002</v>
      </c>
      <c r="BJ54" s="550">
        <v>-1.69071802</v>
      </c>
      <c r="BK54" s="550">
        <v>-2.0892233099999999</v>
      </c>
      <c r="BL54" s="550">
        <v>0.71451061000000005</v>
      </c>
      <c r="BM54" s="550"/>
      <c r="BN54" s="550"/>
      <c r="BO54" s="550"/>
      <c r="BP54" s="550"/>
      <c r="BQ54" s="550"/>
      <c r="BR54" s="550"/>
      <c r="BS54" s="550"/>
    </row>
    <row r="55" spans="1:71" s="577" customFormat="1" ht="15" customHeight="1" x14ac:dyDescent="0.2">
      <c r="A55" s="403">
        <f t="shared" si="20"/>
        <v>62007025</v>
      </c>
      <c r="B55" s="403" t="s">
        <v>641</v>
      </c>
      <c r="C55" s="403" t="s">
        <v>799</v>
      </c>
      <c r="D55" s="402" t="s">
        <v>724</v>
      </c>
      <c r="E55" s="346" t="s">
        <v>725</v>
      </c>
      <c r="F55" s="346" t="str">
        <f t="shared" si="13"/>
        <v>07/31/20</v>
      </c>
      <c r="G55" s="362" t="s">
        <v>726</v>
      </c>
      <c r="H55" s="362" t="s">
        <v>685</v>
      </c>
      <c r="I55" s="370"/>
      <c r="J55" s="364">
        <f>AVERAGE(J53:J54)</f>
        <v>20.935992499999998</v>
      </c>
      <c r="K55" s="364">
        <f>AVERAGE(K53:K54)</f>
        <v>49.945083499999996</v>
      </c>
      <c r="L55" s="364">
        <f>AVERAGE(L53:L54)</f>
        <v>29.250903999999998</v>
      </c>
      <c r="M55" s="364">
        <f>AVERAGE(M53:M54)</f>
        <v>29.559936</v>
      </c>
      <c r="N55" s="349"/>
      <c r="O55" s="347"/>
      <c r="P55" s="366"/>
      <c r="Q55" s="365"/>
      <c r="R55" s="350">
        <f>R54+R53</f>
        <v>7.4243112399999998</v>
      </c>
      <c r="S55" s="350">
        <f>S54</f>
        <v>7.4243112399999998</v>
      </c>
      <c r="T55" s="381">
        <f>T53</f>
        <v>18.100000000000001</v>
      </c>
      <c r="U55" s="381">
        <f>U54</f>
        <v>15.7</v>
      </c>
      <c r="V55" s="353">
        <f>V53</f>
        <v>48956</v>
      </c>
      <c r="W55" s="353">
        <f>W54</f>
        <v>50305</v>
      </c>
      <c r="X55" s="353">
        <f>SUM(X53:X54)</f>
        <v>1349</v>
      </c>
      <c r="Y55" s="353">
        <f t="shared" si="14"/>
        <v>181.70035662459648</v>
      </c>
      <c r="Z55" s="353">
        <f>Z53</f>
        <v>1180.8654100000001</v>
      </c>
      <c r="AA55" s="353">
        <f>AA54</f>
        <v>1239.19</v>
      </c>
      <c r="AB55" s="353">
        <f>SUM(AB53:AB54)</f>
        <v>58.314589999999953</v>
      </c>
      <c r="AC55" s="351">
        <f t="shared" si="15"/>
        <v>7.8545454406353734</v>
      </c>
      <c r="AD55" s="353">
        <f>AD53</f>
        <v>-7.12</v>
      </c>
      <c r="AE55" s="353">
        <f>AE54</f>
        <v>-8.36</v>
      </c>
      <c r="AF55" s="353">
        <f>SUM(AF53:AF54)</f>
        <v>-1.2399999999999993</v>
      </c>
      <c r="AG55" s="351">
        <f t="shared" si="16"/>
        <v>-0.16701886005522573</v>
      </c>
      <c r="AH55" s="353">
        <f>AH53</f>
        <v>0</v>
      </c>
      <c r="AI55" s="353">
        <f>AI54</f>
        <v>0</v>
      </c>
      <c r="AJ55" s="353">
        <f>SUM(AJ53:AJ54)</f>
        <v>0</v>
      </c>
      <c r="AK55" s="351">
        <f t="shared" si="17"/>
        <v>0</v>
      </c>
      <c r="AL55" s="353">
        <f>AL53</f>
        <v>0.05</v>
      </c>
      <c r="AM55" s="353">
        <f>AM54</f>
        <v>0.05</v>
      </c>
      <c r="AN55" s="353">
        <f>SUM(AN53:AN54)</f>
        <v>0</v>
      </c>
      <c r="AO55" s="351">
        <f t="shared" si="18"/>
        <v>0</v>
      </c>
      <c r="AP55" s="343"/>
      <c r="AQ55" s="343"/>
      <c r="AR55" s="343">
        <f>SUM(AR53:AR54)</f>
        <v>-2.4000000000000021</v>
      </c>
      <c r="AS55" s="384">
        <f>AS53</f>
        <v>13098.6</v>
      </c>
      <c r="AT55" s="384">
        <f>AT54</f>
        <v>13100.5</v>
      </c>
      <c r="AU55" s="384">
        <f>SUM(AU53:AU54)</f>
        <v>1.8999999999996362</v>
      </c>
      <c r="AV55" s="343"/>
      <c r="AW55" s="343"/>
      <c r="AX55" s="343"/>
      <c r="AY55" s="343"/>
      <c r="AZ55" s="362" t="s">
        <v>686</v>
      </c>
      <c r="BA55" s="550"/>
      <c r="BB55" s="550"/>
      <c r="BC55" s="550"/>
      <c r="BD55" s="550"/>
      <c r="BE55" s="550"/>
      <c r="BF55" s="550"/>
      <c r="BG55" s="550"/>
      <c r="BH55" s="550"/>
      <c r="BI55" s="550"/>
      <c r="BJ55" s="550"/>
      <c r="BK55" s="550"/>
      <c r="BL55" s="550"/>
      <c r="BM55" s="550"/>
      <c r="BN55" s="550"/>
      <c r="BO55" s="550"/>
      <c r="BP55" s="550"/>
      <c r="BQ55" s="550"/>
      <c r="BR55" s="550"/>
      <c r="BS55" s="550"/>
    </row>
    <row r="56" spans="1:71" s="577" customFormat="1" ht="15" customHeight="1" x14ac:dyDescent="0.2">
      <c r="A56" s="403">
        <f t="shared" si="20"/>
        <v>62007025</v>
      </c>
      <c r="B56" s="403" t="s">
        <v>55</v>
      </c>
      <c r="C56" s="403" t="s">
        <v>778</v>
      </c>
      <c r="D56" s="402" t="s">
        <v>724</v>
      </c>
      <c r="E56" s="346" t="s">
        <v>725</v>
      </c>
      <c r="F56" s="346" t="str">
        <f t="shared" si="13"/>
        <v>07/31/20</v>
      </c>
      <c r="G56" s="362" t="s">
        <v>726</v>
      </c>
      <c r="H56" s="362" t="s">
        <v>685</v>
      </c>
      <c r="I56" s="370"/>
      <c r="J56" s="363">
        <v>25.654754000000001</v>
      </c>
      <c r="K56" s="363">
        <v>37.515433999999999</v>
      </c>
      <c r="L56" s="363">
        <v>29.26951</v>
      </c>
      <c r="M56" s="363">
        <v>30.437647999999999</v>
      </c>
      <c r="N56" s="347">
        <v>4250</v>
      </c>
      <c r="O56" s="347">
        <v>30.36</v>
      </c>
      <c r="P56" s="347">
        <v>0.3201</v>
      </c>
      <c r="Q56" s="347">
        <v>1.9560000000000001E-2</v>
      </c>
      <c r="R56" s="348">
        <v>10.24552366</v>
      </c>
      <c r="S56" s="348">
        <f>R56+R55</f>
        <v>17.669834899999998</v>
      </c>
      <c r="T56" s="380">
        <v>15.7</v>
      </c>
      <c r="U56" s="380">
        <v>11.8</v>
      </c>
      <c r="V56" s="352">
        <v>50305</v>
      </c>
      <c r="W56" s="352">
        <v>52506</v>
      </c>
      <c r="X56" s="352">
        <f>W56-V56</f>
        <v>2201</v>
      </c>
      <c r="Y56" s="352">
        <f t="shared" si="14"/>
        <v>214.8255250820435</v>
      </c>
      <c r="Z56" s="372">
        <v>1239.8800000000001</v>
      </c>
      <c r="AA56" s="352">
        <v>1271.5</v>
      </c>
      <c r="AB56" s="352">
        <f>AA56-Z56</f>
        <v>31.619999999999891</v>
      </c>
      <c r="AC56" s="371">
        <f t="shared" si="15"/>
        <v>3.0862258532913183</v>
      </c>
      <c r="AD56" s="372">
        <v>-8.3699999999999992</v>
      </c>
      <c r="AE56" s="352">
        <v>-8.83</v>
      </c>
      <c r="AF56" s="352">
        <f>AE56-AD56</f>
        <v>-0.46000000000000085</v>
      </c>
      <c r="AG56" s="371">
        <f t="shared" si="16"/>
        <v>-4.4897656309741116E-2</v>
      </c>
      <c r="AH56" s="372">
        <v>0</v>
      </c>
      <c r="AI56" s="352">
        <v>0</v>
      </c>
      <c r="AJ56" s="352">
        <f>AI56-AH56</f>
        <v>0</v>
      </c>
      <c r="AK56" s="371">
        <f t="shared" si="17"/>
        <v>0</v>
      </c>
      <c r="AL56" s="372">
        <v>0.05</v>
      </c>
      <c r="AM56" s="352">
        <v>0.05</v>
      </c>
      <c r="AN56" s="352">
        <f>AM56-AL56</f>
        <v>0</v>
      </c>
      <c r="AO56" s="371">
        <f t="shared" si="18"/>
        <v>0</v>
      </c>
      <c r="AP56" s="341">
        <v>15.7</v>
      </c>
      <c r="AQ56" s="341">
        <v>11.8</v>
      </c>
      <c r="AR56" s="341">
        <f>AQ56-AP56</f>
        <v>-3.8999999999999986</v>
      </c>
      <c r="AS56" s="526">
        <v>13100.5</v>
      </c>
      <c r="AT56" s="383">
        <v>13101.6</v>
      </c>
      <c r="AU56" s="383">
        <f>AT56-AS56</f>
        <v>1.1000000000003638</v>
      </c>
      <c r="AV56" s="341"/>
      <c r="AW56" s="341"/>
      <c r="AX56" s="341"/>
      <c r="AY56" s="341"/>
      <c r="AZ56" s="362" t="s">
        <v>686</v>
      </c>
      <c r="BA56" s="550">
        <v>1945.07730197</v>
      </c>
      <c r="BB56" s="550">
        <v>-0.79126158000000002</v>
      </c>
      <c r="BC56" s="550">
        <v>1296.36443072</v>
      </c>
      <c r="BD56" s="550">
        <v>1306.7038765299999</v>
      </c>
      <c r="BE56" s="550">
        <v>7.9704362099999999</v>
      </c>
      <c r="BF56" s="550">
        <v>8.0200068600000005</v>
      </c>
      <c r="BG56" s="550">
        <v>-0.10797262000000001</v>
      </c>
      <c r="BH56" s="550">
        <v>10.245605830000001</v>
      </c>
      <c r="BI56" s="550">
        <v>10.25668024</v>
      </c>
      <c r="BJ56" s="550">
        <v>-0.51328735999999997</v>
      </c>
      <c r="BK56" s="550">
        <v>-0.61808741</v>
      </c>
      <c r="BL56" s="550">
        <v>0.28276359000000001</v>
      </c>
      <c r="BM56" s="550"/>
      <c r="BN56" s="550"/>
      <c r="BO56" s="550"/>
      <c r="BP56" s="550"/>
      <c r="BQ56" s="550"/>
      <c r="BR56" s="550"/>
      <c r="BS56" s="550"/>
    </row>
    <row r="57" spans="1:71" s="577" customFormat="1" ht="15" customHeight="1" x14ac:dyDescent="0.2">
      <c r="A57" s="403">
        <f t="shared" si="20"/>
        <v>62007025</v>
      </c>
      <c r="B57" s="403" t="s">
        <v>642</v>
      </c>
      <c r="C57" s="403" t="s">
        <v>783</v>
      </c>
      <c r="D57" s="402" t="s">
        <v>724</v>
      </c>
      <c r="E57" s="346" t="s">
        <v>725</v>
      </c>
      <c r="F57" s="346" t="str">
        <f t="shared" si="13"/>
        <v>07/31/20</v>
      </c>
      <c r="G57" s="362" t="s">
        <v>726</v>
      </c>
      <c r="H57" s="362" t="s">
        <v>685</v>
      </c>
      <c r="I57" s="370"/>
      <c r="J57" s="363">
        <v>21.173223</v>
      </c>
      <c r="K57" s="363">
        <v>49.438313000000001</v>
      </c>
      <c r="L57" s="363">
        <v>29.249275999999998</v>
      </c>
      <c r="M57" s="363">
        <v>29.863489000000001</v>
      </c>
      <c r="N57" s="347">
        <v>4250</v>
      </c>
      <c r="O57" s="347">
        <v>30.36</v>
      </c>
      <c r="P57" s="347">
        <v>0.3201</v>
      </c>
      <c r="Q57" s="347">
        <v>1.9560000000000001E-2</v>
      </c>
      <c r="R57" s="348">
        <v>3.58174423</v>
      </c>
      <c r="S57" s="348">
        <f>R57+R56</f>
        <v>13.82726789</v>
      </c>
      <c r="T57" s="380">
        <v>11.8</v>
      </c>
      <c r="U57" s="380">
        <v>10.5</v>
      </c>
      <c r="V57" s="352">
        <v>52513</v>
      </c>
      <c r="W57" s="352">
        <v>53230.368521999997</v>
      </c>
      <c r="X57" s="352">
        <f>W57-V57</f>
        <v>717.36852199999703</v>
      </c>
      <c r="Y57" s="352">
        <f t="shared" si="14"/>
        <v>200.28468699452529</v>
      </c>
      <c r="Z57" s="372">
        <v>1276.884033</v>
      </c>
      <c r="AA57" s="352">
        <v>1298.4000000000001</v>
      </c>
      <c r="AB57" s="352">
        <f>AA57-Z57</f>
        <v>21.515967000000046</v>
      </c>
      <c r="AC57" s="371">
        <f t="shared" si="15"/>
        <v>6.0071198886247794</v>
      </c>
      <c r="AD57" s="372">
        <v>-7.65</v>
      </c>
      <c r="AE57" s="352">
        <v>-8.1999999999999993</v>
      </c>
      <c r="AF57" s="352">
        <f>AE57-AD57</f>
        <v>-0.54999999999999893</v>
      </c>
      <c r="AG57" s="371">
        <f t="shared" si="16"/>
        <v>-0.15355646988785654</v>
      </c>
      <c r="AH57" s="372">
        <v>0</v>
      </c>
      <c r="AI57" s="352">
        <v>0</v>
      </c>
      <c r="AJ57" s="352">
        <f>AI57-AH57</f>
        <v>0</v>
      </c>
      <c r="AK57" s="371">
        <f t="shared" si="17"/>
        <v>0</v>
      </c>
      <c r="AL57" s="372">
        <v>0.05</v>
      </c>
      <c r="AM57" s="352">
        <v>0.05</v>
      </c>
      <c r="AN57" s="352">
        <f>AM57-AL57</f>
        <v>0</v>
      </c>
      <c r="AO57" s="371">
        <f t="shared" si="18"/>
        <v>0</v>
      </c>
      <c r="AP57" s="341">
        <v>11.8</v>
      </c>
      <c r="AQ57" s="341">
        <v>10.5</v>
      </c>
      <c r="AR57" s="341">
        <f>AQ57-AP57</f>
        <v>-1.3000000000000007</v>
      </c>
      <c r="AS57" s="526">
        <v>13102.4</v>
      </c>
      <c r="AT57" s="383">
        <v>13103.1</v>
      </c>
      <c r="AU57" s="383">
        <f>AT57-AS57</f>
        <v>0.7000000000007276</v>
      </c>
      <c r="AV57" s="341"/>
      <c r="AW57" s="341"/>
      <c r="AX57" s="341"/>
      <c r="AY57" s="341"/>
      <c r="AZ57" s="362" t="s">
        <v>686</v>
      </c>
      <c r="BA57" s="550">
        <v>2410.76424585</v>
      </c>
      <c r="BB57" s="550">
        <v>-2.1668918599999998</v>
      </c>
      <c r="BC57" s="550">
        <v>2004.2656709400001</v>
      </c>
      <c r="BD57" s="550">
        <v>2048.65787155</v>
      </c>
      <c r="BE57" s="550">
        <v>3.2097462600000002</v>
      </c>
      <c r="BF57" s="550">
        <v>3.25828791</v>
      </c>
      <c r="BG57" s="550">
        <v>-0.25708140000000002</v>
      </c>
      <c r="BH57" s="550">
        <v>3.5817479300000001</v>
      </c>
      <c r="BI57" s="550">
        <v>3.5909796699999998</v>
      </c>
      <c r="BJ57" s="550">
        <v>-1.2513511100000001</v>
      </c>
      <c r="BK57" s="550">
        <v>-1.4897900100000001</v>
      </c>
      <c r="BL57" s="550">
        <v>0.59036352000000003</v>
      </c>
      <c r="BM57" s="550"/>
      <c r="BN57" s="550"/>
      <c r="BO57" s="550"/>
      <c r="BP57" s="550"/>
      <c r="BQ57" s="550"/>
      <c r="BR57" s="550"/>
      <c r="BS57" s="550"/>
    </row>
    <row r="58" spans="1:71" s="577" customFormat="1" ht="15" customHeight="1" x14ac:dyDescent="0.2">
      <c r="A58" s="403">
        <f t="shared" si="20"/>
        <v>62007025</v>
      </c>
      <c r="B58" s="403" t="s">
        <v>643</v>
      </c>
      <c r="C58" s="403" t="s">
        <v>781</v>
      </c>
      <c r="D58" s="402" t="s">
        <v>724</v>
      </c>
      <c r="E58" s="346" t="s">
        <v>725</v>
      </c>
      <c r="F58" s="346" t="str">
        <f t="shared" si="13"/>
        <v>07/31/20</v>
      </c>
      <c r="G58" s="362" t="s">
        <v>726</v>
      </c>
      <c r="H58" s="362" t="s">
        <v>685</v>
      </c>
      <c r="I58" s="370"/>
      <c r="J58" s="363">
        <v>19.126759</v>
      </c>
      <c r="K58" s="363">
        <v>56.025190000000002</v>
      </c>
      <c r="L58" s="363">
        <v>29.245422000000001</v>
      </c>
      <c r="M58" s="363">
        <v>28.839898999999999</v>
      </c>
      <c r="N58" s="347">
        <v>4250</v>
      </c>
      <c r="O58" s="347">
        <v>30.36</v>
      </c>
      <c r="P58" s="347">
        <v>0.3201</v>
      </c>
      <c r="Q58" s="347">
        <v>1.9560000000000001E-2</v>
      </c>
      <c r="R58" s="348">
        <v>3.8433946400000001</v>
      </c>
      <c r="S58" s="348">
        <f>R58+R57</f>
        <v>7.4251388699999996</v>
      </c>
      <c r="T58" s="380">
        <v>10.5</v>
      </c>
      <c r="U58" s="380">
        <v>9.4</v>
      </c>
      <c r="V58" s="352">
        <v>53231</v>
      </c>
      <c r="W58" s="352">
        <v>53859</v>
      </c>
      <c r="X58" s="352">
        <f>W58-V58</f>
        <v>628</v>
      </c>
      <c r="Y58" s="352">
        <f t="shared" si="14"/>
        <v>163.39722011997185</v>
      </c>
      <c r="Z58" s="372">
        <v>1298.4100000000001</v>
      </c>
      <c r="AA58" s="352">
        <v>1335.06</v>
      </c>
      <c r="AB58" s="352">
        <f>AA58-Z58</f>
        <v>36.649999999999864</v>
      </c>
      <c r="AC58" s="371">
        <f t="shared" si="15"/>
        <v>9.535840951269023</v>
      </c>
      <c r="AD58" s="372">
        <v>-8.1999999999999993</v>
      </c>
      <c r="AE58" s="352">
        <v>-8.8800000000000008</v>
      </c>
      <c r="AF58" s="352">
        <f>AE58-AD58</f>
        <v>-0.68000000000000149</v>
      </c>
      <c r="AG58" s="371">
        <f t="shared" si="16"/>
        <v>-0.17692692624455589</v>
      </c>
      <c r="AH58" s="372">
        <v>0</v>
      </c>
      <c r="AI58" s="352">
        <v>0</v>
      </c>
      <c r="AJ58" s="352">
        <f>AI58-AH58</f>
        <v>0</v>
      </c>
      <c r="AK58" s="371">
        <f t="shared" si="17"/>
        <v>0</v>
      </c>
      <c r="AL58" s="372">
        <v>0.05</v>
      </c>
      <c r="AM58" s="352">
        <v>0.05</v>
      </c>
      <c r="AN58" s="352">
        <f>AM58-AL58</f>
        <v>0</v>
      </c>
      <c r="AO58" s="371">
        <f t="shared" si="18"/>
        <v>0</v>
      </c>
      <c r="AP58" s="341">
        <v>10.5</v>
      </c>
      <c r="AQ58" s="341">
        <v>9.4</v>
      </c>
      <c r="AR58" s="341">
        <f>AQ58-AP58</f>
        <v>-1.0999999999999996</v>
      </c>
      <c r="AS58" s="526">
        <v>13103.1</v>
      </c>
      <c r="AT58" s="383">
        <v>13104.2</v>
      </c>
      <c r="AU58" s="383">
        <f>AT58-AS58</f>
        <v>1.1000000000003638</v>
      </c>
      <c r="AV58" s="341"/>
      <c r="AW58" s="341"/>
      <c r="AX58" s="341"/>
      <c r="AY58" s="341"/>
      <c r="AZ58" s="362" t="s">
        <v>686</v>
      </c>
      <c r="BA58" s="550">
        <v>1482.3068707299999</v>
      </c>
      <c r="BB58" s="550">
        <v>-2.07700357</v>
      </c>
      <c r="BC58" s="550">
        <v>3345.0951542600001</v>
      </c>
      <c r="BD58" s="550">
        <v>3416.0465632</v>
      </c>
      <c r="BE58" s="550">
        <v>2.9555808400000001</v>
      </c>
      <c r="BF58" s="550">
        <v>3.01849276</v>
      </c>
      <c r="BG58" s="550">
        <v>-0.42716304999999999</v>
      </c>
      <c r="BH58" s="550">
        <v>3.8433426000000002</v>
      </c>
      <c r="BI58" s="550">
        <v>3.8598303700000001</v>
      </c>
      <c r="BJ58" s="550">
        <v>-1.6923249899999999</v>
      </c>
      <c r="BK58" s="550">
        <v>-2.0842163299999998</v>
      </c>
      <c r="BL58" s="550">
        <v>0.71451593999999996</v>
      </c>
      <c r="BM58" s="550"/>
      <c r="BN58" s="550"/>
      <c r="BO58" s="550"/>
      <c r="BP58" s="550"/>
      <c r="BQ58" s="550"/>
      <c r="BR58" s="550"/>
      <c r="BS58" s="550"/>
    </row>
    <row r="59" spans="1:71" s="577" customFormat="1" ht="15" customHeight="1" x14ac:dyDescent="0.2">
      <c r="A59" s="403">
        <f t="shared" si="20"/>
        <v>62007025</v>
      </c>
      <c r="B59" s="403" t="s">
        <v>644</v>
      </c>
      <c r="C59" s="403" t="s">
        <v>782</v>
      </c>
      <c r="D59" s="402" t="s">
        <v>724</v>
      </c>
      <c r="E59" s="346" t="s">
        <v>725</v>
      </c>
      <c r="F59" s="346" t="str">
        <f t="shared" si="13"/>
        <v>07/31/20</v>
      </c>
      <c r="G59" s="362" t="s">
        <v>726</v>
      </c>
      <c r="H59" s="362" t="s">
        <v>685</v>
      </c>
      <c r="I59" s="370"/>
      <c r="J59" s="364">
        <f>AVERAGE(J57:J58)</f>
        <v>20.149991</v>
      </c>
      <c r="K59" s="364">
        <f>AVERAGE(K57:K58)</f>
        <v>52.731751500000001</v>
      </c>
      <c r="L59" s="364">
        <f>AVERAGE(L57:L58)</f>
        <v>29.247349</v>
      </c>
      <c r="M59" s="364">
        <f>AVERAGE(M57:M58)</f>
        <v>29.351694000000002</v>
      </c>
      <c r="N59" s="349"/>
      <c r="O59" s="347"/>
      <c r="P59" s="366"/>
      <c r="Q59" s="365"/>
      <c r="R59" s="350">
        <f>R58+R57</f>
        <v>7.4251388699999996</v>
      </c>
      <c r="S59" s="350">
        <f>S58</f>
        <v>7.4251388699999996</v>
      </c>
      <c r="T59" s="381">
        <f>T57</f>
        <v>11.8</v>
      </c>
      <c r="U59" s="381">
        <f>U58</f>
        <v>9.4</v>
      </c>
      <c r="V59" s="353">
        <f>V57</f>
        <v>52513</v>
      </c>
      <c r="W59" s="353">
        <f>W58</f>
        <v>53859</v>
      </c>
      <c r="X59" s="353">
        <f>SUM(X57:X58)</f>
        <v>1345.368521999997</v>
      </c>
      <c r="Y59" s="353">
        <f t="shared" si="14"/>
        <v>181.1910249161437</v>
      </c>
      <c r="Z59" s="353">
        <f>Z57</f>
        <v>1276.884033</v>
      </c>
      <c r="AA59" s="353">
        <f>AA58</f>
        <v>1335.06</v>
      </c>
      <c r="AB59" s="353">
        <f>SUM(AB57:AB58)</f>
        <v>58.16596699999991</v>
      </c>
      <c r="AC59" s="351">
        <f t="shared" si="15"/>
        <v>7.8336537562966697</v>
      </c>
      <c r="AD59" s="353">
        <f>AD57</f>
        <v>-7.65</v>
      </c>
      <c r="AE59" s="353">
        <f>AE58</f>
        <v>-8.8800000000000008</v>
      </c>
      <c r="AF59" s="353">
        <f>SUM(AF57:AF58)</f>
        <v>-1.2300000000000004</v>
      </c>
      <c r="AG59" s="351">
        <f t="shared" si="16"/>
        <v>-0.16565346743474449</v>
      </c>
      <c r="AH59" s="353">
        <f>AH57</f>
        <v>0</v>
      </c>
      <c r="AI59" s="353">
        <f>AI58</f>
        <v>0</v>
      </c>
      <c r="AJ59" s="353">
        <f>SUM(AJ57:AJ58)</f>
        <v>0</v>
      </c>
      <c r="AK59" s="351">
        <f t="shared" si="17"/>
        <v>0</v>
      </c>
      <c r="AL59" s="353">
        <f>AL57</f>
        <v>0.05</v>
      </c>
      <c r="AM59" s="353">
        <f>AM58</f>
        <v>0.05</v>
      </c>
      <c r="AN59" s="353">
        <f>SUM(AN57:AN58)</f>
        <v>0</v>
      </c>
      <c r="AO59" s="351">
        <f t="shared" si="18"/>
        <v>0</v>
      </c>
      <c r="AP59" s="343"/>
      <c r="AQ59" s="343"/>
      <c r="AR59" s="343">
        <f>SUM(AR57:AR58)</f>
        <v>-2.4000000000000004</v>
      </c>
      <c r="AS59" s="384">
        <f>AS57</f>
        <v>13102.4</v>
      </c>
      <c r="AT59" s="384">
        <f>AT58</f>
        <v>13104.2</v>
      </c>
      <c r="AU59" s="384">
        <f>SUM(AU57:AU58)</f>
        <v>1.8000000000010914</v>
      </c>
      <c r="AV59" s="343"/>
      <c r="AW59" s="343"/>
      <c r="AX59" s="343"/>
      <c r="AY59" s="343"/>
      <c r="AZ59" s="362" t="s">
        <v>686</v>
      </c>
      <c r="BA59" s="550"/>
      <c r="BB59" s="550"/>
      <c r="BC59" s="550"/>
      <c r="BD59" s="550"/>
      <c r="BE59" s="550"/>
      <c r="BF59" s="550"/>
      <c r="BG59" s="550"/>
      <c r="BH59" s="550"/>
      <c r="BI59" s="550"/>
      <c r="BJ59" s="550"/>
      <c r="BK59" s="550"/>
      <c r="BL59" s="550"/>
      <c r="BM59" s="550"/>
      <c r="BN59" s="550"/>
      <c r="BO59" s="550"/>
      <c r="BP59" s="550"/>
      <c r="BQ59" s="550"/>
      <c r="BR59" s="550"/>
      <c r="BS59" s="550"/>
    </row>
    <row r="60" spans="1:71" s="577" customFormat="1" ht="15" customHeight="1" x14ac:dyDescent="0.2">
      <c r="A60" s="403">
        <f>A59+1</f>
        <v>62007026</v>
      </c>
      <c r="B60" s="403" t="s">
        <v>636</v>
      </c>
      <c r="C60" s="403" t="s">
        <v>773</v>
      </c>
      <c r="D60" s="402" t="s">
        <v>727</v>
      </c>
      <c r="E60" s="346" t="s">
        <v>728</v>
      </c>
      <c r="F60" s="346" t="str">
        <f t="shared" si="13"/>
        <v>07/31/20</v>
      </c>
      <c r="G60" s="362" t="s">
        <v>729</v>
      </c>
      <c r="H60" s="362" t="s">
        <v>730</v>
      </c>
      <c r="I60" s="370"/>
      <c r="J60" s="363">
        <v>26.831702</v>
      </c>
      <c r="K60" s="363">
        <v>34.885638</v>
      </c>
      <c r="L60" s="363">
        <v>29.287310000000002</v>
      </c>
      <c r="M60" s="363">
        <v>31.560981999999999</v>
      </c>
      <c r="N60" s="347">
        <v>4250</v>
      </c>
      <c r="O60" s="347">
        <v>30.36</v>
      </c>
      <c r="P60" s="347">
        <v>0.3201</v>
      </c>
      <c r="Q60" s="347">
        <v>1.9560000000000001E-2</v>
      </c>
      <c r="R60" s="348">
        <v>17.697096519999999</v>
      </c>
      <c r="S60" s="348">
        <f>R60+R59</f>
        <v>25.12223539</v>
      </c>
      <c r="T60" s="380">
        <v>9.4</v>
      </c>
      <c r="U60" s="380">
        <v>0</v>
      </c>
      <c r="V60" s="352">
        <v>53863</v>
      </c>
      <c r="W60" s="352">
        <v>58862</v>
      </c>
      <c r="X60" s="352">
        <f>W60-V60</f>
        <v>4999</v>
      </c>
      <c r="Y60" s="352">
        <f t="shared" si="14"/>
        <v>282.47571540057356</v>
      </c>
      <c r="Z60" s="372">
        <v>1338.8636140000001</v>
      </c>
      <c r="AA60" s="352">
        <v>1380.13</v>
      </c>
      <c r="AB60" s="352">
        <f>AA60-Z60</f>
        <v>41.266386000000011</v>
      </c>
      <c r="AC60" s="371">
        <f t="shared" si="15"/>
        <v>2.3318167448182066</v>
      </c>
      <c r="AD60" s="372">
        <v>-8.09</v>
      </c>
      <c r="AE60" s="352">
        <v>-7.88</v>
      </c>
      <c r="AF60" s="352">
        <f>AE60-AD60</f>
        <v>0.20999999999999996</v>
      </c>
      <c r="AG60" s="371">
        <f t="shared" si="16"/>
        <v>1.1866353317487584E-2</v>
      </c>
      <c r="AH60" s="372">
        <v>0</v>
      </c>
      <c r="AI60" s="352">
        <v>0</v>
      </c>
      <c r="AJ60" s="352">
        <f>AI60-AH60</f>
        <v>0</v>
      </c>
      <c r="AK60" s="371">
        <f t="shared" si="17"/>
        <v>0</v>
      </c>
      <c r="AL60" s="372">
        <v>0.05</v>
      </c>
      <c r="AM60" s="352">
        <v>0.05</v>
      </c>
      <c r="AN60" s="352">
        <f>AM60-AL60</f>
        <v>0</v>
      </c>
      <c r="AO60" s="371">
        <f t="shared" si="18"/>
        <v>0</v>
      </c>
      <c r="AP60" s="341">
        <v>9.4</v>
      </c>
      <c r="AQ60" s="341">
        <v>0</v>
      </c>
      <c r="AR60" s="341">
        <f>AQ60-AP60</f>
        <v>-9.4</v>
      </c>
      <c r="AS60" s="526">
        <v>13104.7</v>
      </c>
      <c r="AT60" s="383">
        <v>13106.1</v>
      </c>
      <c r="AU60" s="383">
        <f>AT60-AS60</f>
        <v>1.3999999999996362</v>
      </c>
      <c r="AV60" s="341"/>
      <c r="AW60" s="341"/>
      <c r="AX60" s="341"/>
      <c r="AY60" s="341"/>
      <c r="AZ60" s="362" t="s">
        <v>686</v>
      </c>
      <c r="BA60" s="550">
        <v>126.74409360999999</v>
      </c>
      <c r="BB60" s="550">
        <v>6.0634567500000003</v>
      </c>
      <c r="BC60" s="550">
        <v>616.38990018000004</v>
      </c>
      <c r="BD60" s="550">
        <v>581.15200000000004</v>
      </c>
      <c r="BE60" s="550">
        <v>16.909295570000001</v>
      </c>
      <c r="BF60" s="550">
        <v>18.71406696</v>
      </c>
      <c r="BG60" s="550">
        <v>-5.79502323</v>
      </c>
      <c r="BH60" s="550">
        <v>17.697253440000001</v>
      </c>
      <c r="BI60" s="550">
        <v>18.785900760000001</v>
      </c>
      <c r="BJ60" s="550">
        <v>-4.2597094799999997</v>
      </c>
      <c r="BK60" s="550">
        <v>-9.6439293399999997</v>
      </c>
      <c r="BL60" s="550">
        <v>4.4141729999999997E-2</v>
      </c>
      <c r="BM60" s="550"/>
      <c r="BN60" s="550"/>
      <c r="BO60" s="550"/>
      <c r="BP60" s="550"/>
      <c r="BQ60" s="550"/>
      <c r="BR60" s="550"/>
      <c r="BS60" s="550"/>
    </row>
    <row r="61" spans="1:71" s="577" customFormat="1" ht="15" customHeight="1" x14ac:dyDescent="0.2">
      <c r="A61" s="403">
        <f>A60+1</f>
        <v>62007027</v>
      </c>
      <c r="B61" s="440" t="s">
        <v>645</v>
      </c>
      <c r="C61" s="440" t="s">
        <v>773</v>
      </c>
      <c r="D61" s="402" t="s">
        <v>731</v>
      </c>
      <c r="E61" s="346" t="s">
        <v>732</v>
      </c>
      <c r="F61" s="346" t="str">
        <f t="shared" si="13"/>
        <v>07/31/20</v>
      </c>
      <c r="G61" s="362" t="s">
        <v>733</v>
      </c>
      <c r="H61" s="362" t="s">
        <v>685</v>
      </c>
      <c r="I61" s="370"/>
      <c r="J61" s="363">
        <v>1109.5969700000001</v>
      </c>
      <c r="K61" s="363">
        <v>2375.589661</v>
      </c>
      <c r="L61" s="363">
        <v>1480.7945360000001</v>
      </c>
      <c r="M61" s="363">
        <v>1132.7227359999999</v>
      </c>
      <c r="N61" s="347">
        <v>4250</v>
      </c>
      <c r="O61" s="347">
        <v>30.36</v>
      </c>
      <c r="P61" s="347">
        <v>0.3201</v>
      </c>
      <c r="Q61" s="347">
        <v>1.9560000000000001E-2</v>
      </c>
      <c r="R61" s="348">
        <v>1.852374E-2</v>
      </c>
      <c r="S61" s="348">
        <f>R61+R60</f>
        <v>17.715620259999998</v>
      </c>
      <c r="T61" s="380">
        <v>0</v>
      </c>
      <c r="U61" s="380">
        <v>0</v>
      </c>
      <c r="V61" s="352">
        <v>58862</v>
      </c>
      <c r="W61" s="352">
        <v>-1905</v>
      </c>
      <c r="X61" s="352">
        <f>W61-V61</f>
        <v>-60767</v>
      </c>
      <c r="Y61" s="352">
        <f t="shared" si="14"/>
        <v>-3280493.0321846451</v>
      </c>
      <c r="Z61" s="372">
        <v>1380.15</v>
      </c>
      <c r="AA61" s="352">
        <v>2319.54</v>
      </c>
      <c r="AB61" s="352">
        <f>AA61-Z61</f>
        <v>939.38999999999987</v>
      </c>
      <c r="AC61" s="371">
        <f t="shared" si="15"/>
        <v>50712.761029900001</v>
      </c>
      <c r="AD61" s="372">
        <v>-6.05</v>
      </c>
      <c r="AE61" s="352">
        <v>-22.77</v>
      </c>
      <c r="AF61" s="352">
        <f>AE61-AD61</f>
        <v>-16.72</v>
      </c>
      <c r="AG61" s="371">
        <f t="shared" si="16"/>
        <v>-902.62549571522811</v>
      </c>
      <c r="AH61" s="372">
        <v>0</v>
      </c>
      <c r="AI61" s="352">
        <v>0</v>
      </c>
      <c r="AJ61" s="352">
        <f>AI61-AH61</f>
        <v>0</v>
      </c>
      <c r="AK61" s="371">
        <f t="shared" si="17"/>
        <v>0</v>
      </c>
      <c r="AL61" s="372">
        <v>0.05</v>
      </c>
      <c r="AM61" s="352">
        <v>0.05</v>
      </c>
      <c r="AN61" s="352">
        <f>AM61-AL61</f>
        <v>0</v>
      </c>
      <c r="AO61" s="371">
        <f t="shared" si="18"/>
        <v>0</v>
      </c>
      <c r="AP61" s="341">
        <v>0</v>
      </c>
      <c r="AQ61" s="341">
        <v>0</v>
      </c>
      <c r="AR61" s="341">
        <f>AQ61-AP61</f>
        <v>0</v>
      </c>
      <c r="AS61" s="526">
        <v>13106.9</v>
      </c>
      <c r="AT61" s="383">
        <v>81126.100000000006</v>
      </c>
      <c r="AU61" s="383">
        <f>AT61-AS61</f>
        <v>68019.200000000012</v>
      </c>
      <c r="AV61" s="341"/>
      <c r="AW61" s="341"/>
      <c r="AX61" s="341"/>
      <c r="AY61" s="341"/>
      <c r="AZ61" s="362" t="s">
        <v>714</v>
      </c>
      <c r="BA61" s="550">
        <v>0</v>
      </c>
      <c r="BB61" s="550" t="s">
        <v>691</v>
      </c>
      <c r="BC61" s="550">
        <v>0</v>
      </c>
      <c r="BD61" s="550">
        <v>0</v>
      </c>
      <c r="BE61" s="550">
        <v>0</v>
      </c>
      <c r="BF61" s="550">
        <v>0</v>
      </c>
      <c r="BG61" s="550" t="s">
        <v>691</v>
      </c>
      <c r="BH61" s="550">
        <v>0</v>
      </c>
      <c r="BI61" s="550">
        <v>0</v>
      </c>
      <c r="BJ61" s="550" t="s">
        <v>691</v>
      </c>
      <c r="BK61" s="550" t="s">
        <v>691</v>
      </c>
      <c r="BL61" s="550" t="s">
        <v>691</v>
      </c>
      <c r="BM61" s="550"/>
      <c r="BN61" s="550"/>
      <c r="BO61" s="550"/>
      <c r="BP61" s="550"/>
      <c r="BQ61" s="550"/>
      <c r="BR61" s="550"/>
      <c r="BS61" s="550"/>
    </row>
    <row r="62" spans="1:71" s="548" customFormat="1" ht="15" customHeight="1" x14ac:dyDescent="0.2">
      <c r="A62" s="576" t="s">
        <v>850</v>
      </c>
      <c r="B62" s="435"/>
      <c r="C62" s="435"/>
      <c r="D62" s="436"/>
      <c r="E62" s="435"/>
      <c r="F62" s="435"/>
      <c r="G62" s="436"/>
      <c r="H62" s="436"/>
      <c r="I62" s="436"/>
      <c r="J62" s="436"/>
      <c r="K62" s="436"/>
      <c r="L62" s="436"/>
      <c r="M62" s="436"/>
      <c r="N62" s="436"/>
      <c r="O62" s="436"/>
      <c r="P62" s="437"/>
      <c r="Q62" s="438"/>
      <c r="R62" s="435"/>
      <c r="S62" s="435"/>
      <c r="T62" s="435"/>
      <c r="U62" s="435"/>
      <c r="V62" s="442"/>
      <c r="W62" s="442"/>
      <c r="X62" s="435"/>
      <c r="Y62" s="435"/>
      <c r="Z62" s="442"/>
      <c r="AA62" s="442"/>
      <c r="AB62" s="435"/>
      <c r="AC62" s="435"/>
      <c r="AD62" s="442"/>
      <c r="AE62" s="442"/>
      <c r="AF62" s="435"/>
      <c r="AG62" s="435"/>
      <c r="AH62" s="435"/>
      <c r="AI62" s="435"/>
      <c r="AJ62" s="435"/>
      <c r="AK62" s="435"/>
      <c r="AL62" s="442"/>
      <c r="AM62" s="442"/>
      <c r="AN62" s="435"/>
      <c r="AO62" s="435"/>
      <c r="AP62" s="435"/>
      <c r="AQ62" s="435"/>
      <c r="AR62" s="435"/>
      <c r="AS62" s="435"/>
      <c r="AT62" s="435"/>
      <c r="AU62" s="435"/>
      <c r="AV62" s="435"/>
      <c r="AW62" s="435"/>
      <c r="AX62" s="435"/>
      <c r="AY62" s="435"/>
      <c r="AZ62" s="435"/>
      <c r="BA62" s="435"/>
      <c r="BB62" s="435"/>
      <c r="BC62" s="435"/>
      <c r="BD62" s="435"/>
      <c r="BE62" s="435"/>
      <c r="BF62" s="435"/>
      <c r="BG62" s="435"/>
      <c r="BH62" s="435"/>
      <c r="BI62" s="435"/>
      <c r="BJ62" s="435"/>
      <c r="BK62" s="435"/>
      <c r="BL62" s="439"/>
      <c r="BM62" s="578"/>
    </row>
    <row r="63" spans="1:71" s="577" customFormat="1" ht="15" customHeight="1" x14ac:dyDescent="0.2">
      <c r="A63" s="403">
        <v>62008001</v>
      </c>
      <c r="B63" s="403" t="s">
        <v>627</v>
      </c>
      <c r="C63" s="403" t="s">
        <v>773</v>
      </c>
      <c r="D63" s="402" t="s">
        <v>718</v>
      </c>
      <c r="E63" s="346" t="s">
        <v>734</v>
      </c>
      <c r="F63" s="346" t="str">
        <f t="shared" si="13"/>
        <v>08/03/20</v>
      </c>
      <c r="G63" s="362" t="s">
        <v>735</v>
      </c>
      <c r="H63" s="362" t="s">
        <v>685</v>
      </c>
      <c r="I63" s="370"/>
      <c r="J63" s="363">
        <v>22.912996</v>
      </c>
      <c r="K63" s="363">
        <v>44.378666000000003</v>
      </c>
      <c r="L63" s="363">
        <v>29.306407</v>
      </c>
      <c r="M63" s="363">
        <v>24.847555</v>
      </c>
      <c r="N63" s="347">
        <v>4250</v>
      </c>
      <c r="O63" s="347">
        <v>30.36</v>
      </c>
      <c r="P63" s="347">
        <v>0.3201</v>
      </c>
      <c r="Q63" s="347">
        <v>1.9560000000000001E-2</v>
      </c>
      <c r="R63" s="348">
        <v>3.58109615</v>
      </c>
      <c r="S63" s="348">
        <f>R63+R62</f>
        <v>3.58109615</v>
      </c>
      <c r="T63" s="380">
        <v>97.5</v>
      </c>
      <c r="U63" s="380">
        <v>96.4</v>
      </c>
      <c r="V63" s="352">
        <v>12</v>
      </c>
      <c r="W63" s="352">
        <v>863</v>
      </c>
      <c r="X63" s="352">
        <f>W63-V63</f>
        <v>851</v>
      </c>
      <c r="Y63" s="352">
        <f t="shared" ref="Y63:Y85" si="21">X63/$R63</f>
        <v>237.6367358916068</v>
      </c>
      <c r="Z63" s="372">
        <v>9.9088639999999995</v>
      </c>
      <c r="AA63" s="352">
        <v>31.7</v>
      </c>
      <c r="AB63" s="352">
        <f>AA63-Z63</f>
        <v>21.791136000000002</v>
      </c>
      <c r="AC63" s="371">
        <f t="shared" ref="AC63:AC85" si="22">AB63/$R63</f>
        <v>6.0850463342069165</v>
      </c>
      <c r="AD63" s="372">
        <v>-0.55000000000000004</v>
      </c>
      <c r="AE63" s="352">
        <v>-1.1599999999999999</v>
      </c>
      <c r="AF63" s="352">
        <f>AE63-AD63</f>
        <v>-0.60999999999999988</v>
      </c>
      <c r="AG63" s="371">
        <f t="shared" ref="AG63:AG85" si="23">AF63/$R63</f>
        <v>-0.17033890586824926</v>
      </c>
      <c r="AH63" s="372">
        <v>0</v>
      </c>
      <c r="AI63" s="352">
        <v>0</v>
      </c>
      <c r="AJ63" s="352">
        <f>AI63-AH63</f>
        <v>0</v>
      </c>
      <c r="AK63" s="371">
        <f t="shared" ref="AK63:AK85" si="24">AJ63/$R63</f>
        <v>0</v>
      </c>
      <c r="AL63" s="372">
        <v>0</v>
      </c>
      <c r="AM63" s="352">
        <v>0</v>
      </c>
      <c r="AN63" s="352">
        <f>AM63-AL63</f>
        <v>0</v>
      </c>
      <c r="AO63" s="371">
        <f t="shared" ref="AO63:AO85" si="25">AN63/$R63</f>
        <v>0</v>
      </c>
      <c r="AP63" s="341">
        <v>97.5</v>
      </c>
      <c r="AQ63" s="341">
        <v>96.4</v>
      </c>
      <c r="AR63" s="341">
        <f>AQ63-AP63</f>
        <v>-1.0999999999999943</v>
      </c>
      <c r="AS63" s="526">
        <v>0.7</v>
      </c>
      <c r="AT63" s="383">
        <v>1.4</v>
      </c>
      <c r="AU63" s="383">
        <f>AT63-AS63</f>
        <v>0.7</v>
      </c>
      <c r="AV63" s="341"/>
      <c r="AW63" s="341"/>
      <c r="AX63" s="341"/>
      <c r="AY63" s="341"/>
      <c r="AZ63" s="362" t="s">
        <v>686</v>
      </c>
      <c r="BA63" s="550">
        <v>2418.2863725100001</v>
      </c>
      <c r="BB63" s="550">
        <v>-2.1133582899999999</v>
      </c>
      <c r="BC63" s="550">
        <v>2005.52886294</v>
      </c>
      <c r="BD63" s="550">
        <v>2048.82793795</v>
      </c>
      <c r="BE63" s="550">
        <v>3.21091959</v>
      </c>
      <c r="BF63" s="550">
        <v>3.2585255499999999</v>
      </c>
      <c r="BG63" s="550">
        <v>-0.27682155000000003</v>
      </c>
      <c r="BH63" s="550">
        <v>3.5810397799999998</v>
      </c>
      <c r="BI63" s="550">
        <v>3.59098038</v>
      </c>
      <c r="BJ63" s="550">
        <v>-1.20170105</v>
      </c>
      <c r="BK63" s="550">
        <v>-1.4609661599999999</v>
      </c>
      <c r="BL63" s="550">
        <v>0.59039198000000004</v>
      </c>
      <c r="BM63" s="550"/>
      <c r="BN63" s="550"/>
      <c r="BO63" s="550"/>
      <c r="BP63" s="550"/>
      <c r="BQ63" s="550"/>
      <c r="BR63" s="550"/>
      <c r="BS63" s="550"/>
    </row>
    <row r="64" spans="1:71" s="577" customFormat="1" ht="15" customHeight="1" x14ac:dyDescent="0.2">
      <c r="A64" s="403">
        <f>A63</f>
        <v>62008001</v>
      </c>
      <c r="B64" s="403" t="s">
        <v>628</v>
      </c>
      <c r="C64" s="403" t="s">
        <v>774</v>
      </c>
      <c r="D64" s="402" t="s">
        <v>718</v>
      </c>
      <c r="E64" s="346" t="s">
        <v>734</v>
      </c>
      <c r="F64" s="346" t="str">
        <f t="shared" si="13"/>
        <v>08/03/20</v>
      </c>
      <c r="G64" s="362" t="s">
        <v>735</v>
      </c>
      <c r="H64" s="362" t="s">
        <v>685</v>
      </c>
      <c r="I64" s="370"/>
      <c r="J64" s="363">
        <v>20.768352</v>
      </c>
      <c r="K64" s="363">
        <v>49.554006999999999</v>
      </c>
      <c r="L64" s="363">
        <v>29.305695</v>
      </c>
      <c r="M64" s="363">
        <v>26.909879</v>
      </c>
      <c r="N64" s="347">
        <v>4250</v>
      </c>
      <c r="O64" s="347">
        <v>30.36</v>
      </c>
      <c r="P64" s="347">
        <v>0.3201</v>
      </c>
      <c r="Q64" s="347">
        <v>1.9560000000000001E-2</v>
      </c>
      <c r="R64" s="348">
        <v>3.8438812800000002</v>
      </c>
      <c r="S64" s="348">
        <f>R64+R63</f>
        <v>7.4249774300000002</v>
      </c>
      <c r="T64" s="380">
        <v>96.4</v>
      </c>
      <c r="U64" s="380">
        <v>95.3</v>
      </c>
      <c r="V64" s="352">
        <v>863</v>
      </c>
      <c r="W64" s="352">
        <v>1567</v>
      </c>
      <c r="X64" s="352">
        <f>W64-V64</f>
        <v>704</v>
      </c>
      <c r="Y64" s="352">
        <f t="shared" si="21"/>
        <v>183.14821627373465</v>
      </c>
      <c r="Z64" s="372">
        <v>31.708694000000001</v>
      </c>
      <c r="AA64" s="352">
        <v>68.638182</v>
      </c>
      <c r="AB64" s="352">
        <f>AA64-Z64</f>
        <v>36.929487999999999</v>
      </c>
      <c r="AC64" s="371">
        <f t="shared" si="22"/>
        <v>9.6073435441793862</v>
      </c>
      <c r="AD64" s="372">
        <v>-1.1599999999999999</v>
      </c>
      <c r="AE64" s="352">
        <v>-1.93</v>
      </c>
      <c r="AF64" s="352">
        <f>AE64-AD64</f>
        <v>-0.77</v>
      </c>
      <c r="AG64" s="371">
        <f t="shared" si="23"/>
        <v>-0.20031836154939728</v>
      </c>
      <c r="AH64" s="372">
        <v>0</v>
      </c>
      <c r="AI64" s="352">
        <v>0</v>
      </c>
      <c r="AJ64" s="352">
        <f>AI64-AH64</f>
        <v>0</v>
      </c>
      <c r="AK64" s="371">
        <f t="shared" si="24"/>
        <v>0</v>
      </c>
      <c r="AL64" s="372">
        <v>0</v>
      </c>
      <c r="AM64" s="352">
        <v>0</v>
      </c>
      <c r="AN64" s="352">
        <f>AM64-AL64</f>
        <v>0</v>
      </c>
      <c r="AO64" s="371">
        <f t="shared" si="25"/>
        <v>0</v>
      </c>
      <c r="AP64" s="341">
        <v>96.4</v>
      </c>
      <c r="AQ64" s="341">
        <v>95.3</v>
      </c>
      <c r="AR64" s="341">
        <f>AQ64-AP64</f>
        <v>-1.1000000000000085</v>
      </c>
      <c r="AS64" s="526">
        <v>1.4</v>
      </c>
      <c r="AT64" s="383">
        <v>2.6</v>
      </c>
      <c r="AU64" s="383">
        <f>AT64-AS64</f>
        <v>1.2000000000000002</v>
      </c>
      <c r="AV64" s="341"/>
      <c r="AW64" s="341"/>
      <c r="AX64" s="341"/>
      <c r="AY64" s="341"/>
      <c r="AZ64" s="362" t="s">
        <v>686</v>
      </c>
      <c r="BA64" s="550">
        <v>1482.6763544200001</v>
      </c>
      <c r="BB64" s="550">
        <v>-2.11580704</v>
      </c>
      <c r="BC64" s="550">
        <v>3343.8634842500001</v>
      </c>
      <c r="BD64" s="550">
        <v>3416.1424670400002</v>
      </c>
      <c r="BE64" s="550">
        <v>2.9549995400000002</v>
      </c>
      <c r="BF64" s="550">
        <v>3.0186287699999999</v>
      </c>
      <c r="BG64" s="550">
        <v>-0.41818495</v>
      </c>
      <c r="BH64" s="550">
        <v>3.8436887199999998</v>
      </c>
      <c r="BI64" s="550">
        <v>3.85982995</v>
      </c>
      <c r="BJ64" s="550">
        <v>-1.7260844099999999</v>
      </c>
      <c r="BK64" s="550">
        <v>-2.1078854699999998</v>
      </c>
      <c r="BL64" s="550">
        <v>0.71450877000000002</v>
      </c>
      <c r="BM64" s="550"/>
      <c r="BN64" s="550"/>
      <c r="BO64" s="550"/>
      <c r="BP64" s="550"/>
      <c r="BQ64" s="550"/>
      <c r="BR64" s="550"/>
      <c r="BS64" s="550"/>
    </row>
    <row r="65" spans="1:71" s="577" customFormat="1" ht="15" customHeight="1" x14ac:dyDescent="0.2">
      <c r="A65" s="403">
        <f>A64</f>
        <v>62008001</v>
      </c>
      <c r="B65" s="403" t="s">
        <v>629</v>
      </c>
      <c r="C65" s="403" t="s">
        <v>775</v>
      </c>
      <c r="D65" s="402" t="s">
        <v>718</v>
      </c>
      <c r="E65" s="346" t="s">
        <v>734</v>
      </c>
      <c r="F65" s="346" t="str">
        <f t="shared" si="13"/>
        <v>08/03/20</v>
      </c>
      <c r="G65" s="362" t="s">
        <v>735</v>
      </c>
      <c r="H65" s="362" t="s">
        <v>685</v>
      </c>
      <c r="I65" s="370"/>
      <c r="J65" s="364">
        <f>AVERAGE(J63:J64)</f>
        <v>21.840674</v>
      </c>
      <c r="K65" s="364">
        <f>AVERAGE(K63:K64)</f>
        <v>46.966336499999997</v>
      </c>
      <c r="L65" s="364">
        <f>AVERAGE(L63:L64)</f>
        <v>29.306051</v>
      </c>
      <c r="M65" s="364">
        <f>AVERAGE(M63:M64)</f>
        <v>25.878717000000002</v>
      </c>
      <c r="N65" s="349"/>
      <c r="O65" s="347"/>
      <c r="P65" s="366"/>
      <c r="Q65" s="365"/>
      <c r="R65" s="350">
        <f>R64+R63</f>
        <v>7.4249774300000002</v>
      </c>
      <c r="S65" s="350">
        <f>S64</f>
        <v>7.4249774300000002</v>
      </c>
      <c r="T65" s="381">
        <f>T63</f>
        <v>97.5</v>
      </c>
      <c r="U65" s="381">
        <f>U64</f>
        <v>95.3</v>
      </c>
      <c r="V65" s="353">
        <f>V63</f>
        <v>12</v>
      </c>
      <c r="W65" s="353">
        <f>W64</f>
        <v>1567</v>
      </c>
      <c r="X65" s="353">
        <f>SUM(X63:X64)</f>
        <v>1555</v>
      </c>
      <c r="Y65" s="353">
        <f t="shared" si="21"/>
        <v>209.4282460330657</v>
      </c>
      <c r="Z65" s="353">
        <f>Z63</f>
        <v>9.9088639999999995</v>
      </c>
      <c r="AA65" s="353">
        <f>AA64</f>
        <v>68.638182</v>
      </c>
      <c r="AB65" s="353">
        <f>SUM(AB63:AB64)</f>
        <v>58.720624000000001</v>
      </c>
      <c r="AC65" s="351">
        <f t="shared" si="22"/>
        <v>7.9085255886090957</v>
      </c>
      <c r="AD65" s="353">
        <f>AD63</f>
        <v>-0.55000000000000004</v>
      </c>
      <c r="AE65" s="353">
        <f>AE64</f>
        <v>-1.93</v>
      </c>
      <c r="AF65" s="353">
        <f>SUM(AF63:AF64)</f>
        <v>-1.38</v>
      </c>
      <c r="AG65" s="351">
        <f t="shared" si="23"/>
        <v>-0.18585915082034127</v>
      </c>
      <c r="AH65" s="353">
        <f>AH63</f>
        <v>0</v>
      </c>
      <c r="AI65" s="353">
        <f>AI64</f>
        <v>0</v>
      </c>
      <c r="AJ65" s="353">
        <f>SUM(AJ63:AJ64)</f>
        <v>0</v>
      </c>
      <c r="AK65" s="351">
        <f t="shared" si="24"/>
        <v>0</v>
      </c>
      <c r="AL65" s="353">
        <f>AL63</f>
        <v>0</v>
      </c>
      <c r="AM65" s="353">
        <f>AM64</f>
        <v>0</v>
      </c>
      <c r="AN65" s="353">
        <f>SUM(AN63:AN64)</f>
        <v>0</v>
      </c>
      <c r="AO65" s="351">
        <f t="shared" si="25"/>
        <v>0</v>
      </c>
      <c r="AP65" s="343"/>
      <c r="AQ65" s="343"/>
      <c r="AR65" s="343">
        <f>SUM(AR63:AR64)</f>
        <v>-2.2000000000000028</v>
      </c>
      <c r="AS65" s="384">
        <f>AS63</f>
        <v>0.7</v>
      </c>
      <c r="AT65" s="384">
        <f>AT64</f>
        <v>2.6</v>
      </c>
      <c r="AU65" s="384">
        <f>SUM(AU63:AU64)</f>
        <v>1.9000000000000001</v>
      </c>
      <c r="AV65" s="343"/>
      <c r="AW65" s="343"/>
      <c r="AX65" s="343"/>
      <c r="AY65" s="343"/>
      <c r="AZ65" s="362" t="s">
        <v>686</v>
      </c>
      <c r="BA65" s="550"/>
      <c r="BB65" s="550"/>
      <c r="BC65" s="550"/>
      <c r="BD65" s="550"/>
      <c r="BE65" s="550"/>
      <c r="BF65" s="550"/>
      <c r="BG65" s="550"/>
      <c r="BH65" s="550"/>
      <c r="BI65" s="550"/>
      <c r="BJ65" s="550"/>
      <c r="BK65" s="550"/>
      <c r="BL65" s="550"/>
      <c r="BM65" s="550"/>
      <c r="BN65" s="550"/>
      <c r="BO65" s="550"/>
      <c r="BP65" s="550"/>
      <c r="BQ65" s="550"/>
      <c r="BR65" s="550"/>
      <c r="BS65" s="550"/>
    </row>
    <row r="66" spans="1:71" s="577" customFormat="1" ht="15" customHeight="1" x14ac:dyDescent="0.2">
      <c r="A66" s="403">
        <f t="shared" ref="A66:A72" si="26">A65</f>
        <v>62008001</v>
      </c>
      <c r="B66" s="403" t="s">
        <v>630</v>
      </c>
      <c r="C66" s="403" t="s">
        <v>776</v>
      </c>
      <c r="D66" s="402" t="s">
        <v>718</v>
      </c>
      <c r="E66" s="346" t="s">
        <v>734</v>
      </c>
      <c r="F66" s="346" t="str">
        <f t="shared" si="13"/>
        <v>08/03/20</v>
      </c>
      <c r="G66" s="362" t="s">
        <v>735</v>
      </c>
      <c r="H66" s="362" t="s">
        <v>685</v>
      </c>
      <c r="I66" s="370"/>
      <c r="J66" s="363">
        <v>25.001605000000001</v>
      </c>
      <c r="K66" s="363">
        <v>39.080837000000002</v>
      </c>
      <c r="L66" s="363">
        <v>29.323046999999999</v>
      </c>
      <c r="M66" s="363">
        <v>28.825054000000002</v>
      </c>
      <c r="N66" s="347">
        <v>4250</v>
      </c>
      <c r="O66" s="347">
        <v>30.36</v>
      </c>
      <c r="P66" s="347">
        <v>0.3201</v>
      </c>
      <c r="Q66" s="347">
        <v>1.9560000000000001E-2</v>
      </c>
      <c r="R66" s="348">
        <v>10.24573438</v>
      </c>
      <c r="S66" s="348">
        <f>R66+R65</f>
        <v>17.67071181</v>
      </c>
      <c r="T66" s="380">
        <v>95.3</v>
      </c>
      <c r="U66" s="380">
        <v>92</v>
      </c>
      <c r="V66" s="352">
        <v>1568</v>
      </c>
      <c r="W66" s="352">
        <v>3818</v>
      </c>
      <c r="X66" s="352">
        <f>W66-V66</f>
        <v>2250</v>
      </c>
      <c r="Y66" s="352">
        <f t="shared" si="21"/>
        <v>219.60358492135728</v>
      </c>
      <c r="Z66" s="372">
        <v>69.328930999999997</v>
      </c>
      <c r="AA66" s="352">
        <v>101.32</v>
      </c>
      <c r="AB66" s="352">
        <f>AA66-Z66</f>
        <v>31.991068999999996</v>
      </c>
      <c r="AC66" s="371">
        <f t="shared" si="22"/>
        <v>3.1223793057184444</v>
      </c>
      <c r="AD66" s="372">
        <v>-1.94</v>
      </c>
      <c r="AE66" s="352">
        <v>-2.5099999999999998</v>
      </c>
      <c r="AF66" s="352">
        <f>AE66-AD66</f>
        <v>-0.56999999999999984</v>
      </c>
      <c r="AG66" s="371">
        <f t="shared" si="23"/>
        <v>-5.5632908180077163E-2</v>
      </c>
      <c r="AH66" s="372">
        <v>0</v>
      </c>
      <c r="AI66" s="352">
        <v>0</v>
      </c>
      <c r="AJ66" s="352">
        <f>AI66-AH66</f>
        <v>0</v>
      </c>
      <c r="AK66" s="371">
        <f t="shared" si="24"/>
        <v>0</v>
      </c>
      <c r="AL66" s="372">
        <v>0</v>
      </c>
      <c r="AM66" s="352">
        <v>0</v>
      </c>
      <c r="AN66" s="352">
        <f>AM66-AL66</f>
        <v>0</v>
      </c>
      <c r="AO66" s="371">
        <f t="shared" si="25"/>
        <v>0</v>
      </c>
      <c r="AP66" s="341">
        <v>95.3</v>
      </c>
      <c r="AQ66" s="341">
        <v>92</v>
      </c>
      <c r="AR66" s="341">
        <f>AQ66-AP66</f>
        <v>-3.2999999999999972</v>
      </c>
      <c r="AS66" s="526">
        <v>2.6</v>
      </c>
      <c r="AT66" s="383">
        <v>3.7</v>
      </c>
      <c r="AU66" s="383">
        <f>AT66-AS66</f>
        <v>1.1000000000000001</v>
      </c>
      <c r="AV66" s="341"/>
      <c r="AW66" s="341"/>
      <c r="AX66" s="341"/>
      <c r="AY66" s="341"/>
      <c r="AZ66" s="362" t="s">
        <v>686</v>
      </c>
      <c r="BA66" s="550">
        <v>1945.19836762</v>
      </c>
      <c r="BB66" s="550">
        <v>-0.76890760999999996</v>
      </c>
      <c r="BC66" s="550">
        <v>1296.6753239100001</v>
      </c>
      <c r="BD66" s="550">
        <v>1306.7228150200001</v>
      </c>
      <c r="BE66" s="550">
        <v>7.9728263400000001</v>
      </c>
      <c r="BF66" s="550">
        <v>8.0200568899999993</v>
      </c>
      <c r="BG66" s="550">
        <v>-0.10586044</v>
      </c>
      <c r="BH66" s="550">
        <v>10.245822479999999</v>
      </c>
      <c r="BI66" s="550">
        <v>10.25668024</v>
      </c>
      <c r="BJ66" s="550">
        <v>-0.48590653</v>
      </c>
      <c r="BK66" s="550">
        <v>-0.58890544</v>
      </c>
      <c r="BL66" s="550">
        <v>0.28276643000000001</v>
      </c>
      <c r="BM66" s="550"/>
      <c r="BN66" s="550"/>
      <c r="BO66" s="550"/>
      <c r="BP66" s="550"/>
      <c r="BQ66" s="550"/>
      <c r="BR66" s="550"/>
      <c r="BS66" s="550"/>
    </row>
    <row r="67" spans="1:71" s="577" customFormat="1" ht="15" customHeight="1" x14ac:dyDescent="0.2">
      <c r="A67" s="403">
        <f t="shared" si="26"/>
        <v>62008001</v>
      </c>
      <c r="B67" s="403" t="s">
        <v>631</v>
      </c>
      <c r="C67" s="403" t="s">
        <v>777</v>
      </c>
      <c r="D67" s="402" t="s">
        <v>718</v>
      </c>
      <c r="E67" s="346" t="s">
        <v>734</v>
      </c>
      <c r="F67" s="346" t="str">
        <f t="shared" si="13"/>
        <v>08/03/20</v>
      </c>
      <c r="G67" s="362" t="s">
        <v>735</v>
      </c>
      <c r="H67" s="362" t="s">
        <v>685</v>
      </c>
      <c r="I67" s="370"/>
      <c r="J67" s="363">
        <v>20.546903</v>
      </c>
      <c r="K67" s="363">
        <v>51.540616999999997</v>
      </c>
      <c r="L67" s="363">
        <v>29.311032000000001</v>
      </c>
      <c r="M67" s="363">
        <v>28.483063999999999</v>
      </c>
      <c r="N67" s="347">
        <v>4250</v>
      </c>
      <c r="O67" s="347">
        <v>30.36</v>
      </c>
      <c r="P67" s="347">
        <v>0.3201</v>
      </c>
      <c r="Q67" s="347">
        <v>1.9560000000000001E-2</v>
      </c>
      <c r="R67" s="348">
        <v>3.5820673099999998</v>
      </c>
      <c r="S67" s="348">
        <f>R67+R66</f>
        <v>13.827801689999999</v>
      </c>
      <c r="T67" s="380">
        <v>92</v>
      </c>
      <c r="U67" s="380">
        <v>90.9</v>
      </c>
      <c r="V67" s="352">
        <v>3825</v>
      </c>
      <c r="W67" s="352">
        <v>4554</v>
      </c>
      <c r="X67" s="352">
        <f>W67-V67</f>
        <v>729</v>
      </c>
      <c r="Y67" s="352">
        <f t="shared" si="21"/>
        <v>203.51376367631687</v>
      </c>
      <c r="Z67" s="372">
        <v>106.95</v>
      </c>
      <c r="AA67" s="352">
        <v>128.48711599999999</v>
      </c>
      <c r="AB67" s="352">
        <f>AA67-Z67</f>
        <v>21.537115999999983</v>
      </c>
      <c r="AC67" s="371">
        <f t="shared" si="22"/>
        <v>6.0124822165890528</v>
      </c>
      <c r="AD67" s="372">
        <v>-1.86</v>
      </c>
      <c r="AE67" s="352">
        <v>-2.36</v>
      </c>
      <c r="AF67" s="352">
        <f>AE67-AD67</f>
        <v>-0.49999999999999978</v>
      </c>
      <c r="AG67" s="371">
        <f t="shared" si="23"/>
        <v>-0.13958420005234345</v>
      </c>
      <c r="AH67" s="372">
        <v>0</v>
      </c>
      <c r="AI67" s="352">
        <v>0</v>
      </c>
      <c r="AJ67" s="352">
        <f>AI67-AH67</f>
        <v>0</v>
      </c>
      <c r="AK67" s="371">
        <f t="shared" si="24"/>
        <v>0</v>
      </c>
      <c r="AL67" s="372">
        <v>0</v>
      </c>
      <c r="AM67" s="352">
        <v>0</v>
      </c>
      <c r="AN67" s="352">
        <f>AM67-AL67</f>
        <v>0</v>
      </c>
      <c r="AO67" s="371">
        <f t="shared" si="25"/>
        <v>0</v>
      </c>
      <c r="AP67" s="341">
        <v>92</v>
      </c>
      <c r="AQ67" s="341">
        <v>90.9</v>
      </c>
      <c r="AR67" s="341">
        <f>AQ67-AP67</f>
        <v>-1.0999999999999943</v>
      </c>
      <c r="AS67" s="526">
        <v>4.5</v>
      </c>
      <c r="AT67" s="383">
        <v>5.2</v>
      </c>
      <c r="AU67" s="383">
        <f>AT67-AS67</f>
        <v>0.70000000000000018</v>
      </c>
      <c r="AV67" s="341"/>
      <c r="AW67" s="341"/>
      <c r="AX67" s="341"/>
      <c r="AY67" s="341"/>
      <c r="AZ67" s="362" t="s">
        <v>686</v>
      </c>
      <c r="BA67" s="550">
        <v>2410.51557886</v>
      </c>
      <c r="BB67" s="550">
        <v>-2.1773211799999999</v>
      </c>
      <c r="BC67" s="550">
        <v>2004.0392508100001</v>
      </c>
      <c r="BD67" s="550">
        <v>2048.6448285900001</v>
      </c>
      <c r="BE67" s="550">
        <v>3.2090002399999999</v>
      </c>
      <c r="BF67" s="550">
        <v>3.2582688599999998</v>
      </c>
      <c r="BG67" s="550">
        <v>-0.25025410999999997</v>
      </c>
      <c r="BH67" s="550">
        <v>3.58199288</v>
      </c>
      <c r="BI67" s="550">
        <v>3.5909794599999998</v>
      </c>
      <c r="BJ67" s="550">
        <v>-1.2812300599999999</v>
      </c>
      <c r="BK67" s="550">
        <v>-1.5121105500000001</v>
      </c>
      <c r="BL67" s="550">
        <v>0.59036197999999995</v>
      </c>
      <c r="BM67" s="550"/>
      <c r="BN67" s="550"/>
      <c r="BO67" s="550"/>
      <c r="BP67" s="550"/>
      <c r="BQ67" s="550"/>
      <c r="BR67" s="550"/>
      <c r="BS67" s="550"/>
    </row>
    <row r="68" spans="1:71" s="577" customFormat="1" ht="15" customHeight="1" x14ac:dyDescent="0.2">
      <c r="A68" s="403">
        <f t="shared" si="26"/>
        <v>62008001</v>
      </c>
      <c r="B68" s="403" t="s">
        <v>225</v>
      </c>
      <c r="C68" s="403" t="s">
        <v>778</v>
      </c>
      <c r="D68" s="402" t="s">
        <v>718</v>
      </c>
      <c r="E68" s="346" t="s">
        <v>734</v>
      </c>
      <c r="F68" s="346" t="str">
        <f t="shared" si="13"/>
        <v>08/03/20</v>
      </c>
      <c r="G68" s="362" t="s">
        <v>735</v>
      </c>
      <c r="H68" s="362" t="s">
        <v>685</v>
      </c>
      <c r="I68" s="370"/>
      <c r="J68" s="363">
        <v>19.867228999999998</v>
      </c>
      <c r="K68" s="363">
        <v>53.723911999999999</v>
      </c>
      <c r="L68" s="363">
        <v>29.3111</v>
      </c>
      <c r="M68" s="363">
        <v>27.659072999999999</v>
      </c>
      <c r="N68" s="347">
        <v>4250</v>
      </c>
      <c r="O68" s="347">
        <v>30.36</v>
      </c>
      <c r="P68" s="347">
        <v>0.3201</v>
      </c>
      <c r="Q68" s="347">
        <v>1.9560000000000001E-2</v>
      </c>
      <c r="R68" s="348">
        <v>3.84400882</v>
      </c>
      <c r="S68" s="348">
        <f>R68+R67</f>
        <v>7.4260761300000002</v>
      </c>
      <c r="T68" s="380">
        <v>90.9</v>
      </c>
      <c r="U68" s="380">
        <v>89.9</v>
      </c>
      <c r="V68" s="352">
        <v>4554</v>
      </c>
      <c r="W68" s="352">
        <v>5195</v>
      </c>
      <c r="X68" s="352">
        <f>W68-V68</f>
        <v>641</v>
      </c>
      <c r="Y68" s="352">
        <f t="shared" si="21"/>
        <v>166.75299928161976</v>
      </c>
      <c r="Z68" s="372">
        <v>128.49229800000001</v>
      </c>
      <c r="AA68" s="352">
        <v>165.20677800000001</v>
      </c>
      <c r="AB68" s="352">
        <f>AA68-Z68</f>
        <v>36.714480000000009</v>
      </c>
      <c r="AC68" s="371">
        <f t="shared" si="22"/>
        <v>9.5510915086818162</v>
      </c>
      <c r="AD68" s="372">
        <v>-2.36</v>
      </c>
      <c r="AE68" s="352">
        <v>-3.05</v>
      </c>
      <c r="AF68" s="352">
        <f>AE68-AD68</f>
        <v>-0.69</v>
      </c>
      <c r="AG68" s="371">
        <f t="shared" si="23"/>
        <v>-0.17950010843107272</v>
      </c>
      <c r="AH68" s="372">
        <v>0</v>
      </c>
      <c r="AI68" s="352">
        <v>0</v>
      </c>
      <c r="AJ68" s="352">
        <f>AI68-AH68</f>
        <v>0</v>
      </c>
      <c r="AK68" s="371">
        <f t="shared" si="24"/>
        <v>0</v>
      </c>
      <c r="AL68" s="372">
        <v>0</v>
      </c>
      <c r="AM68" s="352">
        <v>0</v>
      </c>
      <c r="AN68" s="352">
        <f>AM68-AL68</f>
        <v>0</v>
      </c>
      <c r="AO68" s="371">
        <f t="shared" si="25"/>
        <v>0</v>
      </c>
      <c r="AP68" s="341">
        <v>90.9</v>
      </c>
      <c r="AQ68" s="341">
        <v>89.9</v>
      </c>
      <c r="AR68" s="341">
        <f>AQ68-AP68</f>
        <v>-1</v>
      </c>
      <c r="AS68" s="526">
        <v>5.2</v>
      </c>
      <c r="AT68" s="383">
        <v>6.4</v>
      </c>
      <c r="AU68" s="383">
        <f>AT68-AS68</f>
        <v>1.2000000000000002</v>
      </c>
      <c r="AV68" s="341"/>
      <c r="AW68" s="341"/>
      <c r="AX68" s="341"/>
      <c r="AY68" s="341"/>
      <c r="AZ68" s="362" t="s">
        <v>686</v>
      </c>
      <c r="BA68" s="550">
        <v>1481.68907251</v>
      </c>
      <c r="BB68" s="550">
        <v>-2.08770758</v>
      </c>
      <c r="BC68" s="550">
        <v>3344.6816443299999</v>
      </c>
      <c r="BD68" s="550">
        <v>3415.9976867999999</v>
      </c>
      <c r="BE68" s="550">
        <v>2.9543918699999998</v>
      </c>
      <c r="BF68" s="550">
        <v>3.0184283700000001</v>
      </c>
      <c r="BG68" s="550">
        <v>-0.4143889</v>
      </c>
      <c r="BH68" s="550">
        <v>3.84383505</v>
      </c>
      <c r="BI68" s="550">
        <v>3.8598297600000002</v>
      </c>
      <c r="BJ68" s="550">
        <v>-1.7441313899999999</v>
      </c>
      <c r="BK68" s="550">
        <v>-2.1215182299999999</v>
      </c>
      <c r="BL68" s="550">
        <v>0.71451745</v>
      </c>
      <c r="BM68" s="550"/>
      <c r="BN68" s="550"/>
      <c r="BO68" s="550"/>
      <c r="BP68" s="550"/>
      <c r="BQ68" s="550"/>
      <c r="BR68" s="550"/>
      <c r="BS68" s="550"/>
    </row>
    <row r="69" spans="1:71" s="577" customFormat="1" ht="15" customHeight="1" x14ac:dyDescent="0.2">
      <c r="A69" s="403">
        <f t="shared" si="26"/>
        <v>62008001</v>
      </c>
      <c r="B69" s="403" t="s">
        <v>632</v>
      </c>
      <c r="C69" s="403" t="s">
        <v>779</v>
      </c>
      <c r="D69" s="402" t="s">
        <v>718</v>
      </c>
      <c r="E69" s="346" t="s">
        <v>734</v>
      </c>
      <c r="F69" s="346" t="str">
        <f t="shared" si="13"/>
        <v>08/03/20</v>
      </c>
      <c r="G69" s="362" t="s">
        <v>735</v>
      </c>
      <c r="H69" s="362" t="s">
        <v>685</v>
      </c>
      <c r="I69" s="370"/>
      <c r="J69" s="364">
        <f>AVERAGE(J67:J68)</f>
        <v>20.207065999999998</v>
      </c>
      <c r="K69" s="364">
        <f>AVERAGE(K67:K68)</f>
        <v>52.632264499999998</v>
      </c>
      <c r="L69" s="364">
        <f>AVERAGE(L67:L68)</f>
        <v>29.311066</v>
      </c>
      <c r="M69" s="364">
        <f>AVERAGE(M67:M68)</f>
        <v>28.071068499999999</v>
      </c>
      <c r="N69" s="349"/>
      <c r="O69" s="347"/>
      <c r="P69" s="366"/>
      <c r="Q69" s="365"/>
      <c r="R69" s="350">
        <f>R68+R67</f>
        <v>7.4260761300000002</v>
      </c>
      <c r="S69" s="350">
        <f>S68</f>
        <v>7.4260761300000002</v>
      </c>
      <c r="T69" s="381">
        <f>T67</f>
        <v>92</v>
      </c>
      <c r="U69" s="381">
        <f>U68</f>
        <v>89.9</v>
      </c>
      <c r="V69" s="353">
        <f>V67</f>
        <v>3825</v>
      </c>
      <c r="W69" s="353">
        <f>W68</f>
        <v>5195</v>
      </c>
      <c r="X69" s="353">
        <f>SUM(X67:X68)</f>
        <v>1370</v>
      </c>
      <c r="Y69" s="353">
        <f t="shared" si="21"/>
        <v>184.48504647904815</v>
      </c>
      <c r="Z69" s="353">
        <f>Z67</f>
        <v>106.95</v>
      </c>
      <c r="AA69" s="353">
        <f>AA68</f>
        <v>165.20677800000001</v>
      </c>
      <c r="AB69" s="353">
        <f>SUM(AB67:AB68)</f>
        <v>58.251595999999992</v>
      </c>
      <c r="AC69" s="351">
        <f t="shared" si="22"/>
        <v>7.8441959091523605</v>
      </c>
      <c r="AD69" s="353">
        <f>AD67</f>
        <v>-1.86</v>
      </c>
      <c r="AE69" s="353">
        <f>AE68</f>
        <v>-3.05</v>
      </c>
      <c r="AF69" s="353">
        <f>SUM(AF67:AF68)</f>
        <v>-1.1899999999999997</v>
      </c>
      <c r="AG69" s="351">
        <f t="shared" si="23"/>
        <v>-0.1602461352628228</v>
      </c>
      <c r="AH69" s="353">
        <f>AH67</f>
        <v>0</v>
      </c>
      <c r="AI69" s="353">
        <f>AI68</f>
        <v>0</v>
      </c>
      <c r="AJ69" s="353">
        <f>SUM(AJ67:AJ68)</f>
        <v>0</v>
      </c>
      <c r="AK69" s="351">
        <f t="shared" si="24"/>
        <v>0</v>
      </c>
      <c r="AL69" s="353">
        <f>AL67</f>
        <v>0</v>
      </c>
      <c r="AM69" s="353">
        <f>AM68</f>
        <v>0</v>
      </c>
      <c r="AN69" s="353">
        <f>SUM(AN67:AN68)</f>
        <v>0</v>
      </c>
      <c r="AO69" s="351">
        <f t="shared" si="25"/>
        <v>0</v>
      </c>
      <c r="AP69" s="343"/>
      <c r="AQ69" s="343"/>
      <c r="AR69" s="343">
        <f>SUM(AR67:AR68)</f>
        <v>-2.0999999999999943</v>
      </c>
      <c r="AS69" s="384">
        <f>AS67</f>
        <v>4.5</v>
      </c>
      <c r="AT69" s="384">
        <f>AT68</f>
        <v>6.4</v>
      </c>
      <c r="AU69" s="384">
        <f>SUM(AU67:AU68)</f>
        <v>1.9000000000000004</v>
      </c>
      <c r="AV69" s="343"/>
      <c r="AW69" s="343"/>
      <c r="AX69" s="343"/>
      <c r="AY69" s="343"/>
      <c r="AZ69" s="362" t="s">
        <v>686</v>
      </c>
      <c r="BA69" s="550"/>
      <c r="BB69" s="550"/>
      <c r="BC69" s="550"/>
      <c r="BD69" s="550"/>
      <c r="BE69" s="550"/>
      <c r="BF69" s="550"/>
      <c r="BG69" s="550"/>
      <c r="BH69" s="550"/>
      <c r="BI69" s="550"/>
      <c r="BJ69" s="550"/>
      <c r="BK69" s="550"/>
      <c r="BL69" s="550"/>
      <c r="BM69" s="550"/>
      <c r="BN69" s="550"/>
      <c r="BO69" s="550"/>
      <c r="BP69" s="550"/>
      <c r="BQ69" s="550"/>
      <c r="BR69" s="550"/>
      <c r="BS69" s="550"/>
    </row>
    <row r="70" spans="1:71" s="577" customFormat="1" ht="15" customHeight="1" x14ac:dyDescent="0.2">
      <c r="A70" s="403">
        <f t="shared" si="26"/>
        <v>62008001</v>
      </c>
      <c r="B70" s="403" t="s">
        <v>633</v>
      </c>
      <c r="C70" s="403" t="s">
        <v>780</v>
      </c>
      <c r="D70" s="402" t="s">
        <v>718</v>
      </c>
      <c r="E70" s="346" t="s">
        <v>734</v>
      </c>
      <c r="F70" s="346" t="str">
        <f t="shared" si="13"/>
        <v>08/03/20</v>
      </c>
      <c r="G70" s="362" t="s">
        <v>735</v>
      </c>
      <c r="H70" s="362" t="s">
        <v>685</v>
      </c>
      <c r="I70" s="370"/>
      <c r="J70" s="363">
        <v>23.077014999999999</v>
      </c>
      <c r="K70" s="363">
        <v>43.643957999999998</v>
      </c>
      <c r="L70" s="363">
        <v>29.318974999999998</v>
      </c>
      <c r="M70" s="363">
        <v>30.065622000000001</v>
      </c>
      <c r="N70" s="347">
        <v>4250</v>
      </c>
      <c r="O70" s="347">
        <v>30.36</v>
      </c>
      <c r="P70" s="347">
        <v>0.3201</v>
      </c>
      <c r="Q70" s="347">
        <v>1.9560000000000001E-2</v>
      </c>
      <c r="R70" s="348">
        <v>1.76531696</v>
      </c>
      <c r="S70" s="348">
        <f>R70+R69</f>
        <v>9.19139309</v>
      </c>
      <c r="T70" s="380">
        <v>89.9</v>
      </c>
      <c r="U70" s="380">
        <v>86.2</v>
      </c>
      <c r="V70" s="352">
        <v>5199</v>
      </c>
      <c r="W70" s="352">
        <v>7596</v>
      </c>
      <c r="X70" s="352">
        <f>W70-V70-X71</f>
        <v>552</v>
      </c>
      <c r="Y70" s="352">
        <f t="shared" si="21"/>
        <v>312.6917219443697</v>
      </c>
      <c r="Z70" s="372">
        <v>169.10667000000001</v>
      </c>
      <c r="AA70" s="352">
        <v>194.236367</v>
      </c>
      <c r="AB70" s="352">
        <f>AA70-Z70-AB71</f>
        <v>9.9762969999999882</v>
      </c>
      <c r="AC70" s="371">
        <f t="shared" si="22"/>
        <v>5.6512780571710977</v>
      </c>
      <c r="AD70" s="372">
        <v>-3.11</v>
      </c>
      <c r="AE70" s="352">
        <v>-3.51</v>
      </c>
      <c r="AF70" s="352">
        <f>AE70-AD70-AF71</f>
        <v>-0.16000000000000014</v>
      </c>
      <c r="AG70" s="371">
        <f t="shared" si="23"/>
        <v>-9.0635281723005792E-2</v>
      </c>
      <c r="AH70" s="372">
        <v>0</v>
      </c>
      <c r="AI70" s="352">
        <v>0</v>
      </c>
      <c r="AJ70" s="352">
        <f>AI70-AH70-AJ71</f>
        <v>0</v>
      </c>
      <c r="AK70" s="371">
        <f t="shared" si="24"/>
        <v>0</v>
      </c>
      <c r="AL70" s="372">
        <v>0</v>
      </c>
      <c r="AM70" s="352">
        <v>0</v>
      </c>
      <c r="AN70" s="352">
        <f>AM70-AL70-AN71</f>
        <v>0</v>
      </c>
      <c r="AO70" s="371">
        <f t="shared" si="25"/>
        <v>0</v>
      </c>
      <c r="AP70" s="341">
        <v>89.9</v>
      </c>
      <c r="AQ70" s="341">
        <v>86.2</v>
      </c>
      <c r="AR70" s="341">
        <f>AQ70-AP70-AR71</f>
        <v>-0.90000000000000568</v>
      </c>
      <c r="AS70" s="526">
        <v>6.5</v>
      </c>
      <c r="AT70" s="383">
        <v>7.4</v>
      </c>
      <c r="AU70" s="383">
        <f>AT70-AS70-AU71</f>
        <v>0.40000000000000036</v>
      </c>
      <c r="AV70" s="341"/>
      <c r="AW70" s="341"/>
      <c r="AX70" s="341"/>
      <c r="AY70" s="341"/>
      <c r="AZ70" s="362" t="s">
        <v>686</v>
      </c>
      <c r="BA70" s="550">
        <v>5560.21336686</v>
      </c>
      <c r="BB70" s="550">
        <v>-1.1875077000000001</v>
      </c>
      <c r="BC70" s="550">
        <v>2430.08322395</v>
      </c>
      <c r="BD70" s="550">
        <v>2459.2874517400001</v>
      </c>
      <c r="BE70" s="550">
        <v>3.1643765899999998</v>
      </c>
      <c r="BF70" s="550">
        <v>3.20771498</v>
      </c>
      <c r="BG70" s="550">
        <v>-0.38262226999999999</v>
      </c>
      <c r="BH70" s="550">
        <v>1.7653238600000001</v>
      </c>
      <c r="BI70" s="550">
        <v>1.77210432</v>
      </c>
      <c r="BJ70" s="550">
        <v>-0.98170886999999996</v>
      </c>
      <c r="BK70" s="550">
        <v>-1.35106759</v>
      </c>
      <c r="BL70" s="550">
        <v>0.81478452999999995</v>
      </c>
      <c r="BM70" s="550"/>
      <c r="BN70" s="550"/>
      <c r="BO70" s="550"/>
      <c r="BP70" s="550"/>
      <c r="BQ70" s="550"/>
      <c r="BR70" s="550"/>
      <c r="BS70" s="550"/>
    </row>
    <row r="71" spans="1:71" s="577" customFormat="1" ht="15" customHeight="1" x14ac:dyDescent="0.2">
      <c r="A71" s="403">
        <f t="shared" si="26"/>
        <v>62008001</v>
      </c>
      <c r="B71" s="403" t="s">
        <v>634</v>
      </c>
      <c r="C71" s="403" t="s">
        <v>781</v>
      </c>
      <c r="D71" s="402" t="s">
        <v>718</v>
      </c>
      <c r="E71" s="346" t="s">
        <v>734</v>
      </c>
      <c r="F71" s="346" t="str">
        <f t="shared" si="13"/>
        <v>08/03/20</v>
      </c>
      <c r="G71" s="362" t="s">
        <v>735</v>
      </c>
      <c r="H71" s="362" t="s">
        <v>685</v>
      </c>
      <c r="I71" s="370"/>
      <c r="J71" s="363">
        <v>27.010878999999999</v>
      </c>
      <c r="K71" s="363">
        <v>35.246330999999998</v>
      </c>
      <c r="L71" s="363">
        <v>29.353396</v>
      </c>
      <c r="M71" s="363">
        <v>30.241807999999999</v>
      </c>
      <c r="N71" s="347">
        <v>4250</v>
      </c>
      <c r="O71" s="347">
        <v>30.36</v>
      </c>
      <c r="P71" s="347">
        <v>0.3201</v>
      </c>
      <c r="Q71" s="347">
        <v>1.9560000000000001E-2</v>
      </c>
      <c r="R71" s="348">
        <v>6.2279869999999997</v>
      </c>
      <c r="S71" s="348">
        <f>R71+R70</f>
        <v>7.9933039599999995</v>
      </c>
      <c r="T71" s="380">
        <v>89.3</v>
      </c>
      <c r="U71" s="380">
        <v>86.5</v>
      </c>
      <c r="V71" s="352">
        <v>5570</v>
      </c>
      <c r="W71" s="352">
        <v>7415</v>
      </c>
      <c r="X71" s="352">
        <f>W71-V71</f>
        <v>1845</v>
      </c>
      <c r="Y71" s="352">
        <f t="shared" si="21"/>
        <v>296.24339292936867</v>
      </c>
      <c r="Z71" s="372">
        <v>174.64660000000001</v>
      </c>
      <c r="AA71" s="352">
        <v>189.8</v>
      </c>
      <c r="AB71" s="352">
        <f>AA71-Z71</f>
        <v>15.153400000000005</v>
      </c>
      <c r="AC71" s="371">
        <f t="shared" si="22"/>
        <v>2.4331136208216244</v>
      </c>
      <c r="AD71" s="372">
        <v>-3.2</v>
      </c>
      <c r="AE71" s="352">
        <v>-3.44</v>
      </c>
      <c r="AF71" s="352">
        <f>AE71-AD71</f>
        <v>-0.23999999999999977</v>
      </c>
      <c r="AG71" s="371">
        <f t="shared" si="23"/>
        <v>-3.8535725909511334E-2</v>
      </c>
      <c r="AH71" s="372">
        <v>0</v>
      </c>
      <c r="AI71" s="352">
        <v>0</v>
      </c>
      <c r="AJ71" s="352">
        <f>AI71-AH71</f>
        <v>0</v>
      </c>
      <c r="AK71" s="371">
        <f t="shared" si="24"/>
        <v>0</v>
      </c>
      <c r="AL71" s="372">
        <v>0</v>
      </c>
      <c r="AM71" s="352">
        <v>0</v>
      </c>
      <c r="AN71" s="352">
        <f>AM71-AL71</f>
        <v>0</v>
      </c>
      <c r="AO71" s="371">
        <f t="shared" si="25"/>
        <v>0</v>
      </c>
      <c r="AP71" s="341">
        <v>89.3</v>
      </c>
      <c r="AQ71" s="341">
        <v>86.5</v>
      </c>
      <c r="AR71" s="341">
        <f>AQ71-AP71</f>
        <v>-2.7999999999999972</v>
      </c>
      <c r="AS71" s="526">
        <v>6.7</v>
      </c>
      <c r="AT71" s="383">
        <v>7.2</v>
      </c>
      <c r="AU71" s="383">
        <f>AT71-AS71</f>
        <v>0.5</v>
      </c>
      <c r="AV71" s="341"/>
      <c r="AW71" s="341"/>
      <c r="AX71" s="341"/>
      <c r="AY71" s="341"/>
      <c r="AZ71" s="362" t="s">
        <v>686</v>
      </c>
      <c r="BA71" s="550">
        <v>11812.420043620001</v>
      </c>
      <c r="BB71" s="550">
        <v>-9.3982706</v>
      </c>
      <c r="BC71" s="550">
        <v>1031.3166749699999</v>
      </c>
      <c r="BD71" s="550">
        <v>1138.2968975799999</v>
      </c>
      <c r="BE71" s="550">
        <v>6.9208114600000004</v>
      </c>
      <c r="BF71" s="550">
        <v>7.0841374999999998</v>
      </c>
      <c r="BG71" s="550">
        <v>-0.10891221</v>
      </c>
      <c r="BH71" s="550">
        <v>6.2280670499999999</v>
      </c>
      <c r="BI71" s="550">
        <v>6.23485757</v>
      </c>
      <c r="BJ71" s="550">
        <v>-2.2484437900000001</v>
      </c>
      <c r="BK71" s="550">
        <v>-2.30551773</v>
      </c>
      <c r="BL71" s="550">
        <v>0.34892136000000001</v>
      </c>
      <c r="BM71" s="550"/>
      <c r="BN71" s="550"/>
      <c r="BO71" s="550"/>
      <c r="BP71" s="550"/>
      <c r="BQ71" s="550"/>
      <c r="BR71" s="550"/>
      <c r="BS71" s="550"/>
    </row>
    <row r="72" spans="1:71" s="577" customFormat="1" ht="15" customHeight="1" x14ac:dyDescent="0.2">
      <c r="A72" s="403">
        <f t="shared" si="26"/>
        <v>62008001</v>
      </c>
      <c r="B72" s="403" t="s">
        <v>635</v>
      </c>
      <c r="C72" s="403" t="s">
        <v>782</v>
      </c>
      <c r="D72" s="402" t="s">
        <v>718</v>
      </c>
      <c r="E72" s="346" t="s">
        <v>734</v>
      </c>
      <c r="F72" s="346" t="str">
        <f t="shared" si="13"/>
        <v>08/03/20</v>
      </c>
      <c r="G72" s="362" t="s">
        <v>735</v>
      </c>
      <c r="H72" s="362" t="s">
        <v>685</v>
      </c>
      <c r="I72" s="370"/>
      <c r="J72" s="364">
        <f>AVERAGE(J70:J71)</f>
        <v>25.043946999999999</v>
      </c>
      <c r="K72" s="364">
        <f>AVERAGE(K70:K71)</f>
        <v>39.445144499999998</v>
      </c>
      <c r="L72" s="364">
        <f>AVERAGE(L70:L71)</f>
        <v>29.336185499999999</v>
      </c>
      <c r="M72" s="364">
        <f>AVERAGE(M70:M71)</f>
        <v>30.153714999999998</v>
      </c>
      <c r="N72" s="349"/>
      <c r="O72" s="347"/>
      <c r="P72" s="366"/>
      <c r="Q72" s="365"/>
      <c r="R72" s="350">
        <f>R71+R70</f>
        <v>7.9933039599999995</v>
      </c>
      <c r="S72" s="350">
        <f>S71</f>
        <v>7.9933039599999995</v>
      </c>
      <c r="T72" s="381">
        <f>T70</f>
        <v>89.9</v>
      </c>
      <c r="U72" s="381">
        <f>U71</f>
        <v>86.5</v>
      </c>
      <c r="V72" s="353">
        <f>V70</f>
        <v>5199</v>
      </c>
      <c r="W72" s="353">
        <f>W71</f>
        <v>7415</v>
      </c>
      <c r="X72" s="353">
        <f>SUM(X70:X71)</f>
        <v>2397</v>
      </c>
      <c r="Y72" s="353">
        <f t="shared" si="21"/>
        <v>299.87599770946281</v>
      </c>
      <c r="Z72" s="353">
        <f>Z70</f>
        <v>169.10667000000001</v>
      </c>
      <c r="AA72" s="353">
        <f>AA71</f>
        <v>189.8</v>
      </c>
      <c r="AB72" s="353">
        <f>SUM(AB70:AB71)</f>
        <v>25.129696999999993</v>
      </c>
      <c r="AC72" s="351">
        <f t="shared" si="22"/>
        <v>3.1438435377603224</v>
      </c>
      <c r="AD72" s="353">
        <f>AD70</f>
        <v>-3.11</v>
      </c>
      <c r="AE72" s="353">
        <f>AE71</f>
        <v>-3.44</v>
      </c>
      <c r="AF72" s="353">
        <f>SUM(AF70:AF71)</f>
        <v>-0.39999999999999991</v>
      </c>
      <c r="AG72" s="351">
        <f t="shared" si="23"/>
        <v>-5.0041885308212394E-2</v>
      </c>
      <c r="AH72" s="353">
        <f>AH70</f>
        <v>0</v>
      </c>
      <c r="AI72" s="353">
        <f>AI71</f>
        <v>0</v>
      </c>
      <c r="AJ72" s="353">
        <f>SUM(AJ70:AJ71)</f>
        <v>0</v>
      </c>
      <c r="AK72" s="351">
        <f t="shared" si="24"/>
        <v>0</v>
      </c>
      <c r="AL72" s="353">
        <f>AL70</f>
        <v>0</v>
      </c>
      <c r="AM72" s="353">
        <f>AM71</f>
        <v>0</v>
      </c>
      <c r="AN72" s="353">
        <f>SUM(AN70:AN71)</f>
        <v>0</v>
      </c>
      <c r="AO72" s="351">
        <f t="shared" si="25"/>
        <v>0</v>
      </c>
      <c r="AP72" s="343"/>
      <c r="AQ72" s="343"/>
      <c r="AR72" s="343">
        <f>SUM(AR70:AR71)</f>
        <v>-3.7000000000000028</v>
      </c>
      <c r="AS72" s="384">
        <f>AS70</f>
        <v>6.5</v>
      </c>
      <c r="AT72" s="384">
        <f>AT71</f>
        <v>7.2</v>
      </c>
      <c r="AU72" s="384">
        <f>SUM(AU70:AU71)</f>
        <v>0.90000000000000036</v>
      </c>
      <c r="AV72" s="343"/>
      <c r="AW72" s="343"/>
      <c r="AX72" s="343"/>
      <c r="AY72" s="343"/>
      <c r="AZ72" s="362" t="s">
        <v>686</v>
      </c>
      <c r="BA72" s="550"/>
      <c r="BB72" s="550"/>
      <c r="BC72" s="550"/>
      <c r="BD72" s="550"/>
      <c r="BE72" s="550"/>
      <c r="BF72" s="550"/>
      <c r="BG72" s="550"/>
      <c r="BH72" s="550"/>
      <c r="BI72" s="550"/>
      <c r="BJ72" s="550"/>
      <c r="BK72" s="550"/>
      <c r="BL72" s="550"/>
      <c r="BM72" s="550"/>
      <c r="BN72" s="550"/>
      <c r="BO72" s="550"/>
      <c r="BP72" s="550"/>
      <c r="BQ72" s="550"/>
      <c r="BR72" s="550"/>
      <c r="BS72" s="550"/>
    </row>
    <row r="73" spans="1:71" s="577" customFormat="1" ht="15" customHeight="1" x14ac:dyDescent="0.2">
      <c r="A73" s="403">
        <f>A72+1</f>
        <v>62008002</v>
      </c>
      <c r="B73" s="403" t="s">
        <v>636</v>
      </c>
      <c r="C73" s="403" t="s">
        <v>773</v>
      </c>
      <c r="D73" s="402" t="s">
        <v>721</v>
      </c>
      <c r="E73" s="346" t="s">
        <v>736</v>
      </c>
      <c r="F73" s="346" t="str">
        <f t="shared" si="13"/>
        <v>08/03/20</v>
      </c>
      <c r="G73" s="362" t="s">
        <v>737</v>
      </c>
      <c r="H73" s="362" t="s">
        <v>685</v>
      </c>
      <c r="I73" s="370"/>
      <c r="J73" s="363">
        <v>158.52057400000001</v>
      </c>
      <c r="K73" s="363">
        <v>210.71854300000001</v>
      </c>
      <c r="L73" s="363">
        <v>175.71477200000001</v>
      </c>
      <c r="M73" s="363">
        <v>187.84933100000001</v>
      </c>
      <c r="N73" s="347">
        <v>4250</v>
      </c>
      <c r="O73" s="347">
        <v>30.36</v>
      </c>
      <c r="P73" s="347">
        <v>0.3201</v>
      </c>
      <c r="Q73" s="347">
        <v>1.9560000000000001E-2</v>
      </c>
      <c r="R73" s="348">
        <v>141.27797047999999</v>
      </c>
      <c r="S73" s="348">
        <f>R73+R72</f>
        <v>149.27127443999998</v>
      </c>
      <c r="T73" s="380">
        <v>86.2</v>
      </c>
      <c r="U73" s="380">
        <v>22</v>
      </c>
      <c r="V73" s="352">
        <v>7599</v>
      </c>
      <c r="W73" s="352">
        <v>46635</v>
      </c>
      <c r="X73" s="352">
        <f>W73-V73</f>
        <v>39036</v>
      </c>
      <c r="Y73" s="352">
        <f t="shared" si="21"/>
        <v>276.30634746077504</v>
      </c>
      <c r="Z73" s="372">
        <v>196.85</v>
      </c>
      <c r="AA73" s="352">
        <v>518.01</v>
      </c>
      <c r="AB73" s="352">
        <f>AA73-Z73</f>
        <v>321.15999999999997</v>
      </c>
      <c r="AC73" s="371">
        <f t="shared" si="22"/>
        <v>2.2732489637898992</v>
      </c>
      <c r="AD73" s="372">
        <v>-2.5499999999999998</v>
      </c>
      <c r="AE73" s="352">
        <v>-7.8</v>
      </c>
      <c r="AF73" s="352">
        <f>AE73-AD73</f>
        <v>-5.25</v>
      </c>
      <c r="AG73" s="371">
        <f t="shared" si="23"/>
        <v>-3.716078297389766E-2</v>
      </c>
      <c r="AH73" s="372">
        <v>0</v>
      </c>
      <c r="AI73" s="352">
        <v>0</v>
      </c>
      <c r="AJ73" s="352">
        <f>AI73-AH73</f>
        <v>0</v>
      </c>
      <c r="AK73" s="371">
        <f t="shared" si="24"/>
        <v>0</v>
      </c>
      <c r="AL73" s="372">
        <v>0</v>
      </c>
      <c r="AM73" s="352">
        <v>0</v>
      </c>
      <c r="AN73" s="352">
        <f>AM73-AL73</f>
        <v>0</v>
      </c>
      <c r="AO73" s="371">
        <f t="shared" si="25"/>
        <v>0</v>
      </c>
      <c r="AP73" s="341">
        <v>86.2</v>
      </c>
      <c r="AQ73" s="341">
        <v>22</v>
      </c>
      <c r="AR73" s="341">
        <f>AQ73-AP73</f>
        <v>-64.2</v>
      </c>
      <c r="AS73" s="526">
        <v>7.9</v>
      </c>
      <c r="AT73" s="383">
        <v>18.7</v>
      </c>
      <c r="AU73" s="383">
        <f>AT73-AS73</f>
        <v>10.799999999999999</v>
      </c>
      <c r="AV73" s="341"/>
      <c r="AW73" s="341"/>
      <c r="AX73" s="341"/>
      <c r="AY73" s="341"/>
      <c r="AZ73" s="362" t="s">
        <v>686</v>
      </c>
      <c r="BA73" s="550">
        <v>17.092642420000001</v>
      </c>
      <c r="BB73" s="550">
        <v>62.338131799999999</v>
      </c>
      <c r="BC73" s="550">
        <v>943.43129969999995</v>
      </c>
      <c r="BD73" s="550">
        <v>581.15200000000004</v>
      </c>
      <c r="BE73" s="550">
        <v>135.68755587999999</v>
      </c>
      <c r="BF73" s="550">
        <v>136.03428754999999</v>
      </c>
      <c r="BG73" s="550">
        <v>-0.1061406</v>
      </c>
      <c r="BH73" s="550">
        <v>141.27918396000001</v>
      </c>
      <c r="BI73" s="550">
        <v>141.42929785999999</v>
      </c>
      <c r="BJ73" s="550">
        <v>-0.14912499000000001</v>
      </c>
      <c r="BK73" s="550">
        <v>-0.25488548999999999</v>
      </c>
      <c r="BL73" s="550">
        <v>6.0725199999999997E-3</v>
      </c>
      <c r="BM73" s="550"/>
      <c r="BN73" s="550"/>
      <c r="BO73" s="550"/>
      <c r="BP73" s="550"/>
      <c r="BQ73" s="550"/>
      <c r="BR73" s="550"/>
      <c r="BS73" s="550"/>
    </row>
    <row r="74" spans="1:71" s="577" customFormat="1" ht="15" customHeight="1" x14ac:dyDescent="0.2">
      <c r="A74" s="403">
        <f>A73+1</f>
        <v>62008003</v>
      </c>
      <c r="B74" s="403" t="s">
        <v>637</v>
      </c>
      <c r="C74" s="403" t="s">
        <v>810</v>
      </c>
      <c r="D74" s="402" t="s">
        <v>724</v>
      </c>
      <c r="E74" s="346" t="s">
        <v>738</v>
      </c>
      <c r="F74" s="346" t="str">
        <f t="shared" si="13"/>
        <v>08/03/20</v>
      </c>
      <c r="G74" s="362" t="s">
        <v>737</v>
      </c>
      <c r="H74" s="362" t="s">
        <v>685</v>
      </c>
      <c r="I74" s="370"/>
      <c r="J74" s="363">
        <v>22.026271000000001</v>
      </c>
      <c r="K74" s="363">
        <v>44.105763000000003</v>
      </c>
      <c r="L74" s="363">
        <v>29.327052999999999</v>
      </c>
      <c r="M74" s="363">
        <v>32.590893000000001</v>
      </c>
      <c r="N74" s="347">
        <v>4250</v>
      </c>
      <c r="O74" s="347">
        <v>30.36</v>
      </c>
      <c r="P74" s="347">
        <v>0.3201</v>
      </c>
      <c r="Q74" s="347">
        <v>1.9560000000000001E-2</v>
      </c>
      <c r="R74" s="348">
        <v>1.7658649200000001</v>
      </c>
      <c r="S74" s="348">
        <f>R74+R73</f>
        <v>143.04383540000001</v>
      </c>
      <c r="T74" s="380">
        <v>22</v>
      </c>
      <c r="U74" s="380">
        <v>17.8</v>
      </c>
      <c r="V74" s="352">
        <v>46638</v>
      </c>
      <c r="W74" s="352">
        <v>49004</v>
      </c>
      <c r="X74" s="352">
        <f>W74-V74-X75</f>
        <v>540</v>
      </c>
      <c r="Y74" s="352">
        <f t="shared" si="21"/>
        <v>305.79915478472725</v>
      </c>
      <c r="Z74" s="372">
        <v>520.62</v>
      </c>
      <c r="AA74" s="352">
        <v>546.16999999999996</v>
      </c>
      <c r="AB74" s="352">
        <f>AA74-Z74-AB75</f>
        <v>10.377280999999925</v>
      </c>
      <c r="AC74" s="371">
        <f t="shared" si="22"/>
        <v>5.8765995532659003</v>
      </c>
      <c r="AD74" s="372">
        <v>-6.86</v>
      </c>
      <c r="AE74" s="352">
        <v>-7.68</v>
      </c>
      <c r="AF74" s="352">
        <f>AE74-AD74-AF75</f>
        <v>-0.45999999999999996</v>
      </c>
      <c r="AG74" s="371">
        <f t="shared" si="23"/>
        <v>-0.26049557629810094</v>
      </c>
      <c r="AH74" s="372">
        <v>0</v>
      </c>
      <c r="AI74" s="352">
        <v>0</v>
      </c>
      <c r="AJ74" s="352">
        <f>AI74-AH74-AJ75</f>
        <v>0</v>
      </c>
      <c r="AK74" s="371">
        <f t="shared" si="24"/>
        <v>0</v>
      </c>
      <c r="AL74" s="372">
        <v>0</v>
      </c>
      <c r="AM74" s="352">
        <v>0</v>
      </c>
      <c r="AN74" s="352">
        <f>AM74-AL74-AN75</f>
        <v>0</v>
      </c>
      <c r="AO74" s="371">
        <f t="shared" si="25"/>
        <v>0</v>
      </c>
      <c r="AP74" s="341">
        <v>22</v>
      </c>
      <c r="AQ74" s="341">
        <v>17.8</v>
      </c>
      <c r="AR74" s="341">
        <f>AQ74-AP74-AR75</f>
        <v>-1</v>
      </c>
      <c r="AS74" s="526">
        <v>19.100000000000001</v>
      </c>
      <c r="AT74" s="383">
        <v>19.899999999999999</v>
      </c>
      <c r="AU74" s="383">
        <f>AT74-AS74-AU75</f>
        <v>0.29999999999999716</v>
      </c>
      <c r="AV74" s="341"/>
      <c r="AW74" s="341"/>
      <c r="AX74" s="341"/>
      <c r="AY74" s="341"/>
      <c r="AZ74" s="362" t="s">
        <v>686</v>
      </c>
      <c r="BA74" s="550">
        <v>5547.0545174600002</v>
      </c>
      <c r="BB74" s="550">
        <v>-1.1147389700000001</v>
      </c>
      <c r="BC74" s="550">
        <v>2432.2830748900001</v>
      </c>
      <c r="BD74" s="550">
        <v>2459.7023353599998</v>
      </c>
      <c r="BE74" s="550">
        <v>3.1654975300000001</v>
      </c>
      <c r="BF74" s="550">
        <v>3.20854938</v>
      </c>
      <c r="BG74" s="550">
        <v>-0.36019088999999999</v>
      </c>
      <c r="BH74" s="550">
        <v>1.7658161800000001</v>
      </c>
      <c r="BI74" s="550">
        <v>1.77219949</v>
      </c>
      <c r="BJ74" s="550">
        <v>-0.99494461000000001</v>
      </c>
      <c r="BK74" s="550">
        <v>-1.34178548</v>
      </c>
      <c r="BL74" s="550">
        <v>0.81481278000000001</v>
      </c>
      <c r="BM74" s="550"/>
      <c r="BN74" s="550"/>
      <c r="BO74" s="550"/>
      <c r="BP74" s="550"/>
      <c r="BQ74" s="550"/>
      <c r="BR74" s="550"/>
      <c r="BS74" s="550"/>
    </row>
    <row r="75" spans="1:71" s="577" customFormat="1" ht="15" customHeight="1" x14ac:dyDescent="0.2">
      <c r="A75" s="403">
        <f>A74</f>
        <v>62008003</v>
      </c>
      <c r="B75" s="403" t="s">
        <v>638</v>
      </c>
      <c r="C75" s="403" t="s">
        <v>774</v>
      </c>
      <c r="D75" s="402" t="s">
        <v>724</v>
      </c>
      <c r="E75" s="346" t="s">
        <v>738</v>
      </c>
      <c r="F75" s="346" t="str">
        <f t="shared" si="13"/>
        <v>08/03/20</v>
      </c>
      <c r="G75" s="362" t="s">
        <v>737</v>
      </c>
      <c r="H75" s="362" t="s">
        <v>685</v>
      </c>
      <c r="I75" s="370"/>
      <c r="J75" s="363">
        <v>25.910471000000001</v>
      </c>
      <c r="K75" s="363">
        <v>36.243966</v>
      </c>
      <c r="L75" s="363">
        <v>29.350417</v>
      </c>
      <c r="M75" s="363">
        <v>31.123259000000001</v>
      </c>
      <c r="N75" s="347">
        <v>4250</v>
      </c>
      <c r="O75" s="347">
        <v>30.36</v>
      </c>
      <c r="P75" s="347">
        <v>0.3201</v>
      </c>
      <c r="Q75" s="347">
        <v>1.9560000000000001E-2</v>
      </c>
      <c r="R75" s="348">
        <v>6.2283719800000004</v>
      </c>
      <c r="S75" s="348">
        <f>R75+R74</f>
        <v>7.9942369000000006</v>
      </c>
      <c r="T75" s="380">
        <v>21.3</v>
      </c>
      <c r="U75" s="380">
        <v>18.100000000000001</v>
      </c>
      <c r="V75" s="352">
        <v>47006</v>
      </c>
      <c r="W75" s="352">
        <v>48832</v>
      </c>
      <c r="X75" s="352">
        <f>W75-V75</f>
        <v>1826</v>
      </c>
      <c r="Y75" s="352">
        <f t="shared" si="21"/>
        <v>293.1745255202307</v>
      </c>
      <c r="Z75" s="372">
        <v>526.51</v>
      </c>
      <c r="AA75" s="352">
        <v>541.68271900000002</v>
      </c>
      <c r="AB75" s="352">
        <f>AA75-Z75</f>
        <v>15.172719000000029</v>
      </c>
      <c r="AC75" s="371">
        <f t="shared" si="22"/>
        <v>2.4360650020135806</v>
      </c>
      <c r="AD75" s="372">
        <v>-7.24</v>
      </c>
      <c r="AE75" s="352">
        <v>-7.6</v>
      </c>
      <c r="AF75" s="352">
        <f>AE75-AD75</f>
        <v>-0.35999999999999943</v>
      </c>
      <c r="AG75" s="371">
        <f t="shared" si="23"/>
        <v>-5.7800015984273215E-2</v>
      </c>
      <c r="AH75" s="372">
        <v>0</v>
      </c>
      <c r="AI75" s="352">
        <v>0</v>
      </c>
      <c r="AJ75" s="352">
        <f>AI75-AH75</f>
        <v>0</v>
      </c>
      <c r="AK75" s="371">
        <f t="shared" si="24"/>
        <v>0</v>
      </c>
      <c r="AL75" s="372">
        <v>0</v>
      </c>
      <c r="AM75" s="352">
        <v>0</v>
      </c>
      <c r="AN75" s="352">
        <f>AM75-AL75</f>
        <v>0</v>
      </c>
      <c r="AO75" s="371">
        <f t="shared" si="25"/>
        <v>0</v>
      </c>
      <c r="AP75" s="341">
        <v>21.3</v>
      </c>
      <c r="AQ75" s="341">
        <v>18.100000000000001</v>
      </c>
      <c r="AR75" s="341">
        <f>AQ75-AP75</f>
        <v>-3.1999999999999993</v>
      </c>
      <c r="AS75" s="526">
        <v>19.2</v>
      </c>
      <c r="AT75" s="383">
        <v>19.7</v>
      </c>
      <c r="AU75" s="383">
        <f>AT75-AS75</f>
        <v>0.5</v>
      </c>
      <c r="AV75" s="341"/>
      <c r="AW75" s="341"/>
      <c r="AX75" s="341"/>
      <c r="AY75" s="341"/>
      <c r="AZ75" s="362" t="s">
        <v>686</v>
      </c>
      <c r="BA75" s="550">
        <v>11825.15172414</v>
      </c>
      <c r="BB75" s="550">
        <v>-9.5546741700000002</v>
      </c>
      <c r="BC75" s="550">
        <v>1030.3982709700001</v>
      </c>
      <c r="BD75" s="550">
        <v>1139.24988545</v>
      </c>
      <c r="BE75" s="550">
        <v>6.9215529</v>
      </c>
      <c r="BF75" s="550">
        <v>7.0876942400000003</v>
      </c>
      <c r="BG75" s="550">
        <v>-0.11803076999999999</v>
      </c>
      <c r="BH75" s="550">
        <v>6.2283926899999997</v>
      </c>
      <c r="BI75" s="550">
        <v>6.2357528000000002</v>
      </c>
      <c r="BJ75" s="550">
        <v>-2.2794838199999998</v>
      </c>
      <c r="BK75" s="550">
        <v>-2.3440816299999998</v>
      </c>
      <c r="BL75" s="550">
        <v>0.34915726000000002</v>
      </c>
      <c r="BM75" s="550"/>
      <c r="BN75" s="550"/>
      <c r="BO75" s="550"/>
      <c r="BP75" s="550"/>
      <c r="BQ75" s="550"/>
      <c r="BR75" s="550"/>
      <c r="BS75" s="550"/>
    </row>
    <row r="76" spans="1:71" s="577" customFormat="1" ht="15" customHeight="1" x14ac:dyDescent="0.2">
      <c r="A76" s="403">
        <f t="shared" ref="A76:A83" si="27">A75</f>
        <v>62008003</v>
      </c>
      <c r="B76" s="403" t="s">
        <v>639</v>
      </c>
      <c r="C76" s="403" t="s">
        <v>775</v>
      </c>
      <c r="D76" s="402" t="s">
        <v>724</v>
      </c>
      <c r="E76" s="346" t="s">
        <v>738</v>
      </c>
      <c r="F76" s="346" t="str">
        <f t="shared" si="13"/>
        <v>08/03/20</v>
      </c>
      <c r="G76" s="362" t="s">
        <v>737</v>
      </c>
      <c r="H76" s="362" t="s">
        <v>685</v>
      </c>
      <c r="I76" s="370"/>
      <c r="J76" s="364">
        <f>AVERAGE(J74:J75)</f>
        <v>23.968371000000001</v>
      </c>
      <c r="K76" s="364">
        <f>AVERAGE(K74:K75)</f>
        <v>40.174864499999998</v>
      </c>
      <c r="L76" s="364">
        <f>AVERAGE(L74:L75)</f>
        <v>29.338735</v>
      </c>
      <c r="M76" s="364">
        <f>AVERAGE(M74:M75)</f>
        <v>31.857075999999999</v>
      </c>
      <c r="N76" s="349"/>
      <c r="O76" s="347"/>
      <c r="P76" s="366"/>
      <c r="Q76" s="365"/>
      <c r="R76" s="350">
        <f>R75+R74</f>
        <v>7.9942369000000006</v>
      </c>
      <c r="S76" s="350">
        <f>S75</f>
        <v>7.9942369000000006</v>
      </c>
      <c r="T76" s="381">
        <f>T74</f>
        <v>22</v>
      </c>
      <c r="U76" s="381">
        <f>U75</f>
        <v>18.100000000000001</v>
      </c>
      <c r="V76" s="353">
        <f>V74</f>
        <v>46638</v>
      </c>
      <c r="W76" s="353">
        <f>W75</f>
        <v>48832</v>
      </c>
      <c r="X76" s="353">
        <f>SUM(X74:X75)</f>
        <v>2366</v>
      </c>
      <c r="Y76" s="353">
        <f t="shared" si="21"/>
        <v>295.96320819564403</v>
      </c>
      <c r="Z76" s="353">
        <f>Z74</f>
        <v>520.62</v>
      </c>
      <c r="AA76" s="353">
        <f>AA75</f>
        <v>541.68271900000002</v>
      </c>
      <c r="AB76" s="353">
        <f>SUM(AB74:AB75)</f>
        <v>25.549999999999955</v>
      </c>
      <c r="AC76" s="351">
        <f t="shared" si="22"/>
        <v>3.1960523961955585</v>
      </c>
      <c r="AD76" s="353">
        <f>AD74</f>
        <v>-6.86</v>
      </c>
      <c r="AE76" s="353">
        <f>AE75</f>
        <v>-7.6</v>
      </c>
      <c r="AF76" s="353">
        <f>SUM(AF74:AF75)</f>
        <v>-0.8199999999999994</v>
      </c>
      <c r="AG76" s="351">
        <f t="shared" si="23"/>
        <v>-0.10257389295030765</v>
      </c>
      <c r="AH76" s="353">
        <f>AH74</f>
        <v>0</v>
      </c>
      <c r="AI76" s="353">
        <f>AI75</f>
        <v>0</v>
      </c>
      <c r="AJ76" s="353">
        <f>SUM(AJ74:AJ75)</f>
        <v>0</v>
      </c>
      <c r="AK76" s="351">
        <f t="shared" si="24"/>
        <v>0</v>
      </c>
      <c r="AL76" s="353">
        <f>AL74</f>
        <v>0</v>
      </c>
      <c r="AM76" s="353">
        <f>AM75</f>
        <v>0</v>
      </c>
      <c r="AN76" s="353">
        <f>SUM(AN74:AN75)</f>
        <v>0</v>
      </c>
      <c r="AO76" s="351">
        <f t="shared" si="25"/>
        <v>0</v>
      </c>
      <c r="AP76" s="343"/>
      <c r="AQ76" s="343"/>
      <c r="AR76" s="343">
        <f>SUM(AR74:AR75)</f>
        <v>-4.1999999999999993</v>
      </c>
      <c r="AS76" s="384">
        <f>AS74</f>
        <v>19.100000000000001</v>
      </c>
      <c r="AT76" s="384">
        <f>AT75</f>
        <v>19.7</v>
      </c>
      <c r="AU76" s="384">
        <f>SUM(AU74:AU75)</f>
        <v>0.79999999999999716</v>
      </c>
      <c r="AV76" s="343"/>
      <c r="AW76" s="343"/>
      <c r="AX76" s="343"/>
      <c r="AY76" s="343"/>
      <c r="AZ76" s="362" t="s">
        <v>686</v>
      </c>
      <c r="BA76" s="550"/>
      <c r="BB76" s="550"/>
      <c r="BC76" s="550"/>
      <c r="BD76" s="550"/>
      <c r="BE76" s="550"/>
      <c r="BF76" s="550"/>
      <c r="BG76" s="550"/>
      <c r="BH76" s="550"/>
      <c r="BI76" s="550"/>
      <c r="BJ76" s="550"/>
      <c r="BK76" s="550"/>
      <c r="BL76" s="550"/>
      <c r="BM76" s="550"/>
      <c r="BN76" s="550"/>
      <c r="BO76" s="550"/>
      <c r="BP76" s="550"/>
      <c r="BQ76" s="550"/>
      <c r="BR76" s="550"/>
      <c r="BS76" s="550"/>
    </row>
    <row r="77" spans="1:71" s="577" customFormat="1" ht="15" customHeight="1" x14ac:dyDescent="0.2">
      <c r="A77" s="403">
        <f t="shared" si="27"/>
        <v>62008003</v>
      </c>
      <c r="B77" s="403" t="s">
        <v>640</v>
      </c>
      <c r="C77" s="403" t="s">
        <v>776</v>
      </c>
      <c r="D77" s="402" t="s">
        <v>724</v>
      </c>
      <c r="E77" s="346" t="s">
        <v>738</v>
      </c>
      <c r="F77" s="346" t="str">
        <f t="shared" si="13"/>
        <v>08/03/20</v>
      </c>
      <c r="G77" s="362" t="s">
        <v>737</v>
      </c>
      <c r="H77" s="362" t="s">
        <v>685</v>
      </c>
      <c r="I77" s="370"/>
      <c r="J77" s="363">
        <v>20.907816</v>
      </c>
      <c r="K77" s="363">
        <v>50.028559999999999</v>
      </c>
      <c r="L77" s="363">
        <v>29.323692999999999</v>
      </c>
      <c r="M77" s="363">
        <v>29.388414999999998</v>
      </c>
      <c r="N77" s="347">
        <v>4250</v>
      </c>
      <c r="O77" s="347">
        <v>30.36</v>
      </c>
      <c r="P77" s="347">
        <v>0.3201</v>
      </c>
      <c r="Q77" s="347">
        <v>1.9560000000000001E-2</v>
      </c>
      <c r="R77" s="348">
        <v>3.5818056399999998</v>
      </c>
      <c r="S77" s="348">
        <f>R77+R76</f>
        <v>11.57604254</v>
      </c>
      <c r="T77" s="380">
        <v>17.7</v>
      </c>
      <c r="U77" s="380">
        <v>16.5</v>
      </c>
      <c r="V77" s="352">
        <v>49010</v>
      </c>
      <c r="W77" s="352">
        <v>49726</v>
      </c>
      <c r="X77" s="352">
        <f>W77-V77</f>
        <v>716</v>
      </c>
      <c r="Y77" s="352">
        <f t="shared" si="21"/>
        <v>199.89917710889529</v>
      </c>
      <c r="Z77" s="372">
        <v>551.48226799999998</v>
      </c>
      <c r="AA77" s="352">
        <v>573.16</v>
      </c>
      <c r="AB77" s="352">
        <f>AA77-Z77</f>
        <v>21.677731999999992</v>
      </c>
      <c r="AC77" s="371">
        <f t="shared" si="22"/>
        <v>6.0521798720491136</v>
      </c>
      <c r="AD77" s="372">
        <v>-6.85</v>
      </c>
      <c r="AE77" s="352">
        <v>-7.4</v>
      </c>
      <c r="AF77" s="352">
        <f>AE77-AD77</f>
        <v>-0.55000000000000071</v>
      </c>
      <c r="AG77" s="371">
        <f t="shared" si="23"/>
        <v>-0.1535538371646544</v>
      </c>
      <c r="AH77" s="372">
        <v>0</v>
      </c>
      <c r="AI77" s="352">
        <v>0</v>
      </c>
      <c r="AJ77" s="352">
        <f>AI77-AH77</f>
        <v>0</v>
      </c>
      <c r="AK77" s="371">
        <f t="shared" si="24"/>
        <v>0</v>
      </c>
      <c r="AL77" s="372">
        <v>0</v>
      </c>
      <c r="AM77" s="352">
        <v>0</v>
      </c>
      <c r="AN77" s="352">
        <f>AM77-AL77</f>
        <v>0</v>
      </c>
      <c r="AO77" s="371">
        <f t="shared" si="25"/>
        <v>0</v>
      </c>
      <c r="AP77" s="341">
        <v>17.7</v>
      </c>
      <c r="AQ77" s="341">
        <v>16.5</v>
      </c>
      <c r="AR77" s="341">
        <f>AQ77-AP77</f>
        <v>-1.1999999999999993</v>
      </c>
      <c r="AS77" s="526">
        <v>20.7</v>
      </c>
      <c r="AT77" s="383">
        <v>21.4</v>
      </c>
      <c r="AU77" s="383">
        <f>AT77-AS77</f>
        <v>0.69999999999999929</v>
      </c>
      <c r="AV77" s="341"/>
      <c r="AW77" s="341"/>
      <c r="AX77" s="341"/>
      <c r="AY77" s="341"/>
      <c r="AZ77" s="362" t="s">
        <v>686</v>
      </c>
      <c r="BA77" s="550">
        <v>2413.3271796700001</v>
      </c>
      <c r="BB77" s="550">
        <v>-2.1897597700000002</v>
      </c>
      <c r="BC77" s="550">
        <v>2003.8683422199999</v>
      </c>
      <c r="BD77" s="550">
        <v>2048.7306212600001</v>
      </c>
      <c r="BE77" s="550">
        <v>3.20914491</v>
      </c>
      <c r="BF77" s="550">
        <v>3.2583840400000001</v>
      </c>
      <c r="BG77" s="550">
        <v>-0.25718898000000001</v>
      </c>
      <c r="BH77" s="550">
        <v>3.5817443</v>
      </c>
      <c r="BI77" s="550">
        <v>3.5909799100000002</v>
      </c>
      <c r="BJ77" s="550">
        <v>-1.2732028799999999</v>
      </c>
      <c r="BK77" s="550">
        <v>-1.51115183</v>
      </c>
      <c r="BL77" s="550">
        <v>0.59037669999999998</v>
      </c>
      <c r="BM77" s="550"/>
      <c r="BN77" s="550"/>
      <c r="BO77" s="550"/>
      <c r="BP77" s="550"/>
      <c r="BQ77" s="550"/>
      <c r="BR77" s="550"/>
      <c r="BS77" s="550"/>
    </row>
    <row r="78" spans="1:71" s="577" customFormat="1" ht="15" customHeight="1" x14ac:dyDescent="0.2">
      <c r="A78" s="403">
        <f t="shared" si="27"/>
        <v>62008003</v>
      </c>
      <c r="B78" s="403" t="s">
        <v>220</v>
      </c>
      <c r="C78" s="403" t="s">
        <v>777</v>
      </c>
      <c r="D78" s="402" t="s">
        <v>724</v>
      </c>
      <c r="E78" s="346" t="s">
        <v>738</v>
      </c>
      <c r="F78" s="346" t="str">
        <f t="shared" si="13"/>
        <v>08/03/20</v>
      </c>
      <c r="G78" s="362" t="s">
        <v>737</v>
      </c>
      <c r="H78" s="362" t="s">
        <v>685</v>
      </c>
      <c r="I78" s="370"/>
      <c r="J78" s="363">
        <v>21.027615000000001</v>
      </c>
      <c r="K78" s="363">
        <v>48.985854000000003</v>
      </c>
      <c r="L78" s="363">
        <v>29.32142</v>
      </c>
      <c r="M78" s="363">
        <v>28.926075999999998</v>
      </c>
      <c r="N78" s="347">
        <v>4250</v>
      </c>
      <c r="O78" s="347">
        <v>30.36</v>
      </c>
      <c r="P78" s="347">
        <v>0.3201</v>
      </c>
      <c r="Q78" s="347">
        <v>1.9560000000000001E-2</v>
      </c>
      <c r="R78" s="348">
        <v>3.84351866</v>
      </c>
      <c r="S78" s="348">
        <f>R78+R77</f>
        <v>7.4253242999999998</v>
      </c>
      <c r="T78" s="380">
        <v>16.5</v>
      </c>
      <c r="U78" s="380">
        <v>15.3</v>
      </c>
      <c r="V78" s="352">
        <v>49726</v>
      </c>
      <c r="W78" s="352">
        <v>50352</v>
      </c>
      <c r="X78" s="352">
        <f>W78-V78</f>
        <v>626</v>
      </c>
      <c r="Y78" s="352">
        <f t="shared" si="21"/>
        <v>162.87159121012306</v>
      </c>
      <c r="Z78" s="372">
        <v>573.16216699999995</v>
      </c>
      <c r="AA78" s="352">
        <v>609.73</v>
      </c>
      <c r="AB78" s="352">
        <f>AA78-Z78</f>
        <v>36.567833000000064</v>
      </c>
      <c r="AC78" s="371">
        <f t="shared" si="22"/>
        <v>9.5141551882045672</v>
      </c>
      <c r="AD78" s="372">
        <v>-7.4</v>
      </c>
      <c r="AE78" s="352">
        <v>-8.0299999999999994</v>
      </c>
      <c r="AF78" s="352">
        <f>AE78-AD78</f>
        <v>-0.62999999999999901</v>
      </c>
      <c r="AG78" s="371">
        <f t="shared" si="23"/>
        <v>-0.16391230425299899</v>
      </c>
      <c r="AH78" s="372">
        <v>0</v>
      </c>
      <c r="AI78" s="352">
        <v>0</v>
      </c>
      <c r="AJ78" s="352">
        <f>AI78-AH78</f>
        <v>0</v>
      </c>
      <c r="AK78" s="371">
        <f t="shared" si="24"/>
        <v>0</v>
      </c>
      <c r="AL78" s="372">
        <v>0</v>
      </c>
      <c r="AM78" s="352">
        <v>0</v>
      </c>
      <c r="AN78" s="352">
        <f>AM78-AL78</f>
        <v>0</v>
      </c>
      <c r="AO78" s="371">
        <f t="shared" si="25"/>
        <v>0</v>
      </c>
      <c r="AP78" s="341">
        <v>16.5</v>
      </c>
      <c r="AQ78" s="341">
        <v>15.3</v>
      </c>
      <c r="AR78" s="341">
        <f>AQ78-AP78</f>
        <v>-1.1999999999999993</v>
      </c>
      <c r="AS78" s="526">
        <v>21.4</v>
      </c>
      <c r="AT78" s="383">
        <v>22.6</v>
      </c>
      <c r="AU78" s="383">
        <f>AT78-AS78</f>
        <v>1.2000000000000028</v>
      </c>
      <c r="AV78" s="341"/>
      <c r="AW78" s="341"/>
      <c r="AX78" s="341"/>
      <c r="AY78" s="341"/>
      <c r="AZ78" s="362" t="s">
        <v>686</v>
      </c>
      <c r="BA78" s="550">
        <v>1482.0398926</v>
      </c>
      <c r="BB78" s="550">
        <v>-2.0913919700000001</v>
      </c>
      <c r="BC78" s="550">
        <v>3344.5977517000001</v>
      </c>
      <c r="BD78" s="550">
        <v>3416.04054959</v>
      </c>
      <c r="BE78" s="550">
        <v>2.9548718699999998</v>
      </c>
      <c r="BF78" s="550">
        <v>3.01849561</v>
      </c>
      <c r="BG78" s="550">
        <v>-0.42656902000000002</v>
      </c>
      <c r="BH78" s="550">
        <v>3.8433646100000001</v>
      </c>
      <c r="BI78" s="550">
        <v>3.8598294499999999</v>
      </c>
      <c r="BJ78" s="550">
        <v>-1.71742716</v>
      </c>
      <c r="BK78" s="550">
        <v>-2.1077963099999999</v>
      </c>
      <c r="BL78" s="550">
        <v>0.71451213000000002</v>
      </c>
      <c r="BM78" s="550"/>
      <c r="BN78" s="550"/>
      <c r="BO78" s="550"/>
      <c r="BP78" s="550"/>
      <c r="BQ78" s="550"/>
      <c r="BR78" s="550"/>
      <c r="BS78" s="550"/>
    </row>
    <row r="79" spans="1:71" s="577" customFormat="1" ht="15" customHeight="1" x14ac:dyDescent="0.2">
      <c r="A79" s="403">
        <f t="shared" si="27"/>
        <v>62008003</v>
      </c>
      <c r="B79" s="403" t="s">
        <v>641</v>
      </c>
      <c r="C79" s="403" t="s">
        <v>799</v>
      </c>
      <c r="D79" s="402" t="s">
        <v>724</v>
      </c>
      <c r="E79" s="346" t="s">
        <v>738</v>
      </c>
      <c r="F79" s="346" t="str">
        <f t="shared" ref="F79:F142" si="28">LEFT(E79,8)</f>
        <v>08/03/20</v>
      </c>
      <c r="G79" s="362" t="s">
        <v>737</v>
      </c>
      <c r="H79" s="362" t="s">
        <v>685</v>
      </c>
      <c r="I79" s="370"/>
      <c r="J79" s="364">
        <f>AVERAGE(J77:J78)</f>
        <v>20.967715500000001</v>
      </c>
      <c r="K79" s="364">
        <f>AVERAGE(K77:K78)</f>
        <v>49.507207000000001</v>
      </c>
      <c r="L79" s="364">
        <f>AVERAGE(L77:L78)</f>
        <v>29.322556499999997</v>
      </c>
      <c r="M79" s="364">
        <f>AVERAGE(M77:M78)</f>
        <v>29.157245499999998</v>
      </c>
      <c r="N79" s="349"/>
      <c r="O79" s="347"/>
      <c r="P79" s="366"/>
      <c r="Q79" s="365"/>
      <c r="R79" s="350">
        <f>R78+R77</f>
        <v>7.4253242999999998</v>
      </c>
      <c r="S79" s="350">
        <f>S78</f>
        <v>7.4253242999999998</v>
      </c>
      <c r="T79" s="381">
        <f>T77</f>
        <v>17.7</v>
      </c>
      <c r="U79" s="381">
        <f>U78</f>
        <v>15.3</v>
      </c>
      <c r="V79" s="353">
        <f>V77</f>
        <v>49010</v>
      </c>
      <c r="W79" s="353">
        <f>W78</f>
        <v>50352</v>
      </c>
      <c r="X79" s="353">
        <f>SUM(X77:X78)</f>
        <v>1342</v>
      </c>
      <c r="Y79" s="353">
        <f t="shared" si="21"/>
        <v>180.7328469141745</v>
      </c>
      <c r="Z79" s="353">
        <f>Z77</f>
        <v>551.48226799999998</v>
      </c>
      <c r="AA79" s="353">
        <f>AA78</f>
        <v>609.73</v>
      </c>
      <c r="AB79" s="353">
        <f>SUM(AB77:AB78)</f>
        <v>58.245565000000056</v>
      </c>
      <c r="AC79" s="351">
        <f t="shared" si="22"/>
        <v>7.8441779303834656</v>
      </c>
      <c r="AD79" s="353">
        <f>AD77</f>
        <v>-6.85</v>
      </c>
      <c r="AE79" s="353">
        <f>AE78</f>
        <v>-8.0299999999999994</v>
      </c>
      <c r="AF79" s="353">
        <f>SUM(AF77:AF78)</f>
        <v>-1.1799999999999997</v>
      </c>
      <c r="AG79" s="351">
        <f t="shared" si="23"/>
        <v>-0.15891561800203122</v>
      </c>
      <c r="AH79" s="353">
        <f>AH77</f>
        <v>0</v>
      </c>
      <c r="AI79" s="353">
        <f>AI78</f>
        <v>0</v>
      </c>
      <c r="AJ79" s="353">
        <f>SUM(AJ77:AJ78)</f>
        <v>0</v>
      </c>
      <c r="AK79" s="351">
        <f t="shared" si="24"/>
        <v>0</v>
      </c>
      <c r="AL79" s="353">
        <f>AL77</f>
        <v>0</v>
      </c>
      <c r="AM79" s="353">
        <f>AM78</f>
        <v>0</v>
      </c>
      <c r="AN79" s="353">
        <f>SUM(AN77:AN78)</f>
        <v>0</v>
      </c>
      <c r="AO79" s="351">
        <f t="shared" si="25"/>
        <v>0</v>
      </c>
      <c r="AP79" s="343"/>
      <c r="AQ79" s="343"/>
      <c r="AR79" s="343">
        <f>SUM(AR77:AR78)</f>
        <v>-2.3999999999999986</v>
      </c>
      <c r="AS79" s="384">
        <f>AS77</f>
        <v>20.7</v>
      </c>
      <c r="AT79" s="384">
        <f>AT78</f>
        <v>22.6</v>
      </c>
      <c r="AU79" s="384">
        <f>SUM(AU77:AU78)</f>
        <v>1.9000000000000021</v>
      </c>
      <c r="AV79" s="343"/>
      <c r="AW79" s="343"/>
      <c r="AX79" s="343"/>
      <c r="AY79" s="343"/>
      <c r="AZ79" s="362" t="s">
        <v>686</v>
      </c>
      <c r="BA79" s="550"/>
      <c r="BB79" s="550"/>
      <c r="BC79" s="550"/>
      <c r="BD79" s="550"/>
      <c r="BE79" s="550"/>
      <c r="BF79" s="550"/>
      <c r="BG79" s="550"/>
      <c r="BH79" s="550"/>
      <c r="BI79" s="550"/>
      <c r="BJ79" s="550"/>
      <c r="BK79" s="550"/>
      <c r="BL79" s="550"/>
      <c r="BM79" s="550"/>
      <c r="BN79" s="550"/>
      <c r="BO79" s="550"/>
      <c r="BP79" s="550"/>
      <c r="BQ79" s="550"/>
      <c r="BR79" s="550"/>
      <c r="BS79" s="550"/>
    </row>
    <row r="80" spans="1:71" s="577" customFormat="1" ht="15" customHeight="1" x14ac:dyDescent="0.2">
      <c r="A80" s="403">
        <f t="shared" si="27"/>
        <v>62008003</v>
      </c>
      <c r="B80" s="403" t="s">
        <v>55</v>
      </c>
      <c r="C80" s="403" t="s">
        <v>778</v>
      </c>
      <c r="D80" s="402" t="s">
        <v>724</v>
      </c>
      <c r="E80" s="346" t="s">
        <v>738</v>
      </c>
      <c r="F80" s="346" t="str">
        <f t="shared" si="28"/>
        <v>08/03/20</v>
      </c>
      <c r="G80" s="362" t="s">
        <v>737</v>
      </c>
      <c r="H80" s="362" t="s">
        <v>685</v>
      </c>
      <c r="I80" s="370"/>
      <c r="J80" s="363">
        <v>25.591560999999999</v>
      </c>
      <c r="K80" s="363">
        <v>37.541963000000003</v>
      </c>
      <c r="L80" s="363">
        <v>29.341201000000002</v>
      </c>
      <c r="M80" s="363">
        <v>30.173922000000001</v>
      </c>
      <c r="N80" s="347">
        <v>4250</v>
      </c>
      <c r="O80" s="347">
        <v>30.36</v>
      </c>
      <c r="P80" s="347">
        <v>0.3201</v>
      </c>
      <c r="Q80" s="347">
        <v>1.9560000000000001E-2</v>
      </c>
      <c r="R80" s="348">
        <v>10.24449967</v>
      </c>
      <c r="S80" s="348">
        <f>R80+R79</f>
        <v>17.669823969999999</v>
      </c>
      <c r="T80" s="380">
        <v>15.3</v>
      </c>
      <c r="U80" s="380">
        <v>11.5</v>
      </c>
      <c r="V80" s="352">
        <v>50353</v>
      </c>
      <c r="W80" s="352">
        <v>52542</v>
      </c>
      <c r="X80" s="352">
        <f>W80-V80</f>
        <v>2189</v>
      </c>
      <c r="Y80" s="352">
        <f t="shared" si="21"/>
        <v>213.67563770930357</v>
      </c>
      <c r="Z80" s="372">
        <v>610.41999999999996</v>
      </c>
      <c r="AA80" s="352">
        <v>642.09</v>
      </c>
      <c r="AB80" s="352">
        <f>AA80-Z80</f>
        <v>31.670000000000073</v>
      </c>
      <c r="AC80" s="371">
        <f t="shared" si="22"/>
        <v>3.091415005141005</v>
      </c>
      <c r="AD80" s="372">
        <v>-8.0399999999999991</v>
      </c>
      <c r="AE80" s="352">
        <v>-8.49</v>
      </c>
      <c r="AF80" s="352">
        <f>AE80-AD80</f>
        <v>-0.45000000000000107</v>
      </c>
      <c r="AG80" s="371">
        <f t="shared" si="23"/>
        <v>-4.3926010493004493E-2</v>
      </c>
      <c r="AH80" s="372">
        <v>0</v>
      </c>
      <c r="AI80" s="352">
        <v>0</v>
      </c>
      <c r="AJ80" s="352">
        <f>AI80-AH80</f>
        <v>0</v>
      </c>
      <c r="AK80" s="371">
        <f t="shared" si="24"/>
        <v>0</v>
      </c>
      <c r="AL80" s="372">
        <v>0</v>
      </c>
      <c r="AM80" s="352">
        <v>0</v>
      </c>
      <c r="AN80" s="352">
        <f>AM80-AL80</f>
        <v>0</v>
      </c>
      <c r="AO80" s="371">
        <f t="shared" si="25"/>
        <v>0</v>
      </c>
      <c r="AP80" s="341">
        <v>15.3</v>
      </c>
      <c r="AQ80" s="341">
        <v>11.5</v>
      </c>
      <c r="AR80" s="341">
        <f>AQ80-AP80</f>
        <v>-3.8000000000000007</v>
      </c>
      <c r="AS80" s="526">
        <v>22.6</v>
      </c>
      <c r="AT80" s="383">
        <v>23.6</v>
      </c>
      <c r="AU80" s="383">
        <f>AT80-AS80</f>
        <v>1</v>
      </c>
      <c r="AV80" s="341"/>
      <c r="AW80" s="341"/>
      <c r="AX80" s="341"/>
      <c r="AY80" s="341"/>
      <c r="AZ80" s="362" t="s">
        <v>686</v>
      </c>
      <c r="BA80" s="550">
        <v>1945.05071905</v>
      </c>
      <c r="BB80" s="550">
        <v>-0.71467568000000004</v>
      </c>
      <c r="BC80" s="550">
        <v>1297.36537662</v>
      </c>
      <c r="BD80" s="550">
        <v>1306.7040728100001</v>
      </c>
      <c r="BE80" s="550">
        <v>7.9688186300000003</v>
      </c>
      <c r="BF80" s="550">
        <v>8.0200029500000003</v>
      </c>
      <c r="BG80" s="550">
        <v>-0.11786851</v>
      </c>
      <c r="BH80" s="550">
        <v>10.244590909999999</v>
      </c>
      <c r="BI80" s="550">
        <v>10.256680299999999</v>
      </c>
      <c r="BJ80" s="550">
        <v>-0.52368194999999995</v>
      </c>
      <c r="BK80" s="550">
        <v>-0.63820827000000002</v>
      </c>
      <c r="BL80" s="550">
        <v>0.28276372</v>
      </c>
      <c r="BM80" s="550"/>
      <c r="BN80" s="550"/>
      <c r="BO80" s="550"/>
      <c r="BP80" s="550"/>
      <c r="BQ80" s="550"/>
      <c r="BR80" s="550"/>
      <c r="BS80" s="550"/>
    </row>
    <row r="81" spans="1:71" s="577" customFormat="1" ht="15" customHeight="1" x14ac:dyDescent="0.2">
      <c r="A81" s="403">
        <f t="shared" si="27"/>
        <v>62008003</v>
      </c>
      <c r="B81" s="403" t="s">
        <v>642</v>
      </c>
      <c r="C81" s="403" t="s">
        <v>783</v>
      </c>
      <c r="D81" s="402" t="s">
        <v>724</v>
      </c>
      <c r="E81" s="346" t="s">
        <v>738</v>
      </c>
      <c r="F81" s="346" t="str">
        <f t="shared" si="28"/>
        <v>08/03/20</v>
      </c>
      <c r="G81" s="362" t="s">
        <v>737</v>
      </c>
      <c r="H81" s="362" t="s">
        <v>685</v>
      </c>
      <c r="I81" s="370"/>
      <c r="J81" s="363">
        <v>20.880521999999999</v>
      </c>
      <c r="K81" s="363">
        <v>50.131962999999999</v>
      </c>
      <c r="L81" s="363">
        <v>29.319904000000001</v>
      </c>
      <c r="M81" s="363">
        <v>29.517236</v>
      </c>
      <c r="N81" s="347">
        <v>4250</v>
      </c>
      <c r="O81" s="347">
        <v>30.36</v>
      </c>
      <c r="P81" s="347">
        <v>0.3201</v>
      </c>
      <c r="Q81" s="347">
        <v>1.9560000000000001E-2</v>
      </c>
      <c r="R81" s="348">
        <v>3.5815645200000001</v>
      </c>
      <c r="S81" s="348">
        <f>R81+R80</f>
        <v>13.82606419</v>
      </c>
      <c r="T81" s="380">
        <v>11.5</v>
      </c>
      <c r="U81" s="380">
        <v>10.199999999999999</v>
      </c>
      <c r="V81" s="352">
        <v>52548</v>
      </c>
      <c r="W81" s="352">
        <v>53262</v>
      </c>
      <c r="X81" s="352">
        <f>W81-V81</f>
        <v>714</v>
      </c>
      <c r="Y81" s="352">
        <f t="shared" si="21"/>
        <v>199.35421964700498</v>
      </c>
      <c r="Z81" s="372">
        <v>647.5</v>
      </c>
      <c r="AA81" s="352">
        <v>669.05</v>
      </c>
      <c r="AB81" s="352">
        <f>AA81-Z81</f>
        <v>21.549999999999955</v>
      </c>
      <c r="AC81" s="371">
        <f t="shared" si="22"/>
        <v>6.0169235761805995</v>
      </c>
      <c r="AD81" s="372">
        <v>-7.61</v>
      </c>
      <c r="AE81" s="352">
        <v>-8.18</v>
      </c>
      <c r="AF81" s="352">
        <f>AE81-AD81</f>
        <v>-0.5699999999999994</v>
      </c>
      <c r="AG81" s="371">
        <f t="shared" si="23"/>
        <v>-0.15914832660895339</v>
      </c>
      <c r="AH81" s="372">
        <v>0</v>
      </c>
      <c r="AI81" s="352">
        <v>0</v>
      </c>
      <c r="AJ81" s="352">
        <f>AI81-AH81</f>
        <v>0</v>
      </c>
      <c r="AK81" s="371">
        <f t="shared" si="24"/>
        <v>0</v>
      </c>
      <c r="AL81" s="372">
        <v>0</v>
      </c>
      <c r="AM81" s="352">
        <v>0</v>
      </c>
      <c r="AN81" s="352">
        <f>AM81-AL81</f>
        <v>0</v>
      </c>
      <c r="AO81" s="371">
        <f t="shared" si="25"/>
        <v>0</v>
      </c>
      <c r="AP81" s="341">
        <v>11.5</v>
      </c>
      <c r="AQ81" s="341">
        <v>10.199999999999999</v>
      </c>
      <c r="AR81" s="341">
        <f>AQ81-AP81</f>
        <v>-1.3000000000000007</v>
      </c>
      <c r="AS81" s="526">
        <v>24.4</v>
      </c>
      <c r="AT81" s="383">
        <v>25.1</v>
      </c>
      <c r="AU81" s="383">
        <f>AT81-AS81</f>
        <v>0.70000000000000284</v>
      </c>
      <c r="AV81" s="341"/>
      <c r="AW81" s="341"/>
      <c r="AX81" s="341"/>
      <c r="AY81" s="341"/>
      <c r="AZ81" s="362" t="s">
        <v>686</v>
      </c>
      <c r="BA81" s="550">
        <v>2410.71210888</v>
      </c>
      <c r="BB81" s="550">
        <v>-2.1915467400000002</v>
      </c>
      <c r="BC81" s="550">
        <v>2003.7628854899999</v>
      </c>
      <c r="BD81" s="550">
        <v>2048.6602319799999</v>
      </c>
      <c r="BE81" s="550">
        <v>3.2089810600000002</v>
      </c>
      <c r="BF81" s="550">
        <v>3.2582901799999999</v>
      </c>
      <c r="BG81" s="550">
        <v>-0.26383278999999998</v>
      </c>
      <c r="BH81" s="550">
        <v>3.58150507</v>
      </c>
      <c r="BI81" s="550">
        <v>3.5909792500000002</v>
      </c>
      <c r="BJ81" s="550">
        <v>-1.2687103200000001</v>
      </c>
      <c r="BK81" s="550">
        <v>-1.51334317</v>
      </c>
      <c r="BL81" s="550">
        <v>0.59036367999999995</v>
      </c>
      <c r="BM81" s="550"/>
      <c r="BN81" s="550"/>
      <c r="BO81" s="550"/>
      <c r="BP81" s="550"/>
      <c r="BQ81" s="550"/>
      <c r="BR81" s="550"/>
      <c r="BS81" s="550"/>
    </row>
    <row r="82" spans="1:71" s="577" customFormat="1" ht="15" customHeight="1" x14ac:dyDescent="0.2">
      <c r="A82" s="403">
        <f t="shared" si="27"/>
        <v>62008003</v>
      </c>
      <c r="B82" s="403" t="s">
        <v>643</v>
      </c>
      <c r="C82" s="403" t="s">
        <v>781</v>
      </c>
      <c r="D82" s="402" t="s">
        <v>724</v>
      </c>
      <c r="E82" s="346" t="s">
        <v>738</v>
      </c>
      <c r="F82" s="346" t="str">
        <f t="shared" si="28"/>
        <v>08/03/20</v>
      </c>
      <c r="G82" s="362" t="s">
        <v>737</v>
      </c>
      <c r="H82" s="362" t="s">
        <v>685</v>
      </c>
      <c r="I82" s="370"/>
      <c r="J82" s="363">
        <v>19.153658</v>
      </c>
      <c r="K82" s="363">
        <v>55.829940000000001</v>
      </c>
      <c r="L82" s="363">
        <v>29.317634999999999</v>
      </c>
      <c r="M82" s="363">
        <v>28.474785000000001</v>
      </c>
      <c r="N82" s="347">
        <v>4250</v>
      </c>
      <c r="O82" s="347">
        <v>30.36</v>
      </c>
      <c r="P82" s="347">
        <v>0.3201</v>
      </c>
      <c r="Q82" s="347">
        <v>1.9560000000000001E-2</v>
      </c>
      <c r="R82" s="348">
        <v>3.8438102500000002</v>
      </c>
      <c r="S82" s="348">
        <f>R82+R81</f>
        <v>7.4253747700000003</v>
      </c>
      <c r="T82" s="380">
        <v>10.199999999999999</v>
      </c>
      <c r="U82" s="380">
        <v>9.1</v>
      </c>
      <c r="V82" s="352">
        <v>53262</v>
      </c>
      <c r="W82" s="352">
        <v>53886</v>
      </c>
      <c r="X82" s="352">
        <f>W82-V82</f>
        <v>624</v>
      </c>
      <c r="Y82" s="352">
        <f t="shared" si="21"/>
        <v>162.33891878507791</v>
      </c>
      <c r="Z82" s="372">
        <v>669.06</v>
      </c>
      <c r="AA82" s="352">
        <v>705.63</v>
      </c>
      <c r="AB82" s="352">
        <f>AA82-Z82</f>
        <v>36.57000000000005</v>
      </c>
      <c r="AC82" s="371">
        <f t="shared" si="22"/>
        <v>9.5139972114908762</v>
      </c>
      <c r="AD82" s="372">
        <v>-8.18</v>
      </c>
      <c r="AE82" s="352">
        <v>-8.8000000000000007</v>
      </c>
      <c r="AF82" s="352">
        <f>AE82-AD82</f>
        <v>-0.62000000000000099</v>
      </c>
      <c r="AG82" s="371">
        <f t="shared" si="23"/>
        <v>-0.16129828469030202</v>
      </c>
      <c r="AH82" s="372">
        <v>0</v>
      </c>
      <c r="AI82" s="352">
        <v>0</v>
      </c>
      <c r="AJ82" s="352">
        <f>AI82-AH82</f>
        <v>0</v>
      </c>
      <c r="AK82" s="371">
        <f t="shared" si="24"/>
        <v>0</v>
      </c>
      <c r="AL82" s="372">
        <v>0</v>
      </c>
      <c r="AM82" s="352">
        <v>0</v>
      </c>
      <c r="AN82" s="352">
        <f>AM82-AL82</f>
        <v>0</v>
      </c>
      <c r="AO82" s="371">
        <f t="shared" si="25"/>
        <v>0</v>
      </c>
      <c r="AP82" s="341">
        <v>10.199999999999999</v>
      </c>
      <c r="AQ82" s="341">
        <v>9.1</v>
      </c>
      <c r="AR82" s="341">
        <f>AQ82-AP82</f>
        <v>-1.0999999999999996</v>
      </c>
      <c r="AS82" s="526">
        <v>25.1</v>
      </c>
      <c r="AT82" s="383">
        <v>26.3</v>
      </c>
      <c r="AU82" s="383">
        <f>AT82-AS82</f>
        <v>1.1999999999999993</v>
      </c>
      <c r="AV82" s="341"/>
      <c r="AW82" s="341"/>
      <c r="AX82" s="341"/>
      <c r="AY82" s="341"/>
      <c r="AZ82" s="362" t="s">
        <v>686</v>
      </c>
      <c r="BA82" s="550">
        <v>1482.279378</v>
      </c>
      <c r="BB82" s="550">
        <v>-2.0844137699999998</v>
      </c>
      <c r="BC82" s="550">
        <v>3344.8385637800002</v>
      </c>
      <c r="BD82" s="550">
        <v>3416.04303536</v>
      </c>
      <c r="BE82" s="550">
        <v>2.95445432</v>
      </c>
      <c r="BF82" s="550">
        <v>3.0184825399999999</v>
      </c>
      <c r="BG82" s="550">
        <v>-0.41846455999999999</v>
      </c>
      <c r="BH82" s="550">
        <v>3.84367722</v>
      </c>
      <c r="BI82" s="550">
        <v>3.8598292399999998</v>
      </c>
      <c r="BJ82" s="550">
        <v>-1.7396425799999999</v>
      </c>
      <c r="BK82" s="550">
        <v>-2.1212057299999998</v>
      </c>
      <c r="BL82" s="550">
        <v>0.71451750999999997</v>
      </c>
      <c r="BM82" s="550"/>
      <c r="BN82" s="550"/>
      <c r="BO82" s="550"/>
      <c r="BP82" s="550"/>
      <c r="BQ82" s="550"/>
      <c r="BR82" s="550"/>
      <c r="BS82" s="550"/>
    </row>
    <row r="83" spans="1:71" s="577" customFormat="1" ht="15" customHeight="1" x14ac:dyDescent="0.2">
      <c r="A83" s="403">
        <f t="shared" si="27"/>
        <v>62008003</v>
      </c>
      <c r="B83" s="403" t="s">
        <v>644</v>
      </c>
      <c r="C83" s="403" t="s">
        <v>782</v>
      </c>
      <c r="D83" s="402" t="s">
        <v>724</v>
      </c>
      <c r="E83" s="346" t="s">
        <v>738</v>
      </c>
      <c r="F83" s="346" t="str">
        <f t="shared" si="28"/>
        <v>08/03/20</v>
      </c>
      <c r="G83" s="362" t="s">
        <v>737</v>
      </c>
      <c r="H83" s="362" t="s">
        <v>685</v>
      </c>
      <c r="I83" s="370"/>
      <c r="J83" s="364">
        <f>AVERAGE(J81:J82)</f>
        <v>20.01709</v>
      </c>
      <c r="K83" s="364">
        <f>AVERAGE(K81:K82)</f>
        <v>52.980951500000003</v>
      </c>
      <c r="L83" s="364">
        <f>AVERAGE(L81:L82)</f>
        <v>29.318769500000002</v>
      </c>
      <c r="M83" s="364">
        <f>AVERAGE(M81:M82)</f>
        <v>28.996010500000001</v>
      </c>
      <c r="N83" s="349"/>
      <c r="O83" s="347"/>
      <c r="P83" s="366"/>
      <c r="Q83" s="365"/>
      <c r="R83" s="350">
        <f>R82+R81</f>
        <v>7.4253747700000003</v>
      </c>
      <c r="S83" s="350">
        <f>S82</f>
        <v>7.4253747700000003</v>
      </c>
      <c r="T83" s="381">
        <f>T81</f>
        <v>11.5</v>
      </c>
      <c r="U83" s="381">
        <f>U82</f>
        <v>9.1</v>
      </c>
      <c r="V83" s="353">
        <f>V81</f>
        <v>52548</v>
      </c>
      <c r="W83" s="353">
        <f>W82</f>
        <v>53886</v>
      </c>
      <c r="X83" s="353">
        <f>SUM(X81:X82)</f>
        <v>1338</v>
      </c>
      <c r="Y83" s="353">
        <f t="shared" si="21"/>
        <v>180.19292513096951</v>
      </c>
      <c r="Z83" s="353">
        <f>Z81</f>
        <v>647.5</v>
      </c>
      <c r="AA83" s="353">
        <f>AA82</f>
        <v>705.63</v>
      </c>
      <c r="AB83" s="353">
        <f>SUM(AB81:AB82)</f>
        <v>58.120000000000005</v>
      </c>
      <c r="AC83" s="351">
        <f t="shared" si="22"/>
        <v>7.8272143562122185</v>
      </c>
      <c r="AD83" s="353">
        <f>AD81</f>
        <v>-7.61</v>
      </c>
      <c r="AE83" s="353">
        <f>AE82</f>
        <v>-8.8000000000000007</v>
      </c>
      <c r="AF83" s="353">
        <f>SUM(AF81:AF82)</f>
        <v>-1.1900000000000004</v>
      </c>
      <c r="AG83" s="351">
        <f t="shared" si="23"/>
        <v>-0.16026127123008505</v>
      </c>
      <c r="AH83" s="353">
        <f>AH81</f>
        <v>0</v>
      </c>
      <c r="AI83" s="353">
        <f>AI82</f>
        <v>0</v>
      </c>
      <c r="AJ83" s="353">
        <f>SUM(AJ81:AJ82)</f>
        <v>0</v>
      </c>
      <c r="AK83" s="351">
        <f t="shared" si="24"/>
        <v>0</v>
      </c>
      <c r="AL83" s="353">
        <f>AL81</f>
        <v>0</v>
      </c>
      <c r="AM83" s="353">
        <f>AM82</f>
        <v>0</v>
      </c>
      <c r="AN83" s="353">
        <f>SUM(AN81:AN82)</f>
        <v>0</v>
      </c>
      <c r="AO83" s="351">
        <f t="shared" si="25"/>
        <v>0</v>
      </c>
      <c r="AP83" s="343"/>
      <c r="AQ83" s="343"/>
      <c r="AR83" s="343">
        <f>SUM(AR81:AR82)</f>
        <v>-2.4000000000000004</v>
      </c>
      <c r="AS83" s="384">
        <f>AS81</f>
        <v>24.4</v>
      </c>
      <c r="AT83" s="384">
        <f>AT82</f>
        <v>26.3</v>
      </c>
      <c r="AU83" s="384">
        <f>SUM(AU81:AU82)</f>
        <v>1.9000000000000021</v>
      </c>
      <c r="AV83" s="343"/>
      <c r="AW83" s="343"/>
      <c r="AX83" s="343"/>
      <c r="AY83" s="343"/>
      <c r="AZ83" s="362" t="s">
        <v>686</v>
      </c>
      <c r="BA83" s="550"/>
      <c r="BB83" s="550"/>
      <c r="BC83" s="550"/>
      <c r="BD83" s="550"/>
      <c r="BE83" s="550"/>
      <c r="BF83" s="550"/>
      <c r="BG83" s="550"/>
      <c r="BH83" s="550"/>
      <c r="BI83" s="550"/>
      <c r="BJ83" s="550"/>
      <c r="BK83" s="550"/>
      <c r="BL83" s="550"/>
      <c r="BM83" s="550"/>
      <c r="BN83" s="550"/>
      <c r="BO83" s="550"/>
      <c r="BP83" s="550"/>
      <c r="BQ83" s="550"/>
      <c r="BR83" s="550"/>
      <c r="BS83" s="550"/>
    </row>
    <row r="84" spans="1:71" s="577" customFormat="1" ht="15" customHeight="1" x14ac:dyDescent="0.2">
      <c r="A84" s="403">
        <f>A83+1</f>
        <v>62008004</v>
      </c>
      <c r="B84" s="403" t="s">
        <v>636</v>
      </c>
      <c r="C84" s="403" t="s">
        <v>773</v>
      </c>
      <c r="D84" s="402" t="s">
        <v>727</v>
      </c>
      <c r="E84" s="346" t="s">
        <v>739</v>
      </c>
      <c r="F84" s="346" t="str">
        <f t="shared" si="28"/>
        <v>08/03/20</v>
      </c>
      <c r="G84" s="362" t="s">
        <v>740</v>
      </c>
      <c r="H84" s="362" t="s">
        <v>685</v>
      </c>
      <c r="I84" s="370"/>
      <c r="J84" s="363"/>
      <c r="K84" s="363"/>
      <c r="L84" s="363"/>
      <c r="M84" s="363"/>
      <c r="N84" s="347">
        <v>4250</v>
      </c>
      <c r="O84" s="347">
        <v>30.36</v>
      </c>
      <c r="P84" s="347">
        <v>0.3201</v>
      </c>
      <c r="Q84" s="347">
        <v>1.9560000000000001E-2</v>
      </c>
      <c r="R84" s="348">
        <v>17.283012679999999</v>
      </c>
      <c r="S84" s="348">
        <f>R84+R83</f>
        <v>24.70838745</v>
      </c>
      <c r="T84" s="380">
        <v>9.1</v>
      </c>
      <c r="U84" s="380">
        <v>0</v>
      </c>
      <c r="V84" s="352">
        <v>53889</v>
      </c>
      <c r="W84" s="352">
        <v>58749</v>
      </c>
      <c r="X84" s="352">
        <f>W84-V84</f>
        <v>4860</v>
      </c>
      <c r="Y84" s="352">
        <f t="shared" si="21"/>
        <v>281.20097404221775</v>
      </c>
      <c r="Z84" s="372">
        <v>708.13</v>
      </c>
      <c r="AA84" s="352">
        <v>748.73</v>
      </c>
      <c r="AB84" s="352">
        <f>AA84-Z84</f>
        <v>40.600000000000023</v>
      </c>
      <c r="AC84" s="371">
        <f t="shared" si="22"/>
        <v>2.3491274786242897</v>
      </c>
      <c r="AD84" s="372">
        <v>-7.72</v>
      </c>
      <c r="AE84" s="352">
        <v>-8</v>
      </c>
      <c r="AF84" s="352">
        <f>AE84-AD84</f>
        <v>-0.28000000000000025</v>
      </c>
      <c r="AG84" s="371">
        <f t="shared" si="23"/>
        <v>-1.6200879162926139E-2</v>
      </c>
      <c r="AH84" s="372">
        <v>0</v>
      </c>
      <c r="AI84" s="352">
        <v>0</v>
      </c>
      <c r="AJ84" s="352">
        <f>AI84-AH84</f>
        <v>0</v>
      </c>
      <c r="AK84" s="371">
        <f t="shared" si="24"/>
        <v>0</v>
      </c>
      <c r="AL84" s="372">
        <v>0</v>
      </c>
      <c r="AM84" s="352">
        <v>0</v>
      </c>
      <c r="AN84" s="352">
        <f>AM84-AL84</f>
        <v>0</v>
      </c>
      <c r="AO84" s="371">
        <f t="shared" si="25"/>
        <v>0</v>
      </c>
      <c r="AP84" s="341">
        <v>9.1</v>
      </c>
      <c r="AQ84" s="341">
        <v>0</v>
      </c>
      <c r="AR84" s="341">
        <f>AQ84-AP84</f>
        <v>-9.1</v>
      </c>
      <c r="AS84" s="526">
        <v>26.8</v>
      </c>
      <c r="AT84" s="383">
        <v>28.1</v>
      </c>
      <c r="AU84" s="383">
        <f>AT84-AS84</f>
        <v>1.3000000000000007</v>
      </c>
      <c r="AV84" s="341"/>
      <c r="AW84" s="341"/>
      <c r="AX84" s="341"/>
      <c r="AY84" s="341"/>
      <c r="AZ84" s="362" t="s">
        <v>686</v>
      </c>
      <c r="BA84" s="550">
        <v>130.88205984000001</v>
      </c>
      <c r="BB84" s="550">
        <v>7.9122898900000003</v>
      </c>
      <c r="BC84" s="550">
        <v>627.13443096000003</v>
      </c>
      <c r="BD84" s="550">
        <v>581.15200000000004</v>
      </c>
      <c r="BE84" s="550">
        <v>16.54371394</v>
      </c>
      <c r="BF84" s="550">
        <v>18.134623879999999</v>
      </c>
      <c r="BG84" s="550">
        <v>-4.9386176500000003</v>
      </c>
      <c r="BH84" s="550">
        <v>17.283147580000001</v>
      </c>
      <c r="BI84" s="550">
        <v>18.181039609999999</v>
      </c>
      <c r="BJ84" s="550">
        <v>-4.2028664500000001</v>
      </c>
      <c r="BK84" s="550">
        <v>-8.7727760400000001</v>
      </c>
      <c r="BL84" s="550">
        <v>4.5552160000000001E-2</v>
      </c>
      <c r="BM84" s="550"/>
      <c r="BN84" s="550"/>
      <c r="BO84" s="550"/>
      <c r="BP84" s="550"/>
      <c r="BQ84" s="550"/>
      <c r="BR84" s="550"/>
      <c r="BS84" s="550"/>
    </row>
    <row r="85" spans="1:71" s="577" customFormat="1" ht="15" customHeight="1" x14ac:dyDescent="0.2">
      <c r="A85" s="403">
        <f>A84+1</f>
        <v>62008005</v>
      </c>
      <c r="B85" s="440" t="s">
        <v>645</v>
      </c>
      <c r="C85" s="440" t="s">
        <v>773</v>
      </c>
      <c r="D85" s="402" t="s">
        <v>731</v>
      </c>
      <c r="E85" s="346" t="s">
        <v>741</v>
      </c>
      <c r="F85" s="346" t="str">
        <f t="shared" si="28"/>
        <v>08/03/20</v>
      </c>
      <c r="G85" s="362" t="s">
        <v>742</v>
      </c>
      <c r="H85" s="362" t="s">
        <v>685</v>
      </c>
      <c r="I85" s="370"/>
      <c r="J85" s="363"/>
      <c r="K85" s="363"/>
      <c r="L85" s="363"/>
      <c r="M85" s="363"/>
      <c r="N85" s="347">
        <v>4250</v>
      </c>
      <c r="O85" s="347">
        <v>30.36</v>
      </c>
      <c r="P85" s="347">
        <v>0.3201</v>
      </c>
      <c r="Q85" s="347">
        <v>1.9560000000000001E-2</v>
      </c>
      <c r="R85" s="348">
        <v>3.1348099999999997E-2</v>
      </c>
      <c r="S85" s="348">
        <f>R85+R84</f>
        <v>17.314360779999998</v>
      </c>
      <c r="T85" s="380" t="s">
        <v>997</v>
      </c>
      <c r="U85" s="380" t="s">
        <v>998</v>
      </c>
      <c r="V85" s="352">
        <v>58749</v>
      </c>
      <c r="W85" s="352">
        <v>-2081</v>
      </c>
      <c r="X85" s="352">
        <f>W85-V85</f>
        <v>-60830</v>
      </c>
      <c r="Y85" s="352">
        <f t="shared" si="21"/>
        <v>-1940468.4813433671</v>
      </c>
      <c r="Z85" s="372">
        <v>748.75</v>
      </c>
      <c r="AA85" s="352">
        <v>1697.93</v>
      </c>
      <c r="AB85" s="352">
        <f>AA85-Z85</f>
        <v>949.18000000000006</v>
      </c>
      <c r="AC85" s="371">
        <f t="shared" si="22"/>
        <v>30278.709076467159</v>
      </c>
      <c r="AD85" s="372">
        <v>-6.03</v>
      </c>
      <c r="AE85" s="352">
        <v>-23.84</v>
      </c>
      <c r="AF85" s="352">
        <f>AE85-AD85</f>
        <v>-17.809999999999999</v>
      </c>
      <c r="AG85" s="371">
        <f t="shared" si="23"/>
        <v>-568.13650588073915</v>
      </c>
      <c r="AH85" s="372" t="s">
        <v>999</v>
      </c>
      <c r="AI85" s="352" t="s">
        <v>1000</v>
      </c>
      <c r="AJ85" s="352" t="e">
        <f>AI85-AH85</f>
        <v>#VALUE!</v>
      </c>
      <c r="AK85" s="371" t="e">
        <f t="shared" si="24"/>
        <v>#VALUE!</v>
      </c>
      <c r="AL85" s="372" t="s">
        <v>1001</v>
      </c>
      <c r="AM85" s="352" t="s">
        <v>1002</v>
      </c>
      <c r="AN85" s="352" t="e">
        <f>AM85-AL85</f>
        <v>#VALUE!</v>
      </c>
      <c r="AO85" s="371" t="e">
        <f t="shared" si="25"/>
        <v>#VALUE!</v>
      </c>
      <c r="AP85" s="341" t="s">
        <v>997</v>
      </c>
      <c r="AQ85" s="341" t="s">
        <v>1003</v>
      </c>
      <c r="AR85" s="341" t="e">
        <f>AQ85-AP85</f>
        <v>#VALUE!</v>
      </c>
      <c r="AS85" s="526">
        <v>29.4</v>
      </c>
      <c r="AT85" s="383">
        <v>68027.600000000006</v>
      </c>
      <c r="AU85" s="383">
        <f>AT85-AS85</f>
        <v>67998.200000000012</v>
      </c>
      <c r="AV85" s="341"/>
      <c r="AW85" s="341"/>
      <c r="AX85" s="341"/>
      <c r="AY85" s="341"/>
      <c r="AZ85" s="362" t="s">
        <v>714</v>
      </c>
      <c r="BA85" s="550">
        <v>0</v>
      </c>
      <c r="BB85" s="550" t="s">
        <v>691</v>
      </c>
      <c r="BC85" s="550">
        <v>0</v>
      </c>
      <c r="BD85" s="550">
        <v>0</v>
      </c>
      <c r="BE85" s="550">
        <v>0</v>
      </c>
      <c r="BF85" s="550">
        <v>0</v>
      </c>
      <c r="BG85" s="550" t="s">
        <v>691</v>
      </c>
      <c r="BH85" s="550">
        <v>0</v>
      </c>
      <c r="BI85" s="550">
        <v>0</v>
      </c>
      <c r="BJ85" s="550" t="s">
        <v>691</v>
      </c>
      <c r="BK85" s="550" t="s">
        <v>691</v>
      </c>
      <c r="BL85" s="550" t="s">
        <v>691</v>
      </c>
      <c r="BM85" s="550"/>
      <c r="BN85" s="550"/>
      <c r="BO85" s="550"/>
      <c r="BP85" s="550"/>
      <c r="BQ85" s="550"/>
      <c r="BR85" s="550"/>
      <c r="BS85" s="550"/>
    </row>
    <row r="86" spans="1:71" s="548" customFormat="1" ht="15" customHeight="1" x14ac:dyDescent="0.2">
      <c r="A86" s="576" t="s">
        <v>849</v>
      </c>
      <c r="B86" s="435"/>
      <c r="C86" s="435"/>
      <c r="D86" s="436"/>
      <c r="E86" s="435"/>
      <c r="F86" s="435"/>
      <c r="G86" s="436"/>
      <c r="H86" s="436"/>
      <c r="I86" s="436"/>
      <c r="J86" s="436"/>
      <c r="K86" s="436"/>
      <c r="L86" s="436"/>
      <c r="M86" s="436"/>
      <c r="N86" s="436"/>
      <c r="O86" s="436"/>
      <c r="P86" s="437"/>
      <c r="Q86" s="438"/>
      <c r="R86" s="435"/>
      <c r="S86" s="435"/>
      <c r="T86" s="435"/>
      <c r="U86" s="435"/>
      <c r="V86" s="442"/>
      <c r="W86" s="442"/>
      <c r="X86" s="435"/>
      <c r="Y86" s="435"/>
      <c r="Z86" s="442"/>
      <c r="AA86" s="442"/>
      <c r="AB86" s="435"/>
      <c r="AC86" s="435"/>
      <c r="AD86" s="442"/>
      <c r="AE86" s="442"/>
      <c r="AF86" s="435"/>
      <c r="AG86" s="435"/>
      <c r="AH86" s="435"/>
      <c r="AI86" s="435"/>
      <c r="AJ86" s="435"/>
      <c r="AK86" s="435"/>
      <c r="AL86" s="442"/>
      <c r="AM86" s="442"/>
      <c r="AN86" s="435"/>
      <c r="AO86" s="435"/>
      <c r="AP86" s="435"/>
      <c r="AQ86" s="435"/>
      <c r="AR86" s="435"/>
      <c r="AS86" s="435"/>
      <c r="AT86" s="435"/>
      <c r="AU86" s="435"/>
      <c r="AV86" s="435"/>
      <c r="AW86" s="435"/>
      <c r="AX86" s="435"/>
      <c r="AY86" s="435"/>
      <c r="AZ86" s="435"/>
      <c r="BA86" s="435"/>
      <c r="BB86" s="435"/>
      <c r="BC86" s="435"/>
      <c r="BD86" s="435"/>
      <c r="BE86" s="435"/>
      <c r="BF86" s="435"/>
      <c r="BG86" s="435"/>
      <c r="BH86" s="435"/>
      <c r="BI86" s="435"/>
      <c r="BJ86" s="435"/>
      <c r="BK86" s="435"/>
      <c r="BL86" s="439"/>
      <c r="BM86" s="578"/>
    </row>
    <row r="87" spans="1:71" s="577" customFormat="1" ht="15" customHeight="1" x14ac:dyDescent="0.2">
      <c r="A87" s="404">
        <v>62008006</v>
      </c>
      <c r="B87" s="403" t="s">
        <v>528</v>
      </c>
      <c r="C87" s="403" t="s">
        <v>773</v>
      </c>
      <c r="D87" s="402" t="s">
        <v>743</v>
      </c>
      <c r="E87" s="346" t="s">
        <v>744</v>
      </c>
      <c r="F87" s="346" t="str">
        <f t="shared" si="28"/>
        <v>08/04/20</v>
      </c>
      <c r="G87" s="362" t="s">
        <v>745</v>
      </c>
      <c r="H87" s="362" t="s">
        <v>746</v>
      </c>
      <c r="I87" s="370"/>
      <c r="J87" s="363"/>
      <c r="K87" s="363"/>
      <c r="L87" s="363"/>
      <c r="M87" s="363"/>
      <c r="N87" s="347">
        <v>4250</v>
      </c>
      <c r="O87" s="347">
        <v>30.36</v>
      </c>
      <c r="P87" s="347">
        <v>0.3201</v>
      </c>
      <c r="Q87" s="347">
        <v>1.9560000000000001E-2</v>
      </c>
      <c r="R87" s="348">
        <v>8.9878879999999999</v>
      </c>
      <c r="S87" s="348">
        <f t="shared" ref="S87:S98" si="29">R87+R86</f>
        <v>8.9878879999999999</v>
      </c>
      <c r="T87" s="380">
        <v>97.5</v>
      </c>
      <c r="U87" s="380">
        <v>97.6</v>
      </c>
      <c r="V87" s="352">
        <v>6</v>
      </c>
      <c r="W87" s="352">
        <v>-75</v>
      </c>
      <c r="X87" s="352">
        <f t="shared" ref="X87:X98" si="30">W87-V87</f>
        <v>-81</v>
      </c>
      <c r="Y87" s="352">
        <f t="shared" ref="Y87:Y98" si="31">X87/$R87</f>
        <v>-9.012128322026264</v>
      </c>
      <c r="Z87" s="372">
        <v>5.1007049999999996</v>
      </c>
      <c r="AA87" s="352">
        <v>68.599999999999994</v>
      </c>
      <c r="AB87" s="352">
        <f t="shared" ref="AB87:AB98" si="32">AA87-Z87</f>
        <v>63.499294999999996</v>
      </c>
      <c r="AC87" s="371">
        <f t="shared" ref="AC87:AC98" si="33">AB87/$R87</f>
        <v>7.0649851222000093</v>
      </c>
      <c r="AD87" s="372">
        <v>1.1000000000000001</v>
      </c>
      <c r="AE87" s="352">
        <v>-0.02</v>
      </c>
      <c r="AF87" s="352">
        <f t="shared" ref="AF87:AF98" si="34">AE87-AD87</f>
        <v>-1.1200000000000001</v>
      </c>
      <c r="AG87" s="371">
        <f t="shared" ref="AG87:AG98" si="35">AF87/$R87</f>
        <v>-0.12461214469962244</v>
      </c>
      <c r="AH87" s="372">
        <v>0</v>
      </c>
      <c r="AI87" s="352">
        <v>0</v>
      </c>
      <c r="AJ87" s="352">
        <f t="shared" ref="AJ87:AJ98" si="36">AI87-AH87</f>
        <v>0</v>
      </c>
      <c r="AK87" s="371">
        <f t="shared" ref="AK87:AK98" si="37">AJ87/$R87</f>
        <v>0</v>
      </c>
      <c r="AL87" s="372">
        <v>0</v>
      </c>
      <c r="AM87" s="352">
        <v>0</v>
      </c>
      <c r="AN87" s="352">
        <f t="shared" ref="AN87:AN98" si="38">AM87-AL87</f>
        <v>0</v>
      </c>
      <c r="AO87" s="371">
        <f t="shared" ref="AO87:AO98" si="39">AN87/$R87</f>
        <v>0</v>
      </c>
      <c r="AP87" s="341">
        <v>97.5</v>
      </c>
      <c r="AQ87" s="341">
        <v>97.6</v>
      </c>
      <c r="AR87" s="341">
        <f t="shared" ref="AR87:AR98" si="40">AQ87-AP87</f>
        <v>9.9999999999994316E-2</v>
      </c>
      <c r="AS87" s="526">
        <v>0.5</v>
      </c>
      <c r="AT87" s="383">
        <v>2.6</v>
      </c>
      <c r="AU87" s="383">
        <f t="shared" ref="AU87:AU98" si="41">AT87-AS87</f>
        <v>2.1</v>
      </c>
      <c r="AV87" s="341"/>
      <c r="AW87" s="341"/>
      <c r="AX87" s="341"/>
      <c r="AY87" s="341"/>
      <c r="AZ87" s="362" t="s">
        <v>686</v>
      </c>
      <c r="BA87" s="550">
        <v>0</v>
      </c>
      <c r="BB87" s="550" t="s">
        <v>747</v>
      </c>
      <c r="BC87" s="550">
        <v>712.77433110000004</v>
      </c>
      <c r="BD87" s="550">
        <v>0</v>
      </c>
      <c r="BE87" s="550">
        <v>4.1900419299999996</v>
      </c>
      <c r="BF87" s="550">
        <v>0</v>
      </c>
      <c r="BG87" s="550" t="s">
        <v>747</v>
      </c>
      <c r="BH87" s="550">
        <v>8.9876304699999991</v>
      </c>
      <c r="BI87" s="550">
        <v>0</v>
      </c>
      <c r="BJ87" s="550" t="s">
        <v>691</v>
      </c>
      <c r="BK87" s="550" t="s">
        <v>747</v>
      </c>
      <c r="BL87" s="550" t="s">
        <v>691</v>
      </c>
      <c r="BM87" s="550"/>
      <c r="BN87" s="550"/>
      <c r="BO87" s="550"/>
      <c r="BP87" s="550"/>
      <c r="BQ87" s="550"/>
      <c r="BR87" s="550"/>
      <c r="BS87" s="550"/>
    </row>
    <row r="88" spans="1:71" s="577" customFormat="1" ht="15" customHeight="1" x14ac:dyDescent="0.2">
      <c r="A88" s="404">
        <v>62008007</v>
      </c>
      <c r="B88" s="403" t="s">
        <v>678</v>
      </c>
      <c r="C88" s="403" t="s">
        <v>773</v>
      </c>
      <c r="D88" s="402" t="s">
        <v>748</v>
      </c>
      <c r="E88" s="346" t="s">
        <v>749</v>
      </c>
      <c r="F88" s="346" t="str">
        <f t="shared" si="28"/>
        <v>08/04/20</v>
      </c>
      <c r="G88" s="362" t="s">
        <v>750</v>
      </c>
      <c r="H88" s="362" t="s">
        <v>685</v>
      </c>
      <c r="I88" s="370"/>
      <c r="J88" s="363"/>
      <c r="K88" s="363"/>
      <c r="L88" s="363"/>
      <c r="M88" s="363"/>
      <c r="N88" s="347">
        <v>4250</v>
      </c>
      <c r="O88" s="347">
        <v>30.36</v>
      </c>
      <c r="P88" s="347">
        <v>0.3201</v>
      </c>
      <c r="Q88" s="347">
        <v>1.9560000000000001E-2</v>
      </c>
      <c r="R88" s="348">
        <v>9.5518603899999999</v>
      </c>
      <c r="S88" s="348">
        <f t="shared" si="29"/>
        <v>18.53974839</v>
      </c>
      <c r="T88" s="380">
        <v>97.6</v>
      </c>
      <c r="U88" s="380">
        <v>94.6</v>
      </c>
      <c r="V88" s="352">
        <v>-70</v>
      </c>
      <c r="W88" s="352">
        <v>2209</v>
      </c>
      <c r="X88" s="352">
        <f t="shared" si="30"/>
        <v>2279</v>
      </c>
      <c r="Y88" s="352">
        <f t="shared" si="31"/>
        <v>238.59226443321162</v>
      </c>
      <c r="Z88" s="372">
        <v>72.469633000000002</v>
      </c>
      <c r="AA88" s="352">
        <v>100.55939600000001</v>
      </c>
      <c r="AB88" s="352">
        <f t="shared" si="32"/>
        <v>28.089763000000005</v>
      </c>
      <c r="AC88" s="371">
        <f t="shared" si="33"/>
        <v>2.9407635636517093</v>
      </c>
      <c r="AD88" s="372">
        <v>1.34</v>
      </c>
      <c r="AE88" s="352">
        <v>0.42</v>
      </c>
      <c r="AF88" s="352">
        <f t="shared" si="34"/>
        <v>-0.92000000000000015</v>
      </c>
      <c r="AG88" s="371">
        <f t="shared" si="35"/>
        <v>-9.6316315611476411E-2</v>
      </c>
      <c r="AH88" s="372">
        <v>0</v>
      </c>
      <c r="AI88" s="352">
        <v>0</v>
      </c>
      <c r="AJ88" s="352">
        <f t="shared" si="36"/>
        <v>0</v>
      </c>
      <c r="AK88" s="371">
        <f t="shared" si="37"/>
        <v>0</v>
      </c>
      <c r="AL88" s="372">
        <v>0</v>
      </c>
      <c r="AM88" s="352">
        <v>0</v>
      </c>
      <c r="AN88" s="352">
        <f t="shared" si="38"/>
        <v>0</v>
      </c>
      <c r="AO88" s="371">
        <f t="shared" si="39"/>
        <v>0</v>
      </c>
      <c r="AP88" s="341">
        <v>97.6</v>
      </c>
      <c r="AQ88" s="341">
        <v>94.6</v>
      </c>
      <c r="AR88" s="341">
        <f t="shared" si="40"/>
        <v>-3</v>
      </c>
      <c r="AS88" s="526">
        <v>3.4</v>
      </c>
      <c r="AT88" s="383">
        <v>4.4000000000000004</v>
      </c>
      <c r="AU88" s="383">
        <f t="shared" si="41"/>
        <v>1.0000000000000004</v>
      </c>
      <c r="AV88" s="341"/>
      <c r="AW88" s="341"/>
      <c r="AX88" s="341"/>
      <c r="AY88" s="341"/>
      <c r="AZ88" s="362" t="s">
        <v>686</v>
      </c>
      <c r="BA88" s="550">
        <v>164.15193822000001</v>
      </c>
      <c r="BB88" s="550">
        <v>5.1195961499999996</v>
      </c>
      <c r="BC88" s="550">
        <v>517.63920352000002</v>
      </c>
      <c r="BD88" s="550">
        <v>492.42883578999999</v>
      </c>
      <c r="BE88" s="550">
        <v>7.7015584600000002</v>
      </c>
      <c r="BF88" s="550">
        <v>7.7252096000000003</v>
      </c>
      <c r="BG88" s="550">
        <v>-0.12506665</v>
      </c>
      <c r="BH88" s="550">
        <v>9.5519401100000003</v>
      </c>
      <c r="BI88" s="550">
        <v>9.5639013599999991</v>
      </c>
      <c r="BJ88" s="550">
        <v>-0.18164473</v>
      </c>
      <c r="BK88" s="550">
        <v>-0.30615526999999998</v>
      </c>
      <c r="BL88" s="550">
        <v>7.656085E-2</v>
      </c>
      <c r="BM88" s="550"/>
      <c r="BN88" s="550"/>
      <c r="BO88" s="550"/>
      <c r="BP88" s="550"/>
      <c r="BQ88" s="550"/>
      <c r="BR88" s="550"/>
      <c r="BS88" s="550"/>
    </row>
    <row r="89" spans="1:71" s="577" customFormat="1" ht="15" customHeight="1" x14ac:dyDescent="0.2">
      <c r="A89" s="404">
        <v>62008007</v>
      </c>
      <c r="B89" s="403" t="s">
        <v>678</v>
      </c>
      <c r="C89" s="403" t="s">
        <v>774</v>
      </c>
      <c r="D89" s="402" t="s">
        <v>748</v>
      </c>
      <c r="E89" s="346" t="s">
        <v>749</v>
      </c>
      <c r="F89" s="346" t="str">
        <f t="shared" si="28"/>
        <v>08/04/20</v>
      </c>
      <c r="G89" s="362" t="s">
        <v>750</v>
      </c>
      <c r="H89" s="362" t="s">
        <v>685</v>
      </c>
      <c r="I89" s="370"/>
      <c r="J89" s="363"/>
      <c r="K89" s="363"/>
      <c r="L89" s="363"/>
      <c r="M89" s="363"/>
      <c r="N89" s="347">
        <v>4250</v>
      </c>
      <c r="O89" s="347">
        <v>30.36</v>
      </c>
      <c r="P89" s="347">
        <v>0.3201</v>
      </c>
      <c r="Q89" s="347">
        <v>1.9560000000000001E-2</v>
      </c>
      <c r="R89" s="348">
        <v>11.54310802</v>
      </c>
      <c r="S89" s="348">
        <f t="shared" si="29"/>
        <v>21.09496841</v>
      </c>
      <c r="T89" s="380">
        <v>94.6</v>
      </c>
      <c r="U89" s="380">
        <v>90.4</v>
      </c>
      <c r="V89" s="352">
        <v>2210</v>
      </c>
      <c r="W89" s="352">
        <v>5058</v>
      </c>
      <c r="X89" s="352">
        <f t="shared" si="30"/>
        <v>2848</v>
      </c>
      <c r="Y89" s="352">
        <f t="shared" si="31"/>
        <v>246.72731079579725</v>
      </c>
      <c r="Z89" s="372">
        <v>100.96</v>
      </c>
      <c r="AA89" s="352">
        <v>141.78</v>
      </c>
      <c r="AB89" s="352">
        <f t="shared" si="32"/>
        <v>40.820000000000007</v>
      </c>
      <c r="AC89" s="371">
        <f t="shared" si="33"/>
        <v>3.53630927903246</v>
      </c>
      <c r="AD89" s="372">
        <v>0.41</v>
      </c>
      <c r="AE89" s="352">
        <v>-0.3</v>
      </c>
      <c r="AF89" s="352">
        <f t="shared" si="34"/>
        <v>-0.71</v>
      </c>
      <c r="AG89" s="371">
        <f t="shared" si="35"/>
        <v>-6.1508564137997206E-2</v>
      </c>
      <c r="AH89" s="372">
        <v>0</v>
      </c>
      <c r="AI89" s="352">
        <v>0</v>
      </c>
      <c r="AJ89" s="352">
        <f t="shared" si="36"/>
        <v>0</v>
      </c>
      <c r="AK89" s="371">
        <f t="shared" si="37"/>
        <v>0</v>
      </c>
      <c r="AL89" s="372">
        <v>0</v>
      </c>
      <c r="AM89" s="352">
        <v>0</v>
      </c>
      <c r="AN89" s="352">
        <f t="shared" si="38"/>
        <v>0</v>
      </c>
      <c r="AO89" s="371">
        <f t="shared" si="39"/>
        <v>0</v>
      </c>
      <c r="AP89" s="341">
        <v>94.6</v>
      </c>
      <c r="AQ89" s="341">
        <v>90.4</v>
      </c>
      <c r="AR89" s="341">
        <f t="shared" si="40"/>
        <v>-4.1999999999999886</v>
      </c>
      <c r="AS89" s="526">
        <v>4.4000000000000004</v>
      </c>
      <c r="AT89" s="383">
        <v>5.7</v>
      </c>
      <c r="AU89" s="383">
        <f t="shared" si="41"/>
        <v>1.2999999999999998</v>
      </c>
      <c r="AV89" s="341"/>
      <c r="AW89" s="341"/>
      <c r="AX89" s="341"/>
      <c r="AY89" s="341"/>
      <c r="AZ89" s="362" t="s">
        <v>686</v>
      </c>
      <c r="BA89" s="550">
        <v>724.29608724000002</v>
      </c>
      <c r="BB89" s="550">
        <v>12.637378959999999</v>
      </c>
      <c r="BC89" s="550">
        <v>805.65462222999997</v>
      </c>
      <c r="BD89" s="550">
        <v>715.26400000000001</v>
      </c>
      <c r="BE89" s="550">
        <v>9.9759537399999996</v>
      </c>
      <c r="BF89" s="550">
        <v>10.05373563</v>
      </c>
      <c r="BG89" s="550">
        <v>-0.10685753000000001</v>
      </c>
      <c r="BH89" s="550">
        <v>11.543183040000001</v>
      </c>
      <c r="BI89" s="550">
        <v>11.555531</v>
      </c>
      <c r="BJ89" s="550">
        <v>-0.67200311999999995</v>
      </c>
      <c r="BK89" s="550">
        <v>-0.77366162000000005</v>
      </c>
      <c r="BL89" s="550">
        <v>0.12446387</v>
      </c>
      <c r="BM89" s="550"/>
      <c r="BN89" s="550"/>
      <c r="BO89" s="550"/>
      <c r="BP89" s="550"/>
      <c r="BQ89" s="550"/>
      <c r="BR89" s="550"/>
      <c r="BS89" s="550"/>
    </row>
    <row r="90" spans="1:71" s="577" customFormat="1" ht="15" customHeight="1" x14ac:dyDescent="0.2">
      <c r="A90" s="404">
        <v>62008007</v>
      </c>
      <c r="B90" s="403" t="s">
        <v>678</v>
      </c>
      <c r="C90" s="403" t="s">
        <v>776</v>
      </c>
      <c r="D90" s="402" t="s">
        <v>748</v>
      </c>
      <c r="E90" s="346" t="s">
        <v>749</v>
      </c>
      <c r="F90" s="346" t="str">
        <f t="shared" si="28"/>
        <v>08/04/20</v>
      </c>
      <c r="G90" s="362" t="s">
        <v>750</v>
      </c>
      <c r="H90" s="362" t="s">
        <v>685</v>
      </c>
      <c r="I90" s="370"/>
      <c r="J90" s="363"/>
      <c r="K90" s="363"/>
      <c r="L90" s="363"/>
      <c r="M90" s="363"/>
      <c r="N90" s="347">
        <v>4250</v>
      </c>
      <c r="O90" s="347">
        <v>30.36</v>
      </c>
      <c r="P90" s="347">
        <v>0.3201</v>
      </c>
      <c r="Q90" s="347">
        <v>1.9560000000000001E-2</v>
      </c>
      <c r="R90" s="348">
        <v>11.54320221</v>
      </c>
      <c r="S90" s="348">
        <f t="shared" si="29"/>
        <v>23.086310230000002</v>
      </c>
      <c r="T90" s="380">
        <v>90.4</v>
      </c>
      <c r="U90" s="380">
        <v>81.3</v>
      </c>
      <c r="V90" s="352">
        <v>5059</v>
      </c>
      <c r="W90" s="352">
        <v>10982</v>
      </c>
      <c r="X90" s="352">
        <f t="shared" si="30"/>
        <v>5923</v>
      </c>
      <c r="Y90" s="352">
        <f t="shared" si="31"/>
        <v>513.11584881263207</v>
      </c>
      <c r="Z90" s="372">
        <v>142.6</v>
      </c>
      <c r="AA90" s="352">
        <v>183.07</v>
      </c>
      <c r="AB90" s="352">
        <f t="shared" si="32"/>
        <v>40.47</v>
      </c>
      <c r="AC90" s="371">
        <f t="shared" si="33"/>
        <v>3.5059595477709298</v>
      </c>
      <c r="AD90" s="372">
        <v>-0.31</v>
      </c>
      <c r="AE90" s="352">
        <v>-0.85836699999999999</v>
      </c>
      <c r="AF90" s="352">
        <f t="shared" si="34"/>
        <v>-0.54836700000000005</v>
      </c>
      <c r="AG90" s="371">
        <f t="shared" si="35"/>
        <v>-4.7505621925685734E-2</v>
      </c>
      <c r="AH90" s="372">
        <v>0</v>
      </c>
      <c r="AI90" s="352">
        <v>0</v>
      </c>
      <c r="AJ90" s="352">
        <f t="shared" si="36"/>
        <v>0</v>
      </c>
      <c r="AK90" s="371">
        <f t="shared" si="37"/>
        <v>0</v>
      </c>
      <c r="AL90" s="372">
        <v>0</v>
      </c>
      <c r="AM90" s="352">
        <v>0</v>
      </c>
      <c r="AN90" s="352">
        <f t="shared" si="38"/>
        <v>0</v>
      </c>
      <c r="AO90" s="371">
        <f t="shared" si="39"/>
        <v>0</v>
      </c>
      <c r="AP90" s="341">
        <v>90.4</v>
      </c>
      <c r="AQ90" s="341">
        <v>81.3</v>
      </c>
      <c r="AR90" s="341">
        <f t="shared" si="40"/>
        <v>-9.1000000000000085</v>
      </c>
      <c r="AS90" s="526">
        <v>5.8</v>
      </c>
      <c r="AT90" s="383">
        <v>7.1</v>
      </c>
      <c r="AU90" s="383">
        <f t="shared" si="41"/>
        <v>1.2999999999999998</v>
      </c>
      <c r="AV90" s="341"/>
      <c r="AW90" s="341"/>
      <c r="AX90" s="341"/>
      <c r="AY90" s="341"/>
      <c r="AZ90" s="362" t="s">
        <v>686</v>
      </c>
      <c r="BA90" s="550">
        <v>724.40958268999998</v>
      </c>
      <c r="BB90" s="550">
        <v>12.414402750000001</v>
      </c>
      <c r="BC90" s="550">
        <v>804.05975367999997</v>
      </c>
      <c r="BD90" s="550">
        <v>715.26400000000001</v>
      </c>
      <c r="BE90" s="550">
        <v>9.97211158</v>
      </c>
      <c r="BF90" s="550">
        <v>10.053595939999999</v>
      </c>
      <c r="BG90" s="550">
        <v>-0.10598502999999999</v>
      </c>
      <c r="BH90" s="550">
        <v>11.54328357</v>
      </c>
      <c r="BI90" s="550">
        <v>11.5555307</v>
      </c>
      <c r="BJ90" s="550">
        <v>-0.71027130999999999</v>
      </c>
      <c r="BK90" s="550">
        <v>-0.81049959999999999</v>
      </c>
      <c r="BL90" s="550">
        <v>0.1244656</v>
      </c>
      <c r="BM90" s="550"/>
      <c r="BN90" s="550"/>
      <c r="BO90" s="550"/>
      <c r="BP90" s="550"/>
      <c r="BQ90" s="550"/>
      <c r="BR90" s="550"/>
      <c r="BS90" s="550"/>
    </row>
    <row r="91" spans="1:71" s="577" customFormat="1" ht="15" customHeight="1" x14ac:dyDescent="0.2">
      <c r="A91" s="404">
        <v>62008007</v>
      </c>
      <c r="B91" s="403" t="s">
        <v>678</v>
      </c>
      <c r="C91" s="403" t="s">
        <v>777</v>
      </c>
      <c r="D91" s="402" t="s">
        <v>748</v>
      </c>
      <c r="E91" s="346" t="s">
        <v>749</v>
      </c>
      <c r="F91" s="346" t="str">
        <f t="shared" si="28"/>
        <v>08/04/20</v>
      </c>
      <c r="G91" s="362" t="s">
        <v>750</v>
      </c>
      <c r="H91" s="362" t="s">
        <v>685</v>
      </c>
      <c r="I91" s="370"/>
      <c r="J91" s="363"/>
      <c r="K91" s="363"/>
      <c r="L91" s="363"/>
      <c r="M91" s="363"/>
      <c r="N91" s="347">
        <v>4250</v>
      </c>
      <c r="O91" s="347">
        <v>30.36</v>
      </c>
      <c r="P91" s="347">
        <v>0.3201</v>
      </c>
      <c r="Q91" s="347">
        <v>1.9560000000000001E-2</v>
      </c>
      <c r="R91" s="348">
        <v>11.543033599999999</v>
      </c>
      <c r="S91" s="348">
        <f t="shared" si="29"/>
        <v>23.086235809999998</v>
      </c>
      <c r="T91" s="380">
        <v>81.3</v>
      </c>
      <c r="U91" s="380">
        <v>66.900000000000006</v>
      </c>
      <c r="V91" s="352">
        <v>10983</v>
      </c>
      <c r="W91" s="352">
        <v>20034</v>
      </c>
      <c r="X91" s="352">
        <f t="shared" si="30"/>
        <v>9051</v>
      </c>
      <c r="Y91" s="352">
        <f t="shared" si="31"/>
        <v>784.10930034891351</v>
      </c>
      <c r="Z91" s="372">
        <v>183.88834700000001</v>
      </c>
      <c r="AA91" s="352">
        <v>224.24</v>
      </c>
      <c r="AB91" s="352">
        <f t="shared" si="32"/>
        <v>40.351652999999999</v>
      </c>
      <c r="AC91" s="371">
        <f t="shared" si="33"/>
        <v>3.4957580821734764</v>
      </c>
      <c r="AD91" s="372">
        <v>-0.86</v>
      </c>
      <c r="AE91" s="352">
        <v>-1.34</v>
      </c>
      <c r="AF91" s="352">
        <f t="shared" si="34"/>
        <v>-0.48000000000000009</v>
      </c>
      <c r="AG91" s="371">
        <f t="shared" si="35"/>
        <v>-4.1583522723177391E-2</v>
      </c>
      <c r="AH91" s="372">
        <v>0</v>
      </c>
      <c r="AI91" s="352">
        <v>0</v>
      </c>
      <c r="AJ91" s="352">
        <f t="shared" si="36"/>
        <v>0</v>
      </c>
      <c r="AK91" s="371">
        <f t="shared" si="37"/>
        <v>0</v>
      </c>
      <c r="AL91" s="372">
        <v>0</v>
      </c>
      <c r="AM91" s="352">
        <v>0</v>
      </c>
      <c r="AN91" s="352">
        <f t="shared" si="38"/>
        <v>0</v>
      </c>
      <c r="AO91" s="371">
        <f t="shared" si="39"/>
        <v>0</v>
      </c>
      <c r="AP91" s="341">
        <v>81.3</v>
      </c>
      <c r="AQ91" s="341">
        <v>66.900000000000006</v>
      </c>
      <c r="AR91" s="341">
        <f t="shared" si="40"/>
        <v>-14.399999999999991</v>
      </c>
      <c r="AS91" s="526">
        <v>7.2</v>
      </c>
      <c r="AT91" s="383">
        <v>8.5</v>
      </c>
      <c r="AU91" s="383">
        <f t="shared" si="41"/>
        <v>1.2999999999999998</v>
      </c>
      <c r="AV91" s="341"/>
      <c r="AW91" s="341"/>
      <c r="AX91" s="341"/>
      <c r="AY91" s="341"/>
      <c r="AZ91" s="362" t="s">
        <v>686</v>
      </c>
      <c r="BA91" s="550">
        <v>724.33656589999998</v>
      </c>
      <c r="BB91" s="550">
        <v>12.39616992</v>
      </c>
      <c r="BC91" s="550">
        <v>803.92934080999999</v>
      </c>
      <c r="BD91" s="550">
        <v>715.26400000000001</v>
      </c>
      <c r="BE91" s="550">
        <v>9.9733687599999996</v>
      </c>
      <c r="BF91" s="550">
        <v>10.053531380000001</v>
      </c>
      <c r="BG91" s="550">
        <v>-0.1073803</v>
      </c>
      <c r="BH91" s="550">
        <v>11.54312242</v>
      </c>
      <c r="BI91" s="550">
        <v>11.55553078</v>
      </c>
      <c r="BJ91" s="550">
        <v>-0.69552338999999996</v>
      </c>
      <c r="BK91" s="550">
        <v>-0.79735789000000001</v>
      </c>
      <c r="BL91" s="550">
        <v>0.1244664</v>
      </c>
      <c r="BM91" s="550"/>
      <c r="BN91" s="550"/>
      <c r="BO91" s="550"/>
      <c r="BP91" s="550"/>
      <c r="BQ91" s="550"/>
      <c r="BR91" s="550"/>
      <c r="BS91" s="550"/>
    </row>
    <row r="92" spans="1:71" s="577" customFormat="1" ht="15" customHeight="1" x14ac:dyDescent="0.2">
      <c r="A92" s="404">
        <v>62008008</v>
      </c>
      <c r="B92" s="403" t="s">
        <v>679</v>
      </c>
      <c r="C92" s="403" t="s">
        <v>773</v>
      </c>
      <c r="D92" s="402" t="s">
        <v>751</v>
      </c>
      <c r="E92" s="346" t="s">
        <v>752</v>
      </c>
      <c r="F92" s="346" t="str">
        <f t="shared" si="28"/>
        <v>08/04/20</v>
      </c>
      <c r="G92" s="362" t="s">
        <v>753</v>
      </c>
      <c r="H92" s="362" t="s">
        <v>685</v>
      </c>
      <c r="I92" s="370"/>
      <c r="J92" s="363">
        <v>23.970275999999998</v>
      </c>
      <c r="K92" s="363">
        <v>42.933644999999999</v>
      </c>
      <c r="L92" s="363">
        <v>29.362463000000002</v>
      </c>
      <c r="M92" s="363">
        <v>28.999464</v>
      </c>
      <c r="N92" s="347">
        <v>4250</v>
      </c>
      <c r="O92" s="347">
        <v>30.36</v>
      </c>
      <c r="P92" s="347">
        <v>0.3201</v>
      </c>
      <c r="Q92" s="347">
        <v>1.9560000000000001E-2</v>
      </c>
      <c r="R92" s="348">
        <v>4.9971837800000003</v>
      </c>
      <c r="S92" s="348">
        <f t="shared" si="29"/>
        <v>16.540217380000001</v>
      </c>
      <c r="T92" s="380">
        <v>66.8</v>
      </c>
      <c r="U92" s="380">
        <v>65</v>
      </c>
      <c r="V92" s="352">
        <v>20038</v>
      </c>
      <c r="W92" s="352">
        <v>21213</v>
      </c>
      <c r="X92" s="352">
        <f t="shared" si="30"/>
        <v>1175</v>
      </c>
      <c r="Y92" s="352">
        <f t="shared" si="31"/>
        <v>235.1324369343086</v>
      </c>
      <c r="Z92" s="372">
        <v>228.08</v>
      </c>
      <c r="AA92" s="352">
        <v>243.287837</v>
      </c>
      <c r="AB92" s="352">
        <f t="shared" si="32"/>
        <v>15.207836999999984</v>
      </c>
      <c r="AC92" s="371">
        <f t="shared" si="33"/>
        <v>3.0432815100508437</v>
      </c>
      <c r="AD92" s="372">
        <v>-0.51</v>
      </c>
      <c r="AE92" s="352">
        <v>-0.9</v>
      </c>
      <c r="AF92" s="352">
        <f t="shared" si="34"/>
        <v>-0.39</v>
      </c>
      <c r="AG92" s="371">
        <f t="shared" si="35"/>
        <v>-7.8043957790962015E-2</v>
      </c>
      <c r="AH92" s="372">
        <v>0</v>
      </c>
      <c r="AI92" s="352">
        <v>0</v>
      </c>
      <c r="AJ92" s="352">
        <f t="shared" si="36"/>
        <v>0</v>
      </c>
      <c r="AK92" s="371">
        <f t="shared" si="37"/>
        <v>0</v>
      </c>
      <c r="AL92" s="372">
        <v>0</v>
      </c>
      <c r="AM92" s="352">
        <v>0</v>
      </c>
      <c r="AN92" s="352">
        <f t="shared" si="38"/>
        <v>0</v>
      </c>
      <c r="AO92" s="371">
        <f t="shared" si="39"/>
        <v>0</v>
      </c>
      <c r="AP92" s="341">
        <v>66.8</v>
      </c>
      <c r="AQ92" s="341">
        <v>65</v>
      </c>
      <c r="AR92" s="341">
        <f t="shared" si="40"/>
        <v>-1.7999999999999972</v>
      </c>
      <c r="AS92" s="526">
        <v>9.1999999999999993</v>
      </c>
      <c r="AT92" s="383">
        <v>9.6999999999999993</v>
      </c>
      <c r="AU92" s="383">
        <f t="shared" si="41"/>
        <v>0.5</v>
      </c>
      <c r="AV92" s="341"/>
      <c r="AW92" s="341"/>
      <c r="AX92" s="341"/>
      <c r="AY92" s="341"/>
      <c r="AZ92" s="362" t="s">
        <v>686</v>
      </c>
      <c r="BA92" s="550">
        <v>378.01526180000002</v>
      </c>
      <c r="BB92" s="550">
        <v>3.1108599799999999</v>
      </c>
      <c r="BC92" s="550">
        <v>507.04146728000001</v>
      </c>
      <c r="BD92" s="550">
        <v>491.74400000000003</v>
      </c>
      <c r="BE92" s="550">
        <v>4.1683204700000003</v>
      </c>
      <c r="BF92" s="550">
        <v>4.1826681399999996</v>
      </c>
      <c r="BG92" s="550">
        <v>-0.12500075999999999</v>
      </c>
      <c r="BH92" s="550">
        <v>4.9972197400000002</v>
      </c>
      <c r="BI92" s="550">
        <v>5.0034741199999999</v>
      </c>
      <c r="BJ92" s="550">
        <v>-0.21877658</v>
      </c>
      <c r="BK92" s="550">
        <v>-0.34302687999999998</v>
      </c>
      <c r="BL92" s="550">
        <v>0.14140435000000001</v>
      </c>
      <c r="BM92" s="550"/>
      <c r="BN92" s="550"/>
      <c r="BO92" s="550"/>
      <c r="BP92" s="550"/>
      <c r="BQ92" s="550"/>
      <c r="BR92" s="550"/>
      <c r="BS92" s="550"/>
    </row>
    <row r="93" spans="1:71" s="577" customFormat="1" ht="15" customHeight="1" x14ac:dyDescent="0.2">
      <c r="A93" s="404">
        <v>62008008</v>
      </c>
      <c r="B93" s="403" t="s">
        <v>679</v>
      </c>
      <c r="C93" s="403" t="s">
        <v>774</v>
      </c>
      <c r="D93" s="402" t="s">
        <v>751</v>
      </c>
      <c r="E93" s="346" t="s">
        <v>752</v>
      </c>
      <c r="F93" s="346" t="str">
        <f t="shared" si="28"/>
        <v>08/04/20</v>
      </c>
      <c r="G93" s="362" t="s">
        <v>753</v>
      </c>
      <c r="H93" s="362" t="s">
        <v>685</v>
      </c>
      <c r="I93" s="370"/>
      <c r="J93" s="363">
        <v>24.705966</v>
      </c>
      <c r="K93" s="363">
        <v>39.357754</v>
      </c>
      <c r="L93" s="363">
        <v>29.370832</v>
      </c>
      <c r="M93" s="363">
        <v>31.150587000000002</v>
      </c>
      <c r="N93" s="347">
        <v>4250</v>
      </c>
      <c r="O93" s="347">
        <v>30.36</v>
      </c>
      <c r="P93" s="347">
        <v>0.3201</v>
      </c>
      <c r="Q93" s="347">
        <v>1.9560000000000001E-2</v>
      </c>
      <c r="R93" s="348">
        <v>3.3809605199999999</v>
      </c>
      <c r="S93" s="348">
        <f t="shared" si="29"/>
        <v>8.3781443000000007</v>
      </c>
      <c r="T93" s="380">
        <v>65</v>
      </c>
      <c r="U93" s="380">
        <v>63.1</v>
      </c>
      <c r="V93" s="352">
        <v>21213</v>
      </c>
      <c r="W93" s="352">
        <v>22307</v>
      </c>
      <c r="X93" s="352">
        <f t="shared" si="30"/>
        <v>1094</v>
      </c>
      <c r="Y93" s="352">
        <f t="shared" si="31"/>
        <v>323.57668583482899</v>
      </c>
      <c r="Z93" s="372">
        <v>243.29789299999999</v>
      </c>
      <c r="AA93" s="352">
        <v>253.71766500000001</v>
      </c>
      <c r="AB93" s="352">
        <f t="shared" si="32"/>
        <v>10.419772000000023</v>
      </c>
      <c r="AC93" s="371">
        <f t="shared" si="33"/>
        <v>3.0818969752418237</v>
      </c>
      <c r="AD93" s="372">
        <v>-0.9</v>
      </c>
      <c r="AE93" s="352">
        <v>-1.0900000000000001</v>
      </c>
      <c r="AF93" s="352">
        <f t="shared" si="34"/>
        <v>-0.19000000000000006</v>
      </c>
      <c r="AG93" s="371">
        <f t="shared" si="35"/>
        <v>-5.61970478140928E-2</v>
      </c>
      <c r="AH93" s="372">
        <v>0</v>
      </c>
      <c r="AI93" s="352">
        <v>0</v>
      </c>
      <c r="AJ93" s="352">
        <f t="shared" si="36"/>
        <v>0</v>
      </c>
      <c r="AK93" s="371">
        <f t="shared" si="37"/>
        <v>0</v>
      </c>
      <c r="AL93" s="372">
        <v>0</v>
      </c>
      <c r="AM93" s="352">
        <v>0</v>
      </c>
      <c r="AN93" s="352">
        <f t="shared" si="38"/>
        <v>0</v>
      </c>
      <c r="AO93" s="371">
        <f t="shared" si="39"/>
        <v>0</v>
      </c>
      <c r="AP93" s="341">
        <v>65</v>
      </c>
      <c r="AQ93" s="341">
        <v>63.1</v>
      </c>
      <c r="AR93" s="341">
        <f t="shared" si="40"/>
        <v>-1.8999999999999986</v>
      </c>
      <c r="AS93" s="526">
        <v>9.6999999999999993</v>
      </c>
      <c r="AT93" s="383">
        <v>10</v>
      </c>
      <c r="AU93" s="383">
        <f t="shared" si="41"/>
        <v>0.30000000000000071</v>
      </c>
      <c r="AV93" s="341"/>
      <c r="AW93" s="341"/>
      <c r="AX93" s="341"/>
      <c r="AY93" s="341"/>
      <c r="AZ93" s="362" t="s">
        <v>686</v>
      </c>
      <c r="BA93" s="550">
        <v>16572.428620760002</v>
      </c>
      <c r="BB93" s="550">
        <v>18.845594699999999</v>
      </c>
      <c r="BC93" s="550">
        <v>1328.2183663999999</v>
      </c>
      <c r="BD93" s="550">
        <v>1117.5999999999999</v>
      </c>
      <c r="BE93" s="550">
        <v>4.9859550500000003</v>
      </c>
      <c r="BF93" s="550">
        <v>4.7083666700000002</v>
      </c>
      <c r="BG93" s="550">
        <v>-1.09300734</v>
      </c>
      <c r="BH93" s="550">
        <v>3.3809709699999999</v>
      </c>
      <c r="BI93" s="550">
        <v>3.4183336099999999</v>
      </c>
      <c r="BJ93" s="550">
        <v>6.5995614800000002</v>
      </c>
      <c r="BK93" s="550">
        <v>5.8956405600000004</v>
      </c>
      <c r="BL93" s="550">
        <v>0.46820610000000001</v>
      </c>
      <c r="BM93" s="550"/>
      <c r="BN93" s="550"/>
      <c r="BO93" s="550"/>
      <c r="BP93" s="550"/>
      <c r="BQ93" s="550"/>
      <c r="BR93" s="550"/>
      <c r="BS93" s="550"/>
    </row>
    <row r="94" spans="1:71" s="577" customFormat="1" ht="15" customHeight="1" x14ac:dyDescent="0.2">
      <c r="A94" s="404">
        <v>62008008</v>
      </c>
      <c r="B94" s="403" t="s">
        <v>679</v>
      </c>
      <c r="C94" s="403" t="s">
        <v>776</v>
      </c>
      <c r="D94" s="402" t="s">
        <v>751</v>
      </c>
      <c r="E94" s="346" t="s">
        <v>752</v>
      </c>
      <c r="F94" s="346" t="str">
        <f t="shared" si="28"/>
        <v>08/04/20</v>
      </c>
      <c r="G94" s="362" t="s">
        <v>753</v>
      </c>
      <c r="H94" s="362" t="s">
        <v>685</v>
      </c>
      <c r="I94" s="370"/>
      <c r="J94" s="363">
        <v>24.496578</v>
      </c>
      <c r="K94" s="363">
        <v>39.582039000000002</v>
      </c>
      <c r="L94" s="363">
        <v>29.368494999999999</v>
      </c>
      <c r="M94" s="363">
        <v>32.370562999999997</v>
      </c>
      <c r="N94" s="347">
        <v>4250</v>
      </c>
      <c r="O94" s="347">
        <v>30.36</v>
      </c>
      <c r="P94" s="347">
        <v>0.3201</v>
      </c>
      <c r="Q94" s="347">
        <v>1.9560000000000001E-2</v>
      </c>
      <c r="R94" s="348">
        <v>3.3733106799999999</v>
      </c>
      <c r="S94" s="348">
        <f t="shared" si="29"/>
        <v>6.7542711999999998</v>
      </c>
      <c r="T94" s="380">
        <v>63.1</v>
      </c>
      <c r="U94" s="380">
        <v>59.9</v>
      </c>
      <c r="V94" s="352">
        <v>22309</v>
      </c>
      <c r="W94" s="352">
        <v>24247</v>
      </c>
      <c r="X94" s="352">
        <f t="shared" si="30"/>
        <v>1938</v>
      </c>
      <c r="Y94" s="352">
        <f t="shared" si="31"/>
        <v>574.50978692540707</v>
      </c>
      <c r="Z94" s="372">
        <v>254.967592</v>
      </c>
      <c r="AA94" s="352">
        <v>265.24763899999999</v>
      </c>
      <c r="AB94" s="352">
        <f t="shared" si="32"/>
        <v>10.280046999999996</v>
      </c>
      <c r="AC94" s="371">
        <f t="shared" si="33"/>
        <v>3.0474652278396119</v>
      </c>
      <c r="AD94" s="372">
        <v>-1.1100000000000001</v>
      </c>
      <c r="AE94" s="352">
        <v>-1.26</v>
      </c>
      <c r="AF94" s="352">
        <f t="shared" si="34"/>
        <v>-0.14999999999999991</v>
      </c>
      <c r="AG94" s="371">
        <f t="shared" si="35"/>
        <v>-4.4466701774412289E-2</v>
      </c>
      <c r="AH94" s="372">
        <v>0</v>
      </c>
      <c r="AI94" s="352">
        <v>0</v>
      </c>
      <c r="AJ94" s="352">
        <f t="shared" si="36"/>
        <v>0</v>
      </c>
      <c r="AK94" s="371">
        <f t="shared" si="37"/>
        <v>0</v>
      </c>
      <c r="AL94" s="372">
        <v>0</v>
      </c>
      <c r="AM94" s="352">
        <v>0</v>
      </c>
      <c r="AN94" s="352">
        <f t="shared" si="38"/>
        <v>0</v>
      </c>
      <c r="AO94" s="371">
        <f t="shared" si="39"/>
        <v>0</v>
      </c>
      <c r="AP94" s="341">
        <v>63.1</v>
      </c>
      <c r="AQ94" s="341">
        <v>59.9</v>
      </c>
      <c r="AR94" s="341">
        <f t="shared" si="40"/>
        <v>-3.2000000000000028</v>
      </c>
      <c r="AS94" s="526">
        <v>10.075925</v>
      </c>
      <c r="AT94" s="383">
        <v>10.4</v>
      </c>
      <c r="AU94" s="383">
        <f t="shared" si="41"/>
        <v>0.32407500000000056</v>
      </c>
      <c r="AV94" s="341"/>
      <c r="AW94" s="341"/>
      <c r="AX94" s="341"/>
      <c r="AY94" s="341"/>
      <c r="AZ94" s="362" t="s">
        <v>686</v>
      </c>
      <c r="BA94" s="550">
        <v>16528.893025320001</v>
      </c>
      <c r="BB94" s="550">
        <v>21.841149340000001</v>
      </c>
      <c r="BC94" s="550">
        <v>1361.6966850700001</v>
      </c>
      <c r="BD94" s="550">
        <v>1117.5999999999999</v>
      </c>
      <c r="BE94" s="550">
        <v>5.0755536599999997</v>
      </c>
      <c r="BF94" s="550">
        <v>4.7083176399999997</v>
      </c>
      <c r="BG94" s="550">
        <v>-1.3167498500000001</v>
      </c>
      <c r="BH94" s="550">
        <v>3.3733236</v>
      </c>
      <c r="BI94" s="550">
        <v>3.4183345100000002</v>
      </c>
      <c r="BJ94" s="550">
        <v>8.4568661800000005</v>
      </c>
      <c r="BK94" s="550">
        <v>7.7997289700000003</v>
      </c>
      <c r="BL94" s="550">
        <v>0.46821097</v>
      </c>
      <c r="BM94" s="550"/>
      <c r="BN94" s="550"/>
      <c r="BO94" s="550"/>
      <c r="BP94" s="550"/>
      <c r="BQ94" s="550"/>
      <c r="BR94" s="550"/>
      <c r="BS94" s="550"/>
    </row>
    <row r="95" spans="1:71" s="577" customFormat="1" ht="15" customHeight="1" x14ac:dyDescent="0.2">
      <c r="A95" s="404">
        <v>62008008</v>
      </c>
      <c r="B95" s="403" t="s">
        <v>679</v>
      </c>
      <c r="C95" s="403" t="s">
        <v>777</v>
      </c>
      <c r="D95" s="402" t="s">
        <v>751</v>
      </c>
      <c r="E95" s="346" t="s">
        <v>752</v>
      </c>
      <c r="F95" s="346" t="str">
        <f t="shared" si="28"/>
        <v>08/04/20</v>
      </c>
      <c r="G95" s="362" t="s">
        <v>753</v>
      </c>
      <c r="H95" s="362" t="s">
        <v>685</v>
      </c>
      <c r="I95" s="370"/>
      <c r="J95" s="363">
        <v>24.327072999999999</v>
      </c>
      <c r="K95" s="363">
        <v>40.096409000000001</v>
      </c>
      <c r="L95" s="363">
        <v>29.365269000000001</v>
      </c>
      <c r="M95" s="363">
        <v>32.911966</v>
      </c>
      <c r="N95" s="347">
        <v>4250</v>
      </c>
      <c r="O95" s="347">
        <v>30.36</v>
      </c>
      <c r="P95" s="347">
        <v>0.3201</v>
      </c>
      <c r="Q95" s="347">
        <v>1.9560000000000001E-2</v>
      </c>
      <c r="R95" s="348">
        <v>3.3683062100000001</v>
      </c>
      <c r="S95" s="348">
        <f t="shared" si="29"/>
        <v>6.7416168899999995</v>
      </c>
      <c r="T95" s="380">
        <v>59.9</v>
      </c>
      <c r="U95" s="380">
        <v>55.7</v>
      </c>
      <c r="V95" s="352">
        <v>24249</v>
      </c>
      <c r="W95" s="352">
        <v>26717</v>
      </c>
      <c r="X95" s="352">
        <f t="shared" si="30"/>
        <v>2468</v>
      </c>
      <c r="Y95" s="352">
        <f t="shared" si="31"/>
        <v>732.71248103063647</v>
      </c>
      <c r="Z95" s="372">
        <v>266.52999999999997</v>
      </c>
      <c r="AA95" s="352">
        <v>276.82</v>
      </c>
      <c r="AB95" s="352">
        <f t="shared" si="32"/>
        <v>10.29000000000002</v>
      </c>
      <c r="AC95" s="371">
        <f t="shared" si="33"/>
        <v>3.0549479051074813</v>
      </c>
      <c r="AD95" s="372">
        <v>-1.28</v>
      </c>
      <c r="AE95" s="352">
        <v>-1.42</v>
      </c>
      <c r="AF95" s="352">
        <f t="shared" si="34"/>
        <v>-0.1399999999999999</v>
      </c>
      <c r="AG95" s="371">
        <f t="shared" si="35"/>
        <v>-4.1563917076292152E-2</v>
      </c>
      <c r="AH95" s="372">
        <v>0</v>
      </c>
      <c r="AI95" s="352">
        <v>0</v>
      </c>
      <c r="AJ95" s="352">
        <f t="shared" si="36"/>
        <v>0</v>
      </c>
      <c r="AK95" s="371">
        <f t="shared" si="37"/>
        <v>0</v>
      </c>
      <c r="AL95" s="372">
        <v>0</v>
      </c>
      <c r="AM95" s="352">
        <v>0</v>
      </c>
      <c r="AN95" s="352">
        <f t="shared" si="38"/>
        <v>0</v>
      </c>
      <c r="AO95" s="371">
        <f t="shared" si="39"/>
        <v>0</v>
      </c>
      <c r="AP95" s="341">
        <v>59.9</v>
      </c>
      <c r="AQ95" s="341">
        <v>55.7</v>
      </c>
      <c r="AR95" s="341">
        <f t="shared" si="40"/>
        <v>-4.1999999999999957</v>
      </c>
      <c r="AS95" s="526">
        <v>10.4</v>
      </c>
      <c r="AT95" s="383">
        <v>10.8</v>
      </c>
      <c r="AU95" s="383">
        <f t="shared" si="41"/>
        <v>0.40000000000000036</v>
      </c>
      <c r="AV95" s="341"/>
      <c r="AW95" s="341"/>
      <c r="AX95" s="341"/>
      <c r="AY95" s="341"/>
      <c r="AZ95" s="362" t="s">
        <v>686</v>
      </c>
      <c r="BA95" s="550">
        <v>16585.89662449</v>
      </c>
      <c r="BB95" s="550">
        <v>18.745640210000001</v>
      </c>
      <c r="BC95" s="550">
        <v>1327.1012750100001</v>
      </c>
      <c r="BD95" s="550">
        <v>1117.5999999999999</v>
      </c>
      <c r="BE95" s="550">
        <v>4.9390491799999996</v>
      </c>
      <c r="BF95" s="550">
        <v>4.7082685800000004</v>
      </c>
      <c r="BG95" s="550">
        <v>-1.4628792799999999</v>
      </c>
      <c r="BH95" s="550">
        <v>3.3683270200000002</v>
      </c>
      <c r="BI95" s="550">
        <v>3.4183331099999998</v>
      </c>
      <c r="BJ95" s="550">
        <v>6.0670966399999999</v>
      </c>
      <c r="BK95" s="550">
        <v>4.9016023100000004</v>
      </c>
      <c r="BL95" s="550">
        <v>0.46821584999999999</v>
      </c>
      <c r="BM95" s="550"/>
      <c r="BN95" s="550"/>
      <c r="BO95" s="550"/>
      <c r="BP95" s="550"/>
      <c r="BQ95" s="550"/>
      <c r="BR95" s="550"/>
      <c r="BS95" s="550"/>
    </row>
    <row r="96" spans="1:71" s="577" customFormat="1" ht="15" customHeight="1" x14ac:dyDescent="0.2">
      <c r="A96" s="404">
        <v>62008009</v>
      </c>
      <c r="B96" s="449" t="s">
        <v>680</v>
      </c>
      <c r="C96" s="403" t="s">
        <v>773</v>
      </c>
      <c r="D96" s="402" t="s">
        <v>754</v>
      </c>
      <c r="E96" s="346" t="s">
        <v>755</v>
      </c>
      <c r="F96" s="346" t="str">
        <f t="shared" si="28"/>
        <v>08/04/20</v>
      </c>
      <c r="G96" s="362" t="s">
        <v>756</v>
      </c>
      <c r="H96" s="362" t="s">
        <v>685</v>
      </c>
      <c r="I96" s="370"/>
      <c r="J96" s="363">
        <v>21.717538999999999</v>
      </c>
      <c r="K96" s="363">
        <v>47.850563999999999</v>
      </c>
      <c r="L96" s="363">
        <v>29.353363000000002</v>
      </c>
      <c r="M96" s="363">
        <v>31.130009999999999</v>
      </c>
      <c r="N96" s="347">
        <v>4250</v>
      </c>
      <c r="O96" s="347">
        <v>30.36</v>
      </c>
      <c r="P96" s="347">
        <v>0.3201</v>
      </c>
      <c r="Q96" s="347">
        <v>1.9560000000000001E-2</v>
      </c>
      <c r="R96" s="348">
        <v>7.7156085299999999</v>
      </c>
      <c r="S96" s="348">
        <f t="shared" si="29"/>
        <v>11.083914740000001</v>
      </c>
      <c r="T96" s="380">
        <v>55.7</v>
      </c>
      <c r="U96" s="380">
        <v>52.1</v>
      </c>
      <c r="V96" s="352">
        <v>26721</v>
      </c>
      <c r="W96" s="352">
        <v>28833</v>
      </c>
      <c r="X96" s="352">
        <f t="shared" si="30"/>
        <v>2112</v>
      </c>
      <c r="Y96" s="352">
        <f t="shared" si="31"/>
        <v>273.73083947793293</v>
      </c>
      <c r="Z96" s="372">
        <v>279.717399</v>
      </c>
      <c r="AA96" s="352">
        <v>316.21687500000002</v>
      </c>
      <c r="AB96" s="352">
        <f t="shared" si="32"/>
        <v>36.499476000000016</v>
      </c>
      <c r="AC96" s="371">
        <f t="shared" si="33"/>
        <v>4.730602370257893</v>
      </c>
      <c r="AD96" s="372">
        <v>-0.5</v>
      </c>
      <c r="AE96" s="352">
        <v>-1.43</v>
      </c>
      <c r="AF96" s="352">
        <f t="shared" si="34"/>
        <v>-0.92999999999999994</v>
      </c>
      <c r="AG96" s="371">
        <f t="shared" si="35"/>
        <v>-0.12053488670193069</v>
      </c>
      <c r="AH96" s="372">
        <v>0</v>
      </c>
      <c r="AI96" s="352">
        <v>0</v>
      </c>
      <c r="AJ96" s="352">
        <f t="shared" si="36"/>
        <v>0</v>
      </c>
      <c r="AK96" s="371">
        <f t="shared" si="37"/>
        <v>0</v>
      </c>
      <c r="AL96" s="372">
        <v>0</v>
      </c>
      <c r="AM96" s="352">
        <v>0</v>
      </c>
      <c r="AN96" s="352">
        <f t="shared" si="38"/>
        <v>0</v>
      </c>
      <c r="AO96" s="371">
        <f t="shared" si="39"/>
        <v>0</v>
      </c>
      <c r="AP96" s="341">
        <v>55.7</v>
      </c>
      <c r="AQ96" s="341">
        <v>52.1</v>
      </c>
      <c r="AR96" s="341">
        <f t="shared" si="40"/>
        <v>-3.6000000000000014</v>
      </c>
      <c r="AS96" s="526">
        <v>11.2</v>
      </c>
      <c r="AT96" s="383">
        <v>12.4</v>
      </c>
      <c r="AU96" s="383">
        <f t="shared" si="41"/>
        <v>1.2000000000000011</v>
      </c>
      <c r="AV96" s="341"/>
      <c r="AW96" s="341"/>
      <c r="AX96" s="341"/>
      <c r="AY96" s="341"/>
      <c r="AZ96" s="362" t="s">
        <v>686</v>
      </c>
      <c r="BA96" s="550">
        <v>1722.73189604</v>
      </c>
      <c r="BB96" s="550">
        <v>-1.4629308299999999</v>
      </c>
      <c r="BC96" s="550">
        <v>5143.4163778299999</v>
      </c>
      <c r="BD96" s="550">
        <v>5219.7781213199996</v>
      </c>
      <c r="BE96" s="550">
        <v>9.63554332</v>
      </c>
      <c r="BF96" s="550">
        <v>9.7507129300000006</v>
      </c>
      <c r="BG96" s="550">
        <v>-0.21648315000000001</v>
      </c>
      <c r="BH96" s="550">
        <v>7.7155987399999999</v>
      </c>
      <c r="BI96" s="550">
        <v>7.7323379499999998</v>
      </c>
      <c r="BJ96" s="550">
        <v>-0.97618742999999997</v>
      </c>
      <c r="BK96" s="550">
        <v>-1.1811404299999999</v>
      </c>
      <c r="BL96" s="550">
        <v>0.68546530000000006</v>
      </c>
      <c r="BM96" s="550"/>
      <c r="BN96" s="550"/>
      <c r="BO96" s="550"/>
      <c r="BP96" s="550"/>
      <c r="BQ96" s="550"/>
      <c r="BR96" s="550"/>
      <c r="BS96" s="550"/>
    </row>
    <row r="97" spans="1:71" s="577" customFormat="1" ht="15" customHeight="1" x14ac:dyDescent="0.2">
      <c r="A97" s="404">
        <v>62008010</v>
      </c>
      <c r="B97" s="403" t="s">
        <v>681</v>
      </c>
      <c r="C97" s="403" t="s">
        <v>773</v>
      </c>
      <c r="D97" s="402" t="s">
        <v>743</v>
      </c>
      <c r="E97" s="346" t="s">
        <v>757</v>
      </c>
      <c r="F97" s="346" t="str">
        <f t="shared" si="28"/>
        <v>08/04/20</v>
      </c>
      <c r="G97" s="362" t="s">
        <v>758</v>
      </c>
      <c r="H97" s="362" t="s">
        <v>759</v>
      </c>
      <c r="I97" s="370"/>
      <c r="J97" s="363">
        <v>22.423736999999999</v>
      </c>
      <c r="K97" s="363">
        <v>47.721172000000003</v>
      </c>
      <c r="L97" s="363">
        <v>29.355232999999998</v>
      </c>
      <c r="M97" s="363">
        <v>33.629525999999998</v>
      </c>
      <c r="N97" s="347">
        <v>4250</v>
      </c>
      <c r="O97" s="347">
        <v>30.36</v>
      </c>
      <c r="P97" s="347">
        <v>0.3201</v>
      </c>
      <c r="Q97" s="347">
        <v>1.9560000000000001E-2</v>
      </c>
      <c r="R97" s="348">
        <v>9.2203406300000008</v>
      </c>
      <c r="S97" s="348">
        <f t="shared" si="29"/>
        <v>16.93594916</v>
      </c>
      <c r="T97" s="380">
        <v>52.1</v>
      </c>
      <c r="U97" s="380">
        <v>44.8</v>
      </c>
      <c r="V97" s="352">
        <v>28839</v>
      </c>
      <c r="W97" s="352">
        <v>32976</v>
      </c>
      <c r="X97" s="352">
        <f t="shared" si="30"/>
        <v>4137</v>
      </c>
      <c r="Y97" s="352">
        <f t="shared" si="31"/>
        <v>448.68190514996189</v>
      </c>
      <c r="Z97" s="372">
        <v>320.52999999999997</v>
      </c>
      <c r="AA97" s="352">
        <v>367.72</v>
      </c>
      <c r="AB97" s="352">
        <f t="shared" si="32"/>
        <v>47.190000000000055</v>
      </c>
      <c r="AC97" s="371">
        <f t="shared" si="33"/>
        <v>5.1180321740456192</v>
      </c>
      <c r="AD97" s="372">
        <v>-0.81</v>
      </c>
      <c r="AE97" s="352">
        <v>-1.44</v>
      </c>
      <c r="AF97" s="352">
        <f t="shared" si="34"/>
        <v>-0.62999999999999989</v>
      </c>
      <c r="AG97" s="371">
        <f t="shared" si="35"/>
        <v>-6.8327193677659159E-2</v>
      </c>
      <c r="AH97" s="372">
        <v>0</v>
      </c>
      <c r="AI97" s="352">
        <v>0</v>
      </c>
      <c r="AJ97" s="352">
        <f t="shared" si="36"/>
        <v>0</v>
      </c>
      <c r="AK97" s="371">
        <f t="shared" si="37"/>
        <v>0</v>
      </c>
      <c r="AL97" s="372">
        <v>0</v>
      </c>
      <c r="AM97" s="352">
        <v>0</v>
      </c>
      <c r="AN97" s="352">
        <f t="shared" si="38"/>
        <v>0</v>
      </c>
      <c r="AO97" s="371">
        <f t="shared" si="39"/>
        <v>0</v>
      </c>
      <c r="AP97" s="341">
        <v>52.1</v>
      </c>
      <c r="AQ97" s="341">
        <v>44.8</v>
      </c>
      <c r="AR97" s="341">
        <f t="shared" si="40"/>
        <v>-7.3000000000000043</v>
      </c>
      <c r="AS97" s="526">
        <v>12.9</v>
      </c>
      <c r="AT97" s="383">
        <v>14.5</v>
      </c>
      <c r="AU97" s="383">
        <f t="shared" si="41"/>
        <v>1.5999999999999996</v>
      </c>
      <c r="AV97" s="341"/>
      <c r="AW97" s="341"/>
      <c r="AX97" s="341"/>
      <c r="AY97" s="341"/>
      <c r="AZ97" s="362" t="s">
        <v>760</v>
      </c>
      <c r="BA97" s="550">
        <v>0</v>
      </c>
      <c r="BB97" s="550" t="s">
        <v>747</v>
      </c>
      <c r="BC97" s="550">
        <v>8165.6107277900001</v>
      </c>
      <c r="BD97" s="550">
        <v>0</v>
      </c>
      <c r="BE97" s="550">
        <v>19.020128790000001</v>
      </c>
      <c r="BF97" s="550">
        <v>0</v>
      </c>
      <c r="BG97" s="550" t="s">
        <v>747</v>
      </c>
      <c r="BH97" s="550">
        <v>9.2199980999999998</v>
      </c>
      <c r="BI97" s="550">
        <v>0</v>
      </c>
      <c r="BJ97" s="550" t="s">
        <v>691</v>
      </c>
      <c r="BK97" s="550" t="s">
        <v>747</v>
      </c>
      <c r="BL97" s="550" t="s">
        <v>691</v>
      </c>
      <c r="BM97" s="550"/>
      <c r="BN97" s="550"/>
      <c r="BO97" s="550"/>
      <c r="BP97" s="550"/>
      <c r="BQ97" s="550"/>
      <c r="BR97" s="550"/>
      <c r="BS97" s="550"/>
    </row>
    <row r="98" spans="1:71" s="577" customFormat="1" ht="15" customHeight="1" x14ac:dyDescent="0.2">
      <c r="A98" s="404">
        <v>62008011</v>
      </c>
      <c r="B98" s="403" t="s">
        <v>677</v>
      </c>
      <c r="C98" s="403" t="s">
        <v>773</v>
      </c>
      <c r="D98" s="402" t="s">
        <v>761</v>
      </c>
      <c r="E98" s="346" t="s">
        <v>762</v>
      </c>
      <c r="F98" s="346" t="str">
        <f t="shared" si="28"/>
        <v>08/04/20</v>
      </c>
      <c r="G98" s="362" t="s">
        <v>763</v>
      </c>
      <c r="H98" s="362" t="s">
        <v>764</v>
      </c>
      <c r="I98" s="370"/>
      <c r="J98" s="363">
        <v>25.366935000000002</v>
      </c>
      <c r="K98" s="363">
        <v>36.930756000000002</v>
      </c>
      <c r="L98" s="363">
        <v>29.364225999999999</v>
      </c>
      <c r="M98" s="363">
        <v>31.440245999999998</v>
      </c>
      <c r="N98" s="347">
        <v>4250</v>
      </c>
      <c r="O98" s="347">
        <v>30.36</v>
      </c>
      <c r="P98" s="347">
        <v>0.3201</v>
      </c>
      <c r="Q98" s="347">
        <v>1.9560000000000001E-2</v>
      </c>
      <c r="R98" s="348">
        <v>9.1701210300000007</v>
      </c>
      <c r="S98" s="348">
        <f t="shared" si="29"/>
        <v>18.39046166</v>
      </c>
      <c r="T98" s="380">
        <v>44.3</v>
      </c>
      <c r="U98" s="380">
        <v>40.799999999999997</v>
      </c>
      <c r="V98" s="352">
        <v>33294.618404000001</v>
      </c>
      <c r="W98" s="352">
        <v>35399</v>
      </c>
      <c r="X98" s="352">
        <f t="shared" si="30"/>
        <v>2104.3815959999993</v>
      </c>
      <c r="Y98" s="352">
        <f t="shared" si="31"/>
        <v>229.48242330886652</v>
      </c>
      <c r="Z98" s="372">
        <v>373.7</v>
      </c>
      <c r="AA98" s="352">
        <v>398.68</v>
      </c>
      <c r="AB98" s="352">
        <f t="shared" si="32"/>
        <v>24.980000000000018</v>
      </c>
      <c r="AC98" s="371">
        <f t="shared" si="33"/>
        <v>2.7240643736629084</v>
      </c>
      <c r="AD98" s="372">
        <v>-0.47381600000000001</v>
      </c>
      <c r="AE98" s="352">
        <v>-1</v>
      </c>
      <c r="AF98" s="352">
        <f t="shared" si="34"/>
        <v>-0.52618399999999999</v>
      </c>
      <c r="AG98" s="371">
        <f t="shared" si="35"/>
        <v>-5.7380267749857598E-2</v>
      </c>
      <c r="AH98" s="372">
        <v>0</v>
      </c>
      <c r="AI98" s="352">
        <v>0</v>
      </c>
      <c r="AJ98" s="352">
        <f t="shared" si="36"/>
        <v>0</v>
      </c>
      <c r="AK98" s="371">
        <f t="shared" si="37"/>
        <v>0</v>
      </c>
      <c r="AL98" s="372">
        <v>-0.05</v>
      </c>
      <c r="AM98" s="352">
        <v>-0.05</v>
      </c>
      <c r="AN98" s="352">
        <f t="shared" si="38"/>
        <v>0</v>
      </c>
      <c r="AO98" s="371">
        <f t="shared" si="39"/>
        <v>0</v>
      </c>
      <c r="AP98" s="341">
        <v>44.3</v>
      </c>
      <c r="AQ98" s="341">
        <v>40.799999999999997</v>
      </c>
      <c r="AR98" s="341">
        <f t="shared" si="40"/>
        <v>-3.5</v>
      </c>
      <c r="AS98" s="526">
        <v>15.2</v>
      </c>
      <c r="AT98" s="383">
        <v>16.100000000000001</v>
      </c>
      <c r="AU98" s="383">
        <f t="shared" si="41"/>
        <v>0.90000000000000213</v>
      </c>
      <c r="AV98" s="341"/>
      <c r="AW98" s="341"/>
      <c r="AX98" s="341"/>
      <c r="AY98" s="341"/>
      <c r="AZ98" s="362" t="s">
        <v>686</v>
      </c>
      <c r="BA98" s="550">
        <v>7878.5162028300001</v>
      </c>
      <c r="BB98" s="550">
        <v>4.9707594000000004</v>
      </c>
      <c r="BC98" s="550">
        <v>516.18741110999997</v>
      </c>
      <c r="BD98" s="550">
        <v>491.74400000000003</v>
      </c>
      <c r="BE98" s="550">
        <v>7.6042115700000004</v>
      </c>
      <c r="BF98" s="550">
        <v>7.6248606299999997</v>
      </c>
      <c r="BG98" s="550">
        <v>-0.11090941999999999</v>
      </c>
      <c r="BH98" s="550">
        <v>9.1677916600000007</v>
      </c>
      <c r="BI98" s="550">
        <v>9.1779709</v>
      </c>
      <c r="BJ98" s="550">
        <v>-0.16033703999999999</v>
      </c>
      <c r="BK98" s="550">
        <v>-0.27081224999999998</v>
      </c>
      <c r="BL98" s="550">
        <v>7.7568300000000007E-2</v>
      </c>
      <c r="BM98" s="550"/>
      <c r="BN98" s="550"/>
      <c r="BO98" s="550"/>
      <c r="BP98" s="550"/>
      <c r="BQ98" s="550"/>
      <c r="BR98" s="550"/>
      <c r="BS98" s="550"/>
    </row>
    <row r="99" spans="1:71" s="548" customFormat="1" ht="15" customHeight="1" x14ac:dyDescent="0.2">
      <c r="A99" s="576" t="s">
        <v>852</v>
      </c>
      <c r="B99" s="435"/>
      <c r="C99" s="436"/>
      <c r="D99" s="436"/>
      <c r="E99" s="436"/>
      <c r="F99" s="436"/>
      <c r="G99" s="436"/>
      <c r="H99" s="435"/>
      <c r="I99" s="435"/>
      <c r="J99" s="446"/>
      <c r="K99" s="447"/>
      <c r="L99" s="435"/>
      <c r="M99" s="435"/>
      <c r="N99" s="435"/>
      <c r="O99" s="435"/>
      <c r="P99" s="435"/>
      <c r="Q99" s="435"/>
      <c r="R99" s="435"/>
      <c r="S99" s="435"/>
      <c r="T99" s="435"/>
      <c r="U99" s="435"/>
      <c r="V99" s="435"/>
      <c r="W99" s="435"/>
      <c r="X99" s="435"/>
      <c r="Y99" s="435"/>
      <c r="Z99" s="435"/>
      <c r="AA99" s="435"/>
      <c r="AB99" s="435"/>
      <c r="AC99" s="435"/>
      <c r="AD99" s="435"/>
      <c r="AE99" s="435"/>
      <c r="AF99" s="435"/>
      <c r="AG99" s="435"/>
      <c r="AH99" s="435"/>
      <c r="AI99" s="435"/>
      <c r="AJ99" s="435"/>
      <c r="AK99" s="435"/>
      <c r="AL99" s="435"/>
      <c r="AM99" s="435"/>
      <c r="AN99" s="435"/>
      <c r="AO99" s="435"/>
      <c r="AP99" s="435"/>
      <c r="AQ99" s="435"/>
      <c r="AR99" s="435"/>
      <c r="AS99" s="435"/>
      <c r="AT99" s="435"/>
      <c r="AU99" s="435"/>
      <c r="AV99" s="435"/>
      <c r="AW99" s="435"/>
      <c r="AX99" s="435"/>
      <c r="AY99" s="435"/>
      <c r="AZ99" s="435"/>
      <c r="BA99" s="435"/>
      <c r="BB99" s="435"/>
      <c r="BC99" s="435"/>
      <c r="BD99" s="435"/>
      <c r="BE99" s="435"/>
      <c r="BF99" s="448"/>
      <c r="BG99" s="435"/>
      <c r="BH99" s="435"/>
      <c r="BI99" s="435"/>
      <c r="BJ99" s="435"/>
      <c r="BK99" s="435"/>
      <c r="BL99" s="435"/>
      <c r="BM99" s="435"/>
      <c r="BN99" s="435"/>
      <c r="BO99" s="435"/>
      <c r="BP99" s="435"/>
      <c r="BQ99" s="435"/>
      <c r="BR99" s="439"/>
      <c r="BS99" s="578"/>
    </row>
    <row r="100" spans="1:71" s="577" customFormat="1" ht="15" customHeight="1" x14ac:dyDescent="0.2">
      <c r="A100" s="403">
        <v>62008012</v>
      </c>
      <c r="B100" s="403" t="s">
        <v>627</v>
      </c>
      <c r="C100" s="403" t="s">
        <v>773</v>
      </c>
      <c r="D100" s="402" t="s">
        <v>718</v>
      </c>
      <c r="E100" s="346" t="s">
        <v>789</v>
      </c>
      <c r="F100" s="346" t="str">
        <f t="shared" si="28"/>
        <v>08/05/20</v>
      </c>
      <c r="G100" s="362" t="s">
        <v>790</v>
      </c>
      <c r="H100" s="362" t="s">
        <v>685</v>
      </c>
      <c r="I100" s="370"/>
      <c r="J100" s="363">
        <v>24.109041000000001</v>
      </c>
      <c r="K100" s="363">
        <v>40.323903000000001</v>
      </c>
      <c r="L100" s="363">
        <v>29.418085000000001</v>
      </c>
      <c r="M100" s="363">
        <v>25.430351999999999</v>
      </c>
      <c r="N100" s="347">
        <v>4250</v>
      </c>
      <c r="O100" s="347">
        <v>30.36</v>
      </c>
      <c r="P100" s="347">
        <v>0.3201</v>
      </c>
      <c r="Q100" s="347">
        <v>1.9560000000000001E-2</v>
      </c>
      <c r="R100" s="348">
        <v>3.5810081299999998</v>
      </c>
      <c r="S100" s="348">
        <f>R100+R99</f>
        <v>3.5810081299999998</v>
      </c>
      <c r="T100" s="380">
        <v>98.8</v>
      </c>
      <c r="U100" s="380">
        <v>97.2</v>
      </c>
      <c r="V100" s="352">
        <v>-1825</v>
      </c>
      <c r="W100" s="352">
        <v>-970</v>
      </c>
      <c r="X100" s="352">
        <f>W100-V100</f>
        <v>855</v>
      </c>
      <c r="Y100" s="352">
        <f t="shared" ref="Y100:Y127" si="42">X100/$R100</f>
        <v>238.75958081111645</v>
      </c>
      <c r="Z100" s="372">
        <v>1036.954346</v>
      </c>
      <c r="AA100" s="352">
        <v>1058.72</v>
      </c>
      <c r="AB100" s="352">
        <f>AA100-Z100</f>
        <v>21.76565400000004</v>
      </c>
      <c r="AC100" s="371">
        <f t="shared" ref="AC100:AC127" si="43">AB100/$R100</f>
        <v>6.0780800293798949</v>
      </c>
      <c r="AD100" s="372">
        <v>-7.56</v>
      </c>
      <c r="AE100" s="352">
        <v>-8.07</v>
      </c>
      <c r="AF100" s="352">
        <f>AE100-AD100</f>
        <v>-0.51000000000000068</v>
      </c>
      <c r="AG100" s="371">
        <f t="shared" ref="AG100:AG127" si="44">AF100/$R100</f>
        <v>-0.14241799557154333</v>
      </c>
      <c r="AH100" s="372">
        <v>0</v>
      </c>
      <c r="AI100" s="352">
        <v>0</v>
      </c>
      <c r="AJ100" s="352">
        <f>AI100-AH100</f>
        <v>0</v>
      </c>
      <c r="AK100" s="371">
        <f t="shared" ref="AK100:AK127" si="45">AJ100/$R100</f>
        <v>0</v>
      </c>
      <c r="AL100" s="372">
        <v>0</v>
      </c>
      <c r="AM100" s="352">
        <v>0</v>
      </c>
      <c r="AN100" s="352">
        <f>AM100-AL100</f>
        <v>0</v>
      </c>
      <c r="AO100" s="371">
        <f t="shared" ref="AO100:AO127" si="46">AN100/$R100</f>
        <v>0</v>
      </c>
      <c r="AP100" s="341">
        <v>98.8</v>
      </c>
      <c r="AQ100" s="341">
        <v>97.2</v>
      </c>
      <c r="AR100" s="341">
        <f>AQ100-AP100</f>
        <v>-1.5999999999999943</v>
      </c>
      <c r="AS100" s="526">
        <v>45795.7</v>
      </c>
      <c r="AT100" s="383">
        <v>45796.4</v>
      </c>
      <c r="AU100" s="383">
        <f>AT100-AS100</f>
        <v>0.70000000000436557</v>
      </c>
      <c r="AV100" s="341"/>
      <c r="AW100" s="341"/>
      <c r="AX100" s="341"/>
      <c r="AY100" s="341"/>
      <c r="AZ100" s="362" t="s">
        <v>686</v>
      </c>
      <c r="BA100" s="550">
        <v>2418.1796247500001</v>
      </c>
      <c r="BB100" s="550">
        <v>-2.12712616</v>
      </c>
      <c r="BC100" s="550">
        <v>2005.23767557</v>
      </c>
      <c r="BD100" s="550">
        <v>2048.8186325800002</v>
      </c>
      <c r="BE100" s="550">
        <v>3.2092491399999998</v>
      </c>
      <c r="BF100" s="550">
        <v>3.2585095499999999</v>
      </c>
      <c r="BG100" s="550">
        <v>-0.27952922000000002</v>
      </c>
      <c r="BH100" s="550">
        <v>3.5809425899999998</v>
      </c>
      <c r="BI100" s="550">
        <v>3.5909804300000001</v>
      </c>
      <c r="BJ100" s="550">
        <v>-1.2511314600000001</v>
      </c>
      <c r="BK100" s="550">
        <v>-1.51174674</v>
      </c>
      <c r="BL100" s="550">
        <v>0.59039096000000002</v>
      </c>
      <c r="BM100" s="550"/>
      <c r="BN100" s="550"/>
      <c r="BO100" s="550"/>
      <c r="BP100" s="550"/>
      <c r="BQ100" s="550"/>
      <c r="BR100" s="550"/>
      <c r="BS100" s="550"/>
    </row>
    <row r="101" spans="1:71" s="577" customFormat="1" ht="15" customHeight="1" x14ac:dyDescent="0.2">
      <c r="A101" s="403">
        <v>62008012</v>
      </c>
      <c r="B101" s="403" t="s">
        <v>628</v>
      </c>
      <c r="C101" s="403" t="s">
        <v>774</v>
      </c>
      <c r="D101" s="402" t="s">
        <v>718</v>
      </c>
      <c r="E101" s="346" t="s">
        <v>789</v>
      </c>
      <c r="F101" s="346" t="str">
        <f t="shared" si="28"/>
        <v>08/05/20</v>
      </c>
      <c r="G101" s="362" t="s">
        <v>790</v>
      </c>
      <c r="H101" s="362" t="s">
        <v>685</v>
      </c>
      <c r="I101" s="370"/>
      <c r="J101" s="363">
        <v>20.453296000000002</v>
      </c>
      <c r="K101" s="363">
        <v>50.365063999999997</v>
      </c>
      <c r="L101" s="363">
        <v>29.414292</v>
      </c>
      <c r="M101" s="363">
        <v>27.427696000000001</v>
      </c>
      <c r="N101" s="347">
        <v>4250</v>
      </c>
      <c r="O101" s="347">
        <v>30.36</v>
      </c>
      <c r="P101" s="347">
        <v>0.3201</v>
      </c>
      <c r="Q101" s="347">
        <v>1.9560000000000001E-2</v>
      </c>
      <c r="R101" s="348">
        <v>3.8437738600000002</v>
      </c>
      <c r="S101" s="348">
        <f>R101+R100</f>
        <v>7.4247819899999996</v>
      </c>
      <c r="T101" s="380">
        <v>97.2</v>
      </c>
      <c r="U101" s="380">
        <v>95.6</v>
      </c>
      <c r="V101" s="352">
        <v>-970</v>
      </c>
      <c r="W101" s="352">
        <v>-277</v>
      </c>
      <c r="X101" s="352">
        <f>W101-V101</f>
        <v>693</v>
      </c>
      <c r="Y101" s="352">
        <f t="shared" si="42"/>
        <v>180.29156377061162</v>
      </c>
      <c r="Z101" s="372">
        <v>1058.7244129999999</v>
      </c>
      <c r="AA101" s="352">
        <v>1095.57</v>
      </c>
      <c r="AB101" s="352">
        <f>AA101-Z101</f>
        <v>36.845587000000023</v>
      </c>
      <c r="AC101" s="371">
        <f t="shared" si="43"/>
        <v>9.5857842687967132</v>
      </c>
      <c r="AD101" s="372">
        <v>-8.07</v>
      </c>
      <c r="AE101" s="352">
        <v>-8.57</v>
      </c>
      <c r="AF101" s="352">
        <f>AE101-AD101</f>
        <v>-0.5</v>
      </c>
      <c r="AG101" s="371">
        <f t="shared" si="44"/>
        <v>-0.13008049334098962</v>
      </c>
      <c r="AH101" s="372">
        <v>0</v>
      </c>
      <c r="AI101" s="352">
        <v>0</v>
      </c>
      <c r="AJ101" s="352">
        <f>AI101-AH101</f>
        <v>0</v>
      </c>
      <c r="AK101" s="371">
        <f t="shared" si="45"/>
        <v>0</v>
      </c>
      <c r="AL101" s="372">
        <v>0</v>
      </c>
      <c r="AM101" s="352">
        <v>0</v>
      </c>
      <c r="AN101" s="352">
        <f>AM101-AL101</f>
        <v>0</v>
      </c>
      <c r="AO101" s="371">
        <f t="shared" si="46"/>
        <v>0</v>
      </c>
      <c r="AP101" s="341">
        <v>97.2</v>
      </c>
      <c r="AQ101" s="341">
        <v>95.6</v>
      </c>
      <c r="AR101" s="341">
        <f>AQ101-AP101</f>
        <v>-1.6000000000000085</v>
      </c>
      <c r="AS101" s="526">
        <v>45796.4</v>
      </c>
      <c r="AT101" s="383">
        <v>45797.599999999999</v>
      </c>
      <c r="AU101" s="383">
        <f>AT101-AS101</f>
        <v>1.1999999999970896</v>
      </c>
      <c r="AV101" s="341"/>
      <c r="AW101" s="341"/>
      <c r="AX101" s="341"/>
      <c r="AY101" s="341"/>
      <c r="AZ101" s="362" t="s">
        <v>686</v>
      </c>
      <c r="BA101" s="550">
        <v>1482.6464197</v>
      </c>
      <c r="BB101" s="550">
        <v>-2.1338055900000001</v>
      </c>
      <c r="BC101" s="550">
        <v>3343.2343366800001</v>
      </c>
      <c r="BD101" s="550">
        <v>3416.1278638499998</v>
      </c>
      <c r="BE101" s="550">
        <v>2.9545433999999999</v>
      </c>
      <c r="BF101" s="550">
        <v>3.0186206000000002</v>
      </c>
      <c r="BG101" s="550">
        <v>-0.42096801</v>
      </c>
      <c r="BH101" s="550">
        <v>3.84358149</v>
      </c>
      <c r="BI101" s="550">
        <v>3.8598301400000001</v>
      </c>
      <c r="BJ101" s="550">
        <v>-1.73867024</v>
      </c>
      <c r="BK101" s="550">
        <v>-2.1227309600000002</v>
      </c>
      <c r="BL101" s="550">
        <v>0.71450683000000004</v>
      </c>
      <c r="BM101" s="550"/>
      <c r="BN101" s="550"/>
      <c r="BO101" s="550"/>
      <c r="BP101" s="550"/>
      <c r="BQ101" s="550"/>
      <c r="BR101" s="550"/>
      <c r="BS101" s="550"/>
    </row>
    <row r="102" spans="1:71" s="577" customFormat="1" ht="15" customHeight="1" x14ac:dyDescent="0.2">
      <c r="A102" s="403">
        <v>62008012</v>
      </c>
      <c r="B102" s="403" t="s">
        <v>629</v>
      </c>
      <c r="C102" s="403" t="s">
        <v>775</v>
      </c>
      <c r="D102" s="402" t="s">
        <v>718</v>
      </c>
      <c r="E102" s="346" t="s">
        <v>789</v>
      </c>
      <c r="F102" s="346" t="str">
        <f t="shared" si="28"/>
        <v>08/05/20</v>
      </c>
      <c r="G102" s="362" t="s">
        <v>790</v>
      </c>
      <c r="H102" s="362" t="s">
        <v>685</v>
      </c>
      <c r="I102" s="370"/>
      <c r="J102" s="364">
        <f>AVERAGE(J100:J101)</f>
        <v>22.2811685</v>
      </c>
      <c r="K102" s="364">
        <f>AVERAGE(K100:K101)</f>
        <v>45.344483499999996</v>
      </c>
      <c r="L102" s="364">
        <f>AVERAGE(L100:L101)</f>
        <v>29.416188500000001</v>
      </c>
      <c r="M102" s="364">
        <f>AVERAGE(M100:M101)</f>
        <v>26.429023999999998</v>
      </c>
      <c r="N102" s="349"/>
      <c r="O102" s="347"/>
      <c r="P102" s="366"/>
      <c r="Q102" s="365"/>
      <c r="R102" s="350">
        <f>R101+R100</f>
        <v>7.4247819899999996</v>
      </c>
      <c r="S102" s="350">
        <f>S101</f>
        <v>7.4247819899999996</v>
      </c>
      <c r="T102" s="381">
        <f>T100</f>
        <v>98.8</v>
      </c>
      <c r="U102" s="381">
        <f>U101</f>
        <v>95.6</v>
      </c>
      <c r="V102" s="353">
        <f>V100</f>
        <v>-1825</v>
      </c>
      <c r="W102" s="353">
        <f>W101</f>
        <v>-277</v>
      </c>
      <c r="X102" s="353">
        <f>SUM(X100:X101)</f>
        <v>1548</v>
      </c>
      <c r="Y102" s="353">
        <f t="shared" si="42"/>
        <v>208.49097011668621</v>
      </c>
      <c r="Z102" s="353">
        <f>Z100</f>
        <v>1036.954346</v>
      </c>
      <c r="AA102" s="353">
        <f>AA101</f>
        <v>1095.57</v>
      </c>
      <c r="AB102" s="353">
        <f>SUM(AB100:AB101)</f>
        <v>58.611241000000064</v>
      </c>
      <c r="AC102" s="351">
        <f t="shared" si="43"/>
        <v>7.8940016122951597</v>
      </c>
      <c r="AD102" s="353">
        <f>AD100</f>
        <v>-7.56</v>
      </c>
      <c r="AE102" s="353">
        <f>AE101</f>
        <v>-8.57</v>
      </c>
      <c r="AF102" s="353">
        <f>SUM(AF100:AF101)</f>
        <v>-1.0100000000000007</v>
      </c>
      <c r="AG102" s="351">
        <f t="shared" si="44"/>
        <v>-0.13603093011489226</v>
      </c>
      <c r="AH102" s="353">
        <f>AH100</f>
        <v>0</v>
      </c>
      <c r="AI102" s="353">
        <f>AI101</f>
        <v>0</v>
      </c>
      <c r="AJ102" s="353">
        <f>SUM(AJ100:AJ101)</f>
        <v>0</v>
      </c>
      <c r="AK102" s="351">
        <f t="shared" si="45"/>
        <v>0</v>
      </c>
      <c r="AL102" s="353">
        <f>AL100</f>
        <v>0</v>
      </c>
      <c r="AM102" s="353">
        <f>AM101</f>
        <v>0</v>
      </c>
      <c r="AN102" s="353">
        <f>SUM(AN100:AN101)</f>
        <v>0</v>
      </c>
      <c r="AO102" s="351">
        <f t="shared" si="46"/>
        <v>0</v>
      </c>
      <c r="AP102" s="343"/>
      <c r="AQ102" s="343"/>
      <c r="AR102" s="343">
        <f>SUM(AR100:AR101)</f>
        <v>-3.2000000000000028</v>
      </c>
      <c r="AS102" s="384">
        <f>AS100</f>
        <v>45795.7</v>
      </c>
      <c r="AT102" s="384">
        <f>AT101</f>
        <v>45797.599999999999</v>
      </c>
      <c r="AU102" s="384">
        <f>SUM(AU100:AU101)</f>
        <v>1.9000000000014552</v>
      </c>
      <c r="AV102" s="343"/>
      <c r="AW102" s="343"/>
      <c r="AX102" s="343"/>
      <c r="AY102" s="343"/>
      <c r="AZ102" s="362" t="s">
        <v>686</v>
      </c>
      <c r="BA102" s="550"/>
      <c r="BB102" s="550"/>
      <c r="BC102" s="550"/>
      <c r="BD102" s="550"/>
      <c r="BE102" s="550"/>
      <c r="BF102" s="550"/>
      <c r="BG102" s="550"/>
      <c r="BH102" s="550"/>
      <c r="BI102" s="550"/>
      <c r="BJ102" s="550"/>
      <c r="BK102" s="550"/>
      <c r="BL102" s="550"/>
      <c r="BM102" s="550"/>
      <c r="BN102" s="550"/>
      <c r="BO102" s="550"/>
      <c r="BP102" s="550"/>
      <c r="BQ102" s="550"/>
      <c r="BR102" s="550"/>
      <c r="BS102" s="550"/>
    </row>
    <row r="103" spans="1:71" s="577" customFormat="1" ht="15" customHeight="1" x14ac:dyDescent="0.2">
      <c r="A103" s="403">
        <v>62008012</v>
      </c>
      <c r="B103" s="403" t="s">
        <v>630</v>
      </c>
      <c r="C103" s="403" t="s">
        <v>776</v>
      </c>
      <c r="D103" s="402" t="s">
        <v>718</v>
      </c>
      <c r="E103" s="346" t="s">
        <v>789</v>
      </c>
      <c r="F103" s="346" t="str">
        <f t="shared" si="28"/>
        <v>08/05/20</v>
      </c>
      <c r="G103" s="362" t="s">
        <v>790</v>
      </c>
      <c r="H103" s="362" t="s">
        <v>685</v>
      </c>
      <c r="I103" s="370"/>
      <c r="J103" s="363">
        <v>24.669405999999999</v>
      </c>
      <c r="K103" s="363">
        <v>39.608905999999998</v>
      </c>
      <c r="L103" s="363">
        <v>29.426545999999998</v>
      </c>
      <c r="M103" s="363">
        <v>28.776691</v>
      </c>
      <c r="N103" s="347">
        <v>4250</v>
      </c>
      <c r="O103" s="347">
        <v>30.36</v>
      </c>
      <c r="P103" s="347">
        <v>0.3201</v>
      </c>
      <c r="Q103" s="347">
        <v>1.9560000000000001E-2</v>
      </c>
      <c r="R103" s="348">
        <v>10.24567706</v>
      </c>
      <c r="S103" s="348">
        <f>R103+R102</f>
        <v>17.670459049999998</v>
      </c>
      <c r="T103" s="380">
        <v>95.6</v>
      </c>
      <c r="U103" s="380">
        <v>92.1</v>
      </c>
      <c r="V103" s="352">
        <v>-276</v>
      </c>
      <c r="W103" s="352">
        <v>2009</v>
      </c>
      <c r="X103" s="352">
        <f>W103-V103</f>
        <v>2285</v>
      </c>
      <c r="Y103" s="352">
        <f t="shared" si="42"/>
        <v>223.02088838236327</v>
      </c>
      <c r="Z103" s="372">
        <v>1096.253946</v>
      </c>
      <c r="AA103" s="352">
        <v>1128.0999999999999</v>
      </c>
      <c r="AB103" s="352">
        <f>AA103-Z103</f>
        <v>31.846053999999867</v>
      </c>
      <c r="AC103" s="371">
        <f t="shared" si="43"/>
        <v>3.1082429998042382</v>
      </c>
      <c r="AD103" s="372">
        <v>-8.58</v>
      </c>
      <c r="AE103" s="352">
        <v>-8.92</v>
      </c>
      <c r="AF103" s="352">
        <f>AE103-AD103</f>
        <v>-0.33999999999999986</v>
      </c>
      <c r="AG103" s="371">
        <f t="shared" si="44"/>
        <v>-3.3184727374180954E-2</v>
      </c>
      <c r="AH103" s="372">
        <v>0</v>
      </c>
      <c r="AI103" s="352">
        <v>0</v>
      </c>
      <c r="AJ103" s="352">
        <f>AI103-AH103</f>
        <v>0</v>
      </c>
      <c r="AK103" s="371">
        <f t="shared" si="45"/>
        <v>0</v>
      </c>
      <c r="AL103" s="372">
        <v>0</v>
      </c>
      <c r="AM103" s="352">
        <v>0</v>
      </c>
      <c r="AN103" s="352">
        <f>AM103-AL103</f>
        <v>0</v>
      </c>
      <c r="AO103" s="371">
        <f t="shared" si="46"/>
        <v>0</v>
      </c>
      <c r="AP103" s="341">
        <v>95.6</v>
      </c>
      <c r="AQ103" s="341">
        <v>92.1</v>
      </c>
      <c r="AR103" s="341">
        <f>AQ103-AP103</f>
        <v>-3.5</v>
      </c>
      <c r="AS103" s="526">
        <v>45797.599999999999</v>
      </c>
      <c r="AT103" s="383">
        <v>45798.7</v>
      </c>
      <c r="AU103" s="383">
        <f>AT103-AS103</f>
        <v>1.0999999999985448</v>
      </c>
      <c r="AV103" s="341"/>
      <c r="AW103" s="341"/>
      <c r="AX103" s="341"/>
      <c r="AY103" s="341"/>
      <c r="AZ103" s="362" t="s">
        <v>686</v>
      </c>
      <c r="BA103" s="550">
        <v>1945.1384776299999</v>
      </c>
      <c r="BB103" s="550">
        <v>-0.79056344000000001</v>
      </c>
      <c r="BC103" s="550">
        <v>1296.38948772</v>
      </c>
      <c r="BD103" s="550">
        <v>1306.7199377899999</v>
      </c>
      <c r="BE103" s="550">
        <v>7.9714231299999998</v>
      </c>
      <c r="BF103" s="550">
        <v>8.0200448200000007</v>
      </c>
      <c r="BG103" s="550">
        <v>-0.10652969</v>
      </c>
      <c r="BH103" s="550">
        <v>10.24575402</v>
      </c>
      <c r="BI103" s="550">
        <v>10.256680429999999</v>
      </c>
      <c r="BJ103" s="550">
        <v>-0.50277044000000004</v>
      </c>
      <c r="BK103" s="550">
        <v>-0.60625207999999997</v>
      </c>
      <c r="BL103" s="550">
        <v>0.28276622000000001</v>
      </c>
      <c r="BM103" s="550"/>
      <c r="BN103" s="550"/>
      <c r="BO103" s="550"/>
      <c r="BP103" s="550"/>
      <c r="BQ103" s="550"/>
      <c r="BR103" s="550"/>
      <c r="BS103" s="550"/>
    </row>
    <row r="104" spans="1:71" s="577" customFormat="1" ht="15" customHeight="1" x14ac:dyDescent="0.2">
      <c r="A104" s="403">
        <v>62008012</v>
      </c>
      <c r="B104" s="403" t="s">
        <v>631</v>
      </c>
      <c r="C104" s="403" t="s">
        <v>777</v>
      </c>
      <c r="D104" s="402" t="s">
        <v>718</v>
      </c>
      <c r="E104" s="346" t="s">
        <v>789</v>
      </c>
      <c r="F104" s="346" t="str">
        <f t="shared" si="28"/>
        <v>08/05/20</v>
      </c>
      <c r="G104" s="362" t="s">
        <v>790</v>
      </c>
      <c r="H104" s="362" t="s">
        <v>685</v>
      </c>
      <c r="I104" s="370"/>
      <c r="J104" s="363">
        <v>20.624096000000002</v>
      </c>
      <c r="K104" s="363">
        <v>53.375731999999999</v>
      </c>
      <c r="L104" s="363">
        <v>29.417517</v>
      </c>
      <c r="M104" s="363">
        <v>28.563708999999999</v>
      </c>
      <c r="N104" s="347">
        <v>4250</v>
      </c>
      <c r="O104" s="347">
        <v>30.36</v>
      </c>
      <c r="P104" s="347">
        <v>0.3201</v>
      </c>
      <c r="Q104" s="347">
        <v>1.9560000000000001E-2</v>
      </c>
      <c r="R104" s="348">
        <v>3.5824561500000001</v>
      </c>
      <c r="S104" s="348">
        <f>R104+R103</f>
        <v>13.828133210000001</v>
      </c>
      <c r="T104" s="380">
        <v>92.1</v>
      </c>
      <c r="U104" s="380">
        <v>90.9</v>
      </c>
      <c r="V104" s="352">
        <v>2015</v>
      </c>
      <c r="W104" s="352">
        <v>2752</v>
      </c>
      <c r="X104" s="352">
        <f>W104-V104</f>
        <v>737</v>
      </c>
      <c r="Y104" s="352">
        <f t="shared" si="42"/>
        <v>205.72477907370896</v>
      </c>
      <c r="Z104" s="372">
        <v>1133.55</v>
      </c>
      <c r="AA104" s="352">
        <v>1155.132926</v>
      </c>
      <c r="AB104" s="352">
        <f>AA104-Z104</f>
        <v>21.582926000000043</v>
      </c>
      <c r="AC104" s="371">
        <f t="shared" si="43"/>
        <v>6.02461693773978</v>
      </c>
      <c r="AD104" s="372">
        <v>-8.07</v>
      </c>
      <c r="AE104" s="352">
        <v>-8.5500000000000007</v>
      </c>
      <c r="AF104" s="352">
        <f>AE104-AD104</f>
        <v>-0.48000000000000043</v>
      </c>
      <c r="AG104" s="371">
        <f t="shared" si="44"/>
        <v>-0.13398628759210365</v>
      </c>
      <c r="AH104" s="372">
        <v>0</v>
      </c>
      <c r="AI104" s="352">
        <v>0</v>
      </c>
      <c r="AJ104" s="352">
        <f>AI104-AH104</f>
        <v>0</v>
      </c>
      <c r="AK104" s="371">
        <f t="shared" si="45"/>
        <v>0</v>
      </c>
      <c r="AL104" s="372">
        <v>0</v>
      </c>
      <c r="AM104" s="352">
        <v>0</v>
      </c>
      <c r="AN104" s="352">
        <f>AM104-AL104</f>
        <v>0</v>
      </c>
      <c r="AO104" s="371">
        <f t="shared" si="46"/>
        <v>0</v>
      </c>
      <c r="AP104" s="341">
        <v>92.1</v>
      </c>
      <c r="AQ104" s="341">
        <v>90.9</v>
      </c>
      <c r="AR104" s="341">
        <f>AQ104-AP104</f>
        <v>-1.1999999999999886</v>
      </c>
      <c r="AS104" s="526">
        <v>45799.5</v>
      </c>
      <c r="AT104" s="383">
        <v>45800.2</v>
      </c>
      <c r="AU104" s="383">
        <f>AT104-AS104</f>
        <v>0.69999999999708962</v>
      </c>
      <c r="AV104" s="341"/>
      <c r="AW104" s="341"/>
      <c r="AX104" s="341"/>
      <c r="AY104" s="341"/>
      <c r="AZ104" s="362" t="s">
        <v>686</v>
      </c>
      <c r="BA104" s="550">
        <v>2410.5843180900001</v>
      </c>
      <c r="BB104" s="550">
        <v>-2.1928357799999998</v>
      </c>
      <c r="BC104" s="550">
        <v>2003.7205731900001</v>
      </c>
      <c r="BD104" s="550">
        <v>2048.64397113</v>
      </c>
      <c r="BE104" s="550">
        <v>3.2092198000000001</v>
      </c>
      <c r="BF104" s="550">
        <v>3.2582724600000001</v>
      </c>
      <c r="BG104" s="550">
        <v>-0.24051306</v>
      </c>
      <c r="BH104" s="550">
        <v>3.5823428700000002</v>
      </c>
      <c r="BI104" s="550">
        <v>3.59097964</v>
      </c>
      <c r="BJ104" s="550">
        <v>-1.2843023</v>
      </c>
      <c r="BK104" s="550">
        <v>-1.5054804399999999</v>
      </c>
      <c r="BL104" s="550">
        <v>0.59035970999999998</v>
      </c>
      <c r="BM104" s="550"/>
      <c r="BN104" s="550"/>
      <c r="BO104" s="550"/>
      <c r="BP104" s="550"/>
      <c r="BQ104" s="550"/>
      <c r="BR104" s="550"/>
      <c r="BS104" s="550"/>
    </row>
    <row r="105" spans="1:71" s="577" customFormat="1" ht="15" customHeight="1" x14ac:dyDescent="0.2">
      <c r="A105" s="403">
        <v>62008012</v>
      </c>
      <c r="B105" s="403" t="s">
        <v>225</v>
      </c>
      <c r="C105" s="403" t="s">
        <v>778</v>
      </c>
      <c r="D105" s="402" t="s">
        <v>718</v>
      </c>
      <c r="E105" s="346" t="s">
        <v>789</v>
      </c>
      <c r="F105" s="346" t="str">
        <f t="shared" si="28"/>
        <v>08/05/20</v>
      </c>
      <c r="G105" s="362" t="s">
        <v>790</v>
      </c>
      <c r="H105" s="362" t="s">
        <v>685</v>
      </c>
      <c r="I105" s="370"/>
      <c r="J105" s="363">
        <v>20.124296000000001</v>
      </c>
      <c r="K105" s="363">
        <v>54.252215</v>
      </c>
      <c r="L105" s="363">
        <v>29.419021000000001</v>
      </c>
      <c r="M105" s="363">
        <v>27.868089000000001</v>
      </c>
      <c r="N105" s="347">
        <v>4250</v>
      </c>
      <c r="O105" s="347">
        <v>30.36</v>
      </c>
      <c r="P105" s="347">
        <v>0.3201</v>
      </c>
      <c r="Q105" s="347">
        <v>1.9560000000000001E-2</v>
      </c>
      <c r="R105" s="348">
        <v>3.8434989100000001</v>
      </c>
      <c r="S105" s="348">
        <f>R105+R104</f>
        <v>7.4259550599999997</v>
      </c>
      <c r="T105" s="380">
        <v>90.9</v>
      </c>
      <c r="U105" s="380">
        <v>89.9</v>
      </c>
      <c r="V105" s="352">
        <v>2752</v>
      </c>
      <c r="W105" s="352">
        <v>3400</v>
      </c>
      <c r="X105" s="352">
        <f>W105-V105</f>
        <v>648</v>
      </c>
      <c r="Y105" s="352">
        <f t="shared" si="42"/>
        <v>168.59637928191842</v>
      </c>
      <c r="Z105" s="372">
        <v>1155.142926</v>
      </c>
      <c r="AA105" s="352">
        <v>1191.68</v>
      </c>
      <c r="AB105" s="352">
        <f>AA105-Z105</f>
        <v>36.537074000000075</v>
      </c>
      <c r="AC105" s="371">
        <f t="shared" si="43"/>
        <v>9.5062012128943394</v>
      </c>
      <c r="AD105" s="372">
        <v>-8.5500000000000007</v>
      </c>
      <c r="AE105" s="352">
        <v>-9.0299999999999994</v>
      </c>
      <c r="AF105" s="352">
        <f>AE105-AD105</f>
        <v>-0.47999999999999865</v>
      </c>
      <c r="AG105" s="371">
        <f t="shared" si="44"/>
        <v>-0.12488620687549476</v>
      </c>
      <c r="AH105" s="372">
        <v>0</v>
      </c>
      <c r="AI105" s="352">
        <v>0</v>
      </c>
      <c r="AJ105" s="352">
        <f>AI105-AH105</f>
        <v>0</v>
      </c>
      <c r="AK105" s="371">
        <f t="shared" si="45"/>
        <v>0</v>
      </c>
      <c r="AL105" s="372">
        <v>0</v>
      </c>
      <c r="AM105" s="352">
        <v>0</v>
      </c>
      <c r="AN105" s="352">
        <f>AM105-AL105</f>
        <v>0</v>
      </c>
      <c r="AO105" s="371">
        <f t="shared" si="46"/>
        <v>0</v>
      </c>
      <c r="AP105" s="341">
        <v>90.9</v>
      </c>
      <c r="AQ105" s="341">
        <v>89.9</v>
      </c>
      <c r="AR105" s="341">
        <f>AQ105-AP105</f>
        <v>-1</v>
      </c>
      <c r="AS105" s="526">
        <v>45800.2</v>
      </c>
      <c r="AT105" s="383">
        <v>45801.4</v>
      </c>
      <c r="AU105" s="383">
        <f>AT105-AS105</f>
        <v>1.2000000000043656</v>
      </c>
      <c r="AV105" s="341"/>
      <c r="AW105" s="341"/>
      <c r="AX105" s="341"/>
      <c r="AY105" s="341"/>
      <c r="AZ105" s="362" t="s">
        <v>686</v>
      </c>
      <c r="BA105" s="550">
        <v>1481.71563659</v>
      </c>
      <c r="BB105" s="550">
        <v>-2.09788738</v>
      </c>
      <c r="BC105" s="550">
        <v>3344.32943492</v>
      </c>
      <c r="BD105" s="550">
        <v>3415.9931236900002</v>
      </c>
      <c r="BE105" s="550">
        <v>2.9550441799999998</v>
      </c>
      <c r="BF105" s="550">
        <v>3.01841955</v>
      </c>
      <c r="BG105" s="550">
        <v>-0.42775812000000002</v>
      </c>
      <c r="BH105" s="550">
        <v>3.8433188700000001</v>
      </c>
      <c r="BI105" s="550">
        <v>3.8598295999999999</v>
      </c>
      <c r="BJ105" s="550">
        <v>-1.70771856</v>
      </c>
      <c r="BK105" s="550">
        <v>-2.09962106</v>
      </c>
      <c r="BL105" s="550">
        <v>0.71451659000000001</v>
      </c>
      <c r="BM105" s="550"/>
      <c r="BN105" s="550"/>
      <c r="BO105" s="550"/>
      <c r="BP105" s="550"/>
      <c r="BQ105" s="550"/>
      <c r="BR105" s="550"/>
      <c r="BS105" s="550"/>
    </row>
    <row r="106" spans="1:71" s="577" customFormat="1" ht="15" customHeight="1" x14ac:dyDescent="0.2">
      <c r="A106" s="403">
        <v>62008012</v>
      </c>
      <c r="B106" s="403" t="s">
        <v>632</v>
      </c>
      <c r="C106" s="403" t="s">
        <v>779</v>
      </c>
      <c r="D106" s="402" t="s">
        <v>718</v>
      </c>
      <c r="E106" s="346" t="s">
        <v>789</v>
      </c>
      <c r="F106" s="346" t="str">
        <f t="shared" si="28"/>
        <v>08/05/20</v>
      </c>
      <c r="G106" s="362" t="s">
        <v>790</v>
      </c>
      <c r="H106" s="362" t="s">
        <v>685</v>
      </c>
      <c r="I106" s="370"/>
      <c r="J106" s="364">
        <f>AVERAGE(J104:J105)</f>
        <v>20.374196000000001</v>
      </c>
      <c r="K106" s="364">
        <f>AVERAGE(K104:K105)</f>
        <v>53.813973500000003</v>
      </c>
      <c r="L106" s="364">
        <f>AVERAGE(L104:L105)</f>
        <v>29.418269000000002</v>
      </c>
      <c r="M106" s="364">
        <f>AVERAGE(M104:M105)</f>
        <v>28.215899</v>
      </c>
      <c r="N106" s="349"/>
      <c r="O106" s="347"/>
      <c r="P106" s="366"/>
      <c r="Q106" s="365"/>
      <c r="R106" s="350">
        <f>R105+R104</f>
        <v>7.4259550599999997</v>
      </c>
      <c r="S106" s="350">
        <f>S105</f>
        <v>7.4259550599999997</v>
      </c>
      <c r="T106" s="381">
        <f>T104</f>
        <v>92.1</v>
      </c>
      <c r="U106" s="381">
        <f>U105</f>
        <v>89.9</v>
      </c>
      <c r="V106" s="353">
        <f>V104</f>
        <v>2015</v>
      </c>
      <c r="W106" s="353">
        <f>W105</f>
        <v>3400</v>
      </c>
      <c r="X106" s="353">
        <f>SUM(X104:X105)</f>
        <v>1385</v>
      </c>
      <c r="Y106" s="353">
        <f t="shared" si="42"/>
        <v>186.50799645426349</v>
      </c>
      <c r="Z106" s="353">
        <f>Z104</f>
        <v>1133.55</v>
      </c>
      <c r="AA106" s="353">
        <f>AA105</f>
        <v>1191.68</v>
      </c>
      <c r="AB106" s="353">
        <f>SUM(AB104:AB105)</f>
        <v>58.120000000000118</v>
      </c>
      <c r="AC106" s="351">
        <f t="shared" si="43"/>
        <v>7.8266027104128639</v>
      </c>
      <c r="AD106" s="353">
        <f>AD104</f>
        <v>-8.07</v>
      </c>
      <c r="AE106" s="353">
        <f>AE105</f>
        <v>-9.0299999999999994</v>
      </c>
      <c r="AF106" s="353">
        <f>SUM(AF104:AF105)</f>
        <v>-0.95999999999999908</v>
      </c>
      <c r="AG106" s="351">
        <f t="shared" si="44"/>
        <v>-0.12927630079140273</v>
      </c>
      <c r="AH106" s="353">
        <f>AH104</f>
        <v>0</v>
      </c>
      <c r="AI106" s="353">
        <f>AI105</f>
        <v>0</v>
      </c>
      <c r="AJ106" s="353">
        <f>SUM(AJ104:AJ105)</f>
        <v>0</v>
      </c>
      <c r="AK106" s="351">
        <f t="shared" si="45"/>
        <v>0</v>
      </c>
      <c r="AL106" s="353">
        <f>AL104</f>
        <v>0</v>
      </c>
      <c r="AM106" s="353">
        <f>AM105</f>
        <v>0</v>
      </c>
      <c r="AN106" s="353">
        <f>SUM(AN104:AN105)</f>
        <v>0</v>
      </c>
      <c r="AO106" s="351">
        <f t="shared" si="46"/>
        <v>0</v>
      </c>
      <c r="AP106" s="343"/>
      <c r="AQ106" s="343"/>
      <c r="AR106" s="343">
        <f>SUM(AR104:AR105)</f>
        <v>-2.1999999999999886</v>
      </c>
      <c r="AS106" s="384">
        <f>AS104</f>
        <v>45799.5</v>
      </c>
      <c r="AT106" s="384">
        <f>AT105</f>
        <v>45801.4</v>
      </c>
      <c r="AU106" s="384">
        <f>SUM(AU104:AU105)</f>
        <v>1.9000000000014552</v>
      </c>
      <c r="AV106" s="343"/>
      <c r="AW106" s="343"/>
      <c r="AX106" s="343"/>
      <c r="AY106" s="343"/>
      <c r="AZ106" s="362" t="s">
        <v>686</v>
      </c>
      <c r="BA106" s="550"/>
      <c r="BB106" s="550"/>
      <c r="BC106" s="550"/>
      <c r="BD106" s="550"/>
      <c r="BE106" s="550"/>
      <c r="BF106" s="550"/>
      <c r="BG106" s="550"/>
      <c r="BH106" s="550"/>
      <c r="BI106" s="550"/>
      <c r="BJ106" s="550"/>
      <c r="BK106" s="550"/>
      <c r="BL106" s="550"/>
      <c r="BM106" s="550"/>
      <c r="BN106" s="550"/>
      <c r="BO106" s="550"/>
      <c r="BP106" s="550"/>
      <c r="BQ106" s="550"/>
      <c r="BR106" s="550"/>
      <c r="BS106" s="550"/>
    </row>
    <row r="107" spans="1:71" s="577" customFormat="1" ht="15" customHeight="1" x14ac:dyDescent="0.2">
      <c r="A107" s="403">
        <v>62008012</v>
      </c>
      <c r="B107" s="403" t="s">
        <v>633</v>
      </c>
      <c r="C107" s="403" t="s">
        <v>780</v>
      </c>
      <c r="D107" s="402" t="s">
        <v>718</v>
      </c>
      <c r="E107" s="346" t="s">
        <v>789</v>
      </c>
      <c r="F107" s="346" t="str">
        <f t="shared" si="28"/>
        <v>08/05/20</v>
      </c>
      <c r="G107" s="362" t="s">
        <v>790</v>
      </c>
      <c r="H107" s="362" t="s">
        <v>685</v>
      </c>
      <c r="I107" s="370"/>
      <c r="J107" s="363">
        <v>23.267461999999998</v>
      </c>
      <c r="K107" s="363">
        <v>42.222805000000001</v>
      </c>
      <c r="L107" s="363">
        <v>29.426185</v>
      </c>
      <c r="M107" s="363">
        <v>30.288867</v>
      </c>
      <c r="N107" s="347">
        <v>4250</v>
      </c>
      <c r="O107" s="347">
        <v>30.36</v>
      </c>
      <c r="P107" s="347">
        <v>0.3201</v>
      </c>
      <c r="Q107" s="347">
        <v>1.9560000000000001E-2</v>
      </c>
      <c r="R107" s="348">
        <v>1.76514952</v>
      </c>
      <c r="S107" s="348">
        <f>R107+R106</f>
        <v>9.1911045799999993</v>
      </c>
      <c r="T107" s="380">
        <v>89.9</v>
      </c>
      <c r="U107" s="380">
        <v>86.2</v>
      </c>
      <c r="V107" s="352">
        <v>3404</v>
      </c>
      <c r="W107" s="352">
        <v>5828</v>
      </c>
      <c r="X107" s="352">
        <f>W107-V107-X108</f>
        <v>550</v>
      </c>
      <c r="Y107" s="352">
        <f t="shared" si="42"/>
        <v>311.58833502104682</v>
      </c>
      <c r="Z107" s="372">
        <v>1195.56</v>
      </c>
      <c r="AA107" s="352">
        <v>1220.57</v>
      </c>
      <c r="AB107" s="352">
        <f>AA107-Z107-AB108</f>
        <v>9.9123379999998633</v>
      </c>
      <c r="AC107" s="371">
        <f t="shared" si="43"/>
        <v>5.6155798065196558</v>
      </c>
      <c r="AD107" s="372">
        <v>-9.08</v>
      </c>
      <c r="AE107" s="352">
        <v>-9.32</v>
      </c>
      <c r="AF107" s="352">
        <f>AE107-AD107-AF108</f>
        <v>-9.0000000000001634E-2</v>
      </c>
      <c r="AG107" s="371">
        <f t="shared" si="44"/>
        <v>-5.0987182094354044E-2</v>
      </c>
      <c r="AH107" s="372">
        <v>0</v>
      </c>
      <c r="AI107" s="352">
        <v>0</v>
      </c>
      <c r="AJ107" s="352">
        <f>AI107-AH107-AJ108</f>
        <v>0</v>
      </c>
      <c r="AK107" s="371">
        <f t="shared" si="45"/>
        <v>0</v>
      </c>
      <c r="AL107" s="372">
        <v>0</v>
      </c>
      <c r="AM107" s="352">
        <v>0</v>
      </c>
      <c r="AN107" s="352">
        <f>AM107-AL107-AN108</f>
        <v>0</v>
      </c>
      <c r="AO107" s="371">
        <f t="shared" si="46"/>
        <v>0</v>
      </c>
      <c r="AP107" s="341">
        <v>89.9</v>
      </c>
      <c r="AQ107" s="341">
        <v>86.2</v>
      </c>
      <c r="AR107" s="341">
        <f>AQ107-AP107-AR108</f>
        <v>-0.79999999999999716</v>
      </c>
      <c r="AS107" s="526">
        <v>45801.599999999999</v>
      </c>
      <c r="AT107" s="383">
        <v>45802.400000000001</v>
      </c>
      <c r="AU107" s="383">
        <f>AT107-AS107-AU108</f>
        <v>0.30000000000291038</v>
      </c>
      <c r="AV107" s="341"/>
      <c r="AW107" s="341"/>
      <c r="AX107" s="341"/>
      <c r="AY107" s="341"/>
      <c r="AZ107" s="362" t="s">
        <v>686</v>
      </c>
      <c r="BA107" s="550">
        <v>5560.2914646700001</v>
      </c>
      <c r="BB107" s="550">
        <v>-1.1973955000000001</v>
      </c>
      <c r="BC107" s="550">
        <v>2429.8358759500002</v>
      </c>
      <c r="BD107" s="550">
        <v>2459.2832224700001</v>
      </c>
      <c r="BE107" s="550">
        <v>3.1637078600000001</v>
      </c>
      <c r="BF107" s="550">
        <v>3.2077190099999999</v>
      </c>
      <c r="BG107" s="550">
        <v>-0.39396938999999997</v>
      </c>
      <c r="BH107" s="550">
        <v>1.7651232299999999</v>
      </c>
      <c r="BI107" s="550">
        <v>1.77210478</v>
      </c>
      <c r="BJ107" s="550">
        <v>-0.99167561000000004</v>
      </c>
      <c r="BK107" s="550">
        <v>-1.37203882</v>
      </c>
      <c r="BL107" s="550">
        <v>0.81478379000000001</v>
      </c>
      <c r="BM107" s="550"/>
      <c r="BN107" s="550"/>
      <c r="BO107" s="550"/>
      <c r="BP107" s="550"/>
      <c r="BQ107" s="550"/>
      <c r="BR107" s="550"/>
      <c r="BS107" s="550"/>
    </row>
    <row r="108" spans="1:71" s="577" customFormat="1" ht="15" customHeight="1" x14ac:dyDescent="0.2">
      <c r="A108" s="403">
        <v>62008012</v>
      </c>
      <c r="B108" s="403" t="s">
        <v>634</v>
      </c>
      <c r="C108" s="403" t="s">
        <v>781</v>
      </c>
      <c r="D108" s="402" t="s">
        <v>718</v>
      </c>
      <c r="E108" s="346" t="s">
        <v>789</v>
      </c>
      <c r="F108" s="346" t="str">
        <f t="shared" si="28"/>
        <v>08/05/20</v>
      </c>
      <c r="G108" s="362" t="s">
        <v>790</v>
      </c>
      <c r="H108" s="362" t="s">
        <v>685</v>
      </c>
      <c r="I108" s="370"/>
      <c r="J108" s="363">
        <v>27.157176</v>
      </c>
      <c r="K108" s="363">
        <v>33.884852000000002</v>
      </c>
      <c r="L108" s="363">
        <v>29.460135999999999</v>
      </c>
      <c r="M108" s="363">
        <v>30.457491999999998</v>
      </c>
      <c r="N108" s="347">
        <v>4250</v>
      </c>
      <c r="O108" s="347">
        <v>30.36</v>
      </c>
      <c r="P108" s="347">
        <v>0.3201</v>
      </c>
      <c r="Q108" s="347">
        <v>1.9560000000000001E-2</v>
      </c>
      <c r="R108" s="348">
        <v>6.2270989300000004</v>
      </c>
      <c r="S108" s="348">
        <f>R108+R107</f>
        <v>7.9922484499999999</v>
      </c>
      <c r="T108" s="380">
        <v>89.4</v>
      </c>
      <c r="U108" s="380">
        <v>86.5</v>
      </c>
      <c r="V108" s="352">
        <v>3774</v>
      </c>
      <c r="W108" s="352">
        <v>5648</v>
      </c>
      <c r="X108" s="352">
        <f>W108-V108</f>
        <v>1874</v>
      </c>
      <c r="Y108" s="352">
        <f t="shared" si="42"/>
        <v>300.94270559469015</v>
      </c>
      <c r="Z108" s="372">
        <v>1201.062338</v>
      </c>
      <c r="AA108" s="352">
        <v>1216.1600000000001</v>
      </c>
      <c r="AB108" s="352">
        <f>AA108-Z108</f>
        <v>15.097662000000128</v>
      </c>
      <c r="AC108" s="371">
        <f t="shared" si="43"/>
        <v>2.4245097387589003</v>
      </c>
      <c r="AD108" s="372">
        <v>-9.1300000000000008</v>
      </c>
      <c r="AE108" s="352">
        <v>-9.2799999999999994</v>
      </c>
      <c r="AF108" s="352">
        <f>AE108-AD108</f>
        <v>-0.14999999999999858</v>
      </c>
      <c r="AG108" s="371">
        <f t="shared" si="44"/>
        <v>-2.4088263521453091E-2</v>
      </c>
      <c r="AH108" s="372">
        <v>0</v>
      </c>
      <c r="AI108" s="352">
        <v>0</v>
      </c>
      <c r="AJ108" s="352">
        <f>AI108-AH108</f>
        <v>0</v>
      </c>
      <c r="AK108" s="371">
        <f t="shared" si="45"/>
        <v>0</v>
      </c>
      <c r="AL108" s="372">
        <v>0</v>
      </c>
      <c r="AM108" s="352">
        <v>0</v>
      </c>
      <c r="AN108" s="352">
        <f>AM108-AL108</f>
        <v>0</v>
      </c>
      <c r="AO108" s="371">
        <f t="shared" si="46"/>
        <v>0</v>
      </c>
      <c r="AP108" s="341">
        <v>89.4</v>
      </c>
      <c r="AQ108" s="341">
        <v>86.5</v>
      </c>
      <c r="AR108" s="341">
        <f>AQ108-AP108</f>
        <v>-2.9000000000000057</v>
      </c>
      <c r="AS108" s="526">
        <v>45801.7</v>
      </c>
      <c r="AT108" s="383">
        <v>45802.2</v>
      </c>
      <c r="AU108" s="383">
        <f>AT108-AS108</f>
        <v>0.5</v>
      </c>
      <c r="AV108" s="341"/>
      <c r="AW108" s="341"/>
      <c r="AX108" s="341"/>
      <c r="AY108" s="341"/>
      <c r="AZ108" s="362" t="s">
        <v>686</v>
      </c>
      <c r="BA108" s="550">
        <v>11813.037838669999</v>
      </c>
      <c r="BB108" s="550">
        <v>-9.4965539900000007</v>
      </c>
      <c r="BC108" s="550">
        <v>1030.19337305</v>
      </c>
      <c r="BD108" s="550">
        <v>1138.2918756399999</v>
      </c>
      <c r="BE108" s="550">
        <v>6.9186727499999998</v>
      </c>
      <c r="BF108" s="550">
        <v>7.0841286400000003</v>
      </c>
      <c r="BG108" s="550">
        <v>-0.12389453</v>
      </c>
      <c r="BH108" s="550">
        <v>6.2271335800000003</v>
      </c>
      <c r="BI108" s="550">
        <v>6.2348582300000004</v>
      </c>
      <c r="BJ108" s="550">
        <v>-2.2645822600000001</v>
      </c>
      <c r="BK108" s="550">
        <v>-2.3355855399999998</v>
      </c>
      <c r="BL108" s="550">
        <v>0.34892001</v>
      </c>
      <c r="BM108" s="550"/>
      <c r="BN108" s="550"/>
      <c r="BO108" s="550"/>
      <c r="BP108" s="550"/>
      <c r="BQ108" s="550"/>
      <c r="BR108" s="550"/>
      <c r="BS108" s="550"/>
    </row>
    <row r="109" spans="1:71" s="577" customFormat="1" ht="15" customHeight="1" x14ac:dyDescent="0.2">
      <c r="A109" s="403">
        <v>62008012</v>
      </c>
      <c r="B109" s="403" t="s">
        <v>635</v>
      </c>
      <c r="C109" s="403" t="s">
        <v>782</v>
      </c>
      <c r="D109" s="402" t="s">
        <v>718</v>
      </c>
      <c r="E109" s="346" t="s">
        <v>789</v>
      </c>
      <c r="F109" s="346" t="str">
        <f t="shared" si="28"/>
        <v>08/05/20</v>
      </c>
      <c r="G109" s="362" t="s">
        <v>790</v>
      </c>
      <c r="H109" s="362" t="s">
        <v>685</v>
      </c>
      <c r="I109" s="370"/>
      <c r="J109" s="364">
        <f>AVERAGE(J107:J108)</f>
        <v>25.212319000000001</v>
      </c>
      <c r="K109" s="364">
        <f>AVERAGE(K107:K108)</f>
        <v>38.053828500000002</v>
      </c>
      <c r="L109" s="364">
        <f>AVERAGE(L107:L108)</f>
        <v>29.443160499999998</v>
      </c>
      <c r="M109" s="364">
        <f>AVERAGE(M107:M108)</f>
        <v>30.373179499999999</v>
      </c>
      <c r="N109" s="349"/>
      <c r="O109" s="347"/>
      <c r="P109" s="366"/>
      <c r="Q109" s="365"/>
      <c r="R109" s="350">
        <f>R108+R107</f>
        <v>7.9922484499999999</v>
      </c>
      <c r="S109" s="350">
        <f>S108</f>
        <v>7.9922484499999999</v>
      </c>
      <c r="T109" s="381">
        <f>T107</f>
        <v>89.9</v>
      </c>
      <c r="U109" s="381">
        <f>U108</f>
        <v>86.5</v>
      </c>
      <c r="V109" s="353">
        <f>V107</f>
        <v>3404</v>
      </c>
      <c r="W109" s="353">
        <f>W108</f>
        <v>5648</v>
      </c>
      <c r="X109" s="353">
        <f>SUM(X107:X108)</f>
        <v>2424</v>
      </c>
      <c r="Y109" s="353">
        <f t="shared" si="42"/>
        <v>303.29387470430805</v>
      </c>
      <c r="Z109" s="353">
        <f>Z107</f>
        <v>1195.56</v>
      </c>
      <c r="AA109" s="353">
        <f>AA108</f>
        <v>1216.1600000000001</v>
      </c>
      <c r="AB109" s="353">
        <f>SUM(AB107:AB108)</f>
        <v>25.009999999999991</v>
      </c>
      <c r="AC109" s="351">
        <f t="shared" si="43"/>
        <v>3.1292820983311636</v>
      </c>
      <c r="AD109" s="353">
        <f>AD107</f>
        <v>-9.08</v>
      </c>
      <c r="AE109" s="353">
        <f>AE108</f>
        <v>-9.2799999999999994</v>
      </c>
      <c r="AF109" s="353">
        <f>SUM(AF107:AF108)</f>
        <v>-0.24000000000000021</v>
      </c>
      <c r="AG109" s="351">
        <f t="shared" si="44"/>
        <v>-3.0029096505377058E-2</v>
      </c>
      <c r="AH109" s="353">
        <f>AH107</f>
        <v>0</v>
      </c>
      <c r="AI109" s="353">
        <f>AI108</f>
        <v>0</v>
      </c>
      <c r="AJ109" s="353">
        <f>SUM(AJ107:AJ108)</f>
        <v>0</v>
      </c>
      <c r="AK109" s="351">
        <f t="shared" si="45"/>
        <v>0</v>
      </c>
      <c r="AL109" s="353">
        <f>AL107</f>
        <v>0</v>
      </c>
      <c r="AM109" s="353">
        <f>AM108</f>
        <v>0</v>
      </c>
      <c r="AN109" s="353">
        <f>SUM(AN107:AN108)</f>
        <v>0</v>
      </c>
      <c r="AO109" s="351">
        <f t="shared" si="46"/>
        <v>0</v>
      </c>
      <c r="AP109" s="343"/>
      <c r="AQ109" s="343"/>
      <c r="AR109" s="343">
        <f>SUM(AR107:AR108)</f>
        <v>-3.7000000000000028</v>
      </c>
      <c r="AS109" s="384">
        <f>AS107</f>
        <v>45801.599999999999</v>
      </c>
      <c r="AT109" s="384">
        <f>AT108</f>
        <v>45802.2</v>
      </c>
      <c r="AU109" s="384">
        <f>SUM(AU107:AU108)</f>
        <v>0.80000000000291038</v>
      </c>
      <c r="AV109" s="343"/>
      <c r="AW109" s="343"/>
      <c r="AX109" s="343"/>
      <c r="AY109" s="343"/>
      <c r="AZ109" s="362" t="s">
        <v>686</v>
      </c>
      <c r="BA109" s="550"/>
      <c r="BB109" s="550"/>
      <c r="BC109" s="550"/>
      <c r="BD109" s="550"/>
      <c r="BE109" s="550"/>
      <c r="BF109" s="550"/>
      <c r="BG109" s="550"/>
      <c r="BH109" s="550"/>
      <c r="BI109" s="550"/>
      <c r="BJ109" s="550"/>
      <c r="BK109" s="550"/>
      <c r="BL109" s="550"/>
      <c r="BM109" s="550"/>
      <c r="BN109" s="550"/>
      <c r="BO109" s="550"/>
      <c r="BP109" s="550"/>
      <c r="BQ109" s="550"/>
      <c r="BR109" s="550"/>
      <c r="BS109" s="550"/>
    </row>
    <row r="110" spans="1:71" s="577" customFormat="1" ht="15" customHeight="1" x14ac:dyDescent="0.2">
      <c r="A110" s="403">
        <v>62008013</v>
      </c>
      <c r="B110" s="403" t="s">
        <v>769</v>
      </c>
      <c r="C110" s="403" t="s">
        <v>773</v>
      </c>
      <c r="D110" s="402" t="s">
        <v>791</v>
      </c>
      <c r="E110" s="346" t="s">
        <v>792</v>
      </c>
      <c r="F110" s="346" t="str">
        <f t="shared" si="28"/>
        <v>08/05/20</v>
      </c>
      <c r="G110" s="362" t="s">
        <v>793</v>
      </c>
      <c r="H110" s="362" t="s">
        <v>685</v>
      </c>
      <c r="I110" s="370"/>
      <c r="J110" s="363">
        <v>18.469584999999999</v>
      </c>
      <c r="K110" s="363">
        <v>58.557301000000002</v>
      </c>
      <c r="L110" s="363">
        <v>29.426846000000001</v>
      </c>
      <c r="M110" s="363">
        <v>28.895164000000001</v>
      </c>
      <c r="N110" s="347">
        <v>4250</v>
      </c>
      <c r="O110" s="347">
        <v>30.36</v>
      </c>
      <c r="P110" s="347">
        <v>0.3201</v>
      </c>
      <c r="Q110" s="347">
        <v>1.9560000000000001E-2</v>
      </c>
      <c r="R110" s="348">
        <v>1.90727571</v>
      </c>
      <c r="S110" s="348">
        <f t="shared" ref="S110:S127" si="47">R110+R109</f>
        <v>9.8995241600000004</v>
      </c>
      <c r="T110" s="380">
        <v>86.2</v>
      </c>
      <c r="U110" s="380">
        <v>85.7</v>
      </c>
      <c r="V110" s="352">
        <v>5843</v>
      </c>
      <c r="W110" s="352">
        <v>6170</v>
      </c>
      <c r="X110" s="352">
        <f t="shared" ref="X110:X127" si="48">W110-V110</f>
        <v>327</v>
      </c>
      <c r="Y110" s="352">
        <f t="shared" si="42"/>
        <v>171.44873092312386</v>
      </c>
      <c r="Z110" s="372">
        <v>1233.602367</v>
      </c>
      <c r="AA110" s="352">
        <v>1258.7</v>
      </c>
      <c r="AB110" s="352">
        <f t="shared" ref="AB110:AB127" si="49">AA110-Z110</f>
        <v>25.097633000000087</v>
      </c>
      <c r="AC110" s="371">
        <f t="shared" si="43"/>
        <v>13.15889090833128</v>
      </c>
      <c r="AD110" s="372">
        <v>-8.74</v>
      </c>
      <c r="AE110" s="352">
        <v>-9.17</v>
      </c>
      <c r="AF110" s="352">
        <f t="shared" ref="AF110:AF127" si="50">AE110-AD110</f>
        <v>-0.42999999999999972</v>
      </c>
      <c r="AG110" s="371">
        <f t="shared" si="44"/>
        <v>-0.22545245962367955</v>
      </c>
      <c r="AH110" s="372">
        <v>0</v>
      </c>
      <c r="AI110" s="352">
        <v>0</v>
      </c>
      <c r="AJ110" s="352">
        <f t="shared" ref="AJ110:AJ127" si="51">AI110-AH110</f>
        <v>0</v>
      </c>
      <c r="AK110" s="371">
        <f t="shared" si="45"/>
        <v>0</v>
      </c>
      <c r="AL110" s="372">
        <v>-0.05</v>
      </c>
      <c r="AM110" s="352">
        <v>-0.05</v>
      </c>
      <c r="AN110" s="352">
        <f t="shared" ref="AN110:AN127" si="52">AM110-AL110</f>
        <v>0</v>
      </c>
      <c r="AO110" s="371">
        <f t="shared" si="46"/>
        <v>0</v>
      </c>
      <c r="AP110" s="341">
        <v>86.2</v>
      </c>
      <c r="AQ110" s="341">
        <v>85.7</v>
      </c>
      <c r="AR110" s="341">
        <f t="shared" ref="AR110:AR127" si="53">AQ110-AP110</f>
        <v>-0.5</v>
      </c>
      <c r="AS110" s="526">
        <v>45803.199999999997</v>
      </c>
      <c r="AT110" s="383">
        <v>45804</v>
      </c>
      <c r="AU110" s="383">
        <f t="shared" ref="AU110:AU127" si="54">AT110-AS110</f>
        <v>0.80000000000291038</v>
      </c>
      <c r="AV110" s="341"/>
      <c r="AW110" s="341"/>
      <c r="AX110" s="341"/>
      <c r="AY110" s="341"/>
      <c r="AZ110" s="362" t="s">
        <v>686</v>
      </c>
      <c r="BA110" s="550">
        <v>1099.10651699</v>
      </c>
      <c r="BB110" s="550">
        <v>-3.0399143400000002</v>
      </c>
      <c r="BC110" s="550">
        <v>1938.30358503</v>
      </c>
      <c r="BD110" s="550">
        <v>1999.0737135899999</v>
      </c>
      <c r="BE110" s="550">
        <v>1.5547681900000001</v>
      </c>
      <c r="BF110" s="550">
        <v>1.5960480800000001</v>
      </c>
      <c r="BG110" s="550">
        <v>-0.37586095000000003</v>
      </c>
      <c r="BH110" s="550">
        <v>1.90711516</v>
      </c>
      <c r="BI110" s="550">
        <v>1.9143102999999999</v>
      </c>
      <c r="BJ110" s="550">
        <v>-2.2692109500000002</v>
      </c>
      <c r="BK110" s="550">
        <v>-2.5863814500000002</v>
      </c>
      <c r="BL110" s="550">
        <v>0.79192169999999995</v>
      </c>
      <c r="BM110" s="550"/>
      <c r="BN110" s="550"/>
      <c r="BO110" s="550"/>
      <c r="BP110" s="550"/>
      <c r="BQ110" s="550"/>
      <c r="BR110" s="550"/>
      <c r="BS110" s="550"/>
    </row>
    <row r="111" spans="1:71" s="577" customFormat="1" ht="15" customHeight="1" x14ac:dyDescent="0.2">
      <c r="A111" s="403">
        <v>62008013</v>
      </c>
      <c r="B111" s="403" t="s">
        <v>769</v>
      </c>
      <c r="C111" s="403" t="s">
        <v>774</v>
      </c>
      <c r="D111" s="402" t="s">
        <v>791</v>
      </c>
      <c r="E111" s="346" t="s">
        <v>792</v>
      </c>
      <c r="F111" s="346" t="str">
        <f t="shared" si="28"/>
        <v>08/05/20</v>
      </c>
      <c r="G111" s="362" t="s">
        <v>793</v>
      </c>
      <c r="H111" s="362" t="s">
        <v>685</v>
      </c>
      <c r="I111" s="370"/>
      <c r="J111" s="363">
        <v>21.508890000000001</v>
      </c>
      <c r="K111" s="363">
        <v>50.668622999999997</v>
      </c>
      <c r="L111" s="363">
        <v>29.426870999999998</v>
      </c>
      <c r="M111" s="363">
        <v>27.911673</v>
      </c>
      <c r="N111" s="347">
        <v>4250</v>
      </c>
      <c r="O111" s="347">
        <v>30.36</v>
      </c>
      <c r="P111" s="347">
        <v>0.3201</v>
      </c>
      <c r="Q111" s="347">
        <v>1.9560000000000001E-2</v>
      </c>
      <c r="R111" s="348">
        <v>2.9447794799999998</v>
      </c>
      <c r="S111" s="348">
        <f t="shared" si="47"/>
        <v>4.8520551899999997</v>
      </c>
      <c r="T111" s="380">
        <v>85.7</v>
      </c>
      <c r="U111" s="380">
        <v>84.9</v>
      </c>
      <c r="V111" s="352">
        <v>6170</v>
      </c>
      <c r="W111" s="352">
        <v>6708</v>
      </c>
      <c r="X111" s="352">
        <f t="shared" si="48"/>
        <v>538</v>
      </c>
      <c r="Y111" s="352">
        <f t="shared" si="42"/>
        <v>182.69619292511507</v>
      </c>
      <c r="Z111" s="372">
        <v>1258.71</v>
      </c>
      <c r="AA111" s="352">
        <v>1276.8416139999999</v>
      </c>
      <c r="AB111" s="352">
        <f t="shared" si="49"/>
        <v>18.1316139999999</v>
      </c>
      <c r="AC111" s="371">
        <f t="shared" si="43"/>
        <v>6.1572060397540875</v>
      </c>
      <c r="AD111" s="372">
        <v>-9.17</v>
      </c>
      <c r="AE111" s="352">
        <v>-9.4</v>
      </c>
      <c r="AF111" s="352">
        <f t="shared" si="50"/>
        <v>-0.23000000000000043</v>
      </c>
      <c r="AG111" s="371">
        <f t="shared" si="44"/>
        <v>-7.8104320395495433E-2</v>
      </c>
      <c r="AH111" s="372">
        <v>0</v>
      </c>
      <c r="AI111" s="352">
        <v>0</v>
      </c>
      <c r="AJ111" s="352">
        <f t="shared" si="51"/>
        <v>0</v>
      </c>
      <c r="AK111" s="371">
        <f t="shared" si="45"/>
        <v>0</v>
      </c>
      <c r="AL111" s="372">
        <v>-0.05</v>
      </c>
      <c r="AM111" s="352">
        <v>-0.05</v>
      </c>
      <c r="AN111" s="352">
        <f t="shared" si="52"/>
        <v>0</v>
      </c>
      <c r="AO111" s="371">
        <f t="shared" si="46"/>
        <v>0</v>
      </c>
      <c r="AP111" s="341">
        <v>85.7</v>
      </c>
      <c r="AQ111" s="341">
        <v>84.9</v>
      </c>
      <c r="AR111" s="341">
        <f t="shared" si="53"/>
        <v>-0.79999999999999716</v>
      </c>
      <c r="AS111" s="526">
        <v>45804</v>
      </c>
      <c r="AT111" s="383">
        <v>45804.6</v>
      </c>
      <c r="AU111" s="383">
        <f t="shared" si="54"/>
        <v>0.59999999999854481</v>
      </c>
      <c r="AV111" s="341"/>
      <c r="AW111" s="341"/>
      <c r="AX111" s="341"/>
      <c r="AY111" s="341"/>
      <c r="AZ111" s="362" t="s">
        <v>686</v>
      </c>
      <c r="BA111" s="550">
        <v>2157.0837896500002</v>
      </c>
      <c r="BB111" s="550">
        <v>-3.7555821900000002</v>
      </c>
      <c r="BC111" s="550">
        <v>1788.07565666</v>
      </c>
      <c r="BD111" s="550">
        <v>1857.8486913199999</v>
      </c>
      <c r="BE111" s="550">
        <v>2.6442320800000001</v>
      </c>
      <c r="BF111" s="550">
        <v>2.6987005900000001</v>
      </c>
      <c r="BG111" s="550">
        <v>-0.1210936</v>
      </c>
      <c r="BH111" s="550">
        <v>2.94474824</v>
      </c>
      <c r="BI111" s="550">
        <v>2.9483184599999999</v>
      </c>
      <c r="BJ111" s="550">
        <v>-1.93631123</v>
      </c>
      <c r="BK111" s="550">
        <v>-2.0183238000000001</v>
      </c>
      <c r="BL111" s="550">
        <v>0.68410632999999998</v>
      </c>
      <c r="BM111" s="550"/>
      <c r="BN111" s="550"/>
      <c r="BO111" s="550"/>
      <c r="BP111" s="550"/>
      <c r="BQ111" s="550"/>
      <c r="BR111" s="550"/>
      <c r="BS111" s="550"/>
    </row>
    <row r="112" spans="1:71" s="577" customFormat="1" ht="15" customHeight="1" x14ac:dyDescent="0.2">
      <c r="A112" s="403">
        <v>62008013</v>
      </c>
      <c r="B112" s="403" t="s">
        <v>770</v>
      </c>
      <c r="C112" s="403" t="s">
        <v>776</v>
      </c>
      <c r="D112" s="402" t="s">
        <v>791</v>
      </c>
      <c r="E112" s="346" t="s">
        <v>792</v>
      </c>
      <c r="F112" s="346" t="str">
        <f t="shared" si="28"/>
        <v>08/05/20</v>
      </c>
      <c r="G112" s="362" t="s">
        <v>793</v>
      </c>
      <c r="H112" s="362" t="s">
        <v>685</v>
      </c>
      <c r="I112" s="370"/>
      <c r="J112" s="363">
        <v>24.396885000000001</v>
      </c>
      <c r="K112" s="363">
        <v>41.122857000000003</v>
      </c>
      <c r="L112" s="363">
        <v>29.435265999999999</v>
      </c>
      <c r="M112" s="363">
        <v>29.646647000000002</v>
      </c>
      <c r="N112" s="347">
        <v>4250</v>
      </c>
      <c r="O112" s="347">
        <v>30.36</v>
      </c>
      <c r="P112" s="347">
        <v>0.3201</v>
      </c>
      <c r="Q112" s="347">
        <v>1.9560000000000001E-2</v>
      </c>
      <c r="R112" s="348">
        <v>4.3821202899999996</v>
      </c>
      <c r="S112" s="348">
        <f t="shared" si="47"/>
        <v>7.3268997699999989</v>
      </c>
      <c r="T112" s="380">
        <v>84.9</v>
      </c>
      <c r="U112" s="380">
        <v>83.4</v>
      </c>
      <c r="V112" s="352">
        <v>6708</v>
      </c>
      <c r="W112" s="352">
        <v>7639</v>
      </c>
      <c r="X112" s="352">
        <f t="shared" si="48"/>
        <v>931</v>
      </c>
      <c r="Y112" s="352">
        <f t="shared" si="42"/>
        <v>212.45423183031795</v>
      </c>
      <c r="Z112" s="372">
        <v>1276.8516999999999</v>
      </c>
      <c r="AA112" s="352">
        <v>1295.81</v>
      </c>
      <c r="AB112" s="352">
        <f t="shared" si="49"/>
        <v>18.958300000000008</v>
      </c>
      <c r="AC112" s="371">
        <f t="shared" si="43"/>
        <v>4.3262847081726301</v>
      </c>
      <c r="AD112" s="372">
        <v>-9.4</v>
      </c>
      <c r="AE112" s="352">
        <v>-9.6</v>
      </c>
      <c r="AF112" s="352">
        <f t="shared" si="50"/>
        <v>-0.19999999999999929</v>
      </c>
      <c r="AG112" s="371">
        <f t="shared" si="44"/>
        <v>-4.5640006837876945E-2</v>
      </c>
      <c r="AH112" s="372">
        <v>0</v>
      </c>
      <c r="AI112" s="352">
        <v>0</v>
      </c>
      <c r="AJ112" s="352">
        <f t="shared" si="51"/>
        <v>0</v>
      </c>
      <c r="AK112" s="371">
        <f t="shared" si="45"/>
        <v>0</v>
      </c>
      <c r="AL112" s="372">
        <v>-0.05</v>
      </c>
      <c r="AM112" s="352">
        <v>-0.05</v>
      </c>
      <c r="AN112" s="352">
        <f t="shared" si="52"/>
        <v>0</v>
      </c>
      <c r="AO112" s="371">
        <f t="shared" si="46"/>
        <v>0</v>
      </c>
      <c r="AP112" s="341">
        <v>84.9</v>
      </c>
      <c r="AQ112" s="341">
        <v>83.4</v>
      </c>
      <c r="AR112" s="341">
        <f t="shared" si="53"/>
        <v>-1.5</v>
      </c>
      <c r="AS112" s="526">
        <v>45804.6</v>
      </c>
      <c r="AT112" s="383">
        <v>45805.3</v>
      </c>
      <c r="AU112" s="383">
        <f t="shared" si="54"/>
        <v>0.70000000000436557</v>
      </c>
      <c r="AV112" s="341"/>
      <c r="AW112" s="341"/>
      <c r="AX112" s="341"/>
      <c r="AY112" s="341"/>
      <c r="AZ112" s="362" t="s">
        <v>686</v>
      </c>
      <c r="BA112" s="550">
        <v>1900.9160658599999</v>
      </c>
      <c r="BB112" s="550">
        <v>-3.3554063799999998</v>
      </c>
      <c r="BC112" s="550">
        <v>1572.6272039999999</v>
      </c>
      <c r="BD112" s="550">
        <v>1627.2272923099999</v>
      </c>
      <c r="BE112" s="550">
        <v>3.7991471899999998</v>
      </c>
      <c r="BF112" s="550">
        <v>3.85361339</v>
      </c>
      <c r="BG112" s="550">
        <v>-0.12482158</v>
      </c>
      <c r="BH112" s="550">
        <v>4.3821346099999996</v>
      </c>
      <c r="BI112" s="550">
        <v>4.3876112899999997</v>
      </c>
      <c r="BJ112" s="550">
        <v>-1.3070318400000001</v>
      </c>
      <c r="BK112" s="550">
        <v>-1.41338009</v>
      </c>
      <c r="BL112" s="550">
        <v>0.49622996000000003</v>
      </c>
      <c r="BM112" s="550"/>
      <c r="BN112" s="550"/>
      <c r="BO112" s="550"/>
      <c r="BP112" s="550"/>
      <c r="BQ112" s="550"/>
      <c r="BR112" s="550"/>
      <c r="BS112" s="550"/>
    </row>
    <row r="113" spans="1:71" s="577" customFormat="1" ht="15" customHeight="1" x14ac:dyDescent="0.2">
      <c r="A113" s="403">
        <v>62008013</v>
      </c>
      <c r="B113" s="403" t="s">
        <v>770</v>
      </c>
      <c r="C113" s="403" t="s">
        <v>777</v>
      </c>
      <c r="D113" s="402" t="s">
        <v>791</v>
      </c>
      <c r="E113" s="346" t="s">
        <v>792</v>
      </c>
      <c r="F113" s="346" t="str">
        <f t="shared" si="28"/>
        <v>08/05/20</v>
      </c>
      <c r="G113" s="362" t="s">
        <v>793</v>
      </c>
      <c r="H113" s="362" t="s">
        <v>685</v>
      </c>
      <c r="I113" s="370"/>
      <c r="J113" s="363">
        <v>25.785481000000001</v>
      </c>
      <c r="K113" s="363">
        <v>36.591963</v>
      </c>
      <c r="L113" s="363">
        <v>29.451066000000001</v>
      </c>
      <c r="M113" s="363">
        <v>31.067176</v>
      </c>
      <c r="N113" s="347">
        <v>4250</v>
      </c>
      <c r="O113" s="347">
        <v>30.36</v>
      </c>
      <c r="P113" s="347">
        <v>0.3201</v>
      </c>
      <c r="Q113" s="347">
        <v>1.9560000000000001E-2</v>
      </c>
      <c r="R113" s="348">
        <v>5.1223001000000004</v>
      </c>
      <c r="S113" s="348">
        <f t="shared" si="47"/>
        <v>9.5044203899999999</v>
      </c>
      <c r="T113" s="380">
        <v>83.4</v>
      </c>
      <c r="U113" s="380">
        <v>81</v>
      </c>
      <c r="V113" s="352">
        <v>7639</v>
      </c>
      <c r="W113" s="352">
        <v>9220</v>
      </c>
      <c r="X113" s="352">
        <f t="shared" si="48"/>
        <v>1581</v>
      </c>
      <c r="Y113" s="352">
        <f t="shared" si="42"/>
        <v>308.65040492258544</v>
      </c>
      <c r="Z113" s="372">
        <v>1295.82</v>
      </c>
      <c r="AA113" s="352">
        <v>1309.0912880000001</v>
      </c>
      <c r="AB113" s="352">
        <f t="shared" si="49"/>
        <v>13.271288000000141</v>
      </c>
      <c r="AC113" s="371">
        <f t="shared" si="43"/>
        <v>2.5908845129944922</v>
      </c>
      <c r="AD113" s="372">
        <v>-9.6</v>
      </c>
      <c r="AE113" s="352">
        <v>-9.73</v>
      </c>
      <c r="AF113" s="352">
        <f t="shared" si="50"/>
        <v>-0.13000000000000078</v>
      </c>
      <c r="AG113" s="371">
        <f t="shared" si="44"/>
        <v>-2.5379223681174162E-2</v>
      </c>
      <c r="AH113" s="372">
        <v>0</v>
      </c>
      <c r="AI113" s="352">
        <v>0</v>
      </c>
      <c r="AJ113" s="352">
        <f t="shared" si="51"/>
        <v>0</v>
      </c>
      <c r="AK113" s="371">
        <f t="shared" si="45"/>
        <v>0</v>
      </c>
      <c r="AL113" s="372">
        <v>-0.05</v>
      </c>
      <c r="AM113" s="352">
        <v>-0.05</v>
      </c>
      <c r="AN113" s="352">
        <f t="shared" si="52"/>
        <v>0</v>
      </c>
      <c r="AO113" s="371">
        <f t="shared" si="46"/>
        <v>0</v>
      </c>
      <c r="AP113" s="341">
        <v>83.4</v>
      </c>
      <c r="AQ113" s="341">
        <v>81</v>
      </c>
      <c r="AR113" s="341">
        <f t="shared" si="53"/>
        <v>-2.4000000000000057</v>
      </c>
      <c r="AS113" s="526">
        <v>45805.3</v>
      </c>
      <c r="AT113" s="383">
        <v>45805.7</v>
      </c>
      <c r="AU113" s="383">
        <f t="shared" si="54"/>
        <v>0.39999999999417923</v>
      </c>
      <c r="AV113" s="341"/>
      <c r="AW113" s="341"/>
      <c r="AX113" s="341"/>
      <c r="AY113" s="341"/>
      <c r="AZ113" s="362" t="s">
        <v>686</v>
      </c>
      <c r="BA113" s="550">
        <v>1659.1101684400001</v>
      </c>
      <c r="BB113" s="550">
        <v>0.34368377</v>
      </c>
      <c r="BC113" s="550">
        <v>996.79464539000003</v>
      </c>
      <c r="BD113" s="550">
        <v>993.38055767000003</v>
      </c>
      <c r="BE113" s="550">
        <v>5.9264929100000003</v>
      </c>
      <c r="BF113" s="550">
        <v>5.9280774899999997</v>
      </c>
      <c r="BG113" s="550">
        <v>-0.12640074000000001</v>
      </c>
      <c r="BH113" s="550">
        <v>5.12234955</v>
      </c>
      <c r="BI113" s="550">
        <v>5.1288324300000001</v>
      </c>
      <c r="BJ113" s="550">
        <v>9.9697450000000007E-2</v>
      </c>
      <c r="BK113" s="550">
        <v>-2.6729940000000001E-2</v>
      </c>
      <c r="BL113" s="550">
        <v>0.34096398999999999</v>
      </c>
      <c r="BM113" s="550"/>
      <c r="BN113" s="550"/>
      <c r="BO113" s="550"/>
      <c r="BP113" s="550"/>
      <c r="BQ113" s="550"/>
      <c r="BR113" s="550"/>
      <c r="BS113" s="550"/>
    </row>
    <row r="114" spans="1:71" s="577" customFormat="1" ht="15" customHeight="1" x14ac:dyDescent="0.2">
      <c r="A114" s="403">
        <v>62008013</v>
      </c>
      <c r="B114" s="403" t="s">
        <v>770</v>
      </c>
      <c r="C114" s="403" t="s">
        <v>778</v>
      </c>
      <c r="D114" s="402" t="s">
        <v>791</v>
      </c>
      <c r="E114" s="346" t="s">
        <v>792</v>
      </c>
      <c r="F114" s="346" t="str">
        <f t="shared" si="28"/>
        <v>08/05/20</v>
      </c>
      <c r="G114" s="362" t="s">
        <v>793</v>
      </c>
      <c r="H114" s="362" t="s">
        <v>685</v>
      </c>
      <c r="I114" s="370"/>
      <c r="J114" s="363">
        <v>20.087005999999999</v>
      </c>
      <c r="K114" s="363">
        <v>50.492570999999998</v>
      </c>
      <c r="L114" s="363">
        <v>29.426486000000001</v>
      </c>
      <c r="M114" s="363">
        <v>31.453139</v>
      </c>
      <c r="N114" s="347">
        <v>4250</v>
      </c>
      <c r="O114" s="347">
        <v>30.36</v>
      </c>
      <c r="P114" s="347">
        <v>0.3201</v>
      </c>
      <c r="Q114" s="347">
        <v>1.9560000000000001E-2</v>
      </c>
      <c r="R114" s="348">
        <v>1.9075114500000001</v>
      </c>
      <c r="S114" s="348">
        <f t="shared" si="47"/>
        <v>7.0298115500000007</v>
      </c>
      <c r="T114" s="380">
        <v>81</v>
      </c>
      <c r="U114" s="380">
        <v>80.5</v>
      </c>
      <c r="V114" s="352">
        <v>9221</v>
      </c>
      <c r="W114" s="352">
        <v>9541</v>
      </c>
      <c r="X114" s="352">
        <f t="shared" si="48"/>
        <v>320</v>
      </c>
      <c r="Y114" s="352">
        <f t="shared" si="42"/>
        <v>167.75783967115899</v>
      </c>
      <c r="Z114" s="372">
        <v>1309.821199</v>
      </c>
      <c r="AA114" s="352">
        <v>1334.45</v>
      </c>
      <c r="AB114" s="352">
        <f t="shared" si="49"/>
        <v>24.628801000000067</v>
      </c>
      <c r="AC114" s="371">
        <f t="shared" si="43"/>
        <v>12.911482654534035</v>
      </c>
      <c r="AD114" s="372">
        <v>-9.74</v>
      </c>
      <c r="AE114" s="352">
        <v>-9.9499999999999993</v>
      </c>
      <c r="AF114" s="352">
        <f t="shared" si="50"/>
        <v>-0.20999999999999908</v>
      </c>
      <c r="AG114" s="371">
        <f t="shared" si="44"/>
        <v>-0.11009108228419759</v>
      </c>
      <c r="AH114" s="372">
        <v>0</v>
      </c>
      <c r="AI114" s="352">
        <v>0</v>
      </c>
      <c r="AJ114" s="352">
        <f t="shared" si="51"/>
        <v>0</v>
      </c>
      <c r="AK114" s="371">
        <f t="shared" si="45"/>
        <v>0</v>
      </c>
      <c r="AL114" s="372">
        <v>-0.05</v>
      </c>
      <c r="AM114" s="352">
        <v>-0.05</v>
      </c>
      <c r="AN114" s="352">
        <f t="shared" si="52"/>
        <v>0</v>
      </c>
      <c r="AO114" s="371">
        <f t="shared" si="46"/>
        <v>0</v>
      </c>
      <c r="AP114" s="341">
        <v>81</v>
      </c>
      <c r="AQ114" s="341">
        <v>80.5</v>
      </c>
      <c r="AR114" s="341">
        <f t="shared" si="53"/>
        <v>-0.5</v>
      </c>
      <c r="AS114" s="526">
        <v>45805.7</v>
      </c>
      <c r="AT114" s="383">
        <v>45806.5</v>
      </c>
      <c r="AU114" s="383">
        <f t="shared" si="54"/>
        <v>0.80000000000291038</v>
      </c>
      <c r="AV114" s="341"/>
      <c r="AW114" s="341"/>
      <c r="AX114" s="341"/>
      <c r="AY114" s="341"/>
      <c r="AZ114" s="362" t="s">
        <v>686</v>
      </c>
      <c r="BA114" s="550">
        <v>1098.1661932899999</v>
      </c>
      <c r="BB114" s="550">
        <v>-3.0160680499999999</v>
      </c>
      <c r="BC114" s="550">
        <v>1938.72475442</v>
      </c>
      <c r="BD114" s="550">
        <v>1999.0164510100001</v>
      </c>
      <c r="BE114" s="550">
        <v>1.5549300399999999</v>
      </c>
      <c r="BF114" s="550">
        <v>1.59598679</v>
      </c>
      <c r="BG114" s="550">
        <v>-0.36304992000000003</v>
      </c>
      <c r="BH114" s="550">
        <v>1.9073603299999999</v>
      </c>
      <c r="BI114" s="550">
        <v>1.9143102299999999</v>
      </c>
      <c r="BJ114" s="550">
        <v>-2.2677881200000001</v>
      </c>
      <c r="BK114" s="550">
        <v>-2.5724992100000001</v>
      </c>
      <c r="BL114" s="550">
        <v>0.79192622999999995</v>
      </c>
      <c r="BM114" s="550"/>
      <c r="BN114" s="550"/>
      <c r="BO114" s="550"/>
      <c r="BP114" s="550"/>
      <c r="BQ114" s="550"/>
      <c r="BR114" s="550"/>
      <c r="BS114" s="550"/>
    </row>
    <row r="115" spans="1:71" s="577" customFormat="1" ht="15" customHeight="1" x14ac:dyDescent="0.2">
      <c r="A115" s="403">
        <v>62008013</v>
      </c>
      <c r="B115" s="403" t="s">
        <v>770</v>
      </c>
      <c r="C115" s="403" t="s">
        <v>783</v>
      </c>
      <c r="D115" s="402" t="s">
        <v>791</v>
      </c>
      <c r="E115" s="346" t="s">
        <v>792</v>
      </c>
      <c r="F115" s="346" t="str">
        <f t="shared" si="28"/>
        <v>08/05/20</v>
      </c>
      <c r="G115" s="362" t="s">
        <v>793</v>
      </c>
      <c r="H115" s="362" t="s">
        <v>685</v>
      </c>
      <c r="I115" s="370"/>
      <c r="J115" s="363">
        <v>19.943971999999999</v>
      </c>
      <c r="K115" s="363">
        <v>52.501489999999997</v>
      </c>
      <c r="L115" s="363">
        <v>29.426940999999999</v>
      </c>
      <c r="M115" s="363">
        <v>28.773306999999999</v>
      </c>
      <c r="N115" s="347">
        <v>4250</v>
      </c>
      <c r="O115" s="347">
        <v>30.36</v>
      </c>
      <c r="P115" s="347">
        <v>0.3201</v>
      </c>
      <c r="Q115" s="347">
        <v>1.9560000000000001E-2</v>
      </c>
      <c r="R115" s="348">
        <v>2.9444743199999999</v>
      </c>
      <c r="S115" s="348">
        <f t="shared" si="47"/>
        <v>4.8519857699999998</v>
      </c>
      <c r="T115" s="380">
        <v>80.5</v>
      </c>
      <c r="U115" s="380">
        <v>79.599999999999994</v>
      </c>
      <c r="V115" s="352">
        <v>9541</v>
      </c>
      <c r="W115" s="352">
        <v>10075</v>
      </c>
      <c r="X115" s="352">
        <f t="shared" si="48"/>
        <v>534</v>
      </c>
      <c r="Y115" s="352">
        <f t="shared" si="42"/>
        <v>181.35665044618219</v>
      </c>
      <c r="Z115" s="372">
        <v>1334.46</v>
      </c>
      <c r="AA115" s="352">
        <v>1352.490303</v>
      </c>
      <c r="AB115" s="352">
        <f t="shared" si="49"/>
        <v>18.030303000000004</v>
      </c>
      <c r="AC115" s="371">
        <f t="shared" si="43"/>
        <v>6.1234370011418555</v>
      </c>
      <c r="AD115" s="372">
        <v>-9.9499999999999993</v>
      </c>
      <c r="AE115" s="352">
        <v>-10.1</v>
      </c>
      <c r="AF115" s="352">
        <f t="shared" si="50"/>
        <v>-0.15000000000000036</v>
      </c>
      <c r="AG115" s="371">
        <f t="shared" si="44"/>
        <v>-5.0942879338815347E-2</v>
      </c>
      <c r="AH115" s="372">
        <v>0</v>
      </c>
      <c r="AI115" s="352">
        <v>0</v>
      </c>
      <c r="AJ115" s="352">
        <f t="shared" si="51"/>
        <v>0</v>
      </c>
      <c r="AK115" s="371">
        <f t="shared" si="45"/>
        <v>0</v>
      </c>
      <c r="AL115" s="372">
        <v>-0.05</v>
      </c>
      <c r="AM115" s="352">
        <v>-0.05</v>
      </c>
      <c r="AN115" s="352">
        <f t="shared" si="52"/>
        <v>0</v>
      </c>
      <c r="AO115" s="371">
        <f t="shared" si="46"/>
        <v>0</v>
      </c>
      <c r="AP115" s="341">
        <v>80.5</v>
      </c>
      <c r="AQ115" s="341">
        <v>79.599999999999994</v>
      </c>
      <c r="AR115" s="341">
        <f t="shared" si="53"/>
        <v>-0.90000000000000568</v>
      </c>
      <c r="AS115" s="526">
        <v>45806.5</v>
      </c>
      <c r="AT115" s="383">
        <v>45807.1</v>
      </c>
      <c r="AU115" s="383">
        <f t="shared" si="54"/>
        <v>0.59999999999854481</v>
      </c>
      <c r="AV115" s="341"/>
      <c r="AW115" s="341"/>
      <c r="AX115" s="341"/>
      <c r="AY115" s="341"/>
      <c r="AZ115" s="362" t="s">
        <v>686</v>
      </c>
      <c r="BA115" s="550">
        <v>2156.78949956</v>
      </c>
      <c r="BB115" s="550">
        <v>-3.75320075</v>
      </c>
      <c r="BC115" s="550">
        <v>1788.06029025</v>
      </c>
      <c r="BD115" s="550">
        <v>1857.78675671</v>
      </c>
      <c r="BE115" s="550">
        <v>2.64438511</v>
      </c>
      <c r="BF115" s="550">
        <v>2.6986220900000002</v>
      </c>
      <c r="BG115" s="550">
        <v>-0.13122835999999999</v>
      </c>
      <c r="BH115" s="550">
        <v>2.9444492800000002</v>
      </c>
      <c r="BI115" s="550">
        <v>2.9483183099999999</v>
      </c>
      <c r="BJ115" s="550">
        <v>-1.9171043400000001</v>
      </c>
      <c r="BK115" s="550">
        <v>-2.00980268</v>
      </c>
      <c r="BL115" s="550">
        <v>0.68410526000000005</v>
      </c>
      <c r="BM115" s="550"/>
      <c r="BN115" s="550"/>
      <c r="BO115" s="550"/>
      <c r="BP115" s="550"/>
      <c r="BQ115" s="550"/>
      <c r="BR115" s="550"/>
      <c r="BS115" s="550"/>
    </row>
    <row r="116" spans="1:71" s="577" customFormat="1" ht="15" customHeight="1" x14ac:dyDescent="0.2">
      <c r="A116" s="403">
        <v>62008013</v>
      </c>
      <c r="B116" s="403" t="s">
        <v>770</v>
      </c>
      <c r="C116" s="403" t="s">
        <v>781</v>
      </c>
      <c r="D116" s="402" t="s">
        <v>791</v>
      </c>
      <c r="E116" s="346" t="s">
        <v>792</v>
      </c>
      <c r="F116" s="346" t="str">
        <f t="shared" si="28"/>
        <v>08/05/20</v>
      </c>
      <c r="G116" s="362" t="s">
        <v>793</v>
      </c>
      <c r="H116" s="362" t="s">
        <v>685</v>
      </c>
      <c r="I116" s="370"/>
      <c r="J116" s="363">
        <v>23.126695999999999</v>
      </c>
      <c r="K116" s="363">
        <v>44.058132000000001</v>
      </c>
      <c r="L116" s="363">
        <v>29.429506</v>
      </c>
      <c r="M116" s="363">
        <v>29.329620999999999</v>
      </c>
      <c r="N116" s="347">
        <v>4250</v>
      </c>
      <c r="O116" s="347">
        <v>30.36</v>
      </c>
      <c r="P116" s="347">
        <v>0.3201</v>
      </c>
      <c r="Q116" s="347">
        <v>1.9560000000000001E-2</v>
      </c>
      <c r="R116" s="348">
        <v>4.3821645900000004</v>
      </c>
      <c r="S116" s="348">
        <f t="shared" si="47"/>
        <v>7.3266389099999998</v>
      </c>
      <c r="T116" s="380">
        <v>79.599999999999994</v>
      </c>
      <c r="U116" s="380">
        <v>78.2</v>
      </c>
      <c r="V116" s="352">
        <v>10075</v>
      </c>
      <c r="W116" s="352">
        <v>11000</v>
      </c>
      <c r="X116" s="352">
        <f t="shared" si="48"/>
        <v>925</v>
      </c>
      <c r="Y116" s="352">
        <f t="shared" si="42"/>
        <v>211.08289773296715</v>
      </c>
      <c r="Z116" s="372">
        <v>1352.5008089999999</v>
      </c>
      <c r="AA116" s="352">
        <v>1371.3688979999999</v>
      </c>
      <c r="AB116" s="352">
        <f t="shared" si="49"/>
        <v>18.868089000000055</v>
      </c>
      <c r="AC116" s="371">
        <f t="shared" si="43"/>
        <v>4.3056550278957122</v>
      </c>
      <c r="AD116" s="372">
        <v>-10.1</v>
      </c>
      <c r="AE116" s="352">
        <v>-10.26</v>
      </c>
      <c r="AF116" s="352">
        <f t="shared" si="50"/>
        <v>-0.16000000000000014</v>
      </c>
      <c r="AG116" s="371">
        <f t="shared" si="44"/>
        <v>-3.6511636364621375E-2</v>
      </c>
      <c r="AH116" s="372">
        <v>0</v>
      </c>
      <c r="AI116" s="352">
        <v>0</v>
      </c>
      <c r="AJ116" s="352">
        <f t="shared" si="51"/>
        <v>0</v>
      </c>
      <c r="AK116" s="371">
        <f t="shared" si="45"/>
        <v>0</v>
      </c>
      <c r="AL116" s="372">
        <v>-0.05</v>
      </c>
      <c r="AM116" s="352">
        <v>-0.05</v>
      </c>
      <c r="AN116" s="352">
        <f t="shared" si="52"/>
        <v>0</v>
      </c>
      <c r="AO116" s="371">
        <f t="shared" si="46"/>
        <v>0</v>
      </c>
      <c r="AP116" s="341">
        <v>79.599999999999994</v>
      </c>
      <c r="AQ116" s="341">
        <v>78.2</v>
      </c>
      <c r="AR116" s="341">
        <f t="shared" si="53"/>
        <v>-1.3999999999999915</v>
      </c>
      <c r="AS116" s="526">
        <v>45807.1</v>
      </c>
      <c r="AT116" s="383">
        <v>45807.7</v>
      </c>
      <c r="AU116" s="383">
        <f t="shared" si="54"/>
        <v>0.59999999999854481</v>
      </c>
      <c r="AV116" s="341"/>
      <c r="AW116" s="341"/>
      <c r="AX116" s="341"/>
      <c r="AY116" s="341"/>
      <c r="AZ116" s="362" t="s">
        <v>686</v>
      </c>
      <c r="BA116" s="550">
        <v>1900.1804863699999</v>
      </c>
      <c r="BB116" s="550">
        <v>-3.3404395999999998</v>
      </c>
      <c r="BC116" s="550">
        <v>1572.839099</v>
      </c>
      <c r="BD116" s="550">
        <v>1627.1945501600001</v>
      </c>
      <c r="BE116" s="550">
        <v>3.8001719199999999</v>
      </c>
      <c r="BF116" s="550">
        <v>3.8535708</v>
      </c>
      <c r="BG116" s="550">
        <v>-0.12386579</v>
      </c>
      <c r="BH116" s="550">
        <v>4.3821764099999996</v>
      </c>
      <c r="BI116" s="550">
        <v>4.3876111599999996</v>
      </c>
      <c r="BJ116" s="550">
        <v>-1.2795637</v>
      </c>
      <c r="BK116" s="550">
        <v>-1.3856986</v>
      </c>
      <c r="BL116" s="550">
        <v>0.49622622999999999</v>
      </c>
      <c r="BM116" s="550"/>
      <c r="BN116" s="550"/>
      <c r="BO116" s="550"/>
      <c r="BP116" s="550"/>
      <c r="BQ116" s="550"/>
      <c r="BR116" s="550"/>
      <c r="BS116" s="550"/>
    </row>
    <row r="117" spans="1:71" s="577" customFormat="1" ht="15" customHeight="1" x14ac:dyDescent="0.2">
      <c r="A117" s="403">
        <v>62008013</v>
      </c>
      <c r="B117" s="403" t="s">
        <v>770</v>
      </c>
      <c r="C117" s="403" t="s">
        <v>784</v>
      </c>
      <c r="D117" s="402" t="s">
        <v>791</v>
      </c>
      <c r="E117" s="346" t="s">
        <v>792</v>
      </c>
      <c r="F117" s="346" t="str">
        <f t="shared" si="28"/>
        <v>08/05/20</v>
      </c>
      <c r="G117" s="362" t="s">
        <v>793</v>
      </c>
      <c r="H117" s="362" t="s">
        <v>685</v>
      </c>
      <c r="I117" s="370"/>
      <c r="J117" s="363">
        <v>25.669066000000001</v>
      </c>
      <c r="K117" s="363">
        <v>37.531556999999999</v>
      </c>
      <c r="L117" s="363">
        <v>29.451851000000001</v>
      </c>
      <c r="M117" s="363">
        <v>30.799296999999999</v>
      </c>
      <c r="N117" s="347">
        <v>4250</v>
      </c>
      <c r="O117" s="347">
        <v>30.36</v>
      </c>
      <c r="P117" s="347">
        <v>0.3201</v>
      </c>
      <c r="Q117" s="347">
        <v>1.9560000000000001E-2</v>
      </c>
      <c r="R117" s="348">
        <v>5.1223645500000003</v>
      </c>
      <c r="S117" s="348">
        <f t="shared" si="47"/>
        <v>9.5045291400000007</v>
      </c>
      <c r="T117" s="380">
        <v>78.2</v>
      </c>
      <c r="U117" s="380">
        <v>75.7</v>
      </c>
      <c r="V117" s="352">
        <v>11000</v>
      </c>
      <c r="W117" s="352">
        <v>12579</v>
      </c>
      <c r="X117" s="352">
        <f t="shared" si="48"/>
        <v>1579</v>
      </c>
      <c r="Y117" s="352">
        <f t="shared" si="42"/>
        <v>308.25607677610526</v>
      </c>
      <c r="Z117" s="372">
        <v>1371.37</v>
      </c>
      <c r="AA117" s="352">
        <v>1384.61031</v>
      </c>
      <c r="AB117" s="352">
        <f t="shared" si="49"/>
        <v>13.240310000000136</v>
      </c>
      <c r="AC117" s="371">
        <f t="shared" si="43"/>
        <v>2.5848043165924484</v>
      </c>
      <c r="AD117" s="372">
        <v>-10.26</v>
      </c>
      <c r="AE117" s="352">
        <v>-10.36</v>
      </c>
      <c r="AF117" s="352">
        <f t="shared" si="50"/>
        <v>-9.9999999999999645E-2</v>
      </c>
      <c r="AG117" s="371">
        <f t="shared" si="44"/>
        <v>-1.9522234121349218E-2</v>
      </c>
      <c r="AH117" s="372">
        <v>0</v>
      </c>
      <c r="AI117" s="352">
        <v>0</v>
      </c>
      <c r="AJ117" s="352">
        <f t="shared" si="51"/>
        <v>0</v>
      </c>
      <c r="AK117" s="371">
        <f t="shared" si="45"/>
        <v>0</v>
      </c>
      <c r="AL117" s="372">
        <v>-0.05</v>
      </c>
      <c r="AM117" s="352">
        <v>-0.05</v>
      </c>
      <c r="AN117" s="352">
        <f t="shared" si="52"/>
        <v>0</v>
      </c>
      <c r="AO117" s="371">
        <f t="shared" si="46"/>
        <v>0</v>
      </c>
      <c r="AP117" s="341">
        <v>78.2</v>
      </c>
      <c r="AQ117" s="341">
        <v>75.7</v>
      </c>
      <c r="AR117" s="341">
        <f t="shared" si="53"/>
        <v>-2.5</v>
      </c>
      <c r="AS117" s="526">
        <v>45807.7</v>
      </c>
      <c r="AT117" s="383">
        <v>45808.2</v>
      </c>
      <c r="AU117" s="383">
        <f t="shared" si="54"/>
        <v>0.5</v>
      </c>
      <c r="AV117" s="341"/>
      <c r="AW117" s="341"/>
      <c r="AX117" s="341"/>
      <c r="AY117" s="341"/>
      <c r="AZ117" s="362" t="s">
        <v>686</v>
      </c>
      <c r="BA117" s="550">
        <v>1659.9819345000001</v>
      </c>
      <c r="BB117" s="550">
        <v>0.32410843</v>
      </c>
      <c r="BC117" s="550">
        <v>996.59919626999999</v>
      </c>
      <c r="BD117" s="550">
        <v>993.37956935</v>
      </c>
      <c r="BE117" s="550">
        <v>5.9260309700000002</v>
      </c>
      <c r="BF117" s="550">
        <v>5.9280698100000002</v>
      </c>
      <c r="BG117" s="550">
        <v>-0.1252346</v>
      </c>
      <c r="BH117" s="550">
        <v>5.1224095700000003</v>
      </c>
      <c r="BI117" s="550">
        <v>5.1288326399999997</v>
      </c>
      <c r="BJ117" s="550">
        <v>9.0873019999999999E-2</v>
      </c>
      <c r="BK117" s="550">
        <v>-3.4392829999999999E-2</v>
      </c>
      <c r="BL117" s="550">
        <v>0.34096402999999997</v>
      </c>
      <c r="BM117" s="550"/>
      <c r="BN117" s="550"/>
      <c r="BO117" s="550"/>
      <c r="BP117" s="550"/>
      <c r="BQ117" s="550"/>
      <c r="BR117" s="550"/>
      <c r="BS117" s="550"/>
    </row>
    <row r="118" spans="1:71" s="577" customFormat="1" ht="15" customHeight="1" x14ac:dyDescent="0.2">
      <c r="A118" s="403">
        <v>62008014</v>
      </c>
      <c r="B118" s="403" t="s">
        <v>771</v>
      </c>
      <c r="C118" s="403" t="s">
        <v>773</v>
      </c>
      <c r="D118" s="402" t="s">
        <v>794</v>
      </c>
      <c r="E118" s="346" t="s">
        <v>795</v>
      </c>
      <c r="F118" s="346" t="str">
        <f t="shared" si="28"/>
        <v>08/05/20</v>
      </c>
      <c r="G118" s="362" t="s">
        <v>796</v>
      </c>
      <c r="H118" s="362" t="s">
        <v>685</v>
      </c>
      <c r="I118" s="370"/>
      <c r="J118" s="363">
        <v>24.070167999999999</v>
      </c>
      <c r="K118" s="363">
        <v>41.625672999999999</v>
      </c>
      <c r="L118" s="363">
        <v>29.436608</v>
      </c>
      <c r="M118" s="363">
        <v>30.960377999999999</v>
      </c>
      <c r="N118" s="347">
        <v>4250</v>
      </c>
      <c r="O118" s="347">
        <v>30.36</v>
      </c>
      <c r="P118" s="347">
        <v>0.3201</v>
      </c>
      <c r="Q118" s="347">
        <v>1.9560000000000001E-2</v>
      </c>
      <c r="R118" s="348">
        <v>7.9946622999999999</v>
      </c>
      <c r="S118" s="348">
        <f t="shared" si="47"/>
        <v>13.11702685</v>
      </c>
      <c r="T118" s="380">
        <v>75.7</v>
      </c>
      <c r="U118" s="380">
        <v>71.900000000000006</v>
      </c>
      <c r="V118" s="352">
        <v>12584</v>
      </c>
      <c r="W118" s="352">
        <v>14975</v>
      </c>
      <c r="X118" s="352">
        <f t="shared" si="48"/>
        <v>2391</v>
      </c>
      <c r="Y118" s="352">
        <f t="shared" si="42"/>
        <v>299.07454627570701</v>
      </c>
      <c r="Z118" s="372">
        <v>1388.8204040000001</v>
      </c>
      <c r="AA118" s="352">
        <v>1414.38</v>
      </c>
      <c r="AB118" s="352">
        <f t="shared" si="49"/>
        <v>25.559596000000056</v>
      </c>
      <c r="AC118" s="371">
        <f t="shared" si="43"/>
        <v>3.1970826334966089</v>
      </c>
      <c r="AD118" s="372">
        <v>-8.7799999999999994</v>
      </c>
      <c r="AE118" s="352">
        <v>-9.44</v>
      </c>
      <c r="AF118" s="352">
        <f t="shared" si="50"/>
        <v>-0.66000000000000014</v>
      </c>
      <c r="AG118" s="371">
        <f t="shared" si="44"/>
        <v>-8.2555081782503828E-2</v>
      </c>
      <c r="AH118" s="372">
        <v>0</v>
      </c>
      <c r="AI118" s="352">
        <v>0</v>
      </c>
      <c r="AJ118" s="352">
        <f t="shared" si="51"/>
        <v>0</v>
      </c>
      <c r="AK118" s="371">
        <f t="shared" si="45"/>
        <v>0</v>
      </c>
      <c r="AL118" s="372">
        <v>-0.05</v>
      </c>
      <c r="AM118" s="352">
        <v>-0.05</v>
      </c>
      <c r="AN118" s="352">
        <f t="shared" si="52"/>
        <v>0</v>
      </c>
      <c r="AO118" s="371">
        <f t="shared" si="46"/>
        <v>0</v>
      </c>
      <c r="AP118" s="341">
        <v>75.7</v>
      </c>
      <c r="AQ118" s="341">
        <v>71.900000000000006</v>
      </c>
      <c r="AR118" s="341">
        <f t="shared" si="53"/>
        <v>-3.7999999999999972</v>
      </c>
      <c r="AS118" s="526">
        <v>45808.9</v>
      </c>
      <c r="AT118" s="383">
        <v>45809.7</v>
      </c>
      <c r="AU118" s="383">
        <f t="shared" si="54"/>
        <v>0.79999999999563443</v>
      </c>
      <c r="AV118" s="341"/>
      <c r="AW118" s="341"/>
      <c r="AX118" s="341"/>
      <c r="AY118" s="341"/>
      <c r="AZ118" s="362" t="s">
        <v>686</v>
      </c>
      <c r="BA118" s="550">
        <v>9390.2184618299998</v>
      </c>
      <c r="BB118" s="550">
        <v>-3.7905544400000002</v>
      </c>
      <c r="BC118" s="550">
        <v>3462.18038325</v>
      </c>
      <c r="BD118" s="550">
        <v>3598.5867740899998</v>
      </c>
      <c r="BE118" s="550">
        <v>10.0874896</v>
      </c>
      <c r="BF118" s="550">
        <v>10.29583083</v>
      </c>
      <c r="BG118" s="550">
        <v>-0.16575587999999999</v>
      </c>
      <c r="BH118" s="550">
        <v>7.9946781400000004</v>
      </c>
      <c r="BI118" s="550">
        <v>8.0079517899999999</v>
      </c>
      <c r="BJ118" s="550">
        <v>-1.89616341</v>
      </c>
      <c r="BK118" s="550">
        <v>-2.0235494900000002</v>
      </c>
      <c r="BL118" s="550">
        <v>0.49419772000000001</v>
      </c>
      <c r="BM118" s="550"/>
      <c r="BN118" s="550"/>
      <c r="BO118" s="550"/>
      <c r="BP118" s="550"/>
      <c r="BQ118" s="550"/>
      <c r="BR118" s="550"/>
      <c r="BS118" s="550"/>
    </row>
    <row r="119" spans="1:71" s="577" customFormat="1" ht="15" customHeight="1" x14ac:dyDescent="0.2">
      <c r="A119" s="403">
        <v>62008014</v>
      </c>
      <c r="B119" s="403" t="s">
        <v>771</v>
      </c>
      <c r="C119" s="403" t="s">
        <v>774</v>
      </c>
      <c r="D119" s="402" t="s">
        <v>794</v>
      </c>
      <c r="E119" s="346" t="s">
        <v>795</v>
      </c>
      <c r="F119" s="346" t="str">
        <f t="shared" si="28"/>
        <v>08/05/20</v>
      </c>
      <c r="G119" s="362" t="s">
        <v>796</v>
      </c>
      <c r="H119" s="362" t="s">
        <v>685</v>
      </c>
      <c r="I119" s="370"/>
      <c r="J119" s="363">
        <v>24.209786999999999</v>
      </c>
      <c r="K119" s="363">
        <v>40.594360000000002</v>
      </c>
      <c r="L119" s="363">
        <v>29.437374999999999</v>
      </c>
      <c r="M119" s="363">
        <v>31.718945000000001</v>
      </c>
      <c r="N119" s="347">
        <v>4250</v>
      </c>
      <c r="O119" s="347">
        <v>30.36</v>
      </c>
      <c r="P119" s="347">
        <v>0.3201</v>
      </c>
      <c r="Q119" s="347">
        <v>1.9560000000000001E-2</v>
      </c>
      <c r="R119" s="348">
        <v>7.9939228099999999</v>
      </c>
      <c r="S119" s="348">
        <f t="shared" si="47"/>
        <v>15.988585109999999</v>
      </c>
      <c r="T119" s="380">
        <v>71.900000000000006</v>
      </c>
      <c r="U119" s="380">
        <v>68.099999999999994</v>
      </c>
      <c r="V119" s="352">
        <v>14975</v>
      </c>
      <c r="W119" s="352">
        <v>17355</v>
      </c>
      <c r="X119" s="352">
        <f t="shared" si="48"/>
        <v>2380</v>
      </c>
      <c r="Y119" s="352">
        <f t="shared" si="42"/>
        <v>297.72616731083997</v>
      </c>
      <c r="Z119" s="372">
        <v>1414.3800080000001</v>
      </c>
      <c r="AA119" s="352">
        <v>1439.52</v>
      </c>
      <c r="AB119" s="352">
        <f t="shared" si="49"/>
        <v>25.139991999999893</v>
      </c>
      <c r="AC119" s="371">
        <f t="shared" si="43"/>
        <v>3.1448880102458601</v>
      </c>
      <c r="AD119" s="372">
        <v>-9.44</v>
      </c>
      <c r="AE119" s="352">
        <v>-9.83</v>
      </c>
      <c r="AF119" s="352">
        <f t="shared" si="50"/>
        <v>-0.39000000000000057</v>
      </c>
      <c r="AG119" s="371">
        <f t="shared" si="44"/>
        <v>-4.8787061029927629E-2</v>
      </c>
      <c r="AH119" s="372">
        <v>0</v>
      </c>
      <c r="AI119" s="352">
        <v>0</v>
      </c>
      <c r="AJ119" s="352">
        <f t="shared" si="51"/>
        <v>0</v>
      </c>
      <c r="AK119" s="371">
        <f t="shared" si="45"/>
        <v>0</v>
      </c>
      <c r="AL119" s="372">
        <v>-0.05</v>
      </c>
      <c r="AM119" s="352">
        <v>-0.05</v>
      </c>
      <c r="AN119" s="352">
        <f t="shared" si="52"/>
        <v>0</v>
      </c>
      <c r="AO119" s="371">
        <f t="shared" si="46"/>
        <v>0</v>
      </c>
      <c r="AP119" s="341">
        <v>71.900000000000006</v>
      </c>
      <c r="AQ119" s="341">
        <v>68.099999999999994</v>
      </c>
      <c r="AR119" s="341">
        <f t="shared" si="53"/>
        <v>-3.8000000000000114</v>
      </c>
      <c r="AS119" s="526">
        <v>45809.7</v>
      </c>
      <c r="AT119" s="383">
        <v>45810.5</v>
      </c>
      <c r="AU119" s="383">
        <f t="shared" si="54"/>
        <v>0.80000000000291038</v>
      </c>
      <c r="AV119" s="341"/>
      <c r="AW119" s="341"/>
      <c r="AX119" s="341"/>
      <c r="AY119" s="341"/>
      <c r="AZ119" s="362" t="s">
        <v>686</v>
      </c>
      <c r="BA119" s="550">
        <v>9396.4797278900005</v>
      </c>
      <c r="BB119" s="550">
        <v>-3.8121346300000001</v>
      </c>
      <c r="BC119" s="550">
        <v>3461.0887702099999</v>
      </c>
      <c r="BD119" s="550">
        <v>3598.2592575899998</v>
      </c>
      <c r="BE119" s="550">
        <v>10.08661556</v>
      </c>
      <c r="BF119" s="550">
        <v>10.29536476</v>
      </c>
      <c r="BG119" s="550">
        <v>-0.17486165000000001</v>
      </c>
      <c r="BH119" s="550">
        <v>7.9939514300000001</v>
      </c>
      <c r="BI119" s="550">
        <v>8.0079542700000008</v>
      </c>
      <c r="BJ119" s="550">
        <v>-1.89108579</v>
      </c>
      <c r="BK119" s="550">
        <v>-2.0276037100000002</v>
      </c>
      <c r="BL119" s="550">
        <v>0.49414163999999999</v>
      </c>
      <c r="BM119" s="550"/>
      <c r="BN119" s="550"/>
      <c r="BO119" s="550"/>
      <c r="BP119" s="550"/>
      <c r="BQ119" s="550"/>
      <c r="BR119" s="550"/>
      <c r="BS119" s="550"/>
    </row>
    <row r="120" spans="1:71" s="577" customFormat="1" ht="15" customHeight="1" x14ac:dyDescent="0.2">
      <c r="A120" s="403">
        <v>62008014</v>
      </c>
      <c r="B120" s="403" t="s">
        <v>772</v>
      </c>
      <c r="C120" s="403" t="s">
        <v>776</v>
      </c>
      <c r="D120" s="402" t="s">
        <v>794</v>
      </c>
      <c r="E120" s="346" t="s">
        <v>795</v>
      </c>
      <c r="F120" s="346" t="str">
        <f t="shared" si="28"/>
        <v>08/05/20</v>
      </c>
      <c r="G120" s="362" t="s">
        <v>796</v>
      </c>
      <c r="H120" s="362" t="s">
        <v>685</v>
      </c>
      <c r="I120" s="370"/>
      <c r="J120" s="363">
        <v>24.208565</v>
      </c>
      <c r="K120" s="363">
        <v>39.789693999999997</v>
      </c>
      <c r="L120" s="363">
        <v>29.440097999999999</v>
      </c>
      <c r="M120" s="363">
        <v>31.946373000000001</v>
      </c>
      <c r="N120" s="347">
        <v>4250</v>
      </c>
      <c r="O120" s="347">
        <v>30.36</v>
      </c>
      <c r="P120" s="347">
        <v>0.3201</v>
      </c>
      <c r="Q120" s="347">
        <v>1.9560000000000001E-2</v>
      </c>
      <c r="R120" s="348">
        <v>7.9946515399999996</v>
      </c>
      <c r="S120" s="348">
        <f t="shared" si="47"/>
        <v>15.98857435</v>
      </c>
      <c r="T120" s="380">
        <v>68.099999999999994</v>
      </c>
      <c r="U120" s="380">
        <v>64.2</v>
      </c>
      <c r="V120" s="352">
        <v>17355</v>
      </c>
      <c r="W120" s="352">
        <v>19732</v>
      </c>
      <c r="X120" s="352">
        <f t="shared" si="48"/>
        <v>2377</v>
      </c>
      <c r="Y120" s="352">
        <f t="shared" si="42"/>
        <v>297.32377804173814</v>
      </c>
      <c r="Z120" s="372">
        <v>1439.53</v>
      </c>
      <c r="AA120" s="352">
        <v>1464.54</v>
      </c>
      <c r="AB120" s="352">
        <f t="shared" si="49"/>
        <v>25.009999999999991</v>
      </c>
      <c r="AC120" s="371">
        <f t="shared" si="43"/>
        <v>3.1283414761564443</v>
      </c>
      <c r="AD120" s="372">
        <v>-9.83</v>
      </c>
      <c r="AE120" s="352">
        <v>-10.130000000000001</v>
      </c>
      <c r="AF120" s="352">
        <f t="shared" si="50"/>
        <v>-0.30000000000000071</v>
      </c>
      <c r="AG120" s="371">
        <f t="shared" si="44"/>
        <v>-3.7525087678805913E-2</v>
      </c>
      <c r="AH120" s="372">
        <v>0</v>
      </c>
      <c r="AI120" s="352">
        <v>0</v>
      </c>
      <c r="AJ120" s="352">
        <f t="shared" si="51"/>
        <v>0</v>
      </c>
      <c r="AK120" s="371">
        <f t="shared" si="45"/>
        <v>0</v>
      </c>
      <c r="AL120" s="372">
        <v>-0.05</v>
      </c>
      <c r="AM120" s="352">
        <v>-0.05</v>
      </c>
      <c r="AN120" s="352">
        <f t="shared" si="52"/>
        <v>0</v>
      </c>
      <c r="AO120" s="371">
        <f t="shared" si="46"/>
        <v>0</v>
      </c>
      <c r="AP120" s="341">
        <v>68.099999999999994</v>
      </c>
      <c r="AQ120" s="341">
        <v>64.2</v>
      </c>
      <c r="AR120" s="341">
        <f t="shared" si="53"/>
        <v>-3.8999999999999915</v>
      </c>
      <c r="AS120" s="526">
        <v>45810.5</v>
      </c>
      <c r="AT120" s="383">
        <v>45811.3</v>
      </c>
      <c r="AU120" s="383">
        <f t="shared" si="54"/>
        <v>0.80000000000291038</v>
      </c>
      <c r="AV120" s="341"/>
      <c r="AW120" s="341"/>
      <c r="AX120" s="341"/>
      <c r="AY120" s="341"/>
      <c r="AZ120" s="362" t="s">
        <v>686</v>
      </c>
      <c r="BA120" s="550">
        <v>9390.1459599400005</v>
      </c>
      <c r="BB120" s="550">
        <v>-3.8005427200000002</v>
      </c>
      <c r="BC120" s="550">
        <v>3461.2488701900002</v>
      </c>
      <c r="BD120" s="550">
        <v>3597.9920968900001</v>
      </c>
      <c r="BE120" s="550">
        <v>10.087620129999999</v>
      </c>
      <c r="BF120" s="550">
        <v>10.29493433</v>
      </c>
      <c r="BG120" s="550">
        <v>-0.16625330999999999</v>
      </c>
      <c r="BH120" s="550">
        <v>7.99463934</v>
      </c>
      <c r="BI120" s="550">
        <v>8.0079528199999999</v>
      </c>
      <c r="BJ120" s="550">
        <v>-1.8854648199999999</v>
      </c>
      <c r="BK120" s="550">
        <v>-2.0137495900000002</v>
      </c>
      <c r="BL120" s="550">
        <v>0.49409842999999998</v>
      </c>
      <c r="BM120" s="550"/>
      <c r="BN120" s="550"/>
      <c r="BO120" s="550"/>
      <c r="BP120" s="550"/>
      <c r="BQ120" s="550"/>
      <c r="BR120" s="550"/>
      <c r="BS120" s="550"/>
    </row>
    <row r="121" spans="1:71" s="577" customFormat="1" ht="15" customHeight="1" x14ac:dyDescent="0.2">
      <c r="A121" s="403">
        <v>62008014</v>
      </c>
      <c r="B121" s="403" t="s">
        <v>772</v>
      </c>
      <c r="C121" s="403" t="s">
        <v>777</v>
      </c>
      <c r="D121" s="402" t="s">
        <v>794</v>
      </c>
      <c r="E121" s="346" t="s">
        <v>795</v>
      </c>
      <c r="F121" s="346" t="str">
        <f t="shared" si="28"/>
        <v>08/05/20</v>
      </c>
      <c r="G121" s="362" t="s">
        <v>796</v>
      </c>
      <c r="H121" s="362" t="s">
        <v>685</v>
      </c>
      <c r="I121" s="370"/>
      <c r="J121" s="363">
        <v>24.236699999999999</v>
      </c>
      <c r="K121" s="363">
        <v>39.770693000000001</v>
      </c>
      <c r="L121" s="363">
        <v>29.437439999999999</v>
      </c>
      <c r="M121" s="363">
        <v>32.028984000000001</v>
      </c>
      <c r="N121" s="347">
        <v>4250</v>
      </c>
      <c r="O121" s="347">
        <v>30.36</v>
      </c>
      <c r="P121" s="347">
        <v>0.3201</v>
      </c>
      <c r="Q121" s="347">
        <v>1.9560000000000001E-2</v>
      </c>
      <c r="R121" s="348">
        <v>7.9937411599999999</v>
      </c>
      <c r="S121" s="348">
        <f t="shared" si="47"/>
        <v>15.988392699999999</v>
      </c>
      <c r="T121" s="380">
        <v>64.2</v>
      </c>
      <c r="U121" s="380">
        <v>60.3</v>
      </c>
      <c r="V121" s="352">
        <v>19732</v>
      </c>
      <c r="W121" s="352">
        <v>22104</v>
      </c>
      <c r="X121" s="352">
        <f t="shared" si="48"/>
        <v>2372</v>
      </c>
      <c r="Y121" s="352">
        <f t="shared" si="42"/>
        <v>296.73214988112022</v>
      </c>
      <c r="Z121" s="372">
        <v>1464.55</v>
      </c>
      <c r="AA121" s="352">
        <v>1489.48</v>
      </c>
      <c r="AB121" s="352">
        <f t="shared" si="49"/>
        <v>24.930000000000064</v>
      </c>
      <c r="AC121" s="371">
        <f t="shared" si="43"/>
        <v>3.1186899226544464</v>
      </c>
      <c r="AD121" s="372">
        <v>-10.130000000000001</v>
      </c>
      <c r="AE121" s="352">
        <v>-10.39</v>
      </c>
      <c r="AF121" s="352">
        <f t="shared" si="50"/>
        <v>-0.25999999999999979</v>
      </c>
      <c r="AG121" s="371">
        <f t="shared" si="44"/>
        <v>-3.2525446445653965E-2</v>
      </c>
      <c r="AH121" s="372">
        <v>0</v>
      </c>
      <c r="AI121" s="352">
        <v>0</v>
      </c>
      <c r="AJ121" s="352">
        <f t="shared" si="51"/>
        <v>0</v>
      </c>
      <c r="AK121" s="371">
        <f t="shared" si="45"/>
        <v>0</v>
      </c>
      <c r="AL121" s="372">
        <v>-0.05</v>
      </c>
      <c r="AM121" s="352">
        <v>-0.05</v>
      </c>
      <c r="AN121" s="352">
        <f t="shared" si="52"/>
        <v>0</v>
      </c>
      <c r="AO121" s="371">
        <f t="shared" si="46"/>
        <v>0</v>
      </c>
      <c r="AP121" s="341">
        <v>64.2</v>
      </c>
      <c r="AQ121" s="341">
        <v>60.3</v>
      </c>
      <c r="AR121" s="341">
        <f t="shared" si="53"/>
        <v>-3.9000000000000057</v>
      </c>
      <c r="AS121" s="526">
        <v>45811.3</v>
      </c>
      <c r="AT121" s="383">
        <v>45812.1</v>
      </c>
      <c r="AU121" s="383">
        <f t="shared" si="54"/>
        <v>0.79999999999563443</v>
      </c>
      <c r="AV121" s="341"/>
      <c r="AW121" s="341"/>
      <c r="AX121" s="341"/>
      <c r="AY121" s="341"/>
      <c r="AZ121" s="362" t="s">
        <v>686</v>
      </c>
      <c r="BA121" s="550">
        <v>9385.7471063899993</v>
      </c>
      <c r="BB121" s="550">
        <v>-3.7812758400000002</v>
      </c>
      <c r="BC121" s="550">
        <v>3461.7733451700001</v>
      </c>
      <c r="BD121" s="550">
        <v>3597.81671972</v>
      </c>
      <c r="BE121" s="550">
        <v>10.086798659999999</v>
      </c>
      <c r="BF121" s="550">
        <v>10.294714109999999</v>
      </c>
      <c r="BG121" s="550">
        <v>-0.1771365</v>
      </c>
      <c r="BH121" s="550">
        <v>7.9937667399999999</v>
      </c>
      <c r="BI121" s="550">
        <v>8.0079517500000001</v>
      </c>
      <c r="BJ121" s="550">
        <v>-1.8804752499999999</v>
      </c>
      <c r="BK121" s="550">
        <v>-2.01963304</v>
      </c>
      <c r="BL121" s="550">
        <v>0.49406712000000003</v>
      </c>
      <c r="BM121" s="550"/>
      <c r="BN121" s="550"/>
      <c r="BO121" s="550"/>
      <c r="BP121" s="550"/>
      <c r="BQ121" s="550"/>
      <c r="BR121" s="550"/>
      <c r="BS121" s="550"/>
    </row>
    <row r="122" spans="1:71" s="577" customFormat="1" ht="15" customHeight="1" x14ac:dyDescent="0.2">
      <c r="A122" s="403">
        <v>62008014</v>
      </c>
      <c r="B122" s="403" t="s">
        <v>772</v>
      </c>
      <c r="C122" s="403" t="s">
        <v>778</v>
      </c>
      <c r="D122" s="402" t="s">
        <v>794</v>
      </c>
      <c r="E122" s="346" t="s">
        <v>795</v>
      </c>
      <c r="F122" s="346" t="str">
        <f t="shared" si="28"/>
        <v>08/05/20</v>
      </c>
      <c r="G122" s="362" t="s">
        <v>796</v>
      </c>
      <c r="H122" s="362" t="s">
        <v>685</v>
      </c>
      <c r="I122" s="370"/>
      <c r="J122" s="363">
        <v>24.240732999999999</v>
      </c>
      <c r="K122" s="363">
        <v>39.827753999999999</v>
      </c>
      <c r="L122" s="363">
        <v>29.441680000000002</v>
      </c>
      <c r="M122" s="363">
        <v>32.061476999999996</v>
      </c>
      <c r="N122" s="347">
        <v>4250</v>
      </c>
      <c r="O122" s="347">
        <v>30.36</v>
      </c>
      <c r="P122" s="347">
        <v>0.3201</v>
      </c>
      <c r="Q122" s="347">
        <v>1.9560000000000001E-2</v>
      </c>
      <c r="R122" s="348">
        <v>7.9946857299999996</v>
      </c>
      <c r="S122" s="348">
        <f t="shared" si="47"/>
        <v>15.98842689</v>
      </c>
      <c r="T122" s="380">
        <v>60.3</v>
      </c>
      <c r="U122" s="380">
        <v>56.4</v>
      </c>
      <c r="V122" s="352">
        <v>22104</v>
      </c>
      <c r="W122" s="352">
        <v>24473</v>
      </c>
      <c r="X122" s="352">
        <f t="shared" si="48"/>
        <v>2369</v>
      </c>
      <c r="Y122" s="352">
        <f t="shared" si="42"/>
        <v>296.32184178426735</v>
      </c>
      <c r="Z122" s="372">
        <v>1489.489147</v>
      </c>
      <c r="AA122" s="352">
        <v>1514.35</v>
      </c>
      <c r="AB122" s="352">
        <f t="shared" si="49"/>
        <v>24.860852999999906</v>
      </c>
      <c r="AC122" s="371">
        <f t="shared" si="43"/>
        <v>3.109672329796497</v>
      </c>
      <c r="AD122" s="372">
        <v>-10.39</v>
      </c>
      <c r="AE122" s="352">
        <v>-10.62</v>
      </c>
      <c r="AF122" s="352">
        <f t="shared" si="50"/>
        <v>-0.22999999999999865</v>
      </c>
      <c r="AG122" s="371">
        <f t="shared" si="44"/>
        <v>-2.8769110852841322E-2</v>
      </c>
      <c r="AH122" s="372">
        <v>0</v>
      </c>
      <c r="AI122" s="352">
        <v>0</v>
      </c>
      <c r="AJ122" s="352">
        <f t="shared" si="51"/>
        <v>0</v>
      </c>
      <c r="AK122" s="371">
        <f t="shared" si="45"/>
        <v>0</v>
      </c>
      <c r="AL122" s="372">
        <v>-0.05</v>
      </c>
      <c r="AM122" s="352">
        <v>-0.05</v>
      </c>
      <c r="AN122" s="352">
        <f t="shared" si="52"/>
        <v>0</v>
      </c>
      <c r="AO122" s="371">
        <f t="shared" si="46"/>
        <v>0</v>
      </c>
      <c r="AP122" s="341">
        <v>60.3</v>
      </c>
      <c r="AQ122" s="341">
        <v>56.4</v>
      </c>
      <c r="AR122" s="341">
        <f t="shared" si="53"/>
        <v>-3.8999999999999986</v>
      </c>
      <c r="AS122" s="526">
        <v>45812.1</v>
      </c>
      <c r="AT122" s="383">
        <v>45812.9</v>
      </c>
      <c r="AU122" s="383">
        <f t="shared" si="54"/>
        <v>0.80000000000291038</v>
      </c>
      <c r="AV122" s="341"/>
      <c r="AW122" s="341"/>
      <c r="AX122" s="341"/>
      <c r="AY122" s="341"/>
      <c r="AZ122" s="362" t="s">
        <v>686</v>
      </c>
      <c r="BA122" s="550">
        <v>9383.8305078899994</v>
      </c>
      <c r="BB122" s="550">
        <v>-3.8097986800000001</v>
      </c>
      <c r="BC122" s="550">
        <v>3460.67381037</v>
      </c>
      <c r="BD122" s="550">
        <v>3597.7404797700001</v>
      </c>
      <c r="BE122" s="550">
        <v>10.08816844</v>
      </c>
      <c r="BF122" s="550">
        <v>10.294589999999999</v>
      </c>
      <c r="BG122" s="550">
        <v>-0.16524490999999999</v>
      </c>
      <c r="BH122" s="550">
        <v>7.9947185300000001</v>
      </c>
      <c r="BI122" s="550">
        <v>8.0079512600000005</v>
      </c>
      <c r="BJ122" s="550">
        <v>-1.87754873</v>
      </c>
      <c r="BK122" s="550">
        <v>-2.0051460400000001</v>
      </c>
      <c r="BL122" s="550">
        <v>0.49405469000000002</v>
      </c>
      <c r="BM122" s="550"/>
      <c r="BN122" s="550"/>
      <c r="BO122" s="550"/>
      <c r="BP122" s="550"/>
      <c r="BQ122" s="550"/>
      <c r="BR122" s="550"/>
      <c r="BS122" s="550"/>
    </row>
    <row r="123" spans="1:71" s="577" customFormat="1" ht="15" customHeight="1" x14ac:dyDescent="0.2">
      <c r="A123" s="403">
        <v>62008014</v>
      </c>
      <c r="B123" s="403" t="s">
        <v>772</v>
      </c>
      <c r="C123" s="403" t="s">
        <v>783</v>
      </c>
      <c r="D123" s="402" t="s">
        <v>794</v>
      </c>
      <c r="E123" s="346" t="s">
        <v>795</v>
      </c>
      <c r="F123" s="346" t="str">
        <f t="shared" si="28"/>
        <v>08/05/20</v>
      </c>
      <c r="G123" s="362" t="s">
        <v>796</v>
      </c>
      <c r="H123" s="362" t="s">
        <v>685</v>
      </c>
      <c r="I123" s="370"/>
      <c r="J123" s="363">
        <v>24.301548</v>
      </c>
      <c r="K123" s="363">
        <v>39.587359999999997</v>
      </c>
      <c r="L123" s="363">
        <v>29.443908</v>
      </c>
      <c r="M123" s="363">
        <v>32.078355999999999</v>
      </c>
      <c r="N123" s="347">
        <v>4250</v>
      </c>
      <c r="O123" s="347">
        <v>30.36</v>
      </c>
      <c r="P123" s="347">
        <v>0.3201</v>
      </c>
      <c r="Q123" s="347">
        <v>1.9560000000000001E-2</v>
      </c>
      <c r="R123" s="348">
        <v>7.9939586299999998</v>
      </c>
      <c r="S123" s="348">
        <f t="shared" si="47"/>
        <v>15.988644359999999</v>
      </c>
      <c r="T123" s="380">
        <v>56.4</v>
      </c>
      <c r="U123" s="380">
        <v>52.4</v>
      </c>
      <c r="V123" s="352">
        <v>24473</v>
      </c>
      <c r="W123" s="352">
        <v>26842</v>
      </c>
      <c r="X123" s="352">
        <f t="shared" si="48"/>
        <v>2369</v>
      </c>
      <c r="Y123" s="352">
        <f t="shared" si="42"/>
        <v>296.34879408926838</v>
      </c>
      <c r="Z123" s="372">
        <v>1514.36</v>
      </c>
      <c r="AA123" s="352">
        <v>1539.2084299999999</v>
      </c>
      <c r="AB123" s="352">
        <f t="shared" si="49"/>
        <v>24.848430000000008</v>
      </c>
      <c r="AC123" s="371">
        <f t="shared" si="43"/>
        <v>3.108401125163192</v>
      </c>
      <c r="AD123" s="372">
        <v>-10.62</v>
      </c>
      <c r="AE123" s="352">
        <v>-10.83</v>
      </c>
      <c r="AF123" s="352">
        <f t="shared" si="50"/>
        <v>-0.21000000000000085</v>
      </c>
      <c r="AG123" s="371">
        <f t="shared" si="44"/>
        <v>-2.6269838226570964E-2</v>
      </c>
      <c r="AH123" s="372">
        <v>0</v>
      </c>
      <c r="AI123" s="352">
        <v>0</v>
      </c>
      <c r="AJ123" s="352">
        <f t="shared" si="51"/>
        <v>0</v>
      </c>
      <c r="AK123" s="371">
        <f t="shared" si="45"/>
        <v>0</v>
      </c>
      <c r="AL123" s="372">
        <v>-0.05</v>
      </c>
      <c r="AM123" s="352">
        <v>-0.05</v>
      </c>
      <c r="AN123" s="352">
        <f t="shared" si="52"/>
        <v>0</v>
      </c>
      <c r="AO123" s="371">
        <f t="shared" si="46"/>
        <v>0</v>
      </c>
      <c r="AP123" s="341">
        <v>56.4</v>
      </c>
      <c r="AQ123" s="341">
        <v>52.4</v>
      </c>
      <c r="AR123" s="341">
        <f t="shared" si="53"/>
        <v>-4</v>
      </c>
      <c r="AS123" s="526">
        <v>45812.9</v>
      </c>
      <c r="AT123" s="383">
        <v>45813.8</v>
      </c>
      <c r="AU123" s="383">
        <f t="shared" si="54"/>
        <v>0.90000000000145519</v>
      </c>
      <c r="AV123" s="341"/>
      <c r="AW123" s="341"/>
      <c r="AX123" s="341"/>
      <c r="AY123" s="341"/>
      <c r="AZ123" s="362" t="s">
        <v>686</v>
      </c>
      <c r="BA123" s="550">
        <v>9383.7963655799995</v>
      </c>
      <c r="BB123" s="550">
        <v>-3.81539779</v>
      </c>
      <c r="BC123" s="550">
        <v>3460.4914039499999</v>
      </c>
      <c r="BD123" s="550">
        <v>3597.76026989</v>
      </c>
      <c r="BE123" s="550">
        <v>10.08804282</v>
      </c>
      <c r="BF123" s="550">
        <v>10.294576859999999</v>
      </c>
      <c r="BG123" s="550">
        <v>-0.17467982000000001</v>
      </c>
      <c r="BH123" s="550">
        <v>7.9939627</v>
      </c>
      <c r="BI123" s="550">
        <v>8.0079509699999996</v>
      </c>
      <c r="BJ123" s="550">
        <v>-1.8690591999999999</v>
      </c>
      <c r="BK123" s="550">
        <v>-2.00624118</v>
      </c>
      <c r="BL123" s="550">
        <v>0.49405552000000003</v>
      </c>
      <c r="BM123" s="550"/>
      <c r="BN123" s="550"/>
      <c r="BO123" s="550"/>
      <c r="BP123" s="550"/>
      <c r="BQ123" s="550"/>
      <c r="BR123" s="550"/>
      <c r="BS123" s="550"/>
    </row>
    <row r="124" spans="1:71" s="577" customFormat="1" ht="15" customHeight="1" x14ac:dyDescent="0.2">
      <c r="A124" s="403">
        <v>62008014</v>
      </c>
      <c r="B124" s="403" t="s">
        <v>772</v>
      </c>
      <c r="C124" s="403" t="s">
        <v>781</v>
      </c>
      <c r="D124" s="402" t="s">
        <v>794</v>
      </c>
      <c r="E124" s="346" t="s">
        <v>795</v>
      </c>
      <c r="F124" s="346" t="str">
        <f t="shared" si="28"/>
        <v>08/05/20</v>
      </c>
      <c r="G124" s="362" t="s">
        <v>796</v>
      </c>
      <c r="H124" s="362" t="s">
        <v>685</v>
      </c>
      <c r="I124" s="370"/>
      <c r="J124" s="363">
        <v>24.361934000000002</v>
      </c>
      <c r="K124" s="363">
        <v>39.472312000000002</v>
      </c>
      <c r="L124" s="363">
        <v>29.442651000000001</v>
      </c>
      <c r="M124" s="363">
        <v>32.080908999999998</v>
      </c>
      <c r="N124" s="347">
        <v>4250</v>
      </c>
      <c r="O124" s="347">
        <v>30.36</v>
      </c>
      <c r="P124" s="347">
        <v>0.3201</v>
      </c>
      <c r="Q124" s="347">
        <v>1.9560000000000001E-2</v>
      </c>
      <c r="R124" s="348">
        <v>7.9943936999999998</v>
      </c>
      <c r="S124" s="348">
        <f t="shared" si="47"/>
        <v>15.98835233</v>
      </c>
      <c r="T124" s="380">
        <v>52.4</v>
      </c>
      <c r="U124" s="380">
        <v>48.4</v>
      </c>
      <c r="V124" s="352">
        <v>26842</v>
      </c>
      <c r="W124" s="352">
        <v>29209</v>
      </c>
      <c r="X124" s="352">
        <f t="shared" si="48"/>
        <v>2367</v>
      </c>
      <c r="Y124" s="352">
        <f t="shared" si="42"/>
        <v>296.08249090859761</v>
      </c>
      <c r="Z124" s="372">
        <v>1539.21</v>
      </c>
      <c r="AA124" s="352">
        <v>1564.02</v>
      </c>
      <c r="AB124" s="352">
        <f t="shared" si="49"/>
        <v>24.809999999999945</v>
      </c>
      <c r="AC124" s="371">
        <f t="shared" si="43"/>
        <v>3.1034248413359911</v>
      </c>
      <c r="AD124" s="372">
        <v>-10.83</v>
      </c>
      <c r="AE124" s="352">
        <v>-11.02</v>
      </c>
      <c r="AF124" s="352">
        <f t="shared" si="50"/>
        <v>-0.1899999999999995</v>
      </c>
      <c r="AG124" s="371">
        <f t="shared" si="44"/>
        <v>-2.376665537500355E-2</v>
      </c>
      <c r="AH124" s="372">
        <v>0</v>
      </c>
      <c r="AI124" s="352">
        <v>0</v>
      </c>
      <c r="AJ124" s="352">
        <f t="shared" si="51"/>
        <v>0</v>
      </c>
      <c r="AK124" s="371">
        <f t="shared" si="45"/>
        <v>0</v>
      </c>
      <c r="AL124" s="372">
        <v>-0.05</v>
      </c>
      <c r="AM124" s="352">
        <v>-0.05</v>
      </c>
      <c r="AN124" s="352">
        <f t="shared" si="52"/>
        <v>0</v>
      </c>
      <c r="AO124" s="371">
        <f t="shared" si="46"/>
        <v>0</v>
      </c>
      <c r="AP124" s="341">
        <v>52.4</v>
      </c>
      <c r="AQ124" s="341">
        <v>48.4</v>
      </c>
      <c r="AR124" s="341">
        <f t="shared" si="53"/>
        <v>-4</v>
      </c>
      <c r="AS124" s="526">
        <v>45813.8</v>
      </c>
      <c r="AT124" s="383">
        <v>45814.6</v>
      </c>
      <c r="AU124" s="383">
        <f t="shared" si="54"/>
        <v>0.79999999999563443</v>
      </c>
      <c r="AV124" s="341"/>
      <c r="AW124" s="341"/>
      <c r="AX124" s="341"/>
      <c r="AY124" s="341"/>
      <c r="AZ124" s="362" t="s">
        <v>686</v>
      </c>
      <c r="BA124" s="550">
        <v>9383.0996722399996</v>
      </c>
      <c r="BB124" s="550">
        <v>-3.82152037</v>
      </c>
      <c r="BC124" s="550">
        <v>3460.3545626999999</v>
      </c>
      <c r="BD124" s="550">
        <v>3597.84701928</v>
      </c>
      <c r="BE124" s="550">
        <v>10.08734276</v>
      </c>
      <c r="BF124" s="550">
        <v>10.294731880000001</v>
      </c>
      <c r="BG124" s="550">
        <v>-0.16925472</v>
      </c>
      <c r="BH124" s="550">
        <v>7.9943981400000004</v>
      </c>
      <c r="BI124" s="550">
        <v>8.0079519799999996</v>
      </c>
      <c r="BJ124" s="550">
        <v>-1.8831996499999999</v>
      </c>
      <c r="BK124" s="550">
        <v>-2.0145169799999998</v>
      </c>
      <c r="BL124" s="550">
        <v>0.49407472000000002</v>
      </c>
      <c r="BM124" s="550"/>
      <c r="BN124" s="550"/>
      <c r="BO124" s="550"/>
      <c r="BP124" s="550"/>
      <c r="BQ124" s="550"/>
      <c r="BR124" s="550"/>
      <c r="BS124" s="550"/>
    </row>
    <row r="125" spans="1:71" s="577" customFormat="1" ht="15" customHeight="1" x14ac:dyDescent="0.2">
      <c r="A125" s="403">
        <v>62008014</v>
      </c>
      <c r="B125" s="403" t="s">
        <v>772</v>
      </c>
      <c r="C125" s="403" t="s">
        <v>784</v>
      </c>
      <c r="D125" s="402" t="s">
        <v>794</v>
      </c>
      <c r="E125" s="346" t="s">
        <v>795</v>
      </c>
      <c r="F125" s="346" t="str">
        <f t="shared" si="28"/>
        <v>08/05/20</v>
      </c>
      <c r="G125" s="362" t="s">
        <v>796</v>
      </c>
      <c r="H125" s="362" t="s">
        <v>685</v>
      </c>
      <c r="I125" s="370"/>
      <c r="J125" s="363">
        <v>24.310848</v>
      </c>
      <c r="K125" s="363">
        <v>39.665965</v>
      </c>
      <c r="L125" s="363">
        <v>29.440935</v>
      </c>
      <c r="M125" s="363">
        <v>32.124938</v>
      </c>
      <c r="N125" s="347">
        <v>4250</v>
      </c>
      <c r="O125" s="347">
        <v>30.36</v>
      </c>
      <c r="P125" s="347">
        <v>0.3201</v>
      </c>
      <c r="Q125" s="347">
        <v>1.9560000000000001E-2</v>
      </c>
      <c r="R125" s="348">
        <v>7.9938473700000001</v>
      </c>
      <c r="S125" s="348">
        <f t="shared" si="47"/>
        <v>15.988241070000001</v>
      </c>
      <c r="T125" s="380">
        <v>48.4</v>
      </c>
      <c r="U125" s="380">
        <v>44.4</v>
      </c>
      <c r="V125" s="352">
        <v>29209</v>
      </c>
      <c r="W125" s="352">
        <v>31576</v>
      </c>
      <c r="X125" s="352">
        <f t="shared" si="48"/>
        <v>2367</v>
      </c>
      <c r="Y125" s="352">
        <f t="shared" si="42"/>
        <v>296.10272631462561</v>
      </c>
      <c r="Z125" s="372">
        <v>1564.0282569999999</v>
      </c>
      <c r="AA125" s="352">
        <v>1588.777826</v>
      </c>
      <c r="AB125" s="352">
        <f t="shared" si="49"/>
        <v>24.749569000000065</v>
      </c>
      <c r="AC125" s="371">
        <f t="shared" si="43"/>
        <v>3.0960772522230511</v>
      </c>
      <c r="AD125" s="372">
        <v>-11.02</v>
      </c>
      <c r="AE125" s="352">
        <v>-11.2</v>
      </c>
      <c r="AF125" s="352">
        <f t="shared" si="50"/>
        <v>-0.17999999999999972</v>
      </c>
      <c r="AG125" s="371">
        <f t="shared" si="44"/>
        <v>-2.2517317590465793E-2</v>
      </c>
      <c r="AH125" s="372">
        <v>0</v>
      </c>
      <c r="AI125" s="352">
        <v>0</v>
      </c>
      <c r="AJ125" s="352">
        <f t="shared" si="51"/>
        <v>0</v>
      </c>
      <c r="AK125" s="371">
        <f t="shared" si="45"/>
        <v>0</v>
      </c>
      <c r="AL125" s="372">
        <v>-0.05</v>
      </c>
      <c r="AM125" s="352">
        <v>-0.05</v>
      </c>
      <c r="AN125" s="352">
        <f t="shared" si="52"/>
        <v>0</v>
      </c>
      <c r="AO125" s="371">
        <f t="shared" si="46"/>
        <v>0</v>
      </c>
      <c r="AP125" s="341">
        <v>48.4</v>
      </c>
      <c r="AQ125" s="341">
        <v>44.4</v>
      </c>
      <c r="AR125" s="341">
        <f t="shared" si="53"/>
        <v>-4</v>
      </c>
      <c r="AS125" s="526">
        <v>45814.6</v>
      </c>
      <c r="AT125" s="383">
        <v>45815.4</v>
      </c>
      <c r="AU125" s="383">
        <f t="shared" si="54"/>
        <v>0.80000000000291038</v>
      </c>
      <c r="AV125" s="341"/>
      <c r="AW125" s="341"/>
      <c r="AX125" s="341"/>
      <c r="AY125" s="341"/>
      <c r="AZ125" s="362" t="s">
        <v>686</v>
      </c>
      <c r="BA125" s="550">
        <v>9390.0581055500006</v>
      </c>
      <c r="BB125" s="550">
        <v>-3.8282389100000001</v>
      </c>
      <c r="BC125" s="550">
        <v>3460.2779107199999</v>
      </c>
      <c r="BD125" s="550">
        <v>3598.0186610300002</v>
      </c>
      <c r="BE125" s="550">
        <v>10.0858939</v>
      </c>
      <c r="BF125" s="550">
        <v>10.294964119999999</v>
      </c>
      <c r="BG125" s="550">
        <v>-0.17573205</v>
      </c>
      <c r="BH125" s="550">
        <v>7.99387837</v>
      </c>
      <c r="BI125" s="550">
        <v>8.0079509000000009</v>
      </c>
      <c r="BJ125" s="550">
        <v>-1.8935225</v>
      </c>
      <c r="BK125" s="550">
        <v>-2.0308008800000001</v>
      </c>
      <c r="BL125" s="550">
        <v>0.49410598</v>
      </c>
      <c r="BM125" s="550"/>
      <c r="BN125" s="550"/>
      <c r="BO125" s="550"/>
      <c r="BP125" s="550"/>
      <c r="BQ125" s="550"/>
      <c r="BR125" s="550"/>
      <c r="BS125" s="550"/>
    </row>
    <row r="126" spans="1:71" s="577" customFormat="1" ht="15" customHeight="1" x14ac:dyDescent="0.2">
      <c r="A126" s="403">
        <v>62008014</v>
      </c>
      <c r="B126" s="403" t="s">
        <v>772</v>
      </c>
      <c r="C126" s="403" t="s">
        <v>785</v>
      </c>
      <c r="D126" s="402" t="s">
        <v>794</v>
      </c>
      <c r="E126" s="346" t="s">
        <v>795</v>
      </c>
      <c r="F126" s="346" t="str">
        <f t="shared" si="28"/>
        <v>08/05/20</v>
      </c>
      <c r="G126" s="362" t="s">
        <v>796</v>
      </c>
      <c r="H126" s="362" t="s">
        <v>685</v>
      </c>
      <c r="I126" s="370"/>
      <c r="J126" s="363">
        <v>24.331966999999999</v>
      </c>
      <c r="K126" s="363">
        <v>39.681832999999997</v>
      </c>
      <c r="L126" s="363">
        <v>29.439726</v>
      </c>
      <c r="M126" s="363">
        <v>32.154065000000003</v>
      </c>
      <c r="N126" s="347">
        <v>4250</v>
      </c>
      <c r="O126" s="347">
        <v>30.36</v>
      </c>
      <c r="P126" s="347">
        <v>0.3201</v>
      </c>
      <c r="Q126" s="347">
        <v>1.9560000000000001E-2</v>
      </c>
      <c r="R126" s="348">
        <v>7.99562945</v>
      </c>
      <c r="S126" s="348">
        <f t="shared" si="47"/>
        <v>15.98947682</v>
      </c>
      <c r="T126" s="380">
        <v>44.4</v>
      </c>
      <c r="U126" s="380">
        <v>40.299999999999997</v>
      </c>
      <c r="V126" s="352">
        <v>31576</v>
      </c>
      <c r="W126" s="352">
        <v>33941</v>
      </c>
      <c r="X126" s="352">
        <f t="shared" si="48"/>
        <v>2365</v>
      </c>
      <c r="Y126" s="352">
        <f t="shared" si="42"/>
        <v>295.78659376217092</v>
      </c>
      <c r="Z126" s="372">
        <v>1588.7879210000001</v>
      </c>
      <c r="AA126" s="352">
        <v>1613.52</v>
      </c>
      <c r="AB126" s="352">
        <f t="shared" si="49"/>
        <v>24.732078999999885</v>
      </c>
      <c r="AC126" s="371">
        <f t="shared" si="43"/>
        <v>3.0931997480198241</v>
      </c>
      <c r="AD126" s="372">
        <v>-11.2</v>
      </c>
      <c r="AE126" s="352">
        <v>-11.38</v>
      </c>
      <c r="AF126" s="352">
        <f t="shared" si="50"/>
        <v>-0.18000000000000149</v>
      </c>
      <c r="AG126" s="371">
        <f t="shared" si="44"/>
        <v>-2.2512298890989938E-2</v>
      </c>
      <c r="AH126" s="372">
        <v>0</v>
      </c>
      <c r="AI126" s="352">
        <v>0</v>
      </c>
      <c r="AJ126" s="352">
        <f t="shared" si="51"/>
        <v>0</v>
      </c>
      <c r="AK126" s="371">
        <f t="shared" si="45"/>
        <v>0</v>
      </c>
      <c r="AL126" s="372">
        <v>-0.05</v>
      </c>
      <c r="AM126" s="352">
        <v>-0.05</v>
      </c>
      <c r="AN126" s="352">
        <f t="shared" si="52"/>
        <v>0</v>
      </c>
      <c r="AO126" s="371">
        <f t="shared" si="46"/>
        <v>0</v>
      </c>
      <c r="AP126" s="341">
        <v>44.4</v>
      </c>
      <c r="AQ126" s="341">
        <v>40.299999999999997</v>
      </c>
      <c r="AR126" s="341">
        <f t="shared" si="53"/>
        <v>-4.1000000000000014</v>
      </c>
      <c r="AS126" s="526">
        <v>45815.4</v>
      </c>
      <c r="AT126" s="383">
        <v>45816.2</v>
      </c>
      <c r="AU126" s="383">
        <f t="shared" si="54"/>
        <v>0.79999999999563443</v>
      </c>
      <c r="AV126" s="341"/>
      <c r="AW126" s="341"/>
      <c r="AX126" s="341"/>
      <c r="AY126" s="341"/>
      <c r="AZ126" s="362" t="s">
        <v>686</v>
      </c>
      <c r="BA126" s="550">
        <v>9396.8805975600008</v>
      </c>
      <c r="BB126" s="550">
        <v>-3.8360726399999998</v>
      </c>
      <c r="BC126" s="550">
        <v>3460.2503751899999</v>
      </c>
      <c r="BD126" s="550">
        <v>3598.2831297299999</v>
      </c>
      <c r="BE126" s="550">
        <v>10.088094999999999</v>
      </c>
      <c r="BF126" s="550">
        <v>10.29530667</v>
      </c>
      <c r="BG126" s="550">
        <v>-0.15190881000000001</v>
      </c>
      <c r="BH126" s="550">
        <v>7.9957861399999999</v>
      </c>
      <c r="BI126" s="550">
        <v>8.0079509200000007</v>
      </c>
      <c r="BJ126" s="550">
        <v>-1.8989927499999999</v>
      </c>
      <c r="BK126" s="550">
        <v>-2.0126808999999999</v>
      </c>
      <c r="BL126" s="550">
        <v>0.49415466000000002</v>
      </c>
      <c r="BM126" s="550"/>
      <c r="BN126" s="550"/>
      <c r="BO126" s="550"/>
      <c r="BP126" s="550"/>
      <c r="BQ126" s="550"/>
      <c r="BR126" s="550"/>
      <c r="BS126" s="550"/>
    </row>
    <row r="127" spans="1:71" s="577" customFormat="1" ht="15" customHeight="1" x14ac:dyDescent="0.2">
      <c r="A127" s="403">
        <v>62008014</v>
      </c>
      <c r="B127" s="403" t="s">
        <v>772</v>
      </c>
      <c r="C127" s="403" t="s">
        <v>786</v>
      </c>
      <c r="D127" s="402" t="s">
        <v>794</v>
      </c>
      <c r="E127" s="346" t="s">
        <v>795</v>
      </c>
      <c r="F127" s="346" t="str">
        <f t="shared" si="28"/>
        <v>08/05/20</v>
      </c>
      <c r="G127" s="362" t="s">
        <v>796</v>
      </c>
      <c r="H127" s="362" t="s">
        <v>685</v>
      </c>
      <c r="I127" s="370"/>
      <c r="J127" s="363">
        <v>24.319973999999998</v>
      </c>
      <c r="K127" s="363">
        <v>40.375878999999998</v>
      </c>
      <c r="L127" s="363">
        <v>29.43721</v>
      </c>
      <c r="M127" s="363">
        <v>32.220188999999998</v>
      </c>
      <c r="N127" s="347">
        <v>4250</v>
      </c>
      <c r="O127" s="347">
        <v>30.36</v>
      </c>
      <c r="P127" s="347">
        <v>0.3201</v>
      </c>
      <c r="Q127" s="347">
        <v>1.9560000000000001E-2</v>
      </c>
      <c r="R127" s="348">
        <v>7.9938781199999998</v>
      </c>
      <c r="S127" s="348">
        <f t="shared" si="47"/>
        <v>15.989507570000001</v>
      </c>
      <c r="T127" s="380">
        <v>40.299999999999997</v>
      </c>
      <c r="U127" s="380">
        <v>36.299999999999997</v>
      </c>
      <c r="V127" s="352">
        <v>33941</v>
      </c>
      <c r="W127" s="352">
        <v>36305</v>
      </c>
      <c r="X127" s="352">
        <f t="shared" si="48"/>
        <v>2364</v>
      </c>
      <c r="Y127" s="352">
        <f t="shared" si="42"/>
        <v>295.72630011526871</v>
      </c>
      <c r="Z127" s="372">
        <v>1613.53</v>
      </c>
      <c r="AA127" s="352">
        <v>1638.310575</v>
      </c>
      <c r="AB127" s="352">
        <f t="shared" si="49"/>
        <v>24.780574999999999</v>
      </c>
      <c r="AC127" s="371">
        <f t="shared" si="43"/>
        <v>3.0999440606932844</v>
      </c>
      <c r="AD127" s="372">
        <v>-11.38</v>
      </c>
      <c r="AE127" s="352">
        <v>-11.55</v>
      </c>
      <c r="AF127" s="352">
        <f t="shared" si="50"/>
        <v>-0.16999999999999993</v>
      </c>
      <c r="AG127" s="371">
        <f t="shared" si="44"/>
        <v>-2.1266273696952481E-2</v>
      </c>
      <c r="AH127" s="372">
        <v>0</v>
      </c>
      <c r="AI127" s="352">
        <v>0</v>
      </c>
      <c r="AJ127" s="352">
        <f t="shared" si="51"/>
        <v>0</v>
      </c>
      <c r="AK127" s="371">
        <f t="shared" si="45"/>
        <v>0</v>
      </c>
      <c r="AL127" s="372">
        <v>-0.05</v>
      </c>
      <c r="AM127" s="352">
        <v>-0.05</v>
      </c>
      <c r="AN127" s="352">
        <f t="shared" si="52"/>
        <v>0</v>
      </c>
      <c r="AO127" s="371">
        <f t="shared" si="46"/>
        <v>0</v>
      </c>
      <c r="AP127" s="341">
        <v>40.299999999999997</v>
      </c>
      <c r="AQ127" s="341">
        <v>36.299999999999997</v>
      </c>
      <c r="AR127" s="341">
        <f t="shared" si="53"/>
        <v>-4</v>
      </c>
      <c r="AS127" s="526">
        <v>45816.2</v>
      </c>
      <c r="AT127" s="383">
        <v>45817</v>
      </c>
      <c r="AU127" s="383">
        <f t="shared" si="54"/>
        <v>0.80000000000291038</v>
      </c>
      <c r="AV127" s="341"/>
      <c r="AW127" s="341"/>
      <c r="AX127" s="341"/>
      <c r="AY127" s="341"/>
      <c r="AZ127" s="362" t="s">
        <v>686</v>
      </c>
      <c r="BA127" s="550">
        <v>9407.4985271999994</v>
      </c>
      <c r="BB127" s="550">
        <v>-3.8318213999999999</v>
      </c>
      <c r="BC127" s="550">
        <v>3460.7759678100001</v>
      </c>
      <c r="BD127" s="550">
        <v>3598.6705978499999</v>
      </c>
      <c r="BE127" s="550">
        <v>10.08665278</v>
      </c>
      <c r="BF127" s="550">
        <v>10.295818179999999</v>
      </c>
      <c r="BG127" s="550">
        <v>-0.17533375000000001</v>
      </c>
      <c r="BH127" s="550">
        <v>7.9939117199999998</v>
      </c>
      <c r="BI127" s="550">
        <v>8.0079523699999999</v>
      </c>
      <c r="BJ127" s="550">
        <v>-1.8947152700000001</v>
      </c>
      <c r="BK127" s="550">
        <v>-2.0315568000000002</v>
      </c>
      <c r="BL127" s="550">
        <v>0.49422681000000002</v>
      </c>
      <c r="BM127" s="550"/>
      <c r="BN127" s="550"/>
      <c r="BO127" s="550"/>
      <c r="BP127" s="550"/>
      <c r="BQ127" s="550"/>
      <c r="BR127" s="550"/>
      <c r="BS127" s="550"/>
    </row>
    <row r="128" spans="1:71" s="548" customFormat="1" ht="15" customHeight="1" x14ac:dyDescent="0.2">
      <c r="A128" s="576" t="s">
        <v>853</v>
      </c>
      <c r="B128" s="435"/>
      <c r="C128" s="436"/>
      <c r="D128" s="436"/>
      <c r="E128" s="436"/>
      <c r="F128" s="436"/>
      <c r="G128" s="436"/>
      <c r="H128" s="435"/>
      <c r="I128" s="435"/>
      <c r="J128" s="446"/>
      <c r="K128" s="447"/>
      <c r="L128" s="435"/>
      <c r="M128" s="435"/>
      <c r="N128" s="435"/>
      <c r="O128" s="435"/>
      <c r="P128" s="435"/>
      <c r="Q128" s="435"/>
      <c r="R128" s="435"/>
      <c r="S128" s="435"/>
      <c r="T128" s="435"/>
      <c r="U128" s="435"/>
      <c r="V128" s="435"/>
      <c r="W128" s="435"/>
      <c r="X128" s="435"/>
      <c r="Y128" s="435"/>
      <c r="Z128" s="435"/>
      <c r="AA128" s="435"/>
      <c r="AB128" s="435"/>
      <c r="AC128" s="435"/>
      <c r="AD128" s="435"/>
      <c r="AE128" s="435"/>
      <c r="AF128" s="435"/>
      <c r="AG128" s="435"/>
      <c r="AH128" s="435"/>
      <c r="AI128" s="435"/>
      <c r="AJ128" s="435"/>
      <c r="AK128" s="435"/>
      <c r="AL128" s="435"/>
      <c r="AM128" s="435"/>
      <c r="AN128" s="435"/>
      <c r="AO128" s="435"/>
      <c r="AP128" s="435"/>
      <c r="AQ128" s="435"/>
      <c r="AR128" s="435"/>
      <c r="AS128" s="435"/>
      <c r="AT128" s="435"/>
      <c r="AU128" s="435"/>
      <c r="AV128" s="435"/>
      <c r="AW128" s="435"/>
      <c r="AX128" s="435"/>
      <c r="AY128" s="435"/>
      <c r="AZ128" s="435"/>
      <c r="BA128" s="435"/>
      <c r="BB128" s="435"/>
      <c r="BC128" s="435"/>
      <c r="BD128" s="435"/>
      <c r="BE128" s="435"/>
      <c r="BF128" s="448"/>
      <c r="BG128" s="435"/>
      <c r="BH128" s="435"/>
      <c r="BI128" s="435"/>
      <c r="BJ128" s="435"/>
      <c r="BK128" s="435"/>
      <c r="BL128" s="435"/>
      <c r="BM128" s="435"/>
      <c r="BN128" s="435"/>
      <c r="BO128" s="435"/>
      <c r="BP128" s="435"/>
      <c r="BQ128" s="435"/>
      <c r="BR128" s="439"/>
      <c r="BS128" s="578"/>
    </row>
    <row r="129" spans="1:71" s="577" customFormat="1" ht="15" customHeight="1" x14ac:dyDescent="0.2">
      <c r="A129" s="404">
        <v>62008015</v>
      </c>
      <c r="B129" s="403" t="s">
        <v>627</v>
      </c>
      <c r="C129" s="403" t="s">
        <v>773</v>
      </c>
      <c r="D129" s="402" t="s">
        <v>811</v>
      </c>
      <c r="E129" s="346" t="s">
        <v>812</v>
      </c>
      <c r="F129" s="346" t="str">
        <f t="shared" si="28"/>
        <v>08/06/20</v>
      </c>
      <c r="G129" s="362" t="s">
        <v>813</v>
      </c>
      <c r="H129" s="362" t="s">
        <v>685</v>
      </c>
      <c r="I129" s="370"/>
      <c r="J129" s="363">
        <v>23.912064000000001</v>
      </c>
      <c r="K129" s="363">
        <v>41.647345999999999</v>
      </c>
      <c r="L129" s="363">
        <v>29.430582000000001</v>
      </c>
      <c r="M129" s="363">
        <v>25.120977</v>
      </c>
      <c r="N129" s="347">
        <v>4250</v>
      </c>
      <c r="O129" s="347">
        <v>30.36</v>
      </c>
      <c r="P129" s="347">
        <v>0.3201</v>
      </c>
      <c r="Q129" s="347">
        <v>1.9560000000000001E-2</v>
      </c>
      <c r="R129" s="348">
        <v>3.5810125400000001</v>
      </c>
      <c r="S129" s="348">
        <f>R129+R128</f>
        <v>3.5810125400000001</v>
      </c>
      <c r="T129" s="380">
        <v>98.4</v>
      </c>
      <c r="U129" s="380">
        <v>96.9</v>
      </c>
      <c r="V129" s="352">
        <v>-3392</v>
      </c>
      <c r="W129" s="352">
        <v>-2533</v>
      </c>
      <c r="X129" s="352">
        <f>W129-V129</f>
        <v>859</v>
      </c>
      <c r="Y129" s="352">
        <f t="shared" ref="Y129:Y146" si="55">X129/$R129</f>
        <v>239.87628929107296</v>
      </c>
      <c r="Z129" s="372">
        <v>2250.65</v>
      </c>
      <c r="AA129" s="352">
        <v>2272.5469459999999</v>
      </c>
      <c r="AB129" s="352">
        <f>AA129-Z129</f>
        <v>21.896945999999843</v>
      </c>
      <c r="AC129" s="371">
        <f t="shared" ref="AC129:AC146" si="56">AB129/$R129</f>
        <v>6.1147359176798197</v>
      </c>
      <c r="AD129" s="372">
        <v>-15.82</v>
      </c>
      <c r="AE129" s="352">
        <v>-16.32</v>
      </c>
      <c r="AF129" s="352">
        <f>AE129-AD129</f>
        <v>-0.5</v>
      </c>
      <c r="AG129" s="371">
        <f t="shared" ref="AG129:AG146" si="57">AF129/$R129</f>
        <v>-0.13962531390632885</v>
      </c>
      <c r="AH129" s="372">
        <v>0</v>
      </c>
      <c r="AI129" s="352">
        <v>0</v>
      </c>
      <c r="AJ129" s="352">
        <f>AI129-AH129</f>
        <v>0</v>
      </c>
      <c r="AK129" s="371">
        <f t="shared" ref="AK129:AK146" si="58">AJ129/$R129</f>
        <v>0</v>
      </c>
      <c r="AL129" s="372">
        <v>-0.05</v>
      </c>
      <c r="AM129" s="352">
        <v>-0.05</v>
      </c>
      <c r="AN129" s="352">
        <f>AM129-AL129</f>
        <v>0</v>
      </c>
      <c r="AO129" s="371">
        <f t="shared" ref="AO129:AO146" si="59">AN129/$R129</f>
        <v>0</v>
      </c>
      <c r="AP129" s="341">
        <v>98.4</v>
      </c>
      <c r="AQ129" s="341">
        <v>96.9</v>
      </c>
      <c r="AR129" s="341">
        <f>AQ129-AP129</f>
        <v>-1.5</v>
      </c>
      <c r="AS129" s="526">
        <v>90174.2</v>
      </c>
      <c r="AT129" s="383">
        <v>90174.9</v>
      </c>
      <c r="AU129" s="383">
        <f>AT129-AS129</f>
        <v>0.69999999999708962</v>
      </c>
      <c r="AV129" s="341"/>
      <c r="AW129" s="341"/>
      <c r="AX129" s="341"/>
      <c r="AY129" s="341"/>
      <c r="AZ129" s="362" t="s">
        <v>686</v>
      </c>
      <c r="BA129" s="550">
        <v>2418.06151013</v>
      </c>
      <c r="BB129" s="550">
        <v>-1.9528261600000001</v>
      </c>
      <c r="BC129" s="550">
        <v>2008.7983310100001</v>
      </c>
      <c r="BD129" s="550">
        <v>2048.8079894900002</v>
      </c>
      <c r="BE129" s="550">
        <v>3.2131796499999998</v>
      </c>
      <c r="BF129" s="550">
        <v>3.2585073800000002</v>
      </c>
      <c r="BG129" s="550">
        <v>-0.27983201000000002</v>
      </c>
      <c r="BH129" s="550">
        <v>3.5809315399999999</v>
      </c>
      <c r="BI129" s="550">
        <v>3.5909802499999999</v>
      </c>
      <c r="BJ129" s="550">
        <v>-1.1269021100000001</v>
      </c>
      <c r="BK129" s="550">
        <v>-1.3910582600000001</v>
      </c>
      <c r="BL129" s="550">
        <v>0.59038723000000004</v>
      </c>
      <c r="BM129" s="550"/>
      <c r="BN129" s="550"/>
      <c r="BO129" s="550"/>
      <c r="BP129" s="550"/>
      <c r="BQ129" s="550"/>
      <c r="BR129" s="550"/>
      <c r="BS129" s="550"/>
    </row>
    <row r="130" spans="1:71" s="577" customFormat="1" ht="15" customHeight="1" x14ac:dyDescent="0.2">
      <c r="A130" s="404">
        <v>62008015</v>
      </c>
      <c r="B130" s="403" t="s">
        <v>628</v>
      </c>
      <c r="C130" s="403" t="s">
        <v>774</v>
      </c>
      <c r="D130" s="402" t="s">
        <v>811</v>
      </c>
      <c r="E130" s="346" t="s">
        <v>812</v>
      </c>
      <c r="F130" s="346" t="str">
        <f t="shared" si="28"/>
        <v>08/06/20</v>
      </c>
      <c r="G130" s="362" t="s">
        <v>813</v>
      </c>
      <c r="H130" s="362" t="s">
        <v>685</v>
      </c>
      <c r="I130" s="370"/>
      <c r="J130" s="363">
        <v>22.167736000000001</v>
      </c>
      <c r="K130" s="363">
        <v>45.904753999999997</v>
      </c>
      <c r="L130" s="363">
        <v>29.42492</v>
      </c>
      <c r="M130" s="363">
        <v>27.654129999999999</v>
      </c>
      <c r="N130" s="347">
        <v>4250</v>
      </c>
      <c r="O130" s="347">
        <v>30.36</v>
      </c>
      <c r="P130" s="347">
        <v>0.3201</v>
      </c>
      <c r="Q130" s="347">
        <v>1.9560000000000001E-2</v>
      </c>
      <c r="R130" s="348">
        <v>3.8436425600000002</v>
      </c>
      <c r="S130" s="348">
        <f>R130+R129</f>
        <v>7.4246551000000007</v>
      </c>
      <c r="T130" s="380">
        <v>96.9</v>
      </c>
      <c r="U130" s="380">
        <v>95.8</v>
      </c>
      <c r="V130" s="352">
        <v>-2533</v>
      </c>
      <c r="W130" s="352">
        <v>-1831</v>
      </c>
      <c r="X130" s="352">
        <f>W130-V130</f>
        <v>702</v>
      </c>
      <c r="Y130" s="352">
        <f t="shared" si="55"/>
        <v>182.63925145006198</v>
      </c>
      <c r="Z130" s="372">
        <v>2272.5570480000001</v>
      </c>
      <c r="AA130" s="352">
        <v>2309.29</v>
      </c>
      <c r="AB130" s="352">
        <f>AA130-Z130</f>
        <v>36.732951999999841</v>
      </c>
      <c r="AC130" s="371">
        <f t="shared" si="56"/>
        <v>9.5568074883632885</v>
      </c>
      <c r="AD130" s="372">
        <v>-16.32</v>
      </c>
      <c r="AE130" s="352">
        <v>-16.8</v>
      </c>
      <c r="AF130" s="352">
        <f>AE130-AD130</f>
        <v>-0.48000000000000043</v>
      </c>
      <c r="AG130" s="371">
        <f t="shared" si="57"/>
        <v>-0.12488153945303394</v>
      </c>
      <c r="AH130" s="372">
        <v>0</v>
      </c>
      <c r="AI130" s="352">
        <v>0</v>
      </c>
      <c r="AJ130" s="352">
        <f>AI130-AH130</f>
        <v>0</v>
      </c>
      <c r="AK130" s="371">
        <f t="shared" si="58"/>
        <v>0</v>
      </c>
      <c r="AL130" s="372">
        <v>-0.05</v>
      </c>
      <c r="AM130" s="352">
        <v>-0.05</v>
      </c>
      <c r="AN130" s="352">
        <f>AM130-AL130</f>
        <v>0</v>
      </c>
      <c r="AO130" s="371">
        <f t="shared" si="59"/>
        <v>0</v>
      </c>
      <c r="AP130" s="341">
        <v>96.9</v>
      </c>
      <c r="AQ130" s="341">
        <v>95.8</v>
      </c>
      <c r="AR130" s="341">
        <f>AQ130-AP130</f>
        <v>-1.1000000000000085</v>
      </c>
      <c r="AS130" s="526">
        <v>90174.9</v>
      </c>
      <c r="AT130" s="383">
        <v>90176.1</v>
      </c>
      <c r="AU130" s="383">
        <f>AT130-AS130</f>
        <v>1.2000000000116415</v>
      </c>
      <c r="AV130" s="341"/>
      <c r="AW130" s="341"/>
      <c r="AX130" s="341"/>
      <c r="AY130" s="341"/>
      <c r="AZ130" s="362" t="s">
        <v>686</v>
      </c>
      <c r="BA130" s="550">
        <v>1482.2570952799999</v>
      </c>
      <c r="BB130" s="550">
        <v>-2.1511406599999998</v>
      </c>
      <c r="BC130" s="550">
        <v>3342.6384913400002</v>
      </c>
      <c r="BD130" s="550">
        <v>3416.1241264199998</v>
      </c>
      <c r="BE130" s="550">
        <v>2.9553516100000001</v>
      </c>
      <c r="BF130" s="550">
        <v>3.0186154100000002</v>
      </c>
      <c r="BG130" s="550">
        <v>-0.42248751000000001</v>
      </c>
      <c r="BH130" s="550">
        <v>3.8435221500000001</v>
      </c>
      <c r="BI130" s="550">
        <v>3.8598294499999999</v>
      </c>
      <c r="BJ130" s="550">
        <v>-1.7091204900000001</v>
      </c>
      <c r="BK130" s="550">
        <v>-2.0957884500000001</v>
      </c>
      <c r="BL130" s="550">
        <v>0.71450796000000005</v>
      </c>
      <c r="BM130" s="550"/>
      <c r="BN130" s="550"/>
      <c r="BO130" s="550"/>
      <c r="BP130" s="550"/>
      <c r="BQ130" s="550"/>
      <c r="BR130" s="550"/>
      <c r="BS130" s="550"/>
    </row>
    <row r="131" spans="1:71" s="577" customFormat="1" ht="15" customHeight="1" x14ac:dyDescent="0.2">
      <c r="A131" s="404">
        <v>62008015</v>
      </c>
      <c r="B131" s="403" t="s">
        <v>629</v>
      </c>
      <c r="C131" s="403" t="s">
        <v>775</v>
      </c>
      <c r="D131" s="402" t="s">
        <v>811</v>
      </c>
      <c r="E131" s="346" t="s">
        <v>812</v>
      </c>
      <c r="F131" s="346" t="str">
        <f t="shared" si="28"/>
        <v>08/06/20</v>
      </c>
      <c r="G131" s="362" t="s">
        <v>813</v>
      </c>
      <c r="H131" s="362" t="s">
        <v>685</v>
      </c>
      <c r="I131" s="370"/>
      <c r="J131" s="364">
        <f>AVERAGE(J129:J130)</f>
        <v>23.039900000000003</v>
      </c>
      <c r="K131" s="364">
        <f>AVERAGE(K129:K130)</f>
        <v>43.776049999999998</v>
      </c>
      <c r="L131" s="364">
        <f>AVERAGE(L129:L130)</f>
        <v>29.427751000000001</v>
      </c>
      <c r="M131" s="364">
        <f>AVERAGE(M129:M130)</f>
        <v>26.387553499999999</v>
      </c>
      <c r="N131" s="349"/>
      <c r="O131" s="347"/>
      <c r="P131" s="366"/>
      <c r="Q131" s="365"/>
      <c r="R131" s="350">
        <f>R130+R129</f>
        <v>7.4246551000000007</v>
      </c>
      <c r="S131" s="350">
        <f>S130</f>
        <v>7.4246551000000007</v>
      </c>
      <c r="T131" s="381">
        <f>T129</f>
        <v>98.4</v>
      </c>
      <c r="U131" s="381">
        <f>U130</f>
        <v>95.8</v>
      </c>
      <c r="V131" s="353">
        <f>V129</f>
        <v>-3392</v>
      </c>
      <c r="W131" s="353">
        <f>W130</f>
        <v>-1831</v>
      </c>
      <c r="X131" s="353">
        <f>SUM(X129:X130)</f>
        <v>1561</v>
      </c>
      <c r="Y131" s="353">
        <f t="shared" si="55"/>
        <v>210.24545638490329</v>
      </c>
      <c r="Z131" s="353">
        <f>Z129</f>
        <v>2250.65</v>
      </c>
      <c r="AA131" s="353">
        <f>AA130</f>
        <v>2309.29</v>
      </c>
      <c r="AB131" s="353">
        <f>SUM(AB129:AB130)</f>
        <v>58.629897999999685</v>
      </c>
      <c r="AC131" s="351">
        <f t="shared" si="56"/>
        <v>7.896649367591456</v>
      </c>
      <c r="AD131" s="353">
        <f>AD129</f>
        <v>-15.82</v>
      </c>
      <c r="AE131" s="353">
        <f>AE130</f>
        <v>-16.8</v>
      </c>
      <c r="AF131" s="353">
        <f>SUM(AF129:AF130)</f>
        <v>-0.98000000000000043</v>
      </c>
      <c r="AG131" s="351">
        <f t="shared" si="57"/>
        <v>-0.13199266320128464</v>
      </c>
      <c r="AH131" s="353">
        <f>AH129</f>
        <v>0</v>
      </c>
      <c r="AI131" s="353">
        <f>AI130</f>
        <v>0</v>
      </c>
      <c r="AJ131" s="353">
        <f>SUM(AJ129:AJ130)</f>
        <v>0</v>
      </c>
      <c r="AK131" s="351">
        <f t="shared" si="58"/>
        <v>0</v>
      </c>
      <c r="AL131" s="353">
        <f>AL129</f>
        <v>-0.05</v>
      </c>
      <c r="AM131" s="353">
        <f>AM130</f>
        <v>-0.05</v>
      </c>
      <c r="AN131" s="353">
        <f>SUM(AN129:AN130)</f>
        <v>0</v>
      </c>
      <c r="AO131" s="351">
        <f t="shared" si="59"/>
        <v>0</v>
      </c>
      <c r="AP131" s="343"/>
      <c r="AQ131" s="343"/>
      <c r="AR131" s="343">
        <f>SUM(AR129:AR130)</f>
        <v>-2.6000000000000085</v>
      </c>
      <c r="AS131" s="384">
        <f>AS129</f>
        <v>90174.2</v>
      </c>
      <c r="AT131" s="384">
        <f>AT130</f>
        <v>90176.1</v>
      </c>
      <c r="AU131" s="384">
        <f>SUM(AU129:AU130)</f>
        <v>1.9000000000087311</v>
      </c>
      <c r="AV131" s="343"/>
      <c r="AW131" s="343"/>
      <c r="AX131" s="343"/>
      <c r="AY131" s="343"/>
      <c r="AZ131" s="362" t="s">
        <v>686</v>
      </c>
      <c r="BA131" s="550"/>
      <c r="BB131" s="550"/>
      <c r="BC131" s="550"/>
      <c r="BD131" s="550"/>
      <c r="BE131" s="550"/>
      <c r="BF131" s="550"/>
      <c r="BG131" s="550"/>
      <c r="BH131" s="550"/>
      <c r="BI131" s="550"/>
      <c r="BJ131" s="550"/>
      <c r="BK131" s="550"/>
      <c r="BL131" s="550"/>
      <c r="BM131" s="550"/>
      <c r="BN131" s="550"/>
      <c r="BO131" s="550"/>
      <c r="BP131" s="550"/>
      <c r="BQ131" s="550"/>
      <c r="BR131" s="550"/>
      <c r="BS131" s="550"/>
    </row>
    <row r="132" spans="1:71" s="577" customFormat="1" ht="15" customHeight="1" x14ac:dyDescent="0.2">
      <c r="A132" s="404">
        <v>62008015</v>
      </c>
      <c r="B132" s="403" t="s">
        <v>631</v>
      </c>
      <c r="C132" s="403" t="s">
        <v>776</v>
      </c>
      <c r="D132" s="402" t="s">
        <v>811</v>
      </c>
      <c r="E132" s="346" t="s">
        <v>812</v>
      </c>
      <c r="F132" s="346" t="str">
        <f t="shared" si="28"/>
        <v>08/06/20</v>
      </c>
      <c r="G132" s="362" t="s">
        <v>813</v>
      </c>
      <c r="H132" s="362" t="s">
        <v>685</v>
      </c>
      <c r="I132" s="370"/>
      <c r="J132" s="363">
        <v>22.61713</v>
      </c>
      <c r="K132" s="363">
        <v>45.004458</v>
      </c>
      <c r="L132" s="363">
        <v>29.426152999999999</v>
      </c>
      <c r="M132" s="363">
        <v>28.247358999999999</v>
      </c>
      <c r="N132" s="347">
        <v>4250</v>
      </c>
      <c r="O132" s="347">
        <v>30.36</v>
      </c>
      <c r="P132" s="347">
        <v>0.3201</v>
      </c>
      <c r="Q132" s="347">
        <v>1.9560000000000001E-2</v>
      </c>
      <c r="R132" s="348">
        <v>3.58182007</v>
      </c>
      <c r="S132" s="348">
        <f>R132+R131</f>
        <v>11.006475170000002</v>
      </c>
      <c r="T132" s="380">
        <v>95.8</v>
      </c>
      <c r="U132" s="380">
        <v>94.7</v>
      </c>
      <c r="V132" s="352">
        <v>-1831</v>
      </c>
      <c r="W132" s="352">
        <v>-1077</v>
      </c>
      <c r="X132" s="352">
        <f>W132-V132</f>
        <v>754</v>
      </c>
      <c r="Y132" s="352">
        <f t="shared" si="55"/>
        <v>210.50750324261821</v>
      </c>
      <c r="Z132" s="372">
        <v>2309.3865839999999</v>
      </c>
      <c r="AA132" s="352">
        <v>2330.59</v>
      </c>
      <c r="AB132" s="352">
        <f>AA132-Z132</f>
        <v>21.203416000000288</v>
      </c>
      <c r="AC132" s="371">
        <f t="shared" si="56"/>
        <v>5.9197323108417024</v>
      </c>
      <c r="AD132" s="372">
        <v>-16.8</v>
      </c>
      <c r="AE132" s="352">
        <v>-17.010000000000002</v>
      </c>
      <c r="AF132" s="352">
        <f>AE132-AD132</f>
        <v>-0.21000000000000085</v>
      </c>
      <c r="AG132" s="371">
        <f t="shared" si="57"/>
        <v>-5.8629410717440322E-2</v>
      </c>
      <c r="AH132" s="372">
        <v>0</v>
      </c>
      <c r="AI132" s="352">
        <v>0</v>
      </c>
      <c r="AJ132" s="352">
        <f>AI132-AH132</f>
        <v>0</v>
      </c>
      <c r="AK132" s="371">
        <f t="shared" si="58"/>
        <v>0</v>
      </c>
      <c r="AL132" s="372">
        <v>-0.05</v>
      </c>
      <c r="AM132" s="352">
        <v>-0.05</v>
      </c>
      <c r="AN132" s="352">
        <f>AM132-AL132</f>
        <v>0</v>
      </c>
      <c r="AO132" s="371">
        <f t="shared" si="59"/>
        <v>0</v>
      </c>
      <c r="AP132" s="341">
        <v>95.8</v>
      </c>
      <c r="AQ132" s="341">
        <v>94.7</v>
      </c>
      <c r="AR132" s="341">
        <f>AQ132-AP132</f>
        <v>-1.0999999999999943</v>
      </c>
      <c r="AS132" s="526">
        <v>90176.1</v>
      </c>
      <c r="AT132" s="383">
        <v>90176.8</v>
      </c>
      <c r="AU132" s="383">
        <f>AT132-AS132</f>
        <v>0.69999999999708962</v>
      </c>
      <c r="AV132" s="341"/>
      <c r="AW132" s="341"/>
      <c r="AX132" s="341"/>
      <c r="AY132" s="341"/>
      <c r="AZ132" s="362" t="s">
        <v>686</v>
      </c>
      <c r="BA132" s="550">
        <v>2413.5953464499999</v>
      </c>
      <c r="BB132" s="550">
        <v>-2.2005661399999998</v>
      </c>
      <c r="BC132" s="550">
        <v>2003.6065165299999</v>
      </c>
      <c r="BD132" s="550">
        <v>2048.6892791300002</v>
      </c>
      <c r="BE132" s="550">
        <v>3.2097032599999999</v>
      </c>
      <c r="BF132" s="550">
        <v>3.2583352400000001</v>
      </c>
      <c r="BG132" s="550">
        <v>-0.25753921000000002</v>
      </c>
      <c r="BH132" s="550">
        <v>3.5817314800000002</v>
      </c>
      <c r="BI132" s="550">
        <v>3.5909796599999999</v>
      </c>
      <c r="BJ132" s="550">
        <v>-1.25371353</v>
      </c>
      <c r="BK132" s="550">
        <v>-1.4925405599999999</v>
      </c>
      <c r="BL132" s="550">
        <v>0.59036840000000002</v>
      </c>
      <c r="BM132" s="550"/>
      <c r="BN132" s="550"/>
      <c r="BO132" s="550"/>
      <c r="BP132" s="550"/>
      <c r="BQ132" s="550"/>
      <c r="BR132" s="550"/>
      <c r="BS132" s="550"/>
    </row>
    <row r="133" spans="1:71" s="577" customFormat="1" ht="15" customHeight="1" x14ac:dyDescent="0.2">
      <c r="A133" s="404">
        <v>62008015</v>
      </c>
      <c r="B133" s="403" t="s">
        <v>225</v>
      </c>
      <c r="C133" s="403" t="s">
        <v>777</v>
      </c>
      <c r="D133" s="402" t="s">
        <v>811</v>
      </c>
      <c r="E133" s="346" t="s">
        <v>812</v>
      </c>
      <c r="F133" s="346" t="str">
        <f t="shared" si="28"/>
        <v>08/06/20</v>
      </c>
      <c r="G133" s="362" t="s">
        <v>813</v>
      </c>
      <c r="H133" s="362" t="s">
        <v>685</v>
      </c>
      <c r="I133" s="370"/>
      <c r="J133" s="363">
        <v>20.637426000000001</v>
      </c>
      <c r="K133" s="363">
        <v>50.322595</v>
      </c>
      <c r="L133" s="363">
        <v>29.425405000000001</v>
      </c>
      <c r="M133" s="363">
        <v>28.314474000000001</v>
      </c>
      <c r="N133" s="347">
        <v>4250</v>
      </c>
      <c r="O133" s="347">
        <v>30.36</v>
      </c>
      <c r="P133" s="347">
        <v>0.3201</v>
      </c>
      <c r="Q133" s="347">
        <v>1.9560000000000001E-2</v>
      </c>
      <c r="R133" s="348">
        <v>3.8440394000000002</v>
      </c>
      <c r="S133" s="348">
        <f>R133+R132</f>
        <v>7.4258594700000007</v>
      </c>
      <c r="T133" s="380">
        <v>94.7</v>
      </c>
      <c r="U133" s="380">
        <v>93.7</v>
      </c>
      <c r="V133" s="352">
        <v>-1077</v>
      </c>
      <c r="W133" s="352">
        <v>-430</v>
      </c>
      <c r="X133" s="352">
        <f>W133-V133</f>
        <v>647</v>
      </c>
      <c r="Y133" s="352">
        <f t="shared" si="55"/>
        <v>168.31253082369551</v>
      </c>
      <c r="Z133" s="372">
        <v>2330.596235</v>
      </c>
      <c r="AA133" s="352">
        <v>2366.9757909999998</v>
      </c>
      <c r="AB133" s="352">
        <f>AA133-Z133</f>
        <v>36.379555999999866</v>
      </c>
      <c r="AC133" s="371">
        <f t="shared" si="56"/>
        <v>9.4638873888753228</v>
      </c>
      <c r="AD133" s="372">
        <v>-17.010000000000002</v>
      </c>
      <c r="AE133" s="352">
        <v>-17.34</v>
      </c>
      <c r="AF133" s="352">
        <f>AE133-AD133</f>
        <v>-0.32999999999999829</v>
      </c>
      <c r="AG133" s="371">
        <f t="shared" si="57"/>
        <v>-8.5847195010539765E-2</v>
      </c>
      <c r="AH133" s="372">
        <v>0</v>
      </c>
      <c r="AI133" s="352">
        <v>0</v>
      </c>
      <c r="AJ133" s="352">
        <f>AI133-AH133</f>
        <v>0</v>
      </c>
      <c r="AK133" s="371">
        <f t="shared" si="58"/>
        <v>0</v>
      </c>
      <c r="AL133" s="372">
        <v>-0.05</v>
      </c>
      <c r="AM133" s="352">
        <v>-0.05</v>
      </c>
      <c r="AN133" s="352">
        <f>AM133-AL133</f>
        <v>0</v>
      </c>
      <c r="AO133" s="371">
        <f t="shared" si="59"/>
        <v>0</v>
      </c>
      <c r="AP133" s="341">
        <v>94.7</v>
      </c>
      <c r="AQ133" s="341">
        <v>93.7</v>
      </c>
      <c r="AR133" s="341">
        <f>AQ133-AP133</f>
        <v>-1</v>
      </c>
      <c r="AS133" s="526">
        <v>90176.8</v>
      </c>
      <c r="AT133" s="383">
        <v>90178</v>
      </c>
      <c r="AU133" s="383">
        <f>AT133-AS133</f>
        <v>1.1999999999970896</v>
      </c>
      <c r="AV133" s="341"/>
      <c r="AW133" s="341"/>
      <c r="AX133" s="341"/>
      <c r="AY133" s="341"/>
      <c r="AZ133" s="362" t="s">
        <v>686</v>
      </c>
      <c r="BA133" s="550">
        <v>1481.9467391799999</v>
      </c>
      <c r="BB133" s="550">
        <v>-2.0997511499999999</v>
      </c>
      <c r="BC133" s="550">
        <v>3344.27848034</v>
      </c>
      <c r="BD133" s="550">
        <v>3416.00610796</v>
      </c>
      <c r="BE133" s="550">
        <v>2.9558971000000001</v>
      </c>
      <c r="BF133" s="550">
        <v>3.0184522500000002</v>
      </c>
      <c r="BG133" s="550">
        <v>-0.4127942</v>
      </c>
      <c r="BH133" s="550">
        <v>3.84389621</v>
      </c>
      <c r="BI133" s="550">
        <v>3.85982936</v>
      </c>
      <c r="BJ133" s="550">
        <v>-1.6947531899999999</v>
      </c>
      <c r="BK133" s="550">
        <v>-2.0724249000000001</v>
      </c>
      <c r="BL133" s="550">
        <v>0.71451352999999995</v>
      </c>
      <c r="BM133" s="550"/>
      <c r="BN133" s="550"/>
      <c r="BO133" s="550"/>
      <c r="BP133" s="550"/>
      <c r="BQ133" s="550"/>
      <c r="BR133" s="550"/>
      <c r="BS133" s="550"/>
    </row>
    <row r="134" spans="1:71" s="577" customFormat="1" ht="15" customHeight="1" x14ac:dyDescent="0.2">
      <c r="A134" s="404">
        <v>62008015</v>
      </c>
      <c r="B134" s="403" t="s">
        <v>632</v>
      </c>
      <c r="C134" s="403" t="s">
        <v>799</v>
      </c>
      <c r="D134" s="402" t="s">
        <v>811</v>
      </c>
      <c r="E134" s="346" t="s">
        <v>812</v>
      </c>
      <c r="F134" s="346" t="str">
        <f t="shared" si="28"/>
        <v>08/06/20</v>
      </c>
      <c r="G134" s="362" t="s">
        <v>813</v>
      </c>
      <c r="H134" s="362" t="s">
        <v>685</v>
      </c>
      <c r="I134" s="370"/>
      <c r="J134" s="364">
        <f>AVERAGE(J132:J133)</f>
        <v>21.627278</v>
      </c>
      <c r="K134" s="364">
        <f>AVERAGE(K132:K133)</f>
        <v>47.663526500000003</v>
      </c>
      <c r="L134" s="364">
        <f>AVERAGE(L132:L133)</f>
        <v>29.425778999999999</v>
      </c>
      <c r="M134" s="364">
        <f>AVERAGE(M132:M133)</f>
        <v>28.2809165</v>
      </c>
      <c r="N134" s="349"/>
      <c r="O134" s="347"/>
      <c r="P134" s="366"/>
      <c r="Q134" s="365"/>
      <c r="R134" s="350">
        <f>R133+R132</f>
        <v>7.4258594700000007</v>
      </c>
      <c r="S134" s="350">
        <f>S133</f>
        <v>7.4258594700000007</v>
      </c>
      <c r="T134" s="381">
        <f>T132</f>
        <v>95.8</v>
      </c>
      <c r="U134" s="381">
        <f>U133</f>
        <v>93.7</v>
      </c>
      <c r="V134" s="353">
        <f>V132</f>
        <v>-1831</v>
      </c>
      <c r="W134" s="353">
        <f>W133</f>
        <v>-430</v>
      </c>
      <c r="X134" s="353">
        <f>SUM(X132:X133)</f>
        <v>1401</v>
      </c>
      <c r="Y134" s="353">
        <f t="shared" si="55"/>
        <v>188.66503004264365</v>
      </c>
      <c r="Z134" s="353">
        <f>Z132</f>
        <v>2309.3865839999999</v>
      </c>
      <c r="AA134" s="353">
        <f>AA133</f>
        <v>2366.9757909999998</v>
      </c>
      <c r="AB134" s="353">
        <f>SUM(AB132:AB133)</f>
        <v>57.582972000000154</v>
      </c>
      <c r="AC134" s="351">
        <f t="shared" si="56"/>
        <v>7.7543848267842526</v>
      </c>
      <c r="AD134" s="353">
        <f>AD132</f>
        <v>-16.8</v>
      </c>
      <c r="AE134" s="353">
        <f>AE133</f>
        <v>-17.34</v>
      </c>
      <c r="AF134" s="353">
        <f>SUM(AF132:AF133)</f>
        <v>-0.53999999999999915</v>
      </c>
      <c r="AG134" s="351">
        <f t="shared" si="57"/>
        <v>-7.2718855262689092E-2</v>
      </c>
      <c r="AH134" s="353">
        <f>AH132</f>
        <v>0</v>
      </c>
      <c r="AI134" s="353">
        <f>AI133</f>
        <v>0</v>
      </c>
      <c r="AJ134" s="353">
        <f>SUM(AJ132:AJ133)</f>
        <v>0</v>
      </c>
      <c r="AK134" s="351">
        <f t="shared" si="58"/>
        <v>0</v>
      </c>
      <c r="AL134" s="353">
        <f>AL132</f>
        <v>-0.05</v>
      </c>
      <c r="AM134" s="353">
        <f>AM133</f>
        <v>-0.05</v>
      </c>
      <c r="AN134" s="353">
        <f>SUM(AN132:AN133)</f>
        <v>0</v>
      </c>
      <c r="AO134" s="351">
        <f t="shared" si="59"/>
        <v>0</v>
      </c>
      <c r="AP134" s="343"/>
      <c r="AQ134" s="343"/>
      <c r="AR134" s="343">
        <f>SUM(AR132:AR133)</f>
        <v>-2.0999999999999943</v>
      </c>
      <c r="AS134" s="384">
        <f>AS132</f>
        <v>90176.1</v>
      </c>
      <c r="AT134" s="384">
        <f>AT133</f>
        <v>90178</v>
      </c>
      <c r="AU134" s="384">
        <f>SUM(AU132:AU133)</f>
        <v>1.8999999999941792</v>
      </c>
      <c r="AV134" s="343"/>
      <c r="AW134" s="343"/>
      <c r="AX134" s="343"/>
      <c r="AY134" s="343"/>
      <c r="AZ134" s="362" t="s">
        <v>686</v>
      </c>
      <c r="BA134" s="550"/>
      <c r="BB134" s="550"/>
      <c r="BC134" s="550"/>
      <c r="BD134" s="550"/>
      <c r="BE134" s="550"/>
      <c r="BF134" s="550"/>
      <c r="BG134" s="550"/>
      <c r="BH134" s="550"/>
      <c r="BI134" s="550"/>
      <c r="BJ134" s="550"/>
      <c r="BK134" s="550"/>
      <c r="BL134" s="550"/>
      <c r="BM134" s="550"/>
      <c r="BN134" s="550"/>
      <c r="BO134" s="550"/>
      <c r="BP134" s="550"/>
      <c r="BQ134" s="550"/>
      <c r="BR134" s="550"/>
      <c r="BS134" s="550"/>
    </row>
    <row r="135" spans="1:71" s="577" customFormat="1" ht="15" customHeight="1" x14ac:dyDescent="0.2">
      <c r="A135" s="404">
        <v>62008015</v>
      </c>
      <c r="B135" s="403" t="s">
        <v>630</v>
      </c>
      <c r="C135" s="403" t="s">
        <v>778</v>
      </c>
      <c r="D135" s="402" t="s">
        <v>811</v>
      </c>
      <c r="E135" s="346" t="s">
        <v>812</v>
      </c>
      <c r="F135" s="346" t="str">
        <f t="shared" si="28"/>
        <v>08/06/20</v>
      </c>
      <c r="G135" s="362" t="s">
        <v>813</v>
      </c>
      <c r="H135" s="362" t="s">
        <v>685</v>
      </c>
      <c r="I135" s="370"/>
      <c r="J135" s="363">
        <v>25.137250999999999</v>
      </c>
      <c r="K135" s="363">
        <v>38.815961999999999</v>
      </c>
      <c r="L135" s="363">
        <v>29.436143999999999</v>
      </c>
      <c r="M135" s="363">
        <v>29.310973000000001</v>
      </c>
      <c r="N135" s="347">
        <v>4250</v>
      </c>
      <c r="O135" s="347">
        <v>30.36</v>
      </c>
      <c r="P135" s="347">
        <v>0.3201</v>
      </c>
      <c r="Q135" s="347">
        <v>1.9560000000000001E-2</v>
      </c>
      <c r="R135" s="348">
        <v>10.24576444</v>
      </c>
      <c r="S135" s="348">
        <f>R135+R134</f>
        <v>17.671623910000001</v>
      </c>
      <c r="T135" s="380">
        <v>93.7</v>
      </c>
      <c r="U135" s="380">
        <v>90.3</v>
      </c>
      <c r="V135" s="352">
        <v>-430</v>
      </c>
      <c r="W135" s="352">
        <v>1821</v>
      </c>
      <c r="X135" s="352">
        <f>W135-V135</f>
        <v>2251</v>
      </c>
      <c r="Y135" s="352">
        <f t="shared" si="55"/>
        <v>219.70054193438006</v>
      </c>
      <c r="Z135" s="372">
        <v>2367.66</v>
      </c>
      <c r="AA135" s="352">
        <v>2399.335439</v>
      </c>
      <c r="AB135" s="352">
        <f>AA135-Z135</f>
        <v>31.675439000000097</v>
      </c>
      <c r="AC135" s="371">
        <f t="shared" si="56"/>
        <v>3.0915642444733091</v>
      </c>
      <c r="AD135" s="372">
        <v>-17.34</v>
      </c>
      <c r="AE135" s="352">
        <v>-17.59</v>
      </c>
      <c r="AF135" s="352">
        <f>AE135-AD135</f>
        <v>-0.25</v>
      </c>
      <c r="AG135" s="371">
        <f t="shared" si="57"/>
        <v>-2.4400326736381615E-2</v>
      </c>
      <c r="AH135" s="372">
        <v>0</v>
      </c>
      <c r="AI135" s="352">
        <v>0</v>
      </c>
      <c r="AJ135" s="352">
        <f>AI135-AH135</f>
        <v>0</v>
      </c>
      <c r="AK135" s="371">
        <f t="shared" si="58"/>
        <v>0</v>
      </c>
      <c r="AL135" s="372">
        <v>-0.05</v>
      </c>
      <c r="AM135" s="352">
        <v>-0.05</v>
      </c>
      <c r="AN135" s="352">
        <f>AM135-AL135</f>
        <v>0</v>
      </c>
      <c r="AO135" s="371">
        <f t="shared" si="59"/>
        <v>0</v>
      </c>
      <c r="AP135" s="341">
        <v>93.7</v>
      </c>
      <c r="AQ135" s="341">
        <v>90.3</v>
      </c>
      <c r="AR135" s="341">
        <f>AQ135-AP135</f>
        <v>-3.4000000000000057</v>
      </c>
      <c r="AS135" s="526">
        <v>90178</v>
      </c>
      <c r="AT135" s="383">
        <v>90179.1</v>
      </c>
      <c r="AU135" s="383">
        <f>AT135-AS135</f>
        <v>1.1000000000058208</v>
      </c>
      <c r="AV135" s="341"/>
      <c r="AW135" s="341"/>
      <c r="AX135" s="341"/>
      <c r="AY135" s="341"/>
      <c r="AZ135" s="362" t="s">
        <v>686</v>
      </c>
      <c r="BA135" s="550">
        <v>1944.4254418999999</v>
      </c>
      <c r="BB135" s="550">
        <v>-0.78799774</v>
      </c>
      <c r="BC135" s="550">
        <v>1296.4047681699999</v>
      </c>
      <c r="BD135" s="550">
        <v>1306.7015468500001</v>
      </c>
      <c r="BE135" s="550">
        <v>7.9728172900000001</v>
      </c>
      <c r="BF135" s="550">
        <v>8.0199994799999992</v>
      </c>
      <c r="BG135" s="550">
        <v>-0.10548705999999999</v>
      </c>
      <c r="BH135" s="550">
        <v>10.245860970000001</v>
      </c>
      <c r="BI135" s="550">
        <v>10.25668044</v>
      </c>
      <c r="BJ135" s="550">
        <v>-0.48567691000000002</v>
      </c>
      <c r="BK135" s="550">
        <v>-0.58830669999999996</v>
      </c>
      <c r="BL135" s="550">
        <v>0.28276336000000002</v>
      </c>
      <c r="BM135" s="550"/>
      <c r="BN135" s="550"/>
      <c r="BO135" s="550"/>
      <c r="BP135" s="550"/>
      <c r="BQ135" s="550"/>
      <c r="BR135" s="550"/>
      <c r="BS135" s="550"/>
    </row>
    <row r="136" spans="1:71" s="577" customFormat="1" ht="15" customHeight="1" x14ac:dyDescent="0.2">
      <c r="A136" s="404">
        <v>62008015</v>
      </c>
      <c r="B136" s="403" t="s">
        <v>633</v>
      </c>
      <c r="C136" s="403" t="s">
        <v>780</v>
      </c>
      <c r="D136" s="402" t="s">
        <v>811</v>
      </c>
      <c r="E136" s="346" t="s">
        <v>812</v>
      </c>
      <c r="F136" s="346" t="str">
        <f t="shared" si="28"/>
        <v>08/06/20</v>
      </c>
      <c r="G136" s="362" t="s">
        <v>813</v>
      </c>
      <c r="H136" s="362" t="s">
        <v>685</v>
      </c>
      <c r="I136" s="370"/>
      <c r="J136" s="363">
        <v>23.042808999999998</v>
      </c>
      <c r="K136" s="363">
        <v>42.109565000000003</v>
      </c>
      <c r="L136" s="363">
        <v>29.425501000000001</v>
      </c>
      <c r="M136" s="363">
        <v>32.356554000000003</v>
      </c>
      <c r="N136" s="347">
        <v>4250</v>
      </c>
      <c r="O136" s="347">
        <v>30.36</v>
      </c>
      <c r="P136" s="347">
        <v>0.3201</v>
      </c>
      <c r="Q136" s="347">
        <v>1.9560000000000001E-2</v>
      </c>
      <c r="R136" s="348">
        <v>1.7652757699999999</v>
      </c>
      <c r="S136" s="348">
        <f>R136+R135</f>
        <v>12.011040210000001</v>
      </c>
      <c r="T136" s="380">
        <v>90.3</v>
      </c>
      <c r="U136" s="380">
        <v>86.7</v>
      </c>
      <c r="V136" s="352">
        <v>1822</v>
      </c>
      <c r="W136" s="352">
        <v>4217</v>
      </c>
      <c r="X136" s="352">
        <f>W136-V136-X137</f>
        <v>544</v>
      </c>
      <c r="Y136" s="352">
        <f t="shared" si="55"/>
        <v>308.16714829774162</v>
      </c>
      <c r="Z136" s="372">
        <v>2400.08</v>
      </c>
      <c r="AA136" s="352">
        <v>2424.9499999999998</v>
      </c>
      <c r="AB136" s="352">
        <f>AA136-Z136-AB137</f>
        <v>9.8748679999998785</v>
      </c>
      <c r="AC136" s="371">
        <f t="shared" si="56"/>
        <v>5.5939520429716652</v>
      </c>
      <c r="AD136" s="372">
        <v>-17.600000000000001</v>
      </c>
      <c r="AE136" s="352">
        <v>-17.79</v>
      </c>
      <c r="AF136" s="352">
        <f>AE136-AD136-AF137</f>
        <v>-7.9999999999998295E-2</v>
      </c>
      <c r="AG136" s="371">
        <f t="shared" si="57"/>
        <v>-4.5318698279078681E-2</v>
      </c>
      <c r="AH136" s="372">
        <v>0</v>
      </c>
      <c r="AI136" s="352">
        <v>0</v>
      </c>
      <c r="AJ136" s="352">
        <f>AI136-AH136-AJ137</f>
        <v>0</v>
      </c>
      <c r="AK136" s="371">
        <f t="shared" si="58"/>
        <v>0</v>
      </c>
      <c r="AL136" s="372">
        <v>-0.05</v>
      </c>
      <c r="AM136" s="352">
        <v>-0.05</v>
      </c>
      <c r="AN136" s="352">
        <f>AM136-AL136-AN137</f>
        <v>0</v>
      </c>
      <c r="AO136" s="371">
        <f t="shared" si="59"/>
        <v>0</v>
      </c>
      <c r="AP136" s="341">
        <v>90.3</v>
      </c>
      <c r="AQ136" s="341">
        <v>86.7</v>
      </c>
      <c r="AR136" s="341">
        <f>AQ136-AP136-AR137</f>
        <v>-0.79999999999999716</v>
      </c>
      <c r="AS136" s="526">
        <v>90179.1</v>
      </c>
      <c r="AT136" s="383">
        <v>90179.9</v>
      </c>
      <c r="AU136" s="383">
        <f>AT136-AS136-AU137</f>
        <v>0.29999999998835847</v>
      </c>
      <c r="AV136" s="341"/>
      <c r="AW136" s="341"/>
      <c r="AX136" s="341"/>
      <c r="AY136" s="341"/>
      <c r="AZ136" s="362" t="s">
        <v>686</v>
      </c>
      <c r="BA136" s="550">
        <v>5559.4947697699999</v>
      </c>
      <c r="BB136" s="550">
        <v>-1.18675832</v>
      </c>
      <c r="BC136" s="550">
        <v>2430.0727234999999</v>
      </c>
      <c r="BD136" s="550">
        <v>2459.2581744300001</v>
      </c>
      <c r="BE136" s="550">
        <v>3.1639902599999998</v>
      </c>
      <c r="BF136" s="550">
        <v>3.2076882699999998</v>
      </c>
      <c r="BG136" s="550">
        <v>-0.38720732000000002</v>
      </c>
      <c r="BH136" s="550">
        <v>1.7652428099999999</v>
      </c>
      <c r="BI136" s="550">
        <v>1.77210453</v>
      </c>
      <c r="BJ136" s="550">
        <v>-0.98854940000000002</v>
      </c>
      <c r="BK136" s="550">
        <v>-1.3622898000000001</v>
      </c>
      <c r="BL136" s="550">
        <v>0.81478028000000002</v>
      </c>
      <c r="BM136" s="550"/>
      <c r="BN136" s="550"/>
      <c r="BO136" s="550"/>
      <c r="BP136" s="550"/>
      <c r="BQ136" s="550"/>
      <c r="BR136" s="550"/>
      <c r="BS136" s="550"/>
    </row>
    <row r="137" spans="1:71" s="577" customFormat="1" ht="15" customHeight="1" x14ac:dyDescent="0.2">
      <c r="A137" s="404">
        <v>62008015</v>
      </c>
      <c r="B137" s="403" t="s">
        <v>634</v>
      </c>
      <c r="C137" s="403" t="s">
        <v>781</v>
      </c>
      <c r="D137" s="402" t="s">
        <v>811</v>
      </c>
      <c r="E137" s="346" t="s">
        <v>812</v>
      </c>
      <c r="F137" s="346" t="str">
        <f t="shared" si="28"/>
        <v>08/06/20</v>
      </c>
      <c r="G137" s="362" t="s">
        <v>813</v>
      </c>
      <c r="H137" s="362" t="s">
        <v>685</v>
      </c>
      <c r="I137" s="370"/>
      <c r="J137" s="363">
        <v>26.003412000000001</v>
      </c>
      <c r="K137" s="363">
        <v>36.543632000000002</v>
      </c>
      <c r="L137" s="363">
        <v>29.446601999999999</v>
      </c>
      <c r="M137" s="363">
        <v>31.189943</v>
      </c>
      <c r="N137" s="347">
        <v>4250</v>
      </c>
      <c r="O137" s="347">
        <v>30.36</v>
      </c>
      <c r="P137" s="347">
        <v>0.3201</v>
      </c>
      <c r="Q137" s="347">
        <v>1.9560000000000001E-2</v>
      </c>
      <c r="R137" s="348">
        <v>6.2272878</v>
      </c>
      <c r="S137" s="348">
        <f>R137+R136</f>
        <v>7.9925635699999997</v>
      </c>
      <c r="T137" s="380">
        <v>89.8</v>
      </c>
      <c r="U137" s="380">
        <v>87</v>
      </c>
      <c r="V137" s="352">
        <v>2186</v>
      </c>
      <c r="W137" s="352">
        <v>4037</v>
      </c>
      <c r="X137" s="352">
        <f>W137-V137</f>
        <v>1851</v>
      </c>
      <c r="Y137" s="352">
        <f t="shared" si="55"/>
        <v>297.24015646105192</v>
      </c>
      <c r="Z137" s="372">
        <v>2405.56</v>
      </c>
      <c r="AA137" s="352">
        <v>2420.555132</v>
      </c>
      <c r="AB137" s="352">
        <f>AA137-Z137</f>
        <v>14.995132000000012</v>
      </c>
      <c r="AC137" s="371">
        <f t="shared" si="56"/>
        <v>2.4079715731140627</v>
      </c>
      <c r="AD137" s="372">
        <v>-17.64</v>
      </c>
      <c r="AE137" s="352">
        <v>-17.75</v>
      </c>
      <c r="AF137" s="352">
        <f>AE137-AD137</f>
        <v>-0.10999999999999943</v>
      </c>
      <c r="AG137" s="371">
        <f t="shared" si="57"/>
        <v>-1.7664190821564313E-2</v>
      </c>
      <c r="AH137" s="372">
        <v>0</v>
      </c>
      <c r="AI137" s="352">
        <v>0</v>
      </c>
      <c r="AJ137" s="352">
        <f>AI137-AH137</f>
        <v>0</v>
      </c>
      <c r="AK137" s="371">
        <f t="shared" si="58"/>
        <v>0</v>
      </c>
      <c r="AL137" s="372">
        <v>-0.05</v>
      </c>
      <c r="AM137" s="352">
        <v>-0.05</v>
      </c>
      <c r="AN137" s="352">
        <f>AM137-AL137</f>
        <v>0</v>
      </c>
      <c r="AO137" s="371">
        <f t="shared" si="59"/>
        <v>0</v>
      </c>
      <c r="AP137" s="341">
        <v>89.8</v>
      </c>
      <c r="AQ137" s="341">
        <v>87</v>
      </c>
      <c r="AR137" s="341">
        <f>AQ137-AP137</f>
        <v>-2.7999999999999972</v>
      </c>
      <c r="AS137" s="526">
        <v>90179.3</v>
      </c>
      <c r="AT137" s="383">
        <v>90179.8</v>
      </c>
      <c r="AU137" s="383">
        <f>AT137-AS137</f>
        <v>0.5</v>
      </c>
      <c r="AV137" s="341"/>
      <c r="AW137" s="341"/>
      <c r="AX137" s="341"/>
      <c r="AY137" s="341"/>
      <c r="AZ137" s="362" t="s">
        <v>686</v>
      </c>
      <c r="BA137" s="550">
        <v>11801.658646940001</v>
      </c>
      <c r="BB137" s="550">
        <v>-9.4270860600000006</v>
      </c>
      <c r="BC137" s="550">
        <v>1030.87696867</v>
      </c>
      <c r="BD137" s="550">
        <v>1138.17357064</v>
      </c>
      <c r="BE137" s="550">
        <v>6.9205901299999999</v>
      </c>
      <c r="BF137" s="550">
        <v>7.0839210599999998</v>
      </c>
      <c r="BG137" s="550">
        <v>-0.12017429</v>
      </c>
      <c r="BH137" s="550">
        <v>6.2273654000000001</v>
      </c>
      <c r="BI137" s="550">
        <v>6.2348580900000004</v>
      </c>
      <c r="BJ137" s="550">
        <v>-2.2370617899999998</v>
      </c>
      <c r="BK137" s="550">
        <v>-2.3056570999999999</v>
      </c>
      <c r="BL137" s="550">
        <v>0.34888174</v>
      </c>
      <c r="BM137" s="550"/>
      <c r="BN137" s="550"/>
      <c r="BO137" s="550"/>
      <c r="BP137" s="550"/>
      <c r="BQ137" s="550"/>
      <c r="BR137" s="550"/>
      <c r="BS137" s="550"/>
    </row>
    <row r="138" spans="1:71" s="577" customFormat="1" ht="15" customHeight="1" x14ac:dyDescent="0.2">
      <c r="A138" s="404">
        <v>62008015</v>
      </c>
      <c r="B138" s="403" t="s">
        <v>635</v>
      </c>
      <c r="C138" s="403" t="s">
        <v>782</v>
      </c>
      <c r="D138" s="402" t="s">
        <v>811</v>
      </c>
      <c r="E138" s="346" t="s">
        <v>812</v>
      </c>
      <c r="F138" s="346" t="str">
        <f t="shared" si="28"/>
        <v>08/06/20</v>
      </c>
      <c r="G138" s="362" t="s">
        <v>813</v>
      </c>
      <c r="H138" s="362" t="s">
        <v>685</v>
      </c>
      <c r="I138" s="370"/>
      <c r="J138" s="364">
        <f>AVERAGE(J136:J137)</f>
        <v>24.523110500000001</v>
      </c>
      <c r="K138" s="364">
        <f>AVERAGE(K136:K137)</f>
        <v>39.326598500000003</v>
      </c>
      <c r="L138" s="364">
        <f>AVERAGE(L136:L137)</f>
        <v>29.436051499999998</v>
      </c>
      <c r="M138" s="364">
        <f>AVERAGE(M136:M137)</f>
        <v>31.773248500000001</v>
      </c>
      <c r="N138" s="349"/>
      <c r="O138" s="347"/>
      <c r="P138" s="366"/>
      <c r="Q138" s="365"/>
      <c r="R138" s="350">
        <f>R137+R136</f>
        <v>7.9925635699999997</v>
      </c>
      <c r="S138" s="350">
        <f>S137</f>
        <v>7.9925635699999997</v>
      </c>
      <c r="T138" s="381">
        <f>T136</f>
        <v>90.3</v>
      </c>
      <c r="U138" s="381">
        <f>U137</f>
        <v>87</v>
      </c>
      <c r="V138" s="353">
        <f>V136</f>
        <v>1822</v>
      </c>
      <c r="W138" s="353">
        <f>W137</f>
        <v>4037</v>
      </c>
      <c r="X138" s="353">
        <f>SUM(X136:X137)</f>
        <v>2395</v>
      </c>
      <c r="Y138" s="353">
        <f t="shared" si="55"/>
        <v>299.65354407559624</v>
      </c>
      <c r="Z138" s="353">
        <f>Z136</f>
        <v>2400.08</v>
      </c>
      <c r="AA138" s="353">
        <f>AA137</f>
        <v>2420.555132</v>
      </c>
      <c r="AB138" s="353">
        <f>SUM(AB136:AB137)</f>
        <v>24.869999999999891</v>
      </c>
      <c r="AC138" s="351">
        <f t="shared" si="56"/>
        <v>3.1116424388977229</v>
      </c>
      <c r="AD138" s="353">
        <f>AD136</f>
        <v>-17.600000000000001</v>
      </c>
      <c r="AE138" s="353">
        <f>AE137</f>
        <v>-17.75</v>
      </c>
      <c r="AF138" s="353">
        <f>SUM(AF136:AF137)</f>
        <v>-0.18999999999999773</v>
      </c>
      <c r="AG138" s="351">
        <f t="shared" si="57"/>
        <v>-2.3772097442322594E-2</v>
      </c>
      <c r="AH138" s="353">
        <f>AH136</f>
        <v>0</v>
      </c>
      <c r="AI138" s="353">
        <f>AI137</f>
        <v>0</v>
      </c>
      <c r="AJ138" s="353">
        <f>SUM(AJ136:AJ137)</f>
        <v>0</v>
      </c>
      <c r="AK138" s="351">
        <f t="shared" si="58"/>
        <v>0</v>
      </c>
      <c r="AL138" s="353">
        <f>AL136</f>
        <v>-0.05</v>
      </c>
      <c r="AM138" s="353">
        <f>AM137</f>
        <v>-0.05</v>
      </c>
      <c r="AN138" s="353">
        <f>SUM(AN136:AN137)</f>
        <v>0</v>
      </c>
      <c r="AO138" s="351">
        <f t="shared" si="59"/>
        <v>0</v>
      </c>
      <c r="AP138" s="343"/>
      <c r="AQ138" s="343"/>
      <c r="AR138" s="343">
        <f>SUM(AR136:AR137)</f>
        <v>-3.5999999999999943</v>
      </c>
      <c r="AS138" s="384">
        <f>AS136</f>
        <v>90179.1</v>
      </c>
      <c r="AT138" s="384">
        <f>AT137</f>
        <v>90179.8</v>
      </c>
      <c r="AU138" s="384">
        <f>SUM(AU136:AU137)</f>
        <v>0.79999999998835847</v>
      </c>
      <c r="AV138" s="343"/>
      <c r="AW138" s="343"/>
      <c r="AX138" s="343"/>
      <c r="AY138" s="343"/>
      <c r="AZ138" s="362" t="s">
        <v>686</v>
      </c>
      <c r="BA138" s="550"/>
      <c r="BB138" s="550"/>
      <c r="BC138" s="550"/>
      <c r="BD138" s="550"/>
      <c r="BE138" s="550"/>
      <c r="BF138" s="550"/>
      <c r="BG138" s="550"/>
      <c r="BH138" s="550"/>
      <c r="BI138" s="550"/>
      <c r="BJ138" s="550"/>
      <c r="BK138" s="550"/>
      <c r="BL138" s="550"/>
      <c r="BM138" s="550"/>
      <c r="BN138" s="550"/>
      <c r="BO138" s="550"/>
      <c r="BP138" s="550"/>
      <c r="BQ138" s="550"/>
      <c r="BR138" s="550"/>
      <c r="BS138" s="550"/>
    </row>
    <row r="139" spans="1:71" s="577" customFormat="1" ht="15" customHeight="1" x14ac:dyDescent="0.2">
      <c r="A139" s="404">
        <v>62008015</v>
      </c>
      <c r="B139" s="403" t="s">
        <v>797</v>
      </c>
      <c r="C139" s="403" t="s">
        <v>784</v>
      </c>
      <c r="D139" s="402" t="s">
        <v>811</v>
      </c>
      <c r="E139" s="346" t="s">
        <v>812</v>
      </c>
      <c r="F139" s="346" t="str">
        <f t="shared" si="28"/>
        <v>08/06/20</v>
      </c>
      <c r="G139" s="362" t="s">
        <v>813</v>
      </c>
      <c r="H139" s="362" t="s">
        <v>685</v>
      </c>
      <c r="I139" s="370"/>
      <c r="J139" s="363">
        <v>24.557058000000001</v>
      </c>
      <c r="K139" s="363">
        <v>39.909182999999999</v>
      </c>
      <c r="L139" s="363">
        <v>29.426874999999999</v>
      </c>
      <c r="M139" s="363">
        <v>30.494368999999999</v>
      </c>
      <c r="N139" s="347">
        <v>4250</v>
      </c>
      <c r="O139" s="347">
        <v>30.36</v>
      </c>
      <c r="P139" s="347">
        <v>0.3201</v>
      </c>
      <c r="Q139" s="347">
        <v>1.9560000000000001E-2</v>
      </c>
      <c r="R139" s="348">
        <v>10.245149270000001</v>
      </c>
      <c r="S139" s="348">
        <f>R139+R138</f>
        <v>18.23771284</v>
      </c>
      <c r="T139" s="380">
        <v>86.7</v>
      </c>
      <c r="U139" s="380">
        <v>83.3</v>
      </c>
      <c r="V139" s="352">
        <v>4218</v>
      </c>
      <c r="W139" s="352">
        <v>6432</v>
      </c>
      <c r="X139" s="352">
        <f>W139-V139</f>
        <v>2214</v>
      </c>
      <c r="Y139" s="352">
        <f t="shared" si="55"/>
        <v>216.10226865928328</v>
      </c>
      <c r="Z139" s="372">
        <v>2425.64</v>
      </c>
      <c r="AA139" s="352">
        <v>2457.21</v>
      </c>
      <c r="AB139" s="352">
        <f>AA139-Z139</f>
        <v>31.570000000000164</v>
      </c>
      <c r="AC139" s="371">
        <f t="shared" si="56"/>
        <v>3.0814582753268329</v>
      </c>
      <c r="AD139" s="372">
        <v>-17.79</v>
      </c>
      <c r="AE139" s="352">
        <v>-18.010000000000002</v>
      </c>
      <c r="AF139" s="352">
        <f>AE139-AD139</f>
        <v>-0.22000000000000242</v>
      </c>
      <c r="AG139" s="371">
        <f t="shared" si="57"/>
        <v>-2.1473576831546E-2</v>
      </c>
      <c r="AH139" s="372">
        <v>0</v>
      </c>
      <c r="AI139" s="352">
        <v>0</v>
      </c>
      <c r="AJ139" s="352">
        <f>AI139-AH139</f>
        <v>0</v>
      </c>
      <c r="AK139" s="371">
        <f t="shared" si="58"/>
        <v>0</v>
      </c>
      <c r="AL139" s="372">
        <v>-0.05</v>
      </c>
      <c r="AM139" s="352">
        <v>-0.05</v>
      </c>
      <c r="AN139" s="352">
        <f>AM139-AL139</f>
        <v>0</v>
      </c>
      <c r="AO139" s="371">
        <f t="shared" si="59"/>
        <v>0</v>
      </c>
      <c r="AP139" s="341">
        <v>86.7</v>
      </c>
      <c r="AQ139" s="341">
        <v>83.3</v>
      </c>
      <c r="AR139" s="341">
        <f>AQ139-AP139</f>
        <v>-3.4000000000000057</v>
      </c>
      <c r="AS139" s="526">
        <v>90180</v>
      </c>
      <c r="AT139" s="383">
        <v>90181</v>
      </c>
      <c r="AU139" s="383">
        <f>AT139-AS139</f>
        <v>1</v>
      </c>
      <c r="AV139" s="341"/>
      <c r="AW139" s="341"/>
      <c r="AX139" s="341"/>
      <c r="AY139" s="341"/>
      <c r="AZ139" s="362" t="s">
        <v>686</v>
      </c>
      <c r="BA139" s="550">
        <v>1945.53430172</v>
      </c>
      <c r="BB139" s="550">
        <v>-0.75573259999999998</v>
      </c>
      <c r="BC139" s="550">
        <v>1296.84276916</v>
      </c>
      <c r="BD139" s="550">
        <v>1306.7180635699999</v>
      </c>
      <c r="BE139" s="550">
        <v>7.9713715799999996</v>
      </c>
      <c r="BF139" s="550">
        <v>8.0200321799999994</v>
      </c>
      <c r="BG139" s="550">
        <v>-0.11158809</v>
      </c>
      <c r="BH139" s="550">
        <v>10.245235149999999</v>
      </c>
      <c r="BI139" s="550">
        <v>10.256680380000001</v>
      </c>
      <c r="BJ139" s="550">
        <v>-0.49817272000000001</v>
      </c>
      <c r="BK139" s="550">
        <v>-0.60673820000000001</v>
      </c>
      <c r="BL139" s="550">
        <v>0.28276653000000002</v>
      </c>
      <c r="BM139" s="550"/>
      <c r="BN139" s="550"/>
      <c r="BO139" s="550"/>
      <c r="BP139" s="550"/>
      <c r="BQ139" s="550"/>
      <c r="BR139" s="550"/>
      <c r="BS139" s="550"/>
    </row>
    <row r="140" spans="1:71" s="577" customFormat="1" ht="15" customHeight="1" x14ac:dyDescent="0.2">
      <c r="A140" s="404">
        <v>62008015</v>
      </c>
      <c r="B140" s="403" t="s">
        <v>640</v>
      </c>
      <c r="C140" s="403" t="s">
        <v>785</v>
      </c>
      <c r="D140" s="402" t="s">
        <v>811</v>
      </c>
      <c r="E140" s="346" t="s">
        <v>812</v>
      </c>
      <c r="F140" s="346" t="str">
        <f t="shared" si="28"/>
        <v>08/06/20</v>
      </c>
      <c r="G140" s="362" t="s">
        <v>813</v>
      </c>
      <c r="H140" s="362" t="s">
        <v>685</v>
      </c>
      <c r="I140" s="370"/>
      <c r="J140" s="363">
        <v>21.684912000000001</v>
      </c>
      <c r="K140" s="363">
        <v>46.510927000000002</v>
      </c>
      <c r="L140" s="363">
        <v>29.420587999999999</v>
      </c>
      <c r="M140" s="363">
        <v>30.539313</v>
      </c>
      <c r="N140" s="347">
        <v>4250</v>
      </c>
      <c r="O140" s="347">
        <v>30.36</v>
      </c>
      <c r="P140" s="347">
        <v>0.3201</v>
      </c>
      <c r="Q140" s="347">
        <v>1.9560000000000001E-2</v>
      </c>
      <c r="R140" s="348">
        <v>3.5821171199999999</v>
      </c>
      <c r="S140" s="348">
        <f>R140+R139</f>
        <v>13.82726639</v>
      </c>
      <c r="T140" s="380">
        <v>83.3</v>
      </c>
      <c r="U140" s="380">
        <v>82.2</v>
      </c>
      <c r="V140" s="352">
        <v>6432</v>
      </c>
      <c r="W140" s="352">
        <v>7152</v>
      </c>
      <c r="X140" s="352">
        <f>W140-V140</f>
        <v>720</v>
      </c>
      <c r="Y140" s="352">
        <f t="shared" si="55"/>
        <v>200.99845311590482</v>
      </c>
      <c r="Z140" s="372">
        <v>2457.2600000000002</v>
      </c>
      <c r="AA140" s="352">
        <v>2478.33</v>
      </c>
      <c r="AB140" s="352">
        <f>AA140-Z140</f>
        <v>21.069999999999709</v>
      </c>
      <c r="AC140" s="371">
        <f t="shared" si="56"/>
        <v>5.8819963988223005</v>
      </c>
      <c r="AD140" s="372">
        <v>-18.010000000000002</v>
      </c>
      <c r="AE140" s="352">
        <v>-18.149999999999999</v>
      </c>
      <c r="AF140" s="352">
        <f>AE140-AD140</f>
        <v>-0.13999999999999702</v>
      </c>
      <c r="AG140" s="371">
        <f t="shared" si="57"/>
        <v>-3.9083032550313992E-2</v>
      </c>
      <c r="AH140" s="372">
        <v>0</v>
      </c>
      <c r="AI140" s="352">
        <v>0</v>
      </c>
      <c r="AJ140" s="352">
        <f>AI140-AH140</f>
        <v>0</v>
      </c>
      <c r="AK140" s="371">
        <f t="shared" si="58"/>
        <v>0</v>
      </c>
      <c r="AL140" s="372">
        <v>-0.05</v>
      </c>
      <c r="AM140" s="352">
        <v>-0.05</v>
      </c>
      <c r="AN140" s="352">
        <f>AM140-AL140</f>
        <v>0</v>
      </c>
      <c r="AO140" s="371">
        <f t="shared" si="59"/>
        <v>0</v>
      </c>
      <c r="AP140" s="341">
        <v>83.3</v>
      </c>
      <c r="AQ140" s="341">
        <v>82.2</v>
      </c>
      <c r="AR140" s="341">
        <f>AQ140-AP140</f>
        <v>-1.0999999999999943</v>
      </c>
      <c r="AS140" s="526">
        <v>90181</v>
      </c>
      <c r="AT140" s="383">
        <v>90181.7</v>
      </c>
      <c r="AU140" s="383">
        <f>AT140-AS140</f>
        <v>0.69999999999708962</v>
      </c>
      <c r="AV140" s="341"/>
      <c r="AW140" s="341"/>
      <c r="AX140" s="341"/>
      <c r="AY140" s="341"/>
      <c r="AZ140" s="362" t="s">
        <v>686</v>
      </c>
      <c r="BA140" s="550">
        <v>2417.5184851099998</v>
      </c>
      <c r="BB140" s="550">
        <v>-2.1587341200000001</v>
      </c>
      <c r="BC140" s="550">
        <v>2004.4969259</v>
      </c>
      <c r="BD140" s="550">
        <v>2048.7234174300002</v>
      </c>
      <c r="BE140" s="550">
        <v>3.2107871000000001</v>
      </c>
      <c r="BF140" s="550">
        <v>3.2583675699999999</v>
      </c>
      <c r="BG140" s="550">
        <v>-0.25127981999999999</v>
      </c>
      <c r="BH140" s="550">
        <v>3.58195679</v>
      </c>
      <c r="BI140" s="550">
        <v>3.5909802000000002</v>
      </c>
      <c r="BJ140" s="550">
        <v>-1.2268908999999999</v>
      </c>
      <c r="BK140" s="550">
        <v>-1.46025498</v>
      </c>
      <c r="BL140" s="550">
        <v>0.59037771000000006</v>
      </c>
      <c r="BM140" s="550"/>
      <c r="BN140" s="550"/>
      <c r="BO140" s="550"/>
      <c r="BP140" s="550"/>
      <c r="BQ140" s="550"/>
      <c r="BR140" s="550"/>
      <c r="BS140" s="550"/>
    </row>
    <row r="141" spans="1:71" s="577" customFormat="1" ht="15" customHeight="1" x14ac:dyDescent="0.2">
      <c r="A141" s="404">
        <v>62008015</v>
      </c>
      <c r="B141" s="403" t="s">
        <v>220</v>
      </c>
      <c r="C141" s="403" t="s">
        <v>786</v>
      </c>
      <c r="D141" s="402" t="s">
        <v>811</v>
      </c>
      <c r="E141" s="346" t="s">
        <v>812</v>
      </c>
      <c r="F141" s="346" t="str">
        <f t="shared" si="28"/>
        <v>08/06/20</v>
      </c>
      <c r="G141" s="362" t="s">
        <v>813</v>
      </c>
      <c r="H141" s="362" t="s">
        <v>685</v>
      </c>
      <c r="I141" s="370"/>
      <c r="J141" s="363">
        <v>18.382204999999999</v>
      </c>
      <c r="K141" s="363">
        <v>57.670278000000003</v>
      </c>
      <c r="L141" s="363">
        <v>29.418952000000001</v>
      </c>
      <c r="M141" s="363">
        <v>28.480672999999999</v>
      </c>
      <c r="N141" s="347">
        <v>4250</v>
      </c>
      <c r="O141" s="347">
        <v>30.36</v>
      </c>
      <c r="P141" s="347">
        <v>0.3201</v>
      </c>
      <c r="Q141" s="347">
        <v>1.9560000000000001E-2</v>
      </c>
      <c r="R141" s="348">
        <v>3.8436736900000001</v>
      </c>
      <c r="S141" s="348">
        <f>R141+R140</f>
        <v>7.4257908100000005</v>
      </c>
      <c r="T141" s="380">
        <v>82.2</v>
      </c>
      <c r="U141" s="380">
        <v>81.2</v>
      </c>
      <c r="V141" s="352">
        <v>7152</v>
      </c>
      <c r="W141" s="352">
        <v>7788</v>
      </c>
      <c r="X141" s="352">
        <f>W141-V141</f>
        <v>636</v>
      </c>
      <c r="Y141" s="352">
        <f t="shared" si="55"/>
        <v>165.46669964587966</v>
      </c>
      <c r="Z141" s="372">
        <v>2478.34</v>
      </c>
      <c r="AA141" s="352">
        <v>2514.52</v>
      </c>
      <c r="AB141" s="352">
        <f>AA141-Z141</f>
        <v>36.179999999999836</v>
      </c>
      <c r="AC141" s="371">
        <f t="shared" si="56"/>
        <v>9.4128698006099043</v>
      </c>
      <c r="AD141" s="372">
        <v>-18.149999999999999</v>
      </c>
      <c r="AE141" s="352">
        <v>-18.39</v>
      </c>
      <c r="AF141" s="352">
        <f>AE141-AD141</f>
        <v>-0.24000000000000199</v>
      </c>
      <c r="AG141" s="371">
        <f t="shared" si="57"/>
        <v>-6.2440264017313597E-2</v>
      </c>
      <c r="AH141" s="372">
        <v>0</v>
      </c>
      <c r="AI141" s="352">
        <v>0</v>
      </c>
      <c r="AJ141" s="352">
        <f>AI141-AH141</f>
        <v>0</v>
      </c>
      <c r="AK141" s="371">
        <f t="shared" si="58"/>
        <v>0</v>
      </c>
      <c r="AL141" s="372">
        <v>-0.05</v>
      </c>
      <c r="AM141" s="352">
        <v>-0.05</v>
      </c>
      <c r="AN141" s="352">
        <f>AM141-AL141</f>
        <v>0</v>
      </c>
      <c r="AO141" s="371">
        <f t="shared" si="59"/>
        <v>0</v>
      </c>
      <c r="AP141" s="341">
        <v>82.2</v>
      </c>
      <c r="AQ141" s="341">
        <v>81.2</v>
      </c>
      <c r="AR141" s="341">
        <f>AQ141-AP141</f>
        <v>-1</v>
      </c>
      <c r="AS141" s="526">
        <v>90181.7</v>
      </c>
      <c r="AT141" s="383">
        <v>90182.9</v>
      </c>
      <c r="AU141" s="383">
        <f>AT141-AS141</f>
        <v>1.1999999999970896</v>
      </c>
      <c r="AV141" s="341"/>
      <c r="AW141" s="341"/>
      <c r="AX141" s="341"/>
      <c r="AY141" s="341"/>
      <c r="AZ141" s="362" t="s">
        <v>686</v>
      </c>
      <c r="BA141" s="550">
        <v>1483.93242358</v>
      </c>
      <c r="BB141" s="550">
        <v>-2.0703527199999998</v>
      </c>
      <c r="BC141" s="550">
        <v>3345.48725268</v>
      </c>
      <c r="BD141" s="550">
        <v>3416.2149518800002</v>
      </c>
      <c r="BE141" s="550">
        <v>2.95616791</v>
      </c>
      <c r="BF141" s="550">
        <v>3.0187012900000001</v>
      </c>
      <c r="BG141" s="550">
        <v>-0.42231808999999998</v>
      </c>
      <c r="BH141" s="550">
        <v>3.8435302299999998</v>
      </c>
      <c r="BI141" s="550">
        <v>3.8598309899999999</v>
      </c>
      <c r="BJ141" s="550">
        <v>-1.68410137</v>
      </c>
      <c r="BK141" s="550">
        <v>-2.0715327499999998</v>
      </c>
      <c r="BL141" s="550">
        <v>0.71451399999999998</v>
      </c>
      <c r="BM141" s="550"/>
      <c r="BN141" s="550"/>
      <c r="BO141" s="550"/>
      <c r="BP141" s="550"/>
      <c r="BQ141" s="550"/>
      <c r="BR141" s="550"/>
      <c r="BS141" s="550"/>
    </row>
    <row r="142" spans="1:71" s="577" customFormat="1" ht="15" customHeight="1" x14ac:dyDescent="0.2">
      <c r="A142" s="404">
        <v>62008015</v>
      </c>
      <c r="B142" s="403" t="s">
        <v>641</v>
      </c>
      <c r="C142" s="403" t="s">
        <v>800</v>
      </c>
      <c r="D142" s="402" t="s">
        <v>811</v>
      </c>
      <c r="E142" s="346" t="s">
        <v>812</v>
      </c>
      <c r="F142" s="346" t="str">
        <f t="shared" si="28"/>
        <v>08/06/20</v>
      </c>
      <c r="G142" s="362" t="s">
        <v>813</v>
      </c>
      <c r="H142" s="362" t="s">
        <v>685</v>
      </c>
      <c r="I142" s="370"/>
      <c r="J142" s="364">
        <f>AVERAGE(J140:J141)</f>
        <v>20.033558499999998</v>
      </c>
      <c r="K142" s="364">
        <f>AVERAGE(K140:K141)</f>
        <v>52.090602500000003</v>
      </c>
      <c r="L142" s="364">
        <f>AVERAGE(L140:L141)</f>
        <v>29.41977</v>
      </c>
      <c r="M142" s="364">
        <f>AVERAGE(M140:M141)</f>
        <v>29.509993000000001</v>
      </c>
      <c r="N142" s="349"/>
      <c r="O142" s="347"/>
      <c r="P142" s="366"/>
      <c r="Q142" s="365"/>
      <c r="R142" s="350">
        <f>R141+R140</f>
        <v>7.4257908100000005</v>
      </c>
      <c r="S142" s="350">
        <f>S141</f>
        <v>7.4257908100000005</v>
      </c>
      <c r="T142" s="381">
        <f>T140</f>
        <v>83.3</v>
      </c>
      <c r="U142" s="381">
        <f>U141</f>
        <v>81.2</v>
      </c>
      <c r="V142" s="353">
        <f>V140</f>
        <v>6432</v>
      </c>
      <c r="W142" s="353">
        <f>W141</f>
        <v>7788</v>
      </c>
      <c r="X142" s="353">
        <f>SUM(X140:X141)</f>
        <v>1356</v>
      </c>
      <c r="Y142" s="353">
        <f t="shared" si="55"/>
        <v>182.60681383239773</v>
      </c>
      <c r="Z142" s="353">
        <f>Z140</f>
        <v>2457.2600000000002</v>
      </c>
      <c r="AA142" s="353">
        <f>AA141</f>
        <v>2514.52</v>
      </c>
      <c r="AB142" s="353">
        <f>SUM(AB140:AB141)</f>
        <v>57.249999999999545</v>
      </c>
      <c r="AC142" s="351">
        <f t="shared" si="56"/>
        <v>7.709616586950359</v>
      </c>
      <c r="AD142" s="353">
        <f>AD140</f>
        <v>-18.010000000000002</v>
      </c>
      <c r="AE142" s="353">
        <f>AE141</f>
        <v>-18.39</v>
      </c>
      <c r="AF142" s="353">
        <f>SUM(AF140:AF141)</f>
        <v>-0.37999999999999901</v>
      </c>
      <c r="AG142" s="351">
        <f t="shared" si="57"/>
        <v>-5.1173000926483005E-2</v>
      </c>
      <c r="AH142" s="353">
        <f>AH140</f>
        <v>0</v>
      </c>
      <c r="AI142" s="353">
        <v>0</v>
      </c>
      <c r="AJ142" s="353">
        <f>SUM(AJ140:AJ141)</f>
        <v>0</v>
      </c>
      <c r="AK142" s="351">
        <f t="shared" si="58"/>
        <v>0</v>
      </c>
      <c r="AL142" s="353">
        <f>AL140</f>
        <v>-0.05</v>
      </c>
      <c r="AM142" s="353">
        <f>AM141</f>
        <v>-0.05</v>
      </c>
      <c r="AN142" s="353">
        <f>SUM(AN140:AN141)</f>
        <v>0</v>
      </c>
      <c r="AO142" s="351">
        <f t="shared" si="59"/>
        <v>0</v>
      </c>
      <c r="AP142" s="343"/>
      <c r="AQ142" s="343"/>
      <c r="AR142" s="343">
        <f>SUM(AR140:AR141)</f>
        <v>-2.0999999999999943</v>
      </c>
      <c r="AS142" s="384">
        <f>AS140</f>
        <v>90181</v>
      </c>
      <c r="AT142" s="384">
        <f>AT141</f>
        <v>90182.9</v>
      </c>
      <c r="AU142" s="384">
        <f>SUM(AU140:AU141)</f>
        <v>1.8999999999941792</v>
      </c>
      <c r="AV142" s="343"/>
      <c r="AW142" s="343"/>
      <c r="AX142" s="343"/>
      <c r="AY142" s="343"/>
      <c r="AZ142" s="362" t="s">
        <v>686</v>
      </c>
      <c r="BA142" s="550"/>
      <c r="BB142" s="550"/>
      <c r="BC142" s="550"/>
      <c r="BD142" s="550"/>
      <c r="BE142" s="550"/>
      <c r="BF142" s="550"/>
      <c r="BG142" s="550"/>
      <c r="BH142" s="550"/>
      <c r="BI142" s="550"/>
      <c r="BJ142" s="550"/>
      <c r="BK142" s="550"/>
      <c r="BL142" s="550"/>
      <c r="BM142" s="550"/>
      <c r="BN142" s="550"/>
      <c r="BO142" s="550"/>
      <c r="BP142" s="550"/>
      <c r="BQ142" s="550"/>
      <c r="BR142" s="550"/>
      <c r="BS142" s="550"/>
    </row>
    <row r="143" spans="1:71" s="577" customFormat="1" ht="15" customHeight="1" x14ac:dyDescent="0.2">
      <c r="A143" s="404">
        <v>62008015</v>
      </c>
      <c r="B143" s="403" t="s">
        <v>642</v>
      </c>
      <c r="C143" s="403" t="s">
        <v>801</v>
      </c>
      <c r="D143" s="402" t="s">
        <v>811</v>
      </c>
      <c r="E143" s="346" t="s">
        <v>812</v>
      </c>
      <c r="F143" s="346" t="str">
        <f t="shared" ref="F143:F205" si="60">LEFT(E143,8)</f>
        <v>08/06/20</v>
      </c>
      <c r="G143" s="362" t="s">
        <v>813</v>
      </c>
      <c r="H143" s="362" t="s">
        <v>685</v>
      </c>
      <c r="I143" s="370"/>
      <c r="J143" s="363">
        <v>21.816890000000001</v>
      </c>
      <c r="K143" s="363">
        <v>48.552112000000001</v>
      </c>
      <c r="L143" s="363">
        <v>29.420121000000002</v>
      </c>
      <c r="M143" s="363">
        <v>27.951353999999998</v>
      </c>
      <c r="N143" s="347">
        <v>4250</v>
      </c>
      <c r="O143" s="347">
        <v>30.36</v>
      </c>
      <c r="P143" s="347">
        <v>0.3201</v>
      </c>
      <c r="Q143" s="347">
        <v>1.9560000000000001E-2</v>
      </c>
      <c r="R143" s="348">
        <v>3.5817816900000001</v>
      </c>
      <c r="S143" s="348">
        <f>R143+R142</f>
        <v>11.0075725</v>
      </c>
      <c r="T143" s="380">
        <v>81.2</v>
      </c>
      <c r="U143" s="380">
        <v>80</v>
      </c>
      <c r="V143" s="352">
        <v>7789</v>
      </c>
      <c r="W143" s="352">
        <v>8518</v>
      </c>
      <c r="X143" s="352">
        <f>W143-V143</f>
        <v>729</v>
      </c>
      <c r="Y143" s="352">
        <f t="shared" si="55"/>
        <v>203.5299923597521</v>
      </c>
      <c r="Z143" s="372">
        <v>2514.61</v>
      </c>
      <c r="AA143" s="352">
        <v>2535.6735840000001</v>
      </c>
      <c r="AB143" s="352">
        <f>AA143-Z143</f>
        <v>21.063583999999992</v>
      </c>
      <c r="AC143" s="371">
        <f t="shared" si="56"/>
        <v>5.8807559541687171</v>
      </c>
      <c r="AD143" s="372">
        <v>-18.39</v>
      </c>
      <c r="AE143" s="352">
        <v>-18.52</v>
      </c>
      <c r="AF143" s="352">
        <f>AE143-AD143</f>
        <v>-0.12999999999999901</v>
      </c>
      <c r="AG143" s="371">
        <f t="shared" si="57"/>
        <v>-3.6294786017513812E-2</v>
      </c>
      <c r="AH143" s="372">
        <v>0</v>
      </c>
      <c r="AI143" s="352">
        <v>0</v>
      </c>
      <c r="AJ143" s="352">
        <f>AI143-AH143</f>
        <v>0</v>
      </c>
      <c r="AK143" s="371">
        <f t="shared" si="58"/>
        <v>0</v>
      </c>
      <c r="AL143" s="372">
        <v>-0.05</v>
      </c>
      <c r="AM143" s="352">
        <v>-0.05</v>
      </c>
      <c r="AN143" s="352">
        <f>AM143-AL143</f>
        <v>0</v>
      </c>
      <c r="AO143" s="371">
        <f t="shared" si="59"/>
        <v>0</v>
      </c>
      <c r="AP143" s="341">
        <v>81.2</v>
      </c>
      <c r="AQ143" s="341">
        <v>80</v>
      </c>
      <c r="AR143" s="341">
        <f>AQ143-AP143</f>
        <v>-1.2000000000000028</v>
      </c>
      <c r="AS143" s="526">
        <v>90182.9</v>
      </c>
      <c r="AT143" s="383">
        <v>90183.6</v>
      </c>
      <c r="AU143" s="383">
        <f>AT143-AS143</f>
        <v>0.70000000001164153</v>
      </c>
      <c r="AV143" s="341"/>
      <c r="AW143" s="341"/>
      <c r="AX143" s="341"/>
      <c r="AY143" s="341"/>
      <c r="AZ143" s="362" t="s">
        <v>686</v>
      </c>
      <c r="BA143" s="550">
        <v>2417.1397983699999</v>
      </c>
      <c r="BB143" s="550">
        <v>-2.1637136799999999</v>
      </c>
      <c r="BC143" s="550">
        <v>2004.5543473</v>
      </c>
      <c r="BD143" s="550">
        <v>2048.8863821700002</v>
      </c>
      <c r="BE143" s="550">
        <v>3.21001666</v>
      </c>
      <c r="BF143" s="550">
        <v>3.2585761</v>
      </c>
      <c r="BG143" s="550">
        <v>-0.25769029999999998</v>
      </c>
      <c r="BH143" s="550">
        <v>3.5817271100000001</v>
      </c>
      <c r="BI143" s="550">
        <v>3.5909807200000001</v>
      </c>
      <c r="BJ143" s="550">
        <v>-1.2511587200000001</v>
      </c>
      <c r="BK143" s="550">
        <v>-1.4902042</v>
      </c>
      <c r="BL143" s="550">
        <v>0.59040901999999995</v>
      </c>
      <c r="BM143" s="550"/>
      <c r="BN143" s="550"/>
      <c r="BO143" s="550"/>
      <c r="BP143" s="550"/>
      <c r="BQ143" s="550"/>
      <c r="BR143" s="550"/>
      <c r="BS143" s="550"/>
    </row>
    <row r="144" spans="1:71" s="577" customFormat="1" ht="15" customHeight="1" x14ac:dyDescent="0.2">
      <c r="A144" s="404">
        <v>62008015</v>
      </c>
      <c r="B144" s="403" t="s">
        <v>643</v>
      </c>
      <c r="C144" s="403" t="s">
        <v>802</v>
      </c>
      <c r="D144" s="402" t="s">
        <v>811</v>
      </c>
      <c r="E144" s="346" t="s">
        <v>812</v>
      </c>
      <c r="F144" s="346" t="str">
        <f t="shared" si="60"/>
        <v>08/06/20</v>
      </c>
      <c r="G144" s="362" t="s">
        <v>813</v>
      </c>
      <c r="H144" s="362" t="s">
        <v>685</v>
      </c>
      <c r="I144" s="370"/>
      <c r="J144" s="363">
        <v>21.456793999999999</v>
      </c>
      <c r="K144" s="363">
        <v>49.001741000000003</v>
      </c>
      <c r="L144" s="363">
        <v>29.418944</v>
      </c>
      <c r="M144" s="363">
        <v>28.501902999999999</v>
      </c>
      <c r="N144" s="347">
        <v>4250</v>
      </c>
      <c r="O144" s="347">
        <v>30.36</v>
      </c>
      <c r="P144" s="347">
        <v>0.3201</v>
      </c>
      <c r="Q144" s="347">
        <v>1.9560000000000001E-2</v>
      </c>
      <c r="R144" s="348">
        <v>3.8438287500000001</v>
      </c>
      <c r="S144" s="348">
        <f>R144+R143</f>
        <v>7.4256104399999998</v>
      </c>
      <c r="T144" s="380">
        <v>80</v>
      </c>
      <c r="U144" s="380">
        <v>79</v>
      </c>
      <c r="V144" s="352">
        <v>8518</v>
      </c>
      <c r="W144" s="352">
        <v>9155</v>
      </c>
      <c r="X144" s="352">
        <f>W144-V144</f>
        <v>637</v>
      </c>
      <c r="Y144" s="352">
        <f t="shared" si="55"/>
        <v>165.72018199301934</v>
      </c>
      <c r="Z144" s="372">
        <v>2535.6799999999998</v>
      </c>
      <c r="AA144" s="352">
        <v>2571.84</v>
      </c>
      <c r="AB144" s="352">
        <f>AA144-Z144</f>
        <v>36.160000000000309</v>
      </c>
      <c r="AC144" s="371">
        <f t="shared" si="56"/>
        <v>9.4072869401375669</v>
      </c>
      <c r="AD144" s="372">
        <v>-18.52</v>
      </c>
      <c r="AE144" s="352">
        <v>-18.73</v>
      </c>
      <c r="AF144" s="352">
        <f>AE144-AD144</f>
        <v>-0.21000000000000085</v>
      </c>
      <c r="AG144" s="371">
        <f t="shared" si="57"/>
        <v>-5.4633027030665936E-2</v>
      </c>
      <c r="AH144" s="372">
        <v>0</v>
      </c>
      <c r="AI144" s="352">
        <v>0</v>
      </c>
      <c r="AJ144" s="352">
        <f>AI144-AH144</f>
        <v>0</v>
      </c>
      <c r="AK144" s="371">
        <f t="shared" si="58"/>
        <v>0</v>
      </c>
      <c r="AL144" s="372">
        <v>-0.05</v>
      </c>
      <c r="AM144" s="352">
        <v>-0.05</v>
      </c>
      <c r="AN144" s="352">
        <f>AM144-AL144</f>
        <v>0</v>
      </c>
      <c r="AO144" s="371">
        <f t="shared" si="59"/>
        <v>0</v>
      </c>
      <c r="AP144" s="341">
        <v>80</v>
      </c>
      <c r="AQ144" s="341">
        <v>79</v>
      </c>
      <c r="AR144" s="341">
        <f>AQ144-AP144</f>
        <v>-1</v>
      </c>
      <c r="AS144" s="526">
        <v>90183.6</v>
      </c>
      <c r="AT144" s="383">
        <v>90184.8</v>
      </c>
      <c r="AU144" s="383">
        <f>AT144-AS144</f>
        <v>1.1999999999970896</v>
      </c>
      <c r="AV144" s="341"/>
      <c r="AW144" s="341"/>
      <c r="AX144" s="341"/>
      <c r="AY144" s="341"/>
      <c r="AZ144" s="362" t="s">
        <v>686</v>
      </c>
      <c r="BA144" s="550">
        <v>1487.65304384</v>
      </c>
      <c r="BB144" s="550">
        <v>-2.0581876100000001</v>
      </c>
      <c r="BC144" s="550">
        <v>3346.1546903899998</v>
      </c>
      <c r="BD144" s="550">
        <v>3416.4720957700001</v>
      </c>
      <c r="BE144" s="550">
        <v>2.9558446599999999</v>
      </c>
      <c r="BF144" s="550">
        <v>3.0190567399999999</v>
      </c>
      <c r="BG144" s="550">
        <v>-0.41831625</v>
      </c>
      <c r="BH144" s="550">
        <v>3.8436856000000001</v>
      </c>
      <c r="BI144" s="550">
        <v>3.8598319000000001</v>
      </c>
      <c r="BJ144" s="550">
        <v>-1.71128316</v>
      </c>
      <c r="BK144" s="550">
        <v>-2.0937690899999999</v>
      </c>
      <c r="BL144" s="550">
        <v>0.71450438000000005</v>
      </c>
      <c r="BM144" s="550"/>
      <c r="BN144" s="550"/>
      <c r="BO144" s="550"/>
      <c r="BP144" s="550"/>
      <c r="BQ144" s="550"/>
      <c r="BR144" s="550"/>
      <c r="BS144" s="550"/>
    </row>
    <row r="145" spans="1:71" s="577" customFormat="1" ht="15" customHeight="1" x14ac:dyDescent="0.2">
      <c r="A145" s="404">
        <v>62008015</v>
      </c>
      <c r="B145" s="403" t="s">
        <v>644</v>
      </c>
      <c r="C145" s="403" t="s">
        <v>803</v>
      </c>
      <c r="D145" s="402" t="s">
        <v>811</v>
      </c>
      <c r="E145" s="346" t="s">
        <v>812</v>
      </c>
      <c r="F145" s="346" t="str">
        <f t="shared" si="60"/>
        <v>08/06/20</v>
      </c>
      <c r="G145" s="362" t="s">
        <v>813</v>
      </c>
      <c r="H145" s="362" t="s">
        <v>685</v>
      </c>
      <c r="I145" s="370"/>
      <c r="J145" s="364">
        <f>AVERAGE(J143:J144)</f>
        <v>21.636842000000001</v>
      </c>
      <c r="K145" s="364">
        <f>AVERAGE(K143:K144)</f>
        <v>48.776926500000002</v>
      </c>
      <c r="L145" s="364">
        <f>AVERAGE(L143:L144)</f>
        <v>29.419532500000003</v>
      </c>
      <c r="M145" s="364">
        <f>AVERAGE(M143:M144)</f>
        <v>28.226628499999997</v>
      </c>
      <c r="N145" s="349"/>
      <c r="O145" s="347"/>
      <c r="P145" s="366"/>
      <c r="Q145" s="365"/>
      <c r="R145" s="350">
        <f>R144+R143</f>
        <v>7.4256104399999998</v>
      </c>
      <c r="S145" s="350">
        <f>S144</f>
        <v>7.4256104399999998</v>
      </c>
      <c r="T145" s="381">
        <f>T143</f>
        <v>81.2</v>
      </c>
      <c r="U145" s="381">
        <f>U144</f>
        <v>79</v>
      </c>
      <c r="V145" s="353">
        <f>V143</f>
        <v>7789</v>
      </c>
      <c r="W145" s="353">
        <f>W144</f>
        <v>9155</v>
      </c>
      <c r="X145" s="353">
        <f>SUM(X143:X144)</f>
        <v>1366</v>
      </c>
      <c r="Y145" s="353">
        <f t="shared" si="55"/>
        <v>183.95794002896818</v>
      </c>
      <c r="Z145" s="353">
        <f>Z143</f>
        <v>2514.61</v>
      </c>
      <c r="AA145" s="353">
        <f>AA144</f>
        <v>2571.84</v>
      </c>
      <c r="AB145" s="353">
        <f>SUM(AB143:AB144)</f>
        <v>57.223584000000301</v>
      </c>
      <c r="AC145" s="351">
        <f t="shared" si="56"/>
        <v>7.7062464375656505</v>
      </c>
      <c r="AD145" s="353">
        <f>AD143</f>
        <v>-18.39</v>
      </c>
      <c r="AE145" s="353">
        <f>AE144</f>
        <v>-18.73</v>
      </c>
      <c r="AF145" s="353">
        <f>SUM(AF143:AF144)</f>
        <v>-0.33999999999999986</v>
      </c>
      <c r="AG145" s="351">
        <f t="shared" si="57"/>
        <v>-4.5787481412773903E-2</v>
      </c>
      <c r="AH145" s="353">
        <f>AH143</f>
        <v>0</v>
      </c>
      <c r="AI145" s="353">
        <f>AI144</f>
        <v>0</v>
      </c>
      <c r="AJ145" s="353">
        <f>SUM(AJ143:AJ144)</f>
        <v>0</v>
      </c>
      <c r="AK145" s="351">
        <f t="shared" si="58"/>
        <v>0</v>
      </c>
      <c r="AL145" s="353">
        <f>AL143</f>
        <v>-0.05</v>
      </c>
      <c r="AM145" s="353">
        <f>AM144</f>
        <v>-0.05</v>
      </c>
      <c r="AN145" s="353">
        <f>SUM(AN143:AN144)</f>
        <v>0</v>
      </c>
      <c r="AO145" s="351">
        <f t="shared" si="59"/>
        <v>0</v>
      </c>
      <c r="AP145" s="343"/>
      <c r="AQ145" s="343"/>
      <c r="AR145" s="343">
        <f>SUM(AR143:AR144)</f>
        <v>-2.2000000000000028</v>
      </c>
      <c r="AS145" s="384">
        <f>AS143</f>
        <v>90182.9</v>
      </c>
      <c r="AT145" s="384">
        <f>AT144</f>
        <v>90184.8</v>
      </c>
      <c r="AU145" s="384">
        <f>SUM(AU143:AU144)</f>
        <v>1.9000000000087311</v>
      </c>
      <c r="AV145" s="343"/>
      <c r="AW145" s="343"/>
      <c r="AX145" s="343"/>
      <c r="AY145" s="343"/>
      <c r="AZ145" s="362" t="s">
        <v>686</v>
      </c>
      <c r="BA145" s="550"/>
      <c r="BB145" s="550"/>
      <c r="BC145" s="550"/>
      <c r="BD145" s="550"/>
      <c r="BE145" s="550"/>
      <c r="BF145" s="550"/>
      <c r="BG145" s="550"/>
      <c r="BH145" s="550"/>
      <c r="BI145" s="550"/>
      <c r="BJ145" s="550"/>
      <c r="BK145" s="550"/>
      <c r="BL145" s="550"/>
      <c r="BM145" s="550"/>
      <c r="BN145" s="550"/>
      <c r="BO145" s="550"/>
      <c r="BP145" s="550"/>
      <c r="BQ145" s="550"/>
      <c r="BR145" s="550"/>
      <c r="BS145" s="550"/>
    </row>
    <row r="146" spans="1:71" s="577" customFormat="1" ht="15" customHeight="1" x14ac:dyDescent="0.2">
      <c r="A146" s="404">
        <v>62008016</v>
      </c>
      <c r="B146" s="403" t="s">
        <v>798</v>
      </c>
      <c r="C146" s="403" t="s">
        <v>773</v>
      </c>
      <c r="D146" s="402" t="s">
        <v>814</v>
      </c>
      <c r="E146" s="346" t="s">
        <v>815</v>
      </c>
      <c r="F146" s="346" t="str">
        <f t="shared" si="60"/>
        <v>08/06/20</v>
      </c>
      <c r="G146" s="362" t="s">
        <v>816</v>
      </c>
      <c r="H146" s="362" t="s">
        <v>685</v>
      </c>
      <c r="I146" s="370"/>
      <c r="J146" s="363">
        <v>90.583926000000005</v>
      </c>
      <c r="K146" s="363">
        <v>115.79433</v>
      </c>
      <c r="L146" s="363">
        <v>99.775718999999995</v>
      </c>
      <c r="M146" s="363">
        <v>108.567784</v>
      </c>
      <c r="N146" s="347">
        <v>4250</v>
      </c>
      <c r="O146" s="347">
        <v>30.36</v>
      </c>
      <c r="P146" s="347">
        <v>0.3201</v>
      </c>
      <c r="Q146" s="347">
        <v>1.9560000000000001E-2</v>
      </c>
      <c r="R146" s="348">
        <v>166.46545370999999</v>
      </c>
      <c r="S146" s="348">
        <f>R146+R145</f>
        <v>173.89106414999998</v>
      </c>
      <c r="T146" s="380">
        <v>79</v>
      </c>
      <c r="U146" s="380">
        <v>0.2</v>
      </c>
      <c r="V146" s="352">
        <v>9160</v>
      </c>
      <c r="W146" s="352">
        <v>55700</v>
      </c>
      <c r="X146" s="352">
        <f>W146-V146</f>
        <v>46540</v>
      </c>
      <c r="Y146" s="352">
        <f t="shared" si="55"/>
        <v>279.57752772582762</v>
      </c>
      <c r="Z146" s="372">
        <v>2576.083545</v>
      </c>
      <c r="AA146" s="352">
        <v>2950.16</v>
      </c>
      <c r="AB146" s="352">
        <f>AA146-Z146</f>
        <v>374.0764549999999</v>
      </c>
      <c r="AC146" s="371">
        <f t="shared" si="56"/>
        <v>2.2471716903597287</v>
      </c>
      <c r="AD146" s="372">
        <v>-17.78</v>
      </c>
      <c r="AE146" s="352">
        <v>-19.52</v>
      </c>
      <c r="AF146" s="352">
        <f>AE146-AD146</f>
        <v>-1.7399999999999984</v>
      </c>
      <c r="AG146" s="371">
        <f t="shared" si="57"/>
        <v>-1.0452619214502357E-2</v>
      </c>
      <c r="AH146" s="372">
        <v>0</v>
      </c>
      <c r="AI146" s="352">
        <v>0</v>
      </c>
      <c r="AJ146" s="352">
        <f>AI146-AH146</f>
        <v>0</v>
      </c>
      <c r="AK146" s="371">
        <f t="shared" si="58"/>
        <v>0</v>
      </c>
      <c r="AL146" s="372">
        <v>-0.05</v>
      </c>
      <c r="AM146" s="352">
        <v>-0.05</v>
      </c>
      <c r="AN146" s="352">
        <f>AM146-AL146</f>
        <v>0</v>
      </c>
      <c r="AO146" s="371">
        <f t="shared" si="59"/>
        <v>0</v>
      </c>
      <c r="AP146" s="341">
        <v>79</v>
      </c>
      <c r="AQ146" s="341">
        <v>0.2</v>
      </c>
      <c r="AR146" s="341">
        <f>AQ146-AP146</f>
        <v>-78.8</v>
      </c>
      <c r="AS146" s="526">
        <v>90185.600000000006</v>
      </c>
      <c r="AT146" s="383">
        <v>90198.399999999994</v>
      </c>
      <c r="AU146" s="383">
        <f>AT146-AS146</f>
        <v>12.799999999988358</v>
      </c>
      <c r="AV146" s="341"/>
      <c r="AW146" s="341"/>
      <c r="AX146" s="341"/>
      <c r="AY146" s="341"/>
      <c r="AZ146" s="362" t="s">
        <v>686</v>
      </c>
      <c r="BA146" s="550">
        <v>14.46331863</v>
      </c>
      <c r="BB146" s="550">
        <v>73.861540719999994</v>
      </c>
      <c r="BC146" s="550">
        <v>1010.3998211000001</v>
      </c>
      <c r="BD146" s="550">
        <v>581.15200000000004</v>
      </c>
      <c r="BE146" s="550">
        <v>159.26335682000001</v>
      </c>
      <c r="BF146" s="550">
        <v>161.19135435000001</v>
      </c>
      <c r="BG146" s="550">
        <v>-0.62456964999999998</v>
      </c>
      <c r="BH146" s="550">
        <v>166.46688674000001</v>
      </c>
      <c r="BI146" s="550">
        <v>167.51312286999999</v>
      </c>
      <c r="BJ146" s="550">
        <v>-0.57844143999999997</v>
      </c>
      <c r="BK146" s="550">
        <v>-1.19609239</v>
      </c>
      <c r="BL146" s="550">
        <v>5.1247899999999997E-3</v>
      </c>
      <c r="BM146" s="550"/>
      <c r="BN146" s="550"/>
      <c r="BO146" s="550"/>
      <c r="BP146" s="550"/>
      <c r="BQ146" s="550"/>
      <c r="BR146" s="550"/>
      <c r="BS146" s="550"/>
    </row>
    <row r="147" spans="1:71" s="577" customFormat="1" ht="15" customHeight="1" x14ac:dyDescent="0.2">
      <c r="A147" s="403">
        <f>A146+1</f>
        <v>62008017</v>
      </c>
      <c r="B147" s="440" t="s">
        <v>645</v>
      </c>
      <c r="C147" s="403" t="s">
        <v>773</v>
      </c>
      <c r="D147" s="402" t="s">
        <v>731</v>
      </c>
      <c r="E147" s="346" t="s">
        <v>855</v>
      </c>
      <c r="F147" s="346" t="str">
        <f t="shared" si="60"/>
        <v>08/06/20</v>
      </c>
      <c r="G147" s="362" t="s">
        <v>856</v>
      </c>
      <c r="H147" s="362" t="s">
        <v>685</v>
      </c>
      <c r="I147" s="370"/>
      <c r="J147" s="363">
        <v>1112.191372</v>
      </c>
      <c r="K147" s="363">
        <v>2369.8880810000001</v>
      </c>
      <c r="L147" s="363">
        <v>1488.882854</v>
      </c>
      <c r="M147" s="363">
        <v>1125.2001540000001</v>
      </c>
      <c r="N147" s="347">
        <v>4250</v>
      </c>
      <c r="O147" s="347">
        <v>30.36</v>
      </c>
      <c r="P147" s="347">
        <v>0.3201</v>
      </c>
      <c r="Q147" s="347">
        <v>1.9560000000000001E-2</v>
      </c>
      <c r="R147" s="348">
        <v>2.557804E-2</v>
      </c>
      <c r="S147" s="348">
        <f>R147+R146</f>
        <v>166.49103174999999</v>
      </c>
      <c r="T147" s="380">
        <v>0</v>
      </c>
      <c r="U147" s="380">
        <v>0</v>
      </c>
      <c r="V147" s="352">
        <v>0</v>
      </c>
      <c r="W147" s="352">
        <v>-60685</v>
      </c>
      <c r="X147" s="352">
        <f>W147-V147</f>
        <v>-60685</v>
      </c>
      <c r="Y147" s="352">
        <f>X147/$R147</f>
        <v>-2372543.0095503801</v>
      </c>
      <c r="Z147" s="372">
        <v>0</v>
      </c>
      <c r="AA147" s="352">
        <v>929.95</v>
      </c>
      <c r="AB147" s="352">
        <f>AA147-Z147</f>
        <v>929.95</v>
      </c>
      <c r="AC147" s="371">
        <f>AB147/$R147</f>
        <v>36357.359672594146</v>
      </c>
      <c r="AD147" s="372">
        <v>0.02</v>
      </c>
      <c r="AE147" s="352">
        <v>-10.220000000000001</v>
      </c>
      <c r="AF147" s="352">
        <f>AE147-AD147</f>
        <v>-10.24</v>
      </c>
      <c r="AG147" s="371">
        <f>AF147/$R147</f>
        <v>-400.3434195896167</v>
      </c>
      <c r="AH147" s="372">
        <v>0</v>
      </c>
      <c r="AI147" s="352">
        <v>0</v>
      </c>
      <c r="AJ147" s="352">
        <f>AI147-AH147</f>
        <v>0</v>
      </c>
      <c r="AK147" s="371">
        <f>AJ147/$R147</f>
        <v>0</v>
      </c>
      <c r="AL147" s="372">
        <v>0</v>
      </c>
      <c r="AM147" s="352">
        <v>0</v>
      </c>
      <c r="AN147" s="352">
        <f>AM147-AL147</f>
        <v>0</v>
      </c>
      <c r="AO147" s="371">
        <f>AN147/$R147</f>
        <v>0</v>
      </c>
      <c r="AP147" s="341">
        <v>0</v>
      </c>
      <c r="AQ147" s="341">
        <v>0</v>
      </c>
      <c r="AR147" s="341">
        <f>AQ147-AP147</f>
        <v>0</v>
      </c>
      <c r="AS147" s="526">
        <v>0.2</v>
      </c>
      <c r="AT147" s="383">
        <v>67847.899999999994</v>
      </c>
      <c r="AU147" s="383">
        <f>AT147-AS147</f>
        <v>67847.7</v>
      </c>
      <c r="AV147" s="341"/>
      <c r="AW147" s="341"/>
      <c r="AX147" s="341"/>
      <c r="AY147" s="341"/>
      <c r="AZ147" s="362" t="s">
        <v>714</v>
      </c>
      <c r="BA147" s="550">
        <v>0</v>
      </c>
      <c r="BB147" s="550" t="s">
        <v>691</v>
      </c>
      <c r="BC147" s="550">
        <v>0</v>
      </c>
      <c r="BD147" s="550">
        <v>0</v>
      </c>
      <c r="BE147" s="550">
        <v>0</v>
      </c>
      <c r="BF147" s="550">
        <v>0</v>
      </c>
      <c r="BG147" s="550" t="s">
        <v>691</v>
      </c>
      <c r="BH147" s="550">
        <v>0</v>
      </c>
      <c r="BI147" s="550">
        <v>0</v>
      </c>
      <c r="BJ147" s="550" t="s">
        <v>691</v>
      </c>
      <c r="BK147" s="550" t="s">
        <v>691</v>
      </c>
      <c r="BL147" s="550" t="s">
        <v>691</v>
      </c>
      <c r="BM147" s="550"/>
      <c r="BN147" s="550"/>
      <c r="BO147" s="550"/>
      <c r="BP147" s="550"/>
      <c r="BQ147" s="550"/>
      <c r="BR147" s="550"/>
      <c r="BS147" s="550"/>
    </row>
    <row r="148" spans="1:71" s="548" customFormat="1" ht="15" customHeight="1" x14ac:dyDescent="0.2">
      <c r="A148" s="576" t="s">
        <v>854</v>
      </c>
      <c r="B148" s="435"/>
      <c r="C148" s="436"/>
      <c r="D148" s="436"/>
      <c r="E148" s="436"/>
      <c r="F148" s="436"/>
      <c r="G148" s="436"/>
      <c r="H148" s="435"/>
      <c r="I148" s="435"/>
      <c r="J148" s="446"/>
      <c r="K148" s="447"/>
      <c r="L148" s="435"/>
      <c r="M148" s="435"/>
      <c r="N148" s="435"/>
      <c r="O148" s="435"/>
      <c r="P148" s="435"/>
      <c r="Q148" s="435"/>
      <c r="R148" s="435"/>
      <c r="S148" s="435"/>
      <c r="T148" s="435"/>
      <c r="U148" s="435"/>
      <c r="V148" s="435"/>
      <c r="W148" s="435"/>
      <c r="X148" s="435"/>
      <c r="Y148" s="435"/>
      <c r="Z148" s="435"/>
      <c r="AA148" s="435"/>
      <c r="AB148" s="435"/>
      <c r="AC148" s="435"/>
      <c r="AD148" s="435"/>
      <c r="AE148" s="435"/>
      <c r="AF148" s="435"/>
      <c r="AG148" s="435"/>
      <c r="AH148" s="435"/>
      <c r="AI148" s="435"/>
      <c r="AJ148" s="435"/>
      <c r="AK148" s="435"/>
      <c r="AL148" s="435"/>
      <c r="AM148" s="435"/>
      <c r="AN148" s="435"/>
      <c r="AO148" s="435"/>
      <c r="AP148" s="435"/>
      <c r="AQ148" s="435"/>
      <c r="AR148" s="435"/>
      <c r="AS148" s="435"/>
      <c r="AT148" s="435"/>
      <c r="AU148" s="435"/>
      <c r="AV148" s="435"/>
      <c r="AW148" s="435"/>
      <c r="AX148" s="435"/>
      <c r="AY148" s="435"/>
      <c r="AZ148" s="435"/>
      <c r="BA148" s="435"/>
      <c r="BB148" s="435"/>
      <c r="BC148" s="435"/>
      <c r="BD148" s="435"/>
      <c r="BE148" s="435"/>
      <c r="BF148" s="448"/>
      <c r="BG148" s="435"/>
      <c r="BH148" s="435"/>
      <c r="BI148" s="435"/>
      <c r="BJ148" s="435"/>
      <c r="BK148" s="435"/>
      <c r="BL148" s="435"/>
      <c r="BM148" s="435"/>
      <c r="BN148" s="435"/>
      <c r="BO148" s="435"/>
      <c r="BP148" s="435"/>
      <c r="BQ148" s="435"/>
      <c r="BR148" s="439"/>
      <c r="BS148" s="578"/>
    </row>
    <row r="149" spans="1:71" s="577" customFormat="1" ht="15" customHeight="1" x14ac:dyDescent="0.2">
      <c r="A149" s="403">
        <v>62008018</v>
      </c>
      <c r="B149" s="403" t="s">
        <v>627</v>
      </c>
      <c r="C149" s="403" t="s">
        <v>773</v>
      </c>
      <c r="D149" s="402" t="s">
        <v>718</v>
      </c>
      <c r="E149" s="346" t="s">
        <v>857</v>
      </c>
      <c r="F149" s="346" t="str">
        <f t="shared" si="60"/>
        <v>08/07/20</v>
      </c>
      <c r="G149" s="362" t="s">
        <v>858</v>
      </c>
      <c r="H149" s="362" t="s">
        <v>685</v>
      </c>
      <c r="I149" s="370"/>
      <c r="J149" s="363">
        <v>22.676825000000001</v>
      </c>
      <c r="K149" s="363">
        <v>45.539492000000003</v>
      </c>
      <c r="L149" s="363">
        <v>29.456961</v>
      </c>
      <c r="M149" s="363">
        <v>24.969728</v>
      </c>
      <c r="N149" s="347">
        <v>4250</v>
      </c>
      <c r="O149" s="347">
        <v>30.36</v>
      </c>
      <c r="P149" s="347">
        <v>0.3201</v>
      </c>
      <c r="Q149" s="347">
        <v>1.9560000000000001E-2</v>
      </c>
      <c r="R149" s="348">
        <v>3.5807287900000002</v>
      </c>
      <c r="S149" s="348">
        <f>R149+R148</f>
        <v>3.5807287900000002</v>
      </c>
      <c r="T149" s="380">
        <v>98</v>
      </c>
      <c r="U149" s="380">
        <v>96.5</v>
      </c>
      <c r="V149" s="352">
        <v>8</v>
      </c>
      <c r="W149" s="352">
        <v>865</v>
      </c>
      <c r="X149" s="352">
        <f>W149-V149</f>
        <v>857</v>
      </c>
      <c r="Y149" s="352">
        <f t="shared" ref="Y149:Y160" si="61">X149/$R149</f>
        <v>239.33675244921298</v>
      </c>
      <c r="Z149" s="372">
        <v>7.1</v>
      </c>
      <c r="AA149" s="352">
        <v>28.669644999999999</v>
      </c>
      <c r="AB149" s="352">
        <f>AA149-Z149</f>
        <v>21.569645000000001</v>
      </c>
      <c r="AC149" s="371">
        <f t="shared" ref="AC149:AC160" si="62">AB149/$R149</f>
        <v>6.0238142191159918</v>
      </c>
      <c r="AD149" s="372">
        <v>-0.19</v>
      </c>
      <c r="AE149" s="352">
        <v>-0.59</v>
      </c>
      <c r="AF149" s="352">
        <f>AE149-AD149</f>
        <v>-0.39999999999999997</v>
      </c>
      <c r="AG149" s="371">
        <f t="shared" ref="AG149:AG160" si="63">AF149/$R149</f>
        <v>-0.11170910266007607</v>
      </c>
      <c r="AH149" s="372">
        <v>0</v>
      </c>
      <c r="AI149" s="352">
        <v>0</v>
      </c>
      <c r="AJ149" s="352">
        <f>AI149-AH149</f>
        <v>0</v>
      </c>
      <c r="AK149" s="371">
        <f t="shared" ref="AK149:AK160" si="64">AJ149/$R149</f>
        <v>0</v>
      </c>
      <c r="AL149" s="372">
        <v>0</v>
      </c>
      <c r="AM149" s="352">
        <v>0</v>
      </c>
      <c r="AN149" s="352">
        <f>AM149-AL149</f>
        <v>0</v>
      </c>
      <c r="AO149" s="371">
        <f t="shared" ref="AO149:AO160" si="65">AN149/$R149</f>
        <v>0</v>
      </c>
      <c r="AP149" s="341">
        <v>98</v>
      </c>
      <c r="AQ149" s="341">
        <v>96.5</v>
      </c>
      <c r="AR149" s="341">
        <f>AQ149-AP149</f>
        <v>-1.5</v>
      </c>
      <c r="AS149" s="526">
        <v>1.6</v>
      </c>
      <c r="AT149" s="383">
        <v>2.2999999999999998</v>
      </c>
      <c r="AU149" s="383">
        <f>AT149-AS149</f>
        <v>0.69999999999999973</v>
      </c>
      <c r="AV149" s="341"/>
      <c r="AW149" s="341"/>
      <c r="AX149" s="341"/>
      <c r="AY149" s="341"/>
      <c r="AZ149" s="362" t="s">
        <v>686</v>
      </c>
      <c r="BA149" s="550">
        <v>2415.54345556</v>
      </c>
      <c r="BB149" s="550">
        <v>-0.94127203000000004</v>
      </c>
      <c r="BC149" s="550">
        <v>2029.47517118</v>
      </c>
      <c r="BD149" s="550">
        <v>2048.7595719300002</v>
      </c>
      <c r="BE149" s="550">
        <v>3.2275755199999998</v>
      </c>
      <c r="BF149" s="550">
        <v>3.2584349000000001</v>
      </c>
      <c r="BG149" s="550">
        <v>-0.28712301000000001</v>
      </c>
      <c r="BH149" s="550">
        <v>3.5806693100000002</v>
      </c>
      <c r="BI149" s="550">
        <v>3.5909798400000001</v>
      </c>
      <c r="BJ149" s="550">
        <v>-0.66624826000000004</v>
      </c>
      <c r="BK149" s="550">
        <v>-0.94706148999999995</v>
      </c>
      <c r="BL149" s="550">
        <v>0.59037921999999998</v>
      </c>
      <c r="BM149" s="550"/>
      <c r="BN149" s="550"/>
      <c r="BO149" s="550"/>
      <c r="BP149" s="550"/>
      <c r="BQ149" s="550"/>
      <c r="BR149" s="550"/>
      <c r="BS149" s="550"/>
    </row>
    <row r="150" spans="1:71" s="577" customFormat="1" ht="15" customHeight="1" x14ac:dyDescent="0.2">
      <c r="A150" s="403">
        <f>A149</f>
        <v>62008018</v>
      </c>
      <c r="B150" s="403" t="s">
        <v>628</v>
      </c>
      <c r="C150" s="403" t="s">
        <v>774</v>
      </c>
      <c r="D150" s="402" t="s">
        <v>718</v>
      </c>
      <c r="E150" s="346" t="s">
        <v>857</v>
      </c>
      <c r="F150" s="346" t="str">
        <f t="shared" si="60"/>
        <v>08/07/20</v>
      </c>
      <c r="G150" s="362" t="s">
        <v>858</v>
      </c>
      <c r="H150" s="362" t="s">
        <v>685</v>
      </c>
      <c r="I150" s="370"/>
      <c r="J150" s="363">
        <v>21.288512999999998</v>
      </c>
      <c r="K150" s="363">
        <v>49.211328999999999</v>
      </c>
      <c r="L150" s="363">
        <v>29.453959999999999</v>
      </c>
      <c r="M150" s="363">
        <v>27.227323999999999</v>
      </c>
      <c r="N150" s="347">
        <v>4250</v>
      </c>
      <c r="O150" s="347">
        <v>30.36</v>
      </c>
      <c r="P150" s="347">
        <v>0.3201</v>
      </c>
      <c r="Q150" s="347">
        <v>1.9560000000000001E-2</v>
      </c>
      <c r="R150" s="348">
        <v>3.8432488199999999</v>
      </c>
      <c r="S150" s="348">
        <f>R150+R149</f>
        <v>7.4239776099999997</v>
      </c>
      <c r="T150" s="380">
        <v>96.5</v>
      </c>
      <c r="U150" s="380">
        <v>95.5</v>
      </c>
      <c r="V150" s="352">
        <v>865</v>
      </c>
      <c r="W150" s="352">
        <v>1539</v>
      </c>
      <c r="X150" s="352">
        <f>W150-V150</f>
        <v>674</v>
      </c>
      <c r="Y150" s="352">
        <f t="shared" si="61"/>
        <v>175.37246001157948</v>
      </c>
      <c r="Z150" s="372">
        <v>28.679739999999999</v>
      </c>
      <c r="AA150" s="352">
        <v>65.219171000000003</v>
      </c>
      <c r="AB150" s="352">
        <f>AA150-Z150</f>
        <v>36.539431000000008</v>
      </c>
      <c r="AC150" s="371">
        <f t="shared" si="62"/>
        <v>9.507433088862566</v>
      </c>
      <c r="AD150" s="372">
        <v>-0.59</v>
      </c>
      <c r="AE150" s="352">
        <v>-0.99</v>
      </c>
      <c r="AF150" s="352">
        <f>AE150-AD150</f>
        <v>-0.4</v>
      </c>
      <c r="AG150" s="371">
        <f t="shared" si="63"/>
        <v>-0.10407861128283649</v>
      </c>
      <c r="AH150" s="372">
        <v>0</v>
      </c>
      <c r="AI150" s="352">
        <v>0</v>
      </c>
      <c r="AJ150" s="352">
        <f>AI150-AH150</f>
        <v>0</v>
      </c>
      <c r="AK150" s="371">
        <f t="shared" si="64"/>
        <v>0</v>
      </c>
      <c r="AL150" s="372">
        <v>0</v>
      </c>
      <c r="AM150" s="352">
        <v>0</v>
      </c>
      <c r="AN150" s="352">
        <f>AM150-AL150</f>
        <v>0</v>
      </c>
      <c r="AO150" s="371">
        <f t="shared" si="65"/>
        <v>0</v>
      </c>
      <c r="AP150" s="341">
        <v>96.5</v>
      </c>
      <c r="AQ150" s="341">
        <v>95.5</v>
      </c>
      <c r="AR150" s="341">
        <f>AQ150-AP150</f>
        <v>-1</v>
      </c>
      <c r="AS150" s="526">
        <v>2.2999999999999998</v>
      </c>
      <c r="AT150" s="383">
        <v>3.5</v>
      </c>
      <c r="AU150" s="383">
        <f>AT150-AS150</f>
        <v>1.2000000000000002</v>
      </c>
      <c r="AV150" s="341"/>
      <c r="AW150" s="341"/>
      <c r="AX150" s="341"/>
      <c r="AY150" s="341"/>
      <c r="AZ150" s="362" t="s">
        <v>686</v>
      </c>
      <c r="BA150" s="550">
        <v>1482.56080232</v>
      </c>
      <c r="BB150" s="550">
        <v>-1.4450162600000001</v>
      </c>
      <c r="BC150" s="550">
        <v>3366.7042143200001</v>
      </c>
      <c r="BD150" s="550">
        <v>3416.0669370000001</v>
      </c>
      <c r="BE150" s="550">
        <v>2.9567436699999998</v>
      </c>
      <c r="BF150" s="550">
        <v>3.0185382199999999</v>
      </c>
      <c r="BG150" s="550">
        <v>-0.43448467000000002</v>
      </c>
      <c r="BH150" s="550">
        <v>3.84305962</v>
      </c>
      <c r="BI150" s="550">
        <v>3.8598299900000002</v>
      </c>
      <c r="BJ150" s="550">
        <v>-1.6463876500000001</v>
      </c>
      <c r="BK150" s="550">
        <v>-2.0471680000000001</v>
      </c>
      <c r="BL150" s="550">
        <v>0.71450961000000002</v>
      </c>
      <c r="BM150" s="550"/>
      <c r="BN150" s="550"/>
      <c r="BO150" s="550"/>
      <c r="BP150" s="550"/>
      <c r="BQ150" s="550"/>
      <c r="BR150" s="550"/>
      <c r="BS150" s="550"/>
    </row>
    <row r="151" spans="1:71" s="577" customFormat="1" ht="15" customHeight="1" x14ac:dyDescent="0.2">
      <c r="A151" s="403">
        <f>A150</f>
        <v>62008018</v>
      </c>
      <c r="B151" s="403" t="s">
        <v>629</v>
      </c>
      <c r="C151" s="403" t="s">
        <v>775</v>
      </c>
      <c r="D151" s="402" t="s">
        <v>718</v>
      </c>
      <c r="E151" s="346" t="s">
        <v>857</v>
      </c>
      <c r="F151" s="346" t="str">
        <f t="shared" si="60"/>
        <v>08/07/20</v>
      </c>
      <c r="G151" s="362" t="s">
        <v>858</v>
      </c>
      <c r="H151" s="362" t="s">
        <v>685</v>
      </c>
      <c r="I151" s="370"/>
      <c r="J151" s="364">
        <f>AVERAGE(J149:J150)</f>
        <v>21.982669000000001</v>
      </c>
      <c r="K151" s="364">
        <f>AVERAGE(K149:K150)</f>
        <v>47.375410500000001</v>
      </c>
      <c r="L151" s="364">
        <f>AVERAGE(L149:L150)</f>
        <v>29.455460500000001</v>
      </c>
      <c r="M151" s="364">
        <f>AVERAGE(M149:M150)</f>
        <v>26.098526</v>
      </c>
      <c r="N151" s="349"/>
      <c r="O151" s="347"/>
      <c r="P151" s="366"/>
      <c r="Q151" s="365"/>
      <c r="R151" s="350">
        <f>R150+R149</f>
        <v>7.4239776099999997</v>
      </c>
      <c r="S151" s="350">
        <f>S150</f>
        <v>7.4239776099999997</v>
      </c>
      <c r="T151" s="381">
        <f>T149</f>
        <v>98</v>
      </c>
      <c r="U151" s="381">
        <f>U150</f>
        <v>95.5</v>
      </c>
      <c r="V151" s="353">
        <f>V149</f>
        <v>8</v>
      </c>
      <c r="W151" s="353">
        <f>W150</f>
        <v>1539</v>
      </c>
      <c r="X151" s="353">
        <f>SUM(X149:X150)</f>
        <v>1531</v>
      </c>
      <c r="Y151" s="353">
        <f t="shared" si="61"/>
        <v>206.22368229367547</v>
      </c>
      <c r="Z151" s="353">
        <f>Z149</f>
        <v>7.1</v>
      </c>
      <c r="AA151" s="353">
        <f>AA150</f>
        <v>65.219171000000003</v>
      </c>
      <c r="AB151" s="353">
        <f>SUM(AB149:AB150)</f>
        <v>58.109076000000009</v>
      </c>
      <c r="AC151" s="351">
        <f t="shared" si="62"/>
        <v>7.8272159551946725</v>
      </c>
      <c r="AD151" s="353">
        <f>AD149</f>
        <v>-0.19</v>
      </c>
      <c r="AE151" s="353">
        <f>AE150</f>
        <v>-0.99</v>
      </c>
      <c r="AF151" s="353">
        <f>SUM(AF149:AF150)</f>
        <v>-0.8</v>
      </c>
      <c r="AG151" s="351">
        <f t="shared" si="63"/>
        <v>-0.10775894567925563</v>
      </c>
      <c r="AH151" s="353">
        <f>AH149</f>
        <v>0</v>
      </c>
      <c r="AI151" s="353">
        <f>AI150</f>
        <v>0</v>
      </c>
      <c r="AJ151" s="353">
        <f>SUM(AJ149:AJ150)</f>
        <v>0</v>
      </c>
      <c r="AK151" s="351">
        <f t="shared" si="64"/>
        <v>0</v>
      </c>
      <c r="AL151" s="353">
        <f>AL149</f>
        <v>0</v>
      </c>
      <c r="AM151" s="353">
        <f>AM150</f>
        <v>0</v>
      </c>
      <c r="AN151" s="353">
        <f>SUM(AN149:AN150)</f>
        <v>0</v>
      </c>
      <c r="AO151" s="351">
        <f t="shared" si="65"/>
        <v>0</v>
      </c>
      <c r="AP151" s="343"/>
      <c r="AQ151" s="343"/>
      <c r="AR151" s="343">
        <f>SUM(AR149:AR150)</f>
        <v>-2.5</v>
      </c>
      <c r="AS151" s="384">
        <f>AS149</f>
        <v>1.6</v>
      </c>
      <c r="AT151" s="384">
        <f>AT150</f>
        <v>3.5</v>
      </c>
      <c r="AU151" s="384">
        <f>SUM(AU149:AU150)</f>
        <v>1.9</v>
      </c>
      <c r="AV151" s="343"/>
      <c r="AW151" s="343"/>
      <c r="AX151" s="343"/>
      <c r="AY151" s="343"/>
      <c r="AZ151" s="362" t="s">
        <v>686</v>
      </c>
      <c r="BA151" s="550"/>
      <c r="BB151" s="550"/>
      <c r="BC151" s="550"/>
      <c r="BD151" s="550"/>
      <c r="BE151" s="550"/>
      <c r="BF151" s="550"/>
      <c r="BG151" s="550"/>
      <c r="BH151" s="550"/>
      <c r="BI151" s="550"/>
      <c r="BJ151" s="550"/>
      <c r="BK151" s="550"/>
      <c r="BL151" s="550"/>
      <c r="BM151" s="550"/>
      <c r="BN151" s="550"/>
      <c r="BO151" s="550"/>
      <c r="BP151" s="550"/>
      <c r="BQ151" s="550"/>
      <c r="BR151" s="550"/>
      <c r="BS151" s="550"/>
    </row>
    <row r="152" spans="1:71" s="577" customFormat="1" ht="15" customHeight="1" x14ac:dyDescent="0.2">
      <c r="A152" s="403">
        <f t="shared" ref="A152:A158" si="66">A151</f>
        <v>62008018</v>
      </c>
      <c r="B152" s="403" t="s">
        <v>630</v>
      </c>
      <c r="C152" s="403" t="s">
        <v>776</v>
      </c>
      <c r="D152" s="402" t="s">
        <v>718</v>
      </c>
      <c r="E152" s="346" t="s">
        <v>857</v>
      </c>
      <c r="F152" s="346" t="str">
        <f t="shared" si="60"/>
        <v>08/07/20</v>
      </c>
      <c r="G152" s="362" t="s">
        <v>858</v>
      </c>
      <c r="H152" s="362" t="s">
        <v>685</v>
      </c>
      <c r="I152" s="370"/>
      <c r="J152" s="363">
        <v>25.224278999999999</v>
      </c>
      <c r="K152" s="363">
        <v>39.105037000000003</v>
      </c>
      <c r="L152" s="363">
        <v>29.466294999999999</v>
      </c>
      <c r="M152" s="363">
        <v>29.114184000000002</v>
      </c>
      <c r="N152" s="347">
        <v>4250</v>
      </c>
      <c r="O152" s="347">
        <v>30.36</v>
      </c>
      <c r="P152" s="347">
        <v>0.3201</v>
      </c>
      <c r="Q152" s="347">
        <v>1.9560000000000001E-2</v>
      </c>
      <c r="R152" s="348">
        <v>10.245705129999999</v>
      </c>
      <c r="S152" s="348">
        <f>R152+R151</f>
        <v>17.669682739999999</v>
      </c>
      <c r="T152" s="380">
        <v>95.5</v>
      </c>
      <c r="U152" s="380">
        <v>92.2</v>
      </c>
      <c r="V152" s="352">
        <v>1540</v>
      </c>
      <c r="W152" s="352">
        <v>3780</v>
      </c>
      <c r="X152" s="352">
        <f>W152-V152</f>
        <v>2240</v>
      </c>
      <c r="Y152" s="352">
        <f t="shared" si="61"/>
        <v>218.62819313832821</v>
      </c>
      <c r="Z152" s="372">
        <v>65.92</v>
      </c>
      <c r="AA152" s="352">
        <v>97.56</v>
      </c>
      <c r="AB152" s="352">
        <f>AA152-Z152</f>
        <v>31.64</v>
      </c>
      <c r="AC152" s="371">
        <f t="shared" si="62"/>
        <v>3.088123228078886</v>
      </c>
      <c r="AD152" s="372">
        <v>-1</v>
      </c>
      <c r="AE152" s="352">
        <v>-1.26</v>
      </c>
      <c r="AF152" s="352">
        <f>AE152-AD152</f>
        <v>-0.26</v>
      </c>
      <c r="AG152" s="371">
        <f t="shared" si="63"/>
        <v>-2.5376486703555953E-2</v>
      </c>
      <c r="AH152" s="372">
        <v>0</v>
      </c>
      <c r="AI152" s="352">
        <v>0</v>
      </c>
      <c r="AJ152" s="352">
        <f>AI152-AH152</f>
        <v>0</v>
      </c>
      <c r="AK152" s="371">
        <f t="shared" si="64"/>
        <v>0</v>
      </c>
      <c r="AL152" s="372">
        <v>0</v>
      </c>
      <c r="AM152" s="352">
        <v>0</v>
      </c>
      <c r="AN152" s="352">
        <f>AM152-AL152</f>
        <v>0</v>
      </c>
      <c r="AO152" s="371">
        <f t="shared" si="65"/>
        <v>0</v>
      </c>
      <c r="AP152" s="341">
        <v>95.5</v>
      </c>
      <c r="AQ152" s="341">
        <v>92.2</v>
      </c>
      <c r="AR152" s="341">
        <f>AQ152-AP152</f>
        <v>-3.2999999999999972</v>
      </c>
      <c r="AS152" s="526">
        <v>3.5</v>
      </c>
      <c r="AT152" s="383">
        <v>4.5999999999999996</v>
      </c>
      <c r="AU152" s="383">
        <f>AT152-AS152</f>
        <v>1.0999999999999996</v>
      </c>
      <c r="AV152" s="341"/>
      <c r="AW152" s="341"/>
      <c r="AX152" s="341"/>
      <c r="AY152" s="341"/>
      <c r="AZ152" s="362" t="s">
        <v>686</v>
      </c>
      <c r="BA152" s="550">
        <v>1944.7392953200001</v>
      </c>
      <c r="BB152" s="550">
        <v>1.74501215</v>
      </c>
      <c r="BC152" s="550">
        <v>1329.5131878</v>
      </c>
      <c r="BD152" s="550">
        <v>1306.7109233799999</v>
      </c>
      <c r="BE152" s="550">
        <v>7.9727013500000004</v>
      </c>
      <c r="BF152" s="550">
        <v>8.0200274300000007</v>
      </c>
      <c r="BG152" s="550">
        <v>-0.10629058</v>
      </c>
      <c r="BH152" s="550">
        <v>10.24577831</v>
      </c>
      <c r="BI152" s="550">
        <v>10.2566802</v>
      </c>
      <c r="BJ152" s="550">
        <v>-0.48668008000000001</v>
      </c>
      <c r="BK152" s="550">
        <v>-0.59009876000000006</v>
      </c>
      <c r="BL152" s="550">
        <v>0.28276456999999999</v>
      </c>
      <c r="BM152" s="550"/>
      <c r="BN152" s="550"/>
      <c r="BO152" s="550"/>
      <c r="BP152" s="550"/>
      <c r="BQ152" s="550"/>
      <c r="BR152" s="550"/>
      <c r="BS152" s="550"/>
    </row>
    <row r="153" spans="1:71" s="577" customFormat="1" ht="15" customHeight="1" x14ac:dyDescent="0.2">
      <c r="A153" s="403">
        <f t="shared" si="66"/>
        <v>62008018</v>
      </c>
      <c r="B153" s="403" t="s">
        <v>631</v>
      </c>
      <c r="C153" s="403" t="s">
        <v>777</v>
      </c>
      <c r="D153" s="402" t="s">
        <v>718</v>
      </c>
      <c r="E153" s="346" t="s">
        <v>857</v>
      </c>
      <c r="F153" s="346" t="str">
        <f t="shared" si="60"/>
        <v>08/07/20</v>
      </c>
      <c r="G153" s="362" t="s">
        <v>858</v>
      </c>
      <c r="H153" s="362" t="s">
        <v>685</v>
      </c>
      <c r="I153" s="370"/>
      <c r="J153" s="363">
        <v>20.680295000000001</v>
      </c>
      <c r="K153" s="363">
        <v>50.833815000000001</v>
      </c>
      <c r="L153" s="363">
        <v>29.452991999999998</v>
      </c>
      <c r="M153" s="363">
        <v>28.741350000000001</v>
      </c>
      <c r="N153" s="347">
        <v>4250</v>
      </c>
      <c r="O153" s="347">
        <v>30.36</v>
      </c>
      <c r="P153" s="347">
        <v>0.3201</v>
      </c>
      <c r="Q153" s="347">
        <v>1.9560000000000001E-2</v>
      </c>
      <c r="R153" s="348">
        <v>3.5816648</v>
      </c>
      <c r="S153" s="348">
        <f>R153+R152</f>
        <v>13.82736993</v>
      </c>
      <c r="T153" s="380">
        <v>92.2</v>
      </c>
      <c r="U153" s="380">
        <v>91.1</v>
      </c>
      <c r="V153" s="352">
        <v>3787</v>
      </c>
      <c r="W153" s="352">
        <v>4514</v>
      </c>
      <c r="X153" s="352">
        <f>W153-V153</f>
        <v>727</v>
      </c>
      <c r="Y153" s="352">
        <f t="shared" si="61"/>
        <v>202.97823514919654</v>
      </c>
      <c r="Z153" s="372">
        <v>103.02</v>
      </c>
      <c r="AA153" s="352">
        <v>124.438164</v>
      </c>
      <c r="AB153" s="352">
        <f>AA153-Z153</f>
        <v>21.418164000000004</v>
      </c>
      <c r="AC153" s="371">
        <f t="shared" si="62"/>
        <v>5.9799465321266254</v>
      </c>
      <c r="AD153" s="372">
        <v>-0.38</v>
      </c>
      <c r="AE153" s="352">
        <v>-0.81</v>
      </c>
      <c r="AF153" s="352">
        <f>AE153-AD153</f>
        <v>-0.43000000000000005</v>
      </c>
      <c r="AG153" s="371">
        <f t="shared" si="63"/>
        <v>-0.12005590249539824</v>
      </c>
      <c r="AH153" s="372">
        <v>0</v>
      </c>
      <c r="AI153" s="352">
        <v>0</v>
      </c>
      <c r="AJ153" s="352">
        <f>AI153-AH153</f>
        <v>0</v>
      </c>
      <c r="AK153" s="371">
        <f t="shared" si="64"/>
        <v>0</v>
      </c>
      <c r="AL153" s="372">
        <v>0</v>
      </c>
      <c r="AM153" s="352">
        <v>0</v>
      </c>
      <c r="AN153" s="352">
        <f>AM153-AL153</f>
        <v>0</v>
      </c>
      <c r="AO153" s="371">
        <f t="shared" si="65"/>
        <v>0</v>
      </c>
      <c r="AP153" s="341">
        <v>92.2</v>
      </c>
      <c r="AQ153" s="341">
        <v>91.1</v>
      </c>
      <c r="AR153" s="341">
        <f>AQ153-AP153</f>
        <v>-1.1000000000000085</v>
      </c>
      <c r="AS153" s="526">
        <v>5.4</v>
      </c>
      <c r="AT153" s="383">
        <v>6.1</v>
      </c>
      <c r="AU153" s="383">
        <f>AT153-AS153</f>
        <v>0.69999999999999929</v>
      </c>
      <c r="AV153" s="341"/>
      <c r="AW153" s="341"/>
      <c r="AX153" s="341"/>
      <c r="AY153" s="341"/>
      <c r="AZ153" s="362" t="s">
        <v>686</v>
      </c>
      <c r="BA153" s="550">
        <v>2409.5563112099999</v>
      </c>
      <c r="BB153" s="550">
        <v>-1.2151751</v>
      </c>
      <c r="BC153" s="550">
        <v>2023.74848161</v>
      </c>
      <c r="BD153" s="550">
        <v>2048.64308222</v>
      </c>
      <c r="BE153" s="550">
        <v>3.2239539599999998</v>
      </c>
      <c r="BF153" s="550">
        <v>3.2582704699999998</v>
      </c>
      <c r="BG153" s="550">
        <v>-0.26172394999999998</v>
      </c>
      <c r="BH153" s="550">
        <v>3.58158077</v>
      </c>
      <c r="BI153" s="550">
        <v>3.5909792199999999</v>
      </c>
      <c r="BJ153" s="550">
        <v>-0.79991327000000001</v>
      </c>
      <c r="BK153" s="550">
        <v>-1.0532124300000001</v>
      </c>
      <c r="BL153" s="550">
        <v>0.59036113999999995</v>
      </c>
      <c r="BM153" s="550"/>
      <c r="BN153" s="550"/>
      <c r="BO153" s="550"/>
      <c r="BP153" s="550"/>
      <c r="BQ153" s="550"/>
      <c r="BR153" s="550"/>
      <c r="BS153" s="550"/>
    </row>
    <row r="154" spans="1:71" s="577" customFormat="1" ht="15" customHeight="1" x14ac:dyDescent="0.2">
      <c r="A154" s="403">
        <f t="shared" si="66"/>
        <v>62008018</v>
      </c>
      <c r="B154" s="403" t="s">
        <v>225</v>
      </c>
      <c r="C154" s="403" t="s">
        <v>778</v>
      </c>
      <c r="D154" s="402" t="s">
        <v>718</v>
      </c>
      <c r="E154" s="346" t="s">
        <v>857</v>
      </c>
      <c r="F154" s="346" t="str">
        <f t="shared" si="60"/>
        <v>08/07/20</v>
      </c>
      <c r="G154" s="362" t="s">
        <v>858</v>
      </c>
      <c r="H154" s="362" t="s">
        <v>685</v>
      </c>
      <c r="I154" s="370"/>
      <c r="J154" s="363">
        <v>19.826882000000001</v>
      </c>
      <c r="K154" s="363">
        <v>53.537292999999998</v>
      </c>
      <c r="L154" s="363">
        <v>29.448903000000001</v>
      </c>
      <c r="M154" s="363">
        <v>27.847709999999999</v>
      </c>
      <c r="N154" s="347">
        <v>4250</v>
      </c>
      <c r="O154" s="347">
        <v>30.36</v>
      </c>
      <c r="P154" s="347">
        <v>0.3201</v>
      </c>
      <c r="Q154" s="347">
        <v>1.9560000000000001E-2</v>
      </c>
      <c r="R154" s="348">
        <v>3.8437929300000002</v>
      </c>
      <c r="S154" s="348">
        <f>R154+R153</f>
        <v>7.4254577299999998</v>
      </c>
      <c r="T154" s="380">
        <v>91.1</v>
      </c>
      <c r="U154" s="380">
        <v>90.1</v>
      </c>
      <c r="V154" s="352">
        <v>4514</v>
      </c>
      <c r="W154" s="352">
        <v>5147</v>
      </c>
      <c r="X154" s="352">
        <f>W154-V154</f>
        <v>633</v>
      </c>
      <c r="Y154" s="352">
        <f t="shared" si="61"/>
        <v>164.68108754235104</v>
      </c>
      <c r="Z154" s="372">
        <v>124.44</v>
      </c>
      <c r="AA154" s="352">
        <v>160.79756599999999</v>
      </c>
      <c r="AB154" s="352">
        <f>AA154-Z154</f>
        <v>36.357565999999991</v>
      </c>
      <c r="AC154" s="371">
        <f t="shared" si="62"/>
        <v>9.4587733163867362</v>
      </c>
      <c r="AD154" s="372">
        <v>-0.81</v>
      </c>
      <c r="AE154" s="352">
        <v>-1.21</v>
      </c>
      <c r="AF154" s="352">
        <f>AE154-AD154</f>
        <v>-0.39999999999999991</v>
      </c>
      <c r="AG154" s="371">
        <f t="shared" si="63"/>
        <v>-0.10406387838379209</v>
      </c>
      <c r="AH154" s="372">
        <v>0</v>
      </c>
      <c r="AI154" s="352">
        <v>0</v>
      </c>
      <c r="AJ154" s="352">
        <f>AI154-AH154</f>
        <v>0</v>
      </c>
      <c r="AK154" s="371">
        <f t="shared" si="64"/>
        <v>0</v>
      </c>
      <c r="AL154" s="372">
        <v>0</v>
      </c>
      <c r="AM154" s="352">
        <v>0</v>
      </c>
      <c r="AN154" s="352">
        <f>AM154-AL154</f>
        <v>0</v>
      </c>
      <c r="AO154" s="371">
        <f t="shared" si="65"/>
        <v>0</v>
      </c>
      <c r="AP154" s="341">
        <v>91.1</v>
      </c>
      <c r="AQ154" s="341">
        <v>90.1</v>
      </c>
      <c r="AR154" s="341">
        <f>AQ154-AP154</f>
        <v>-1</v>
      </c>
      <c r="AS154" s="526">
        <v>6.1</v>
      </c>
      <c r="AT154" s="383">
        <v>7.3</v>
      </c>
      <c r="AU154" s="383">
        <f>AT154-AS154</f>
        <v>1.2000000000000002</v>
      </c>
      <c r="AV154" s="341"/>
      <c r="AW154" s="341"/>
      <c r="AX154" s="341"/>
      <c r="AY154" s="341"/>
      <c r="AZ154" s="362" t="s">
        <v>686</v>
      </c>
      <c r="BA154" s="550">
        <v>1481.98891678</v>
      </c>
      <c r="BB154" s="550">
        <v>-1.3971895400000001</v>
      </c>
      <c r="BC154" s="550">
        <v>3368.3026844800002</v>
      </c>
      <c r="BD154" s="550">
        <v>3416.0311140200001</v>
      </c>
      <c r="BE154" s="550">
        <v>2.9596383099999999</v>
      </c>
      <c r="BF154" s="550">
        <v>3.0184618599999999</v>
      </c>
      <c r="BG154" s="550">
        <v>-0.42005452999999998</v>
      </c>
      <c r="BH154" s="550">
        <v>3.8436163400000001</v>
      </c>
      <c r="BI154" s="550">
        <v>3.85982973</v>
      </c>
      <c r="BJ154" s="550">
        <v>-1.55912183</v>
      </c>
      <c r="BK154" s="550">
        <v>-1.9487923199999999</v>
      </c>
      <c r="BL154" s="550">
        <v>0.71451874000000004</v>
      </c>
      <c r="BM154" s="550"/>
      <c r="BN154" s="550"/>
      <c r="BO154" s="550"/>
      <c r="BP154" s="550"/>
      <c r="BQ154" s="550"/>
      <c r="BR154" s="550"/>
      <c r="BS154" s="550"/>
    </row>
    <row r="155" spans="1:71" s="577" customFormat="1" ht="15" customHeight="1" x14ac:dyDescent="0.2">
      <c r="A155" s="403">
        <f t="shared" si="66"/>
        <v>62008018</v>
      </c>
      <c r="B155" s="403" t="s">
        <v>632</v>
      </c>
      <c r="C155" s="403" t="s">
        <v>779</v>
      </c>
      <c r="D155" s="402" t="s">
        <v>718</v>
      </c>
      <c r="E155" s="346" t="s">
        <v>857</v>
      </c>
      <c r="F155" s="346" t="str">
        <f t="shared" si="60"/>
        <v>08/07/20</v>
      </c>
      <c r="G155" s="362" t="s">
        <v>858</v>
      </c>
      <c r="H155" s="362" t="s">
        <v>685</v>
      </c>
      <c r="I155" s="370"/>
      <c r="J155" s="364">
        <f>AVERAGE(J153:J154)</f>
        <v>20.253588499999999</v>
      </c>
      <c r="K155" s="364">
        <f>AVERAGE(K153:K154)</f>
        <v>52.185553999999996</v>
      </c>
      <c r="L155" s="364">
        <f>AVERAGE(L153:L154)</f>
        <v>29.450947499999998</v>
      </c>
      <c r="M155" s="364">
        <f>AVERAGE(M153:M154)</f>
        <v>28.294530000000002</v>
      </c>
      <c r="N155" s="349"/>
      <c r="O155" s="347"/>
      <c r="P155" s="366"/>
      <c r="Q155" s="365"/>
      <c r="R155" s="350">
        <f>R154+R153</f>
        <v>7.4254577299999998</v>
      </c>
      <c r="S155" s="350">
        <f>S154</f>
        <v>7.4254577299999998</v>
      </c>
      <c r="T155" s="381">
        <f>T153</f>
        <v>92.2</v>
      </c>
      <c r="U155" s="381">
        <f>U154</f>
        <v>90.1</v>
      </c>
      <c r="V155" s="353">
        <f>V153</f>
        <v>3787</v>
      </c>
      <c r="W155" s="353">
        <f>W154</f>
        <v>5147</v>
      </c>
      <c r="X155" s="353">
        <f>SUM(X153:X154)</f>
        <v>1360</v>
      </c>
      <c r="Y155" s="353">
        <f t="shared" si="61"/>
        <v>183.15369226403232</v>
      </c>
      <c r="Z155" s="353">
        <f>Z153</f>
        <v>103.02</v>
      </c>
      <c r="AA155" s="353">
        <f>AA154</f>
        <v>160.79756599999999</v>
      </c>
      <c r="AB155" s="353">
        <f>SUM(AB153:AB154)</f>
        <v>57.775729999999996</v>
      </c>
      <c r="AC155" s="351">
        <f t="shared" si="62"/>
        <v>7.780763435845456</v>
      </c>
      <c r="AD155" s="353">
        <f>AD153</f>
        <v>-0.38</v>
      </c>
      <c r="AE155" s="353">
        <f>AE154</f>
        <v>-1.21</v>
      </c>
      <c r="AF155" s="353">
        <f>SUM(AF153:AF154)</f>
        <v>-0.83</v>
      </c>
      <c r="AG155" s="351">
        <f t="shared" si="63"/>
        <v>-0.11177762101407855</v>
      </c>
      <c r="AH155" s="353">
        <f>AH153</f>
        <v>0</v>
      </c>
      <c r="AI155" s="353">
        <f>AI154</f>
        <v>0</v>
      </c>
      <c r="AJ155" s="353">
        <f>SUM(AJ153:AJ154)</f>
        <v>0</v>
      </c>
      <c r="AK155" s="351">
        <f t="shared" si="64"/>
        <v>0</v>
      </c>
      <c r="AL155" s="353">
        <f>AL153</f>
        <v>0</v>
      </c>
      <c r="AM155" s="353">
        <f>AM154</f>
        <v>0</v>
      </c>
      <c r="AN155" s="353">
        <f>SUM(AN153:AN154)</f>
        <v>0</v>
      </c>
      <c r="AO155" s="351">
        <f t="shared" si="65"/>
        <v>0</v>
      </c>
      <c r="AP155" s="343"/>
      <c r="AQ155" s="343"/>
      <c r="AR155" s="343">
        <f>SUM(AR153:AR154)</f>
        <v>-2.1000000000000085</v>
      </c>
      <c r="AS155" s="384">
        <f>AS153</f>
        <v>5.4</v>
      </c>
      <c r="AT155" s="384">
        <f>AT154</f>
        <v>7.3</v>
      </c>
      <c r="AU155" s="384">
        <f>SUM(AU153:AU154)</f>
        <v>1.8999999999999995</v>
      </c>
      <c r="AV155" s="343"/>
      <c r="AW155" s="343"/>
      <c r="AX155" s="343"/>
      <c r="AY155" s="343"/>
      <c r="AZ155" s="362" t="s">
        <v>686</v>
      </c>
      <c r="BA155" s="550"/>
      <c r="BB155" s="550"/>
      <c r="BC155" s="550"/>
      <c r="BD155" s="550"/>
      <c r="BE155" s="550"/>
      <c r="BF155" s="550"/>
      <c r="BG155" s="550"/>
      <c r="BH155" s="550"/>
      <c r="BI155" s="550"/>
      <c r="BJ155" s="550"/>
      <c r="BK155" s="550"/>
      <c r="BL155" s="550"/>
      <c r="BM155" s="550"/>
      <c r="BN155" s="550"/>
      <c r="BO155" s="550"/>
      <c r="BP155" s="550"/>
      <c r="BQ155" s="550"/>
      <c r="BR155" s="550"/>
      <c r="BS155" s="550"/>
    </row>
    <row r="156" spans="1:71" s="577" customFormat="1" ht="15" customHeight="1" x14ac:dyDescent="0.2">
      <c r="A156" s="403">
        <f t="shared" si="66"/>
        <v>62008018</v>
      </c>
      <c r="B156" s="403" t="s">
        <v>633</v>
      </c>
      <c r="C156" s="403" t="s">
        <v>780</v>
      </c>
      <c r="D156" s="402" t="s">
        <v>718</v>
      </c>
      <c r="E156" s="346" t="s">
        <v>857</v>
      </c>
      <c r="F156" s="346" t="str">
        <f t="shared" si="60"/>
        <v>08/07/20</v>
      </c>
      <c r="G156" s="362" t="s">
        <v>858</v>
      </c>
      <c r="H156" s="362" t="s">
        <v>685</v>
      </c>
      <c r="I156" s="370"/>
      <c r="J156" s="363">
        <v>23.088695000000001</v>
      </c>
      <c r="K156" s="363">
        <v>43.231591000000002</v>
      </c>
      <c r="L156" s="363">
        <v>29.447966999999998</v>
      </c>
      <c r="M156" s="363">
        <v>30.190773</v>
      </c>
      <c r="N156" s="347">
        <v>4250</v>
      </c>
      <c r="O156" s="347">
        <v>30.36</v>
      </c>
      <c r="P156" s="347">
        <v>0.3201</v>
      </c>
      <c r="Q156" s="347">
        <v>1.9560000000000001E-2</v>
      </c>
      <c r="R156" s="348">
        <v>1.76524529</v>
      </c>
      <c r="S156" s="348">
        <f>R156+R155</f>
        <v>9.1907030199999991</v>
      </c>
      <c r="T156" s="380">
        <v>90.1</v>
      </c>
      <c r="U156" s="380">
        <v>86.5</v>
      </c>
      <c r="V156" s="352">
        <v>5152</v>
      </c>
      <c r="W156" s="352">
        <v>7554</v>
      </c>
      <c r="X156" s="352">
        <f>W156-V156-X157</f>
        <v>553</v>
      </c>
      <c r="Y156" s="352">
        <f t="shared" si="61"/>
        <v>313.27091092252681</v>
      </c>
      <c r="Z156" s="372">
        <v>164.657568</v>
      </c>
      <c r="AA156" s="352">
        <v>189.54741999999999</v>
      </c>
      <c r="AB156" s="352">
        <f>AA156-Z156-AB157</f>
        <v>9.890026999999975</v>
      </c>
      <c r="AC156" s="371">
        <f t="shared" si="62"/>
        <v>5.6026361073026711</v>
      </c>
      <c r="AD156" s="372">
        <v>-1.25</v>
      </c>
      <c r="AE156" s="352">
        <v>-1.45</v>
      </c>
      <c r="AF156" s="352">
        <f>AE156-AD156-AF157</f>
        <v>-8.0000000000000071E-2</v>
      </c>
      <c r="AG156" s="371">
        <f t="shared" si="63"/>
        <v>-4.531948078445238E-2</v>
      </c>
      <c r="AH156" s="372">
        <v>0</v>
      </c>
      <c r="AI156" s="352">
        <v>0</v>
      </c>
      <c r="AJ156" s="352">
        <f>AI156-AH156-AJ157</f>
        <v>0</v>
      </c>
      <c r="AK156" s="371">
        <f t="shared" si="64"/>
        <v>0</v>
      </c>
      <c r="AL156" s="372">
        <v>0</v>
      </c>
      <c r="AM156" s="352">
        <v>0</v>
      </c>
      <c r="AN156" s="352">
        <f>AM156-AL156-AN157</f>
        <v>0</v>
      </c>
      <c r="AO156" s="371">
        <f t="shared" si="65"/>
        <v>0</v>
      </c>
      <c r="AP156" s="341">
        <v>90.1</v>
      </c>
      <c r="AQ156" s="341">
        <v>86.5</v>
      </c>
      <c r="AR156" s="341">
        <f>AQ156-AP156-AR157</f>
        <v>-0.79999999999999716</v>
      </c>
      <c r="AS156" s="526">
        <v>7.4</v>
      </c>
      <c r="AT156" s="383">
        <v>8.3000000000000007</v>
      </c>
      <c r="AU156" s="383">
        <f>AT156-AS156-AU157</f>
        <v>0.40000000000000036</v>
      </c>
      <c r="AV156" s="341"/>
      <c r="AW156" s="341"/>
      <c r="AX156" s="341"/>
      <c r="AY156" s="341"/>
      <c r="AZ156" s="362" t="s">
        <v>686</v>
      </c>
      <c r="BA156" s="550">
        <v>5562.9056877000003</v>
      </c>
      <c r="BB156" s="550">
        <v>0.10450508999999999</v>
      </c>
      <c r="BC156" s="550">
        <v>2461.9000841699999</v>
      </c>
      <c r="BD156" s="550">
        <v>2459.32995906</v>
      </c>
      <c r="BE156" s="550">
        <v>3.2213115600000002</v>
      </c>
      <c r="BF156" s="550">
        <v>3.2077611099999999</v>
      </c>
      <c r="BG156" s="550">
        <v>-0.38991192000000002</v>
      </c>
      <c r="BH156" s="550">
        <v>1.76519515</v>
      </c>
      <c r="BI156" s="550">
        <v>1.7721047999999999</v>
      </c>
      <c r="BJ156" s="550">
        <v>0.80892184</v>
      </c>
      <c r="BK156" s="550">
        <v>0.42242702999999998</v>
      </c>
      <c r="BL156" s="550">
        <v>0.81478879999999998</v>
      </c>
      <c r="BM156" s="550"/>
      <c r="BN156" s="550"/>
      <c r="BO156" s="550"/>
      <c r="BP156" s="550"/>
      <c r="BQ156" s="550"/>
      <c r="BR156" s="550"/>
      <c r="BS156" s="550"/>
    </row>
    <row r="157" spans="1:71" s="577" customFormat="1" ht="15" customHeight="1" x14ac:dyDescent="0.2">
      <c r="A157" s="403">
        <f t="shared" si="66"/>
        <v>62008018</v>
      </c>
      <c r="B157" s="403" t="s">
        <v>634</v>
      </c>
      <c r="C157" s="403" t="s">
        <v>781</v>
      </c>
      <c r="D157" s="402" t="s">
        <v>718</v>
      </c>
      <c r="E157" s="346" t="s">
        <v>857</v>
      </c>
      <c r="F157" s="346" t="str">
        <f t="shared" si="60"/>
        <v>08/07/20</v>
      </c>
      <c r="G157" s="362" t="s">
        <v>858</v>
      </c>
      <c r="H157" s="362" t="s">
        <v>685</v>
      </c>
      <c r="I157" s="370"/>
      <c r="J157" s="363">
        <v>26.977059000000001</v>
      </c>
      <c r="K157" s="363">
        <v>35.143551000000002</v>
      </c>
      <c r="L157" s="363">
        <v>29.481157</v>
      </c>
      <c r="M157" s="363">
        <v>30.32075</v>
      </c>
      <c r="N157" s="347">
        <v>4250</v>
      </c>
      <c r="O157" s="347">
        <v>30.36</v>
      </c>
      <c r="P157" s="347">
        <v>0.3201</v>
      </c>
      <c r="Q157" s="347">
        <v>1.9560000000000001E-2</v>
      </c>
      <c r="R157" s="348">
        <v>6.2271882700000001</v>
      </c>
      <c r="S157" s="348">
        <f>R157+R156</f>
        <v>7.9924335600000003</v>
      </c>
      <c r="T157" s="380">
        <v>89.6</v>
      </c>
      <c r="U157" s="380">
        <v>86.8</v>
      </c>
      <c r="V157" s="352">
        <v>5520</v>
      </c>
      <c r="W157" s="352">
        <v>7369</v>
      </c>
      <c r="X157" s="352">
        <f>W157-V157</f>
        <v>1849</v>
      </c>
      <c r="Y157" s="352">
        <f t="shared" si="61"/>
        <v>296.92373505193541</v>
      </c>
      <c r="Z157" s="372">
        <v>170.157659</v>
      </c>
      <c r="AA157" s="352">
        <v>185.15748400000001</v>
      </c>
      <c r="AB157" s="352">
        <f>AA157-Z157</f>
        <v>14.999825000000016</v>
      </c>
      <c r="AC157" s="371">
        <f t="shared" si="62"/>
        <v>2.4087636907114125</v>
      </c>
      <c r="AD157" s="372">
        <v>-1.3</v>
      </c>
      <c r="AE157" s="352">
        <v>-1.42</v>
      </c>
      <c r="AF157" s="352">
        <f>AE157-AD157</f>
        <v>-0.11999999999999988</v>
      </c>
      <c r="AG157" s="371">
        <f t="shared" si="63"/>
        <v>-1.9270334346258633E-2</v>
      </c>
      <c r="AH157" s="372">
        <v>0</v>
      </c>
      <c r="AI157" s="352">
        <v>0</v>
      </c>
      <c r="AJ157" s="352">
        <f>AI157-AH157</f>
        <v>0</v>
      </c>
      <c r="AK157" s="371">
        <f t="shared" si="64"/>
        <v>0</v>
      </c>
      <c r="AL157" s="372">
        <v>0</v>
      </c>
      <c r="AM157" s="352">
        <v>0</v>
      </c>
      <c r="AN157" s="352">
        <f>AM157-AL157</f>
        <v>0</v>
      </c>
      <c r="AO157" s="371">
        <f t="shared" si="65"/>
        <v>0</v>
      </c>
      <c r="AP157" s="341">
        <v>89.6</v>
      </c>
      <c r="AQ157" s="341">
        <v>86.8</v>
      </c>
      <c r="AR157" s="341">
        <f>AQ157-AP157</f>
        <v>-2.7999999999999972</v>
      </c>
      <c r="AS157" s="526">
        <v>7.6</v>
      </c>
      <c r="AT157" s="383">
        <v>8.1</v>
      </c>
      <c r="AU157" s="383">
        <f>AT157-AS157</f>
        <v>0.5</v>
      </c>
      <c r="AV157" s="341"/>
      <c r="AW157" s="341"/>
      <c r="AX157" s="341"/>
      <c r="AY157" s="341"/>
      <c r="AZ157" s="362" t="s">
        <v>686</v>
      </c>
      <c r="BA157" s="550">
        <v>11819.33362345</v>
      </c>
      <c r="BB157" s="550">
        <v>-10.50620981</v>
      </c>
      <c r="BC157" s="550">
        <v>1018.84227972</v>
      </c>
      <c r="BD157" s="550">
        <v>1138.4502518100001</v>
      </c>
      <c r="BE157" s="550">
        <v>6.9106872600000004</v>
      </c>
      <c r="BF157" s="550">
        <v>7.0843097500000001</v>
      </c>
      <c r="BG157" s="550">
        <v>-0.12243403</v>
      </c>
      <c r="BH157" s="550">
        <v>6.2272243899999999</v>
      </c>
      <c r="BI157" s="550">
        <v>6.2348579700000002</v>
      </c>
      <c r="BJ157" s="550">
        <v>-2.38686658</v>
      </c>
      <c r="BK157" s="550">
        <v>-2.4508032000000002</v>
      </c>
      <c r="BL157" s="550">
        <v>0.34897518</v>
      </c>
      <c r="BM157" s="550"/>
      <c r="BN157" s="550"/>
      <c r="BO157" s="550"/>
      <c r="BP157" s="550"/>
      <c r="BQ157" s="550"/>
      <c r="BR157" s="550"/>
      <c r="BS157" s="550"/>
    </row>
    <row r="158" spans="1:71" s="577" customFormat="1" ht="15" customHeight="1" x14ac:dyDescent="0.2">
      <c r="A158" s="403">
        <f t="shared" si="66"/>
        <v>62008018</v>
      </c>
      <c r="B158" s="403" t="s">
        <v>635</v>
      </c>
      <c r="C158" s="403" t="s">
        <v>782</v>
      </c>
      <c r="D158" s="402" t="s">
        <v>718</v>
      </c>
      <c r="E158" s="346" t="s">
        <v>857</v>
      </c>
      <c r="F158" s="346" t="str">
        <f t="shared" si="60"/>
        <v>08/07/20</v>
      </c>
      <c r="G158" s="362" t="s">
        <v>858</v>
      </c>
      <c r="H158" s="362" t="s">
        <v>685</v>
      </c>
      <c r="I158" s="370"/>
      <c r="J158" s="364">
        <f>AVERAGE(J156:J157)</f>
        <v>25.032876999999999</v>
      </c>
      <c r="K158" s="364">
        <f>AVERAGE(K156:K157)</f>
        <v>39.187571000000005</v>
      </c>
      <c r="L158" s="364">
        <f>AVERAGE(L156:L157)</f>
        <v>29.464562000000001</v>
      </c>
      <c r="M158" s="364">
        <f>AVERAGE(M156:M157)</f>
        <v>30.255761499999998</v>
      </c>
      <c r="N158" s="349"/>
      <c r="O158" s="347"/>
      <c r="P158" s="366"/>
      <c r="Q158" s="365"/>
      <c r="R158" s="350">
        <f>R157+R156</f>
        <v>7.9924335600000003</v>
      </c>
      <c r="S158" s="350">
        <f>S157</f>
        <v>7.9924335600000003</v>
      </c>
      <c r="T158" s="381">
        <f>T156</f>
        <v>90.1</v>
      </c>
      <c r="U158" s="381">
        <f>U157</f>
        <v>86.8</v>
      </c>
      <c r="V158" s="353">
        <f>V156</f>
        <v>5152</v>
      </c>
      <c r="W158" s="353">
        <f>W157</f>
        <v>7369</v>
      </c>
      <c r="X158" s="353">
        <f>SUM(X156:X157)</f>
        <v>2402</v>
      </c>
      <c r="Y158" s="353">
        <f t="shared" si="61"/>
        <v>300.53424679328833</v>
      </c>
      <c r="Z158" s="353">
        <f>Z156</f>
        <v>164.657568</v>
      </c>
      <c r="AA158" s="353">
        <f>AA157</f>
        <v>185.15748400000001</v>
      </c>
      <c r="AB158" s="353">
        <f>SUM(AB156:AB157)</f>
        <v>24.889851999999991</v>
      </c>
      <c r="AC158" s="351">
        <f t="shared" si="62"/>
        <v>3.1141769040867686</v>
      </c>
      <c r="AD158" s="353">
        <f>AD156</f>
        <v>-1.25</v>
      </c>
      <c r="AE158" s="353">
        <f>AE157</f>
        <v>-1.42</v>
      </c>
      <c r="AF158" s="353">
        <f>SUM(AF156:AF157)</f>
        <v>-0.19999999999999996</v>
      </c>
      <c r="AG158" s="351">
        <f t="shared" si="63"/>
        <v>-2.5023667509849145E-2</v>
      </c>
      <c r="AH158" s="353">
        <f>AH156</f>
        <v>0</v>
      </c>
      <c r="AI158" s="353">
        <f>AI157</f>
        <v>0</v>
      </c>
      <c r="AJ158" s="353">
        <f>SUM(AJ156:AJ157)</f>
        <v>0</v>
      </c>
      <c r="AK158" s="351">
        <f t="shared" si="64"/>
        <v>0</v>
      </c>
      <c r="AL158" s="353">
        <f>AL156</f>
        <v>0</v>
      </c>
      <c r="AM158" s="353">
        <f>AM157</f>
        <v>0</v>
      </c>
      <c r="AN158" s="353">
        <f>SUM(AN156:AN157)</f>
        <v>0</v>
      </c>
      <c r="AO158" s="351">
        <f t="shared" si="65"/>
        <v>0</v>
      </c>
      <c r="AP158" s="343"/>
      <c r="AQ158" s="343"/>
      <c r="AR158" s="343">
        <f>SUM(AR156:AR157)</f>
        <v>-3.5999999999999943</v>
      </c>
      <c r="AS158" s="384">
        <f>AS156</f>
        <v>7.4</v>
      </c>
      <c r="AT158" s="384">
        <f>AT157</f>
        <v>8.1</v>
      </c>
      <c r="AU158" s="384">
        <f>SUM(AU156:AU157)</f>
        <v>0.90000000000000036</v>
      </c>
      <c r="AV158" s="343"/>
      <c r="AW158" s="343"/>
      <c r="AX158" s="343"/>
      <c r="AY158" s="343"/>
      <c r="AZ158" s="362" t="s">
        <v>686</v>
      </c>
      <c r="BA158" s="550"/>
      <c r="BB158" s="550"/>
      <c r="BC158" s="550"/>
      <c r="BD158" s="550"/>
      <c r="BE158" s="550"/>
      <c r="BF158" s="550"/>
      <c r="BG158" s="550"/>
      <c r="BH158" s="550"/>
      <c r="BI158" s="550"/>
      <c r="BJ158" s="550"/>
      <c r="BK158" s="550"/>
      <c r="BL158" s="550"/>
      <c r="BM158" s="550"/>
      <c r="BN158" s="550"/>
      <c r="BO158" s="550"/>
      <c r="BP158" s="550"/>
      <c r="BQ158" s="550"/>
      <c r="BR158" s="550"/>
      <c r="BS158" s="550"/>
    </row>
    <row r="159" spans="1:71" s="577" customFormat="1" ht="15" customHeight="1" x14ac:dyDescent="0.2">
      <c r="A159" s="403">
        <v>62008019</v>
      </c>
      <c r="B159" s="403" t="s">
        <v>674</v>
      </c>
      <c r="C159" s="403" t="s">
        <v>773</v>
      </c>
      <c r="D159" s="402" t="s">
        <v>682</v>
      </c>
      <c r="E159" s="346" t="s">
        <v>859</v>
      </c>
      <c r="F159" s="346" t="str">
        <f t="shared" si="60"/>
        <v>08/07/20</v>
      </c>
      <c r="G159" s="362" t="s">
        <v>860</v>
      </c>
      <c r="H159" s="362" t="s">
        <v>861</v>
      </c>
      <c r="I159" s="370"/>
      <c r="J159" s="363">
        <v>24.713861000000001</v>
      </c>
      <c r="K159" s="363">
        <v>40.886190999999997</v>
      </c>
      <c r="L159" s="363">
        <v>29.457125999999999</v>
      </c>
      <c r="M159" s="363">
        <v>29.319324000000002</v>
      </c>
      <c r="N159" s="347">
        <v>4250</v>
      </c>
      <c r="O159" s="347">
        <v>30.36</v>
      </c>
      <c r="P159" s="347">
        <v>0.3201</v>
      </c>
      <c r="Q159" s="347">
        <v>1.9560000000000001E-2</v>
      </c>
      <c r="R159" s="348">
        <v>10.24532035</v>
      </c>
      <c r="S159" s="348">
        <f>R159+R158</f>
        <v>18.237753910000002</v>
      </c>
      <c r="T159" s="380">
        <v>86.5</v>
      </c>
      <c r="U159" s="380">
        <v>83.1</v>
      </c>
      <c r="V159" s="352">
        <v>7557</v>
      </c>
      <c r="W159" s="352">
        <v>9781</v>
      </c>
      <c r="X159" s="352">
        <f>W159-V159</f>
        <v>2224</v>
      </c>
      <c r="Y159" s="352">
        <f t="shared" si="61"/>
        <v>217.0747154821762</v>
      </c>
      <c r="Z159" s="372">
        <v>192.02732800000001</v>
      </c>
      <c r="AA159" s="352">
        <v>224.58686700000001</v>
      </c>
      <c r="AB159" s="352">
        <f>AA159-Z159</f>
        <v>32.559539000000001</v>
      </c>
      <c r="AC159" s="371">
        <f t="shared" si="62"/>
        <v>3.1779913060502789</v>
      </c>
      <c r="AD159" s="372">
        <v>-0.03</v>
      </c>
      <c r="AE159" s="352">
        <v>-0.96</v>
      </c>
      <c r="AF159" s="352">
        <f>AE159-AD159</f>
        <v>-0.92999999999999994</v>
      </c>
      <c r="AG159" s="371">
        <f t="shared" si="63"/>
        <v>-9.0773149909363249E-2</v>
      </c>
      <c r="AH159" s="372">
        <v>0</v>
      </c>
      <c r="AI159" s="352">
        <v>0</v>
      </c>
      <c r="AJ159" s="352">
        <f>AI159-AH159</f>
        <v>0</v>
      </c>
      <c r="AK159" s="371">
        <f t="shared" si="64"/>
        <v>0</v>
      </c>
      <c r="AL159" s="372">
        <v>0</v>
      </c>
      <c r="AM159" s="352">
        <v>0</v>
      </c>
      <c r="AN159" s="352">
        <f>AM159-AL159</f>
        <v>0</v>
      </c>
      <c r="AO159" s="371">
        <f t="shared" si="65"/>
        <v>0</v>
      </c>
      <c r="AP159" s="341">
        <v>86.5</v>
      </c>
      <c r="AQ159" s="341">
        <v>83.1</v>
      </c>
      <c r="AR159" s="341">
        <f>AQ159-AP159</f>
        <v>-3.4000000000000057</v>
      </c>
      <c r="AS159" s="526">
        <v>9.6999999999999993</v>
      </c>
      <c r="AT159" s="383">
        <v>10.8</v>
      </c>
      <c r="AU159" s="383">
        <f>AT159-AS159</f>
        <v>1.1000000000000014</v>
      </c>
      <c r="AV159" s="341"/>
      <c r="AW159" s="341"/>
      <c r="AX159" s="341"/>
      <c r="AY159" s="341"/>
      <c r="AZ159" s="362" t="s">
        <v>686</v>
      </c>
      <c r="BA159" s="550">
        <v>1943.34344775</v>
      </c>
      <c r="BB159" s="550">
        <v>-0.74304683999999999</v>
      </c>
      <c r="BC159" s="550">
        <v>1297.02273311</v>
      </c>
      <c r="BD159" s="550">
        <v>1306.73236662</v>
      </c>
      <c r="BE159" s="550">
        <v>7.9700058599999997</v>
      </c>
      <c r="BF159" s="550">
        <v>8.0200887699999992</v>
      </c>
      <c r="BG159" s="550">
        <v>-0.11014094000000001</v>
      </c>
      <c r="BH159" s="550">
        <v>10.24538372</v>
      </c>
      <c r="BI159" s="550">
        <v>10.25668052</v>
      </c>
      <c r="BJ159" s="550">
        <v>-0.51755943999999998</v>
      </c>
      <c r="BK159" s="550">
        <v>-0.62446838000000005</v>
      </c>
      <c r="BL159" s="550">
        <v>0.28276751999999999</v>
      </c>
      <c r="BM159" s="550"/>
      <c r="BN159" s="550"/>
      <c r="BO159" s="550"/>
      <c r="BP159" s="550"/>
      <c r="BQ159" s="550"/>
      <c r="BR159" s="550"/>
      <c r="BS159" s="550"/>
    </row>
    <row r="160" spans="1:71" s="577" customFormat="1" ht="15" customHeight="1" x14ac:dyDescent="0.2">
      <c r="A160" s="403">
        <v>62008019</v>
      </c>
      <c r="B160" s="403" t="s">
        <v>674</v>
      </c>
      <c r="C160" s="403" t="s">
        <v>774</v>
      </c>
      <c r="D160" s="402" t="s">
        <v>682</v>
      </c>
      <c r="E160" s="346" t="s">
        <v>859</v>
      </c>
      <c r="F160" s="346" t="str">
        <f t="shared" si="60"/>
        <v>08/07/20</v>
      </c>
      <c r="G160" s="362" t="s">
        <v>860</v>
      </c>
      <c r="H160" s="362" t="s">
        <v>861</v>
      </c>
      <c r="I160" s="370"/>
      <c r="J160" s="363">
        <v>24.853404000000001</v>
      </c>
      <c r="K160" s="363">
        <v>39.231538999999998</v>
      </c>
      <c r="L160" s="363">
        <v>29.449683</v>
      </c>
      <c r="M160" s="363">
        <v>30.374859000000001</v>
      </c>
      <c r="N160" s="347">
        <v>4250</v>
      </c>
      <c r="O160" s="347">
        <v>30.36</v>
      </c>
      <c r="P160" s="347">
        <v>0.3201</v>
      </c>
      <c r="Q160" s="347">
        <v>1.9560000000000001E-2</v>
      </c>
      <c r="R160" s="348">
        <v>10.245304730000001</v>
      </c>
      <c r="S160" s="348">
        <f>R160+R159</f>
        <v>20.490625080000001</v>
      </c>
      <c r="T160" s="380">
        <v>83.1</v>
      </c>
      <c r="U160" s="380">
        <v>79.7</v>
      </c>
      <c r="V160" s="352">
        <v>9782</v>
      </c>
      <c r="W160" s="352">
        <v>11977</v>
      </c>
      <c r="X160" s="352">
        <f>W160-V160</f>
        <v>2195</v>
      </c>
      <c r="Y160" s="352">
        <f t="shared" si="61"/>
        <v>214.24448153041905</v>
      </c>
      <c r="Z160" s="372">
        <v>225.19</v>
      </c>
      <c r="AA160" s="352">
        <v>256.94652100000002</v>
      </c>
      <c r="AB160" s="352">
        <f>AA160-Z160</f>
        <v>31.756521000000021</v>
      </c>
      <c r="AC160" s="371">
        <f t="shared" si="62"/>
        <v>3.0996170281798947</v>
      </c>
      <c r="AD160" s="372">
        <v>-0.97</v>
      </c>
      <c r="AE160" s="352">
        <v>-1.33</v>
      </c>
      <c r="AF160" s="352">
        <f>AE160-AD160</f>
        <v>-0.3600000000000001</v>
      </c>
      <c r="AG160" s="371">
        <f t="shared" si="63"/>
        <v>-3.5138047084715664E-2</v>
      </c>
      <c r="AH160" s="372">
        <v>0</v>
      </c>
      <c r="AI160" s="352">
        <v>0</v>
      </c>
      <c r="AJ160" s="352">
        <f>AI160-AH160</f>
        <v>0</v>
      </c>
      <c r="AK160" s="371">
        <f t="shared" si="64"/>
        <v>0</v>
      </c>
      <c r="AL160" s="372">
        <v>0</v>
      </c>
      <c r="AM160" s="352">
        <v>0</v>
      </c>
      <c r="AN160" s="352">
        <f>AM160-AL160</f>
        <v>0</v>
      </c>
      <c r="AO160" s="371">
        <f t="shared" si="65"/>
        <v>0</v>
      </c>
      <c r="AP160" s="341">
        <v>83.1</v>
      </c>
      <c r="AQ160" s="341">
        <v>79.7</v>
      </c>
      <c r="AR160" s="341">
        <f>AQ160-AP160</f>
        <v>-3.3999999999999915</v>
      </c>
      <c r="AS160" s="526">
        <v>10.8</v>
      </c>
      <c r="AT160" s="383">
        <v>11.8</v>
      </c>
      <c r="AU160" s="383">
        <f>AT160-AS160</f>
        <v>1</v>
      </c>
      <c r="AV160" s="341"/>
      <c r="AW160" s="341"/>
      <c r="AX160" s="341"/>
      <c r="AY160" s="341"/>
      <c r="AZ160" s="362" t="s">
        <v>686</v>
      </c>
      <c r="BA160" s="550">
        <v>1940.26098815</v>
      </c>
      <c r="BB160" s="550">
        <v>-0.80239185999999996</v>
      </c>
      <c r="BC160" s="550">
        <v>1296.2254238800001</v>
      </c>
      <c r="BD160" s="550">
        <v>1306.7103614</v>
      </c>
      <c r="BE160" s="550">
        <v>7.9707609699999997</v>
      </c>
      <c r="BF160" s="550">
        <v>8.0200398199999992</v>
      </c>
      <c r="BG160" s="550">
        <v>-0.11021156999999999</v>
      </c>
      <c r="BH160" s="550">
        <v>10.24537634</v>
      </c>
      <c r="BI160" s="550">
        <v>10.25668039</v>
      </c>
      <c r="BJ160" s="550">
        <v>-0.50735222999999996</v>
      </c>
      <c r="BK160" s="550">
        <v>-0.61444639000000001</v>
      </c>
      <c r="BL160" s="550">
        <v>0.28276394999999999</v>
      </c>
      <c r="BM160" s="550"/>
      <c r="BN160" s="550"/>
      <c r="BO160" s="550"/>
      <c r="BP160" s="550"/>
      <c r="BQ160" s="550"/>
      <c r="BR160" s="550"/>
      <c r="BS160" s="550"/>
    </row>
    <row r="161" spans="1:71" s="548" customFormat="1" ht="15" customHeight="1" x14ac:dyDescent="0.2">
      <c r="A161" s="576" t="s">
        <v>889</v>
      </c>
      <c r="B161" s="435"/>
      <c r="C161" s="436"/>
      <c r="D161" s="436"/>
      <c r="E161" s="436"/>
      <c r="F161" s="436"/>
      <c r="G161" s="436"/>
      <c r="H161" s="435"/>
      <c r="I161" s="435"/>
      <c r="J161" s="446"/>
      <c r="K161" s="447"/>
      <c r="L161" s="435"/>
      <c r="M161" s="435"/>
      <c r="N161" s="435"/>
      <c r="O161" s="435"/>
      <c r="P161" s="435"/>
      <c r="Q161" s="435"/>
      <c r="R161" s="435"/>
      <c r="S161" s="435"/>
      <c r="T161" s="435"/>
      <c r="U161" s="435"/>
      <c r="V161" s="435"/>
      <c r="W161" s="435"/>
      <c r="X161" s="435"/>
      <c r="Y161" s="435"/>
      <c r="Z161" s="435"/>
      <c r="AA161" s="435"/>
      <c r="AB161" s="435"/>
      <c r="AC161" s="435"/>
      <c r="AD161" s="435"/>
      <c r="AE161" s="435"/>
      <c r="AF161" s="435"/>
      <c r="AG161" s="435"/>
      <c r="AH161" s="435"/>
      <c r="AI161" s="435"/>
      <c r="AJ161" s="435"/>
      <c r="AK161" s="435"/>
      <c r="AL161" s="435"/>
      <c r="AM161" s="435"/>
      <c r="AN161" s="435"/>
      <c r="AO161" s="435"/>
      <c r="AP161" s="435"/>
      <c r="AQ161" s="435"/>
      <c r="AR161" s="435"/>
      <c r="AS161" s="435"/>
      <c r="AT161" s="435"/>
      <c r="AU161" s="435"/>
      <c r="AV161" s="435"/>
      <c r="AW161" s="435"/>
      <c r="AX161" s="435"/>
      <c r="AY161" s="435"/>
      <c r="AZ161" s="435"/>
      <c r="BA161" s="435"/>
      <c r="BB161" s="435"/>
      <c r="BC161" s="435"/>
      <c r="BD161" s="435"/>
      <c r="BE161" s="435"/>
      <c r="BF161" s="448"/>
      <c r="BG161" s="435"/>
      <c r="BH161" s="435"/>
      <c r="BI161" s="435"/>
      <c r="BJ161" s="435"/>
      <c r="BK161" s="435"/>
      <c r="BL161" s="435"/>
      <c r="BM161" s="435"/>
      <c r="BN161" s="435"/>
      <c r="BO161" s="435"/>
      <c r="BP161" s="435"/>
      <c r="BQ161" s="435"/>
      <c r="BR161" s="439"/>
      <c r="BS161" s="578"/>
    </row>
    <row r="162" spans="1:71" s="577" customFormat="1" ht="15" customHeight="1" x14ac:dyDescent="0.2">
      <c r="A162" s="404">
        <v>62008020</v>
      </c>
      <c r="B162" s="403" t="s">
        <v>627</v>
      </c>
      <c r="C162" s="403" t="s">
        <v>773</v>
      </c>
      <c r="D162" s="402" t="s">
        <v>718</v>
      </c>
      <c r="E162" s="346" t="s">
        <v>866</v>
      </c>
      <c r="F162" s="346" t="str">
        <f t="shared" si="60"/>
        <v>08/10/20</v>
      </c>
      <c r="G162" s="362" t="s">
        <v>867</v>
      </c>
      <c r="H162" s="362" t="s">
        <v>685</v>
      </c>
      <c r="I162" s="370"/>
      <c r="J162" s="363">
        <v>36.643287999999998</v>
      </c>
      <c r="K162" s="363">
        <v>36.044581000000001</v>
      </c>
      <c r="L162" s="363">
        <v>29.247785</v>
      </c>
      <c r="M162" s="363">
        <v>38.400030999999998</v>
      </c>
      <c r="N162" s="347">
        <v>4250</v>
      </c>
      <c r="O162" s="347">
        <v>30.36</v>
      </c>
      <c r="P162" s="347">
        <v>0.3201</v>
      </c>
      <c r="Q162" s="347">
        <v>1.9560000000000001E-2</v>
      </c>
      <c r="R162" s="348">
        <v>3.5792038900000001</v>
      </c>
      <c r="S162" s="348">
        <f>R162+R161</f>
        <v>3.5792038900000001</v>
      </c>
      <c r="T162" s="380">
        <v>98.5</v>
      </c>
      <c r="U162" s="380">
        <v>96.2</v>
      </c>
      <c r="V162" s="352">
        <v>9</v>
      </c>
      <c r="W162" s="352">
        <v>1260</v>
      </c>
      <c r="X162" s="352">
        <f>W162-V162</f>
        <v>1251</v>
      </c>
      <c r="Y162" s="352">
        <f t="shared" ref="Y162:Y184" si="67">X162/$R162</f>
        <v>349.51906581661655</v>
      </c>
      <c r="Z162" s="372">
        <v>7.48</v>
      </c>
      <c r="AA162" s="352">
        <v>95.946144000000004</v>
      </c>
      <c r="AB162" s="352">
        <f>AA162-Z162</f>
        <v>88.466144</v>
      </c>
      <c r="AC162" s="371">
        <f t="shared" ref="AC162:AC184" si="68">AB162/$R162</f>
        <v>24.716709837952259</v>
      </c>
      <c r="AD162" s="372">
        <v>-1.34</v>
      </c>
      <c r="AE162" s="352">
        <v>-3.2</v>
      </c>
      <c r="AF162" s="352">
        <f>AE162-AD162</f>
        <v>-1.86</v>
      </c>
      <c r="AG162" s="371">
        <f t="shared" ref="AG162:AG184" si="69">AF162/$R162</f>
        <v>-0.51966863502710381</v>
      </c>
      <c r="AH162" s="372">
        <v>0</v>
      </c>
      <c r="AI162" s="352">
        <v>369.15</v>
      </c>
      <c r="AJ162" s="352">
        <f>AI162-AH162</f>
        <v>369.15</v>
      </c>
      <c r="AK162" s="371">
        <f t="shared" ref="AK162:AK184" si="70">AJ162/$R162</f>
        <v>103.13746054852437</v>
      </c>
      <c r="AL162" s="372">
        <v>0</v>
      </c>
      <c r="AM162" s="352">
        <v>-0.2</v>
      </c>
      <c r="AN162" s="352">
        <f>AM162-AL162</f>
        <v>-0.2</v>
      </c>
      <c r="AO162" s="371">
        <f t="shared" ref="AO162:AO184" si="71">AN162/$R162</f>
        <v>-5.5878347852376747E-2</v>
      </c>
      <c r="AP162" s="341">
        <v>98.5</v>
      </c>
      <c r="AQ162" s="341">
        <v>96.2</v>
      </c>
      <c r="AR162" s="341">
        <f>AQ162-AP162</f>
        <v>-2.2999999999999972</v>
      </c>
      <c r="AS162" s="372">
        <v>1.1000000000000001</v>
      </c>
      <c r="AT162" s="352">
        <v>1.8</v>
      </c>
      <c r="AU162" s="383">
        <f>AT162-AS162</f>
        <v>0.7</v>
      </c>
      <c r="AV162" s="341"/>
      <c r="AW162" s="341"/>
      <c r="AX162" s="341"/>
      <c r="AY162" s="341"/>
      <c r="AZ162" s="362" t="s">
        <v>686</v>
      </c>
      <c r="BA162" s="550">
        <v>2420.2129478299998</v>
      </c>
      <c r="BB162" s="550">
        <v>-0.74541621000000002</v>
      </c>
      <c r="BC162" s="550">
        <v>2033.5880130999999</v>
      </c>
      <c r="BD162" s="550">
        <v>2048.86055171</v>
      </c>
      <c r="BE162" s="550">
        <v>3.22530166</v>
      </c>
      <c r="BF162" s="550">
        <v>3.2585617</v>
      </c>
      <c r="BG162" s="550">
        <v>-0.32878394999999999</v>
      </c>
      <c r="BH162" s="550">
        <v>3.5791737800000001</v>
      </c>
      <c r="BI162" s="550">
        <v>3.5909803400000002</v>
      </c>
      <c r="BJ162" s="550">
        <v>-0.69904809000000001</v>
      </c>
      <c r="BK162" s="550">
        <v>-1.02069688</v>
      </c>
      <c r="BL162" s="550">
        <v>0.59040013000000002</v>
      </c>
      <c r="BM162" s="550"/>
      <c r="BN162" s="550"/>
      <c r="BO162" s="550"/>
      <c r="BP162" s="550"/>
      <c r="BQ162" s="550"/>
      <c r="BR162" s="550"/>
      <c r="BS162" s="550"/>
    </row>
    <row r="163" spans="1:71" s="577" customFormat="1" ht="15" customHeight="1" x14ac:dyDescent="0.2">
      <c r="A163" s="404">
        <v>62008020</v>
      </c>
      <c r="B163" s="403" t="s">
        <v>628</v>
      </c>
      <c r="C163" s="403" t="s">
        <v>774</v>
      </c>
      <c r="D163" s="402" t="s">
        <v>718</v>
      </c>
      <c r="E163" s="346" t="s">
        <v>866</v>
      </c>
      <c r="F163" s="346" t="str">
        <f t="shared" si="60"/>
        <v>08/10/20</v>
      </c>
      <c r="G163" s="362" t="s">
        <v>867</v>
      </c>
      <c r="H163" s="362" t="s">
        <v>685</v>
      </c>
      <c r="I163" s="370"/>
      <c r="J163" s="363">
        <v>33.699801999999998</v>
      </c>
      <c r="K163" s="363">
        <v>49.097344999999997</v>
      </c>
      <c r="L163" s="363">
        <v>29.240974999999999</v>
      </c>
      <c r="M163" s="363">
        <v>40.861373</v>
      </c>
      <c r="N163" s="347">
        <v>4250</v>
      </c>
      <c r="O163" s="347">
        <v>30.36</v>
      </c>
      <c r="P163" s="347">
        <v>0.3201</v>
      </c>
      <c r="Q163" s="347">
        <v>1.9560000000000001E-2</v>
      </c>
      <c r="R163" s="348">
        <v>3.8441201899999999</v>
      </c>
      <c r="S163" s="348">
        <f>R163+R162</f>
        <v>7.4233240800000004</v>
      </c>
      <c r="T163" s="380">
        <v>96.2</v>
      </c>
      <c r="U163" s="380">
        <v>94.7</v>
      </c>
      <c r="V163" s="352">
        <v>1260</v>
      </c>
      <c r="W163" s="352">
        <v>2313</v>
      </c>
      <c r="X163" s="352">
        <f>W163-V163</f>
        <v>1053</v>
      </c>
      <c r="Y163" s="352">
        <f t="shared" si="67"/>
        <v>273.92483792240637</v>
      </c>
      <c r="Z163" s="372">
        <v>95.980511000000007</v>
      </c>
      <c r="AA163" s="352">
        <v>197.4</v>
      </c>
      <c r="AB163" s="352">
        <f>AA163-Z163</f>
        <v>101.419489</v>
      </c>
      <c r="AC163" s="371">
        <f t="shared" si="68"/>
        <v>26.383017176161704</v>
      </c>
      <c r="AD163" s="372">
        <v>-3.2</v>
      </c>
      <c r="AE163" s="352">
        <v>-5.43</v>
      </c>
      <c r="AF163" s="352">
        <f>AE163-AD163</f>
        <v>-2.2299999999999995</v>
      </c>
      <c r="AG163" s="371">
        <f t="shared" si="69"/>
        <v>-0.58010673178249395</v>
      </c>
      <c r="AH163" s="372">
        <v>369.155148</v>
      </c>
      <c r="AI163" s="352">
        <v>737.44982600000003</v>
      </c>
      <c r="AJ163" s="352">
        <f>AI163-AH163</f>
        <v>368.29467800000003</v>
      </c>
      <c r="AK163" s="371">
        <f t="shared" si="70"/>
        <v>95.807274433841272</v>
      </c>
      <c r="AL163" s="372">
        <v>-0.2</v>
      </c>
      <c r="AM163" s="352">
        <v>-0.55000000000000004</v>
      </c>
      <c r="AN163" s="352">
        <f>AM163-AL163</f>
        <v>-0.35000000000000003</v>
      </c>
      <c r="AO163" s="371">
        <f t="shared" si="71"/>
        <v>-9.104814175958427E-2</v>
      </c>
      <c r="AP163" s="341">
        <v>96.2</v>
      </c>
      <c r="AQ163" s="341">
        <v>94.7</v>
      </c>
      <c r="AR163" s="341">
        <f>AQ163-AP163</f>
        <v>-1.5</v>
      </c>
      <c r="AS163" s="372">
        <v>1.8</v>
      </c>
      <c r="AT163" s="352">
        <v>2.9</v>
      </c>
      <c r="AU163" s="383">
        <f>AT163-AS163</f>
        <v>1.0999999999999999</v>
      </c>
      <c r="AV163" s="341"/>
      <c r="AW163" s="341"/>
      <c r="AX163" s="341"/>
      <c r="AY163" s="341"/>
      <c r="AZ163" s="362" t="s">
        <v>686</v>
      </c>
      <c r="BA163" s="550">
        <v>1482.81530873</v>
      </c>
      <c r="BB163" s="550">
        <v>-2.09492484</v>
      </c>
      <c r="BC163" s="550">
        <v>3344.6072343800001</v>
      </c>
      <c r="BD163" s="550">
        <v>3416.1735015999998</v>
      </c>
      <c r="BE163" s="550">
        <v>2.9571350399999998</v>
      </c>
      <c r="BF163" s="550">
        <v>3.0186883199999999</v>
      </c>
      <c r="BG163" s="550">
        <v>-0.40959449999999997</v>
      </c>
      <c r="BH163" s="550">
        <v>3.8440211</v>
      </c>
      <c r="BI163" s="550">
        <v>3.8598307599999999</v>
      </c>
      <c r="BJ163" s="550">
        <v>-1.6633973399999999</v>
      </c>
      <c r="BK163" s="550">
        <v>-2.0390739500000001</v>
      </c>
      <c r="BL163" s="550">
        <v>0.71450559000000002</v>
      </c>
      <c r="BM163" s="550"/>
      <c r="BN163" s="550"/>
      <c r="BO163" s="550"/>
      <c r="BP163" s="550"/>
      <c r="BQ163" s="550"/>
      <c r="BR163" s="550"/>
      <c r="BS163" s="550"/>
    </row>
    <row r="164" spans="1:71" s="577" customFormat="1" ht="15" customHeight="1" x14ac:dyDescent="0.2">
      <c r="A164" s="404">
        <v>62008020</v>
      </c>
      <c r="B164" s="403" t="s">
        <v>629</v>
      </c>
      <c r="C164" s="403" t="s">
        <v>775</v>
      </c>
      <c r="D164" s="402" t="s">
        <v>718</v>
      </c>
      <c r="E164" s="346" t="s">
        <v>866</v>
      </c>
      <c r="F164" s="346" t="str">
        <f t="shared" si="60"/>
        <v>08/10/20</v>
      </c>
      <c r="G164" s="362" t="s">
        <v>867</v>
      </c>
      <c r="H164" s="362" t="s">
        <v>685</v>
      </c>
      <c r="I164" s="370"/>
      <c r="J164" s="364">
        <f>AVERAGE(J162:J163)</f>
        <v>35.171544999999995</v>
      </c>
      <c r="K164" s="364">
        <f>AVERAGE(K162:K163)</f>
        <v>42.570962999999999</v>
      </c>
      <c r="L164" s="364">
        <f>AVERAGE(L162:L163)</f>
        <v>29.24438</v>
      </c>
      <c r="M164" s="364">
        <f>AVERAGE(M162:M163)</f>
        <v>39.630701999999999</v>
      </c>
      <c r="N164" s="349"/>
      <c r="O164" s="347"/>
      <c r="P164" s="366"/>
      <c r="Q164" s="365"/>
      <c r="R164" s="350">
        <f>R163+R162</f>
        <v>7.4233240800000004</v>
      </c>
      <c r="S164" s="350">
        <f>S163</f>
        <v>7.4233240800000004</v>
      </c>
      <c r="T164" s="381">
        <f>T162</f>
        <v>98.5</v>
      </c>
      <c r="U164" s="381">
        <f>U163</f>
        <v>94.7</v>
      </c>
      <c r="V164" s="353">
        <f>V162</f>
        <v>9</v>
      </c>
      <c r="W164" s="353">
        <f>W163</f>
        <v>2313</v>
      </c>
      <c r="X164" s="353">
        <f>SUM(X162:X163)</f>
        <v>2304</v>
      </c>
      <c r="Y164" s="353">
        <f t="shared" si="67"/>
        <v>310.37308558405277</v>
      </c>
      <c r="Z164" s="353">
        <f>Z162</f>
        <v>7.48</v>
      </c>
      <c r="AA164" s="353">
        <f>AA163</f>
        <v>197.4</v>
      </c>
      <c r="AB164" s="353">
        <f>SUM(AB162:AB163)</f>
        <v>189.88563299999998</v>
      </c>
      <c r="AC164" s="351">
        <f t="shared" si="68"/>
        <v>25.579596277036039</v>
      </c>
      <c r="AD164" s="353">
        <f>AD162</f>
        <v>-1.34</v>
      </c>
      <c r="AE164" s="353">
        <f>AE163</f>
        <v>-5.43</v>
      </c>
      <c r="AF164" s="353">
        <f>SUM(AF162:AF163)</f>
        <v>-4.09</v>
      </c>
      <c r="AG164" s="351">
        <f t="shared" si="69"/>
        <v>-0.55096611112794092</v>
      </c>
      <c r="AH164" s="353">
        <f>AH162</f>
        <v>0</v>
      </c>
      <c r="AI164" s="353">
        <f>AI163</f>
        <v>737.44982600000003</v>
      </c>
      <c r="AJ164" s="353">
        <f>SUM(AJ162:AJ163)</f>
        <v>737.44467800000007</v>
      </c>
      <c r="AK164" s="351">
        <f t="shared" si="70"/>
        <v>99.341571249304806</v>
      </c>
      <c r="AL164" s="353">
        <f>AL162</f>
        <v>0</v>
      </c>
      <c r="AM164" s="353">
        <f>AM163</f>
        <v>-0.55000000000000004</v>
      </c>
      <c r="AN164" s="353">
        <f>SUM(AN162:AN163)</f>
        <v>-0.55000000000000004</v>
      </c>
      <c r="AO164" s="351">
        <f t="shared" si="71"/>
        <v>-7.4090797339943157E-2</v>
      </c>
      <c r="AP164" s="343"/>
      <c r="AQ164" s="343"/>
      <c r="AR164" s="343">
        <f>SUM(AR162:AR163)</f>
        <v>-3.7999999999999972</v>
      </c>
      <c r="AS164" s="353">
        <f>AS162</f>
        <v>1.1000000000000001</v>
      </c>
      <c r="AT164" s="353">
        <f>AT163</f>
        <v>2.9</v>
      </c>
      <c r="AU164" s="384">
        <f>SUM(AU162:AU163)</f>
        <v>1.7999999999999998</v>
      </c>
      <c r="AV164" s="343"/>
      <c r="AW164" s="343"/>
      <c r="AX164" s="343"/>
      <c r="AY164" s="343"/>
      <c r="AZ164" s="362" t="s">
        <v>686</v>
      </c>
      <c r="BA164" s="550"/>
      <c r="BB164" s="550"/>
      <c r="BC164" s="550"/>
      <c r="BD164" s="550"/>
      <c r="BE164" s="550"/>
      <c r="BF164" s="550"/>
      <c r="BG164" s="550"/>
      <c r="BH164" s="550"/>
      <c r="BI164" s="550"/>
      <c r="BJ164" s="550"/>
      <c r="BK164" s="550"/>
      <c r="BL164" s="550"/>
      <c r="BM164" s="550"/>
      <c r="BN164" s="550"/>
      <c r="BO164" s="550"/>
      <c r="BP164" s="550"/>
      <c r="BQ164" s="550"/>
      <c r="BR164" s="550"/>
      <c r="BS164" s="550"/>
    </row>
    <row r="165" spans="1:71" s="577" customFormat="1" ht="15" customHeight="1" x14ac:dyDescent="0.2">
      <c r="A165" s="404">
        <v>62008020</v>
      </c>
      <c r="B165" s="403" t="s">
        <v>630</v>
      </c>
      <c r="C165" s="403" t="s">
        <v>776</v>
      </c>
      <c r="D165" s="402" t="s">
        <v>718</v>
      </c>
      <c r="E165" s="346" t="s">
        <v>866</v>
      </c>
      <c r="F165" s="346" t="str">
        <f t="shared" si="60"/>
        <v>08/10/20</v>
      </c>
      <c r="G165" s="362" t="s">
        <v>867</v>
      </c>
      <c r="H165" s="362" t="s">
        <v>685</v>
      </c>
      <c r="I165" s="370"/>
      <c r="J165" s="363">
        <v>37.879582999999997</v>
      </c>
      <c r="K165" s="363">
        <v>31.592390999999999</v>
      </c>
      <c r="L165" s="363">
        <v>29.250308</v>
      </c>
      <c r="M165" s="363">
        <v>41.882632999999998</v>
      </c>
      <c r="N165" s="347">
        <v>4250</v>
      </c>
      <c r="O165" s="347">
        <v>30.36</v>
      </c>
      <c r="P165" s="347">
        <v>0.3201</v>
      </c>
      <c r="Q165" s="347">
        <v>1.9560000000000001E-2</v>
      </c>
      <c r="R165" s="348">
        <v>10.24543811</v>
      </c>
      <c r="S165" s="348">
        <f>R165+R164</f>
        <v>17.668762190000002</v>
      </c>
      <c r="T165" s="380">
        <v>94.7</v>
      </c>
      <c r="U165" s="380">
        <v>91.2</v>
      </c>
      <c r="V165" s="352">
        <v>2321</v>
      </c>
      <c r="W165" s="352">
        <v>4706</v>
      </c>
      <c r="X165" s="352">
        <f>W165-V165</f>
        <v>2385</v>
      </c>
      <c r="Y165" s="352">
        <f t="shared" si="67"/>
        <v>232.78653137069216</v>
      </c>
      <c r="Z165" s="372">
        <v>199.38994600000001</v>
      </c>
      <c r="AA165" s="352">
        <v>270.75955699999997</v>
      </c>
      <c r="AB165" s="352">
        <f>AA165-Z165</f>
        <v>71.369610999999963</v>
      </c>
      <c r="AC165" s="371">
        <f t="shared" si="68"/>
        <v>6.9659891781826362</v>
      </c>
      <c r="AD165" s="372">
        <v>-5.47</v>
      </c>
      <c r="AE165" s="352">
        <v>-6.95</v>
      </c>
      <c r="AF165" s="352">
        <f>AE165-AD165</f>
        <v>-1.4800000000000004</v>
      </c>
      <c r="AG165" s="371">
        <f t="shared" si="69"/>
        <v>-0.14445453519019893</v>
      </c>
      <c r="AH165" s="372">
        <v>742.89971500000001</v>
      </c>
      <c r="AI165" s="352">
        <v>968.4</v>
      </c>
      <c r="AJ165" s="352">
        <f>AI165-AH165</f>
        <v>225.50028499999996</v>
      </c>
      <c r="AK165" s="371">
        <f t="shared" si="70"/>
        <v>22.009823550629985</v>
      </c>
      <c r="AL165" s="372">
        <v>-0.55000000000000004</v>
      </c>
      <c r="AM165" s="352">
        <v>-0.8</v>
      </c>
      <c r="AN165" s="352">
        <f>AM165-AL165</f>
        <v>-0.25</v>
      </c>
      <c r="AO165" s="371">
        <f t="shared" si="71"/>
        <v>-2.4401103917263328E-2</v>
      </c>
      <c r="AP165" s="341">
        <v>94.7</v>
      </c>
      <c r="AQ165" s="341">
        <v>91.2</v>
      </c>
      <c r="AR165" s="341">
        <f>AQ165-AP165</f>
        <v>-3.5</v>
      </c>
      <c r="AS165" s="372">
        <v>2.9</v>
      </c>
      <c r="AT165" s="352">
        <v>3.9</v>
      </c>
      <c r="AU165" s="383">
        <f>AT165-AS165</f>
        <v>1</v>
      </c>
      <c r="AV165" s="341"/>
      <c r="AW165" s="341"/>
      <c r="AX165" s="341"/>
      <c r="AY165" s="341"/>
      <c r="AZ165" s="362" t="s">
        <v>686</v>
      </c>
      <c r="BA165" s="550">
        <v>1945.5048773399999</v>
      </c>
      <c r="BB165" s="550">
        <v>-0.76642776000000001</v>
      </c>
      <c r="BC165" s="550">
        <v>1296.71059556</v>
      </c>
      <c r="BD165" s="550">
        <v>1306.7257040699999</v>
      </c>
      <c r="BE165" s="550">
        <v>7.9716967099999998</v>
      </c>
      <c r="BF165" s="550">
        <v>8.0200728800000007</v>
      </c>
      <c r="BG165" s="550">
        <v>-0.1087957</v>
      </c>
      <c r="BH165" s="550">
        <v>10.2455216</v>
      </c>
      <c r="BI165" s="550">
        <v>10.256680429999999</v>
      </c>
      <c r="BJ165" s="550">
        <v>-0.49739317999999999</v>
      </c>
      <c r="BK165" s="550">
        <v>-0.60318866000000004</v>
      </c>
      <c r="BL165" s="550">
        <v>0.28276666</v>
      </c>
      <c r="BM165" s="550"/>
      <c r="BN165" s="550"/>
      <c r="BO165" s="550"/>
      <c r="BP165" s="550"/>
      <c r="BQ165" s="550"/>
      <c r="BR165" s="550"/>
      <c r="BS165" s="550"/>
    </row>
    <row r="166" spans="1:71" s="577" customFormat="1" ht="15" customHeight="1" x14ac:dyDescent="0.2">
      <c r="A166" s="404">
        <v>62008020</v>
      </c>
      <c r="B166" s="403" t="s">
        <v>631</v>
      </c>
      <c r="C166" s="403" t="s">
        <v>777</v>
      </c>
      <c r="D166" s="402" t="s">
        <v>718</v>
      </c>
      <c r="E166" s="346" t="s">
        <v>866</v>
      </c>
      <c r="F166" s="346" t="str">
        <f t="shared" si="60"/>
        <v>08/10/20</v>
      </c>
      <c r="G166" s="362" t="s">
        <v>867</v>
      </c>
      <c r="H166" s="362" t="s">
        <v>685</v>
      </c>
      <c r="I166" s="370"/>
      <c r="J166" s="363">
        <v>35.154490000000003</v>
      </c>
      <c r="K166" s="363">
        <v>46.854266000000003</v>
      </c>
      <c r="L166" s="363">
        <v>29.240314000000001</v>
      </c>
      <c r="M166" s="363">
        <v>41.957473</v>
      </c>
      <c r="N166" s="347">
        <v>4250</v>
      </c>
      <c r="O166" s="347">
        <v>30.36</v>
      </c>
      <c r="P166" s="347">
        <v>0.3201</v>
      </c>
      <c r="Q166" s="347">
        <v>1.9560000000000001E-2</v>
      </c>
      <c r="R166" s="348">
        <v>3.5819234400000002</v>
      </c>
      <c r="S166" s="348">
        <f>R166+R165</f>
        <v>13.827361550000001</v>
      </c>
      <c r="T166" s="380">
        <v>91.2</v>
      </c>
      <c r="U166" s="380">
        <v>89.8</v>
      </c>
      <c r="V166" s="352">
        <v>4713</v>
      </c>
      <c r="W166" s="352">
        <v>5632</v>
      </c>
      <c r="X166" s="352">
        <f>W166-V166</f>
        <v>919</v>
      </c>
      <c r="Y166" s="352">
        <f t="shared" si="67"/>
        <v>256.56606440477128</v>
      </c>
      <c r="Z166" s="372">
        <v>275.17937000000001</v>
      </c>
      <c r="AA166" s="352">
        <v>330.33912900000001</v>
      </c>
      <c r="AB166" s="352">
        <f>AA166-Z166</f>
        <v>55.159759000000008</v>
      </c>
      <c r="AC166" s="371">
        <f t="shared" si="68"/>
        <v>15.399480174260789</v>
      </c>
      <c r="AD166" s="372">
        <v>-5.07</v>
      </c>
      <c r="AE166" s="352">
        <v>-7.1791289999999996</v>
      </c>
      <c r="AF166" s="352">
        <f>AE166-AD166</f>
        <v>-2.1091289999999994</v>
      </c>
      <c r="AG166" s="371">
        <f t="shared" si="69"/>
        <v>-0.5888258181196635</v>
      </c>
      <c r="AH166" s="372">
        <v>970.49683600000003</v>
      </c>
      <c r="AI166" s="352">
        <v>1165.5</v>
      </c>
      <c r="AJ166" s="352">
        <f>AI166-AH166</f>
        <v>195.00316399999997</v>
      </c>
      <c r="AK166" s="371">
        <f t="shared" si="70"/>
        <v>54.440907871554053</v>
      </c>
      <c r="AL166" s="372">
        <v>-0.8</v>
      </c>
      <c r="AM166" s="352">
        <v>-0.85</v>
      </c>
      <c r="AN166" s="352">
        <f>AM166-AL166</f>
        <v>-4.9999999999999933E-2</v>
      </c>
      <c r="AO166" s="371">
        <f t="shared" si="71"/>
        <v>-1.3958980653143143E-2</v>
      </c>
      <c r="AP166" s="341">
        <v>91.2</v>
      </c>
      <c r="AQ166" s="341">
        <v>89.8</v>
      </c>
      <c r="AR166" s="341">
        <f>AQ166-AP166</f>
        <v>-1.4000000000000057</v>
      </c>
      <c r="AS166" s="372">
        <v>4.7</v>
      </c>
      <c r="AT166" s="352">
        <v>5.4</v>
      </c>
      <c r="AU166" s="383">
        <f>AT166-AS166</f>
        <v>0.70000000000000018</v>
      </c>
      <c r="AV166" s="341"/>
      <c r="AW166" s="341"/>
      <c r="AX166" s="341"/>
      <c r="AY166" s="341"/>
      <c r="AZ166" s="362" t="s">
        <v>686</v>
      </c>
      <c r="BA166" s="550">
        <v>2410.6562618900002</v>
      </c>
      <c r="BB166" s="550">
        <v>-2.1284079400000002</v>
      </c>
      <c r="BC166" s="550">
        <v>2005.0541122699999</v>
      </c>
      <c r="BD166" s="550">
        <v>2048.6579099099999</v>
      </c>
      <c r="BE166" s="550">
        <v>3.2111623900000001</v>
      </c>
      <c r="BF166" s="550">
        <v>3.2582892399999999</v>
      </c>
      <c r="BG166" s="550">
        <v>-0.25280712999999999</v>
      </c>
      <c r="BH166" s="550">
        <v>3.5819012200000002</v>
      </c>
      <c r="BI166" s="550">
        <v>3.5909794700000002</v>
      </c>
      <c r="BJ166" s="550">
        <v>-1.2110774799999999</v>
      </c>
      <c r="BK166" s="550">
        <v>-1.44636798</v>
      </c>
      <c r="BL166" s="550">
        <v>0.59036295999999999</v>
      </c>
      <c r="BM166" s="550"/>
      <c r="BN166" s="550"/>
      <c r="BO166" s="550"/>
      <c r="BP166" s="550"/>
      <c r="BQ166" s="550"/>
      <c r="BR166" s="550"/>
      <c r="BS166" s="550"/>
    </row>
    <row r="167" spans="1:71" s="577" customFormat="1" ht="15" customHeight="1" x14ac:dyDescent="0.2">
      <c r="A167" s="404">
        <v>62008020</v>
      </c>
      <c r="B167" s="403" t="s">
        <v>225</v>
      </c>
      <c r="C167" s="403" t="s">
        <v>778</v>
      </c>
      <c r="D167" s="402" t="s">
        <v>718</v>
      </c>
      <c r="E167" s="346" t="s">
        <v>866</v>
      </c>
      <c r="F167" s="346" t="str">
        <f t="shared" si="60"/>
        <v>08/10/20</v>
      </c>
      <c r="G167" s="362" t="s">
        <v>867</v>
      </c>
      <c r="H167" s="362" t="s">
        <v>685</v>
      </c>
      <c r="I167" s="370"/>
      <c r="J167" s="363">
        <v>32.751497999999998</v>
      </c>
      <c r="K167" s="363">
        <v>50.649898999999998</v>
      </c>
      <c r="L167" s="363">
        <v>29.227526000000001</v>
      </c>
      <c r="M167" s="363">
        <v>41.705143</v>
      </c>
      <c r="N167" s="347">
        <v>4250</v>
      </c>
      <c r="O167" s="347">
        <v>30.36</v>
      </c>
      <c r="P167" s="347">
        <v>0.3201</v>
      </c>
      <c r="Q167" s="347">
        <v>1.9560000000000001E-2</v>
      </c>
      <c r="R167" s="348">
        <v>3.8436460000000001</v>
      </c>
      <c r="S167" s="348">
        <f>R167+R166</f>
        <v>7.4255694400000003</v>
      </c>
      <c r="T167" s="380">
        <v>89.8</v>
      </c>
      <c r="U167" s="380">
        <v>88.4</v>
      </c>
      <c r="V167" s="352">
        <v>5632</v>
      </c>
      <c r="W167" s="352">
        <v>6548</v>
      </c>
      <c r="X167" s="352">
        <f>W167-V167</f>
        <v>916</v>
      </c>
      <c r="Y167" s="352">
        <f t="shared" si="67"/>
        <v>238.31539116765694</v>
      </c>
      <c r="Z167" s="372">
        <v>330.36914200000001</v>
      </c>
      <c r="AA167" s="352">
        <v>418.09865200000002</v>
      </c>
      <c r="AB167" s="352">
        <f>AA167-Z167</f>
        <v>87.729510000000005</v>
      </c>
      <c r="AC167" s="371">
        <f t="shared" si="68"/>
        <v>22.824555122922352</v>
      </c>
      <c r="AD167" s="372">
        <v>-7.18</v>
      </c>
      <c r="AE167" s="352">
        <v>-8.82</v>
      </c>
      <c r="AF167" s="352">
        <f>AE167-AD167</f>
        <v>-1.6400000000000006</v>
      </c>
      <c r="AG167" s="371">
        <f t="shared" si="69"/>
        <v>-0.42667821126087069</v>
      </c>
      <c r="AH167" s="372">
        <v>1165.5913760000001</v>
      </c>
      <c r="AI167" s="352">
        <v>1423.75</v>
      </c>
      <c r="AJ167" s="352">
        <f>AI167-AH167</f>
        <v>258.15862399999992</v>
      </c>
      <c r="AK167" s="371">
        <f t="shared" si="70"/>
        <v>67.165036530419272</v>
      </c>
      <c r="AL167" s="372">
        <v>-0.85</v>
      </c>
      <c r="AM167" s="352">
        <v>-1.1499999999999999</v>
      </c>
      <c r="AN167" s="352">
        <f>AM167-AL167</f>
        <v>-0.29999999999999993</v>
      </c>
      <c r="AO167" s="371">
        <f t="shared" si="71"/>
        <v>-7.8050892303817759E-2</v>
      </c>
      <c r="AP167" s="341">
        <v>89.8</v>
      </c>
      <c r="AQ167" s="341">
        <v>88.4</v>
      </c>
      <c r="AR167" s="341">
        <f>AQ167-AP167</f>
        <v>-1.3999999999999915</v>
      </c>
      <c r="AS167" s="372">
        <v>5.4</v>
      </c>
      <c r="AT167" s="352">
        <v>6.5</v>
      </c>
      <c r="AU167" s="383">
        <f>AT167-AS167</f>
        <v>1.0999999999999996</v>
      </c>
      <c r="AV167" s="341"/>
      <c r="AW167" s="341"/>
      <c r="AX167" s="341"/>
      <c r="AY167" s="341"/>
      <c r="AZ167" s="362" t="s">
        <v>686</v>
      </c>
      <c r="BA167" s="550">
        <v>1481.6279987200001</v>
      </c>
      <c r="BB167" s="550">
        <v>-2.0483209800000002</v>
      </c>
      <c r="BC167" s="550">
        <v>3346.0166867299999</v>
      </c>
      <c r="BD167" s="550">
        <v>3415.98706649</v>
      </c>
      <c r="BE167" s="550">
        <v>2.95610237</v>
      </c>
      <c r="BF167" s="550">
        <v>3.01842034</v>
      </c>
      <c r="BG167" s="550">
        <v>-0.41977681</v>
      </c>
      <c r="BH167" s="550">
        <v>3.8436273500000002</v>
      </c>
      <c r="BI167" s="550">
        <v>3.8598300299999999</v>
      </c>
      <c r="BJ167" s="550">
        <v>-1.6794863499999999</v>
      </c>
      <c r="BK167" s="550">
        <v>-2.06458868</v>
      </c>
      <c r="BL167" s="550">
        <v>0.71451584000000001</v>
      </c>
      <c r="BM167" s="550"/>
      <c r="BN167" s="550"/>
      <c r="BO167" s="550"/>
      <c r="BP167" s="550"/>
      <c r="BQ167" s="550"/>
      <c r="BR167" s="550"/>
      <c r="BS167" s="550"/>
    </row>
    <row r="168" spans="1:71" s="577" customFormat="1" ht="15" customHeight="1" x14ac:dyDescent="0.2">
      <c r="A168" s="404">
        <v>62008020</v>
      </c>
      <c r="B168" s="403" t="s">
        <v>632</v>
      </c>
      <c r="C168" s="403" t="s">
        <v>779</v>
      </c>
      <c r="D168" s="402" t="s">
        <v>718</v>
      </c>
      <c r="E168" s="346" t="s">
        <v>866</v>
      </c>
      <c r="F168" s="346" t="str">
        <f t="shared" si="60"/>
        <v>08/10/20</v>
      </c>
      <c r="G168" s="362" t="s">
        <v>867</v>
      </c>
      <c r="H168" s="362" t="s">
        <v>685</v>
      </c>
      <c r="I168" s="370"/>
      <c r="J168" s="364">
        <f>AVERAGE(J166:J167)</f>
        <v>33.952994000000004</v>
      </c>
      <c r="K168" s="364">
        <f>AVERAGE(K166:K167)</f>
        <v>48.7520825</v>
      </c>
      <c r="L168" s="364">
        <f>AVERAGE(L166:L167)</f>
        <v>29.233920000000001</v>
      </c>
      <c r="M168" s="364">
        <f>AVERAGE(M166:M167)</f>
        <v>41.831308</v>
      </c>
      <c r="N168" s="349"/>
      <c r="O168" s="347"/>
      <c r="P168" s="366"/>
      <c r="Q168" s="365"/>
      <c r="R168" s="350">
        <f>R167+R166</f>
        <v>7.4255694400000003</v>
      </c>
      <c r="S168" s="350">
        <f>S167</f>
        <v>7.4255694400000003</v>
      </c>
      <c r="T168" s="381">
        <f>T166</f>
        <v>91.2</v>
      </c>
      <c r="U168" s="381">
        <f>U167</f>
        <v>88.4</v>
      </c>
      <c r="V168" s="353">
        <f>V166</f>
        <v>4713</v>
      </c>
      <c r="W168" s="353">
        <f>W167</f>
        <v>6548</v>
      </c>
      <c r="X168" s="353">
        <f>SUM(X166:X167)</f>
        <v>1835</v>
      </c>
      <c r="Y168" s="353">
        <f t="shared" si="67"/>
        <v>247.11909501717622</v>
      </c>
      <c r="Z168" s="353">
        <f>Z166</f>
        <v>275.17937000000001</v>
      </c>
      <c r="AA168" s="353">
        <f>AA167</f>
        <v>418.09865200000002</v>
      </c>
      <c r="AB168" s="353">
        <f>SUM(AB166:AB167)</f>
        <v>142.88926900000001</v>
      </c>
      <c r="AC168" s="351">
        <f t="shared" si="68"/>
        <v>19.24287021413943</v>
      </c>
      <c r="AD168" s="353">
        <f>AD166</f>
        <v>-5.07</v>
      </c>
      <c r="AE168" s="353">
        <f>AE167</f>
        <v>-8.82</v>
      </c>
      <c r="AF168" s="353">
        <f>SUM(AF166:AF167)</f>
        <v>-3.7491289999999999</v>
      </c>
      <c r="AG168" s="351">
        <f t="shared" si="69"/>
        <v>-0.50489447715675795</v>
      </c>
      <c r="AH168" s="353">
        <f>AH166</f>
        <v>970.49683600000003</v>
      </c>
      <c r="AI168" s="353">
        <f>AI167</f>
        <v>1423.75</v>
      </c>
      <c r="AJ168" s="353">
        <f>SUM(AJ166:AJ167)</f>
        <v>453.16178799999989</v>
      </c>
      <c r="AK168" s="351">
        <f t="shared" si="70"/>
        <v>61.027210325299961</v>
      </c>
      <c r="AL168" s="353">
        <f>AL166</f>
        <v>-0.8</v>
      </c>
      <c r="AM168" s="353">
        <f>AM167</f>
        <v>-1.1499999999999999</v>
      </c>
      <c r="AN168" s="353">
        <f>SUM(AN166:AN167)</f>
        <v>-0.34999999999999987</v>
      </c>
      <c r="AO168" s="351">
        <f t="shared" si="71"/>
        <v>-4.7134432292104435E-2</v>
      </c>
      <c r="AP168" s="343"/>
      <c r="AQ168" s="343"/>
      <c r="AR168" s="343">
        <f>SUM(AR166:AR167)</f>
        <v>-2.7999999999999972</v>
      </c>
      <c r="AS168" s="353">
        <f>AS166</f>
        <v>4.7</v>
      </c>
      <c r="AT168" s="353">
        <f>AT167</f>
        <v>6.5</v>
      </c>
      <c r="AU168" s="384">
        <f>SUM(AU166:AU167)</f>
        <v>1.7999999999999998</v>
      </c>
      <c r="AV168" s="343"/>
      <c r="AW168" s="343"/>
      <c r="AX168" s="343"/>
      <c r="AY168" s="343"/>
      <c r="AZ168" s="362" t="s">
        <v>686</v>
      </c>
      <c r="BA168" s="550"/>
      <c r="BB168" s="550"/>
      <c r="BC168" s="550"/>
      <c r="BD168" s="550"/>
      <c r="BE168" s="550"/>
      <c r="BF168" s="550"/>
      <c r="BG168" s="550"/>
      <c r="BH168" s="550"/>
      <c r="BI168" s="550"/>
      <c r="BJ168" s="550"/>
      <c r="BK168" s="550"/>
      <c r="BL168" s="550"/>
      <c r="BM168" s="550"/>
      <c r="BN168" s="550"/>
      <c r="BO168" s="550"/>
      <c r="BP168" s="550"/>
      <c r="BQ168" s="550"/>
      <c r="BR168" s="550"/>
      <c r="BS168" s="550"/>
    </row>
    <row r="169" spans="1:71" s="577" customFormat="1" ht="15" customHeight="1" x14ac:dyDescent="0.2">
      <c r="A169" s="404">
        <v>62008020</v>
      </c>
      <c r="B169" s="403" t="s">
        <v>633</v>
      </c>
      <c r="C169" s="403" t="s">
        <v>780</v>
      </c>
      <c r="D169" s="402" t="s">
        <v>718</v>
      </c>
      <c r="E169" s="346" t="s">
        <v>866</v>
      </c>
      <c r="F169" s="346" t="str">
        <f t="shared" si="60"/>
        <v>08/10/20</v>
      </c>
      <c r="G169" s="362" t="s">
        <v>867</v>
      </c>
      <c r="H169" s="362" t="s">
        <v>685</v>
      </c>
      <c r="I169" s="370"/>
      <c r="J169" s="363">
        <v>35.605693000000002</v>
      </c>
      <c r="K169" s="363">
        <v>38.621796000000003</v>
      </c>
      <c r="L169" s="363">
        <v>29.239626000000001</v>
      </c>
      <c r="M169" s="363">
        <v>43.546565999999999</v>
      </c>
      <c r="N169" s="347">
        <v>4250</v>
      </c>
      <c r="O169" s="347">
        <v>30.36</v>
      </c>
      <c r="P169" s="347">
        <v>0.3201</v>
      </c>
      <c r="Q169" s="347">
        <v>1.9560000000000001E-2</v>
      </c>
      <c r="R169" s="348">
        <v>1.7673749999999999</v>
      </c>
      <c r="S169" s="348">
        <f>R169+R168</f>
        <v>9.1929444399999998</v>
      </c>
      <c r="T169" s="380">
        <v>88.4</v>
      </c>
      <c r="U169" s="380">
        <v>84.6</v>
      </c>
      <c r="V169" s="352">
        <v>6588</v>
      </c>
      <c r="W169" s="352">
        <v>9081</v>
      </c>
      <c r="X169" s="352">
        <f>W169-V169-X170</f>
        <v>606</v>
      </c>
      <c r="Y169" s="352">
        <f t="shared" si="67"/>
        <v>342.88139189475919</v>
      </c>
      <c r="Z169" s="372">
        <v>428.618516</v>
      </c>
      <c r="AA169" s="352">
        <v>482.24659700000001</v>
      </c>
      <c r="AB169" s="352">
        <f>AA169-Z169-AB170</f>
        <v>22.608337000000006</v>
      </c>
      <c r="AC169" s="371">
        <f t="shared" si="68"/>
        <v>12.792043001626711</v>
      </c>
      <c r="AD169" s="372">
        <v>-9.07</v>
      </c>
      <c r="AE169" s="352">
        <v>-10.06</v>
      </c>
      <c r="AF169" s="352">
        <f>AE169-AD169-AF170</f>
        <v>-0.44999999999999929</v>
      </c>
      <c r="AG169" s="371">
        <f t="shared" si="69"/>
        <v>-0.25461489497135542</v>
      </c>
      <c r="AH169" s="372">
        <v>1451.1925900000001</v>
      </c>
      <c r="AI169" s="352">
        <v>1617.5</v>
      </c>
      <c r="AJ169" s="352">
        <f>AI169-AH169-AJ170</f>
        <v>67.966118999999708</v>
      </c>
      <c r="AK169" s="371">
        <f t="shared" si="70"/>
        <v>38.455969446212443</v>
      </c>
      <c r="AL169" s="372">
        <v>-1.2</v>
      </c>
      <c r="AM169" s="352">
        <v>-1.35</v>
      </c>
      <c r="AN169" s="352">
        <f>AM169-AL169-AN170</f>
        <v>-5.8709000000000122E-2</v>
      </c>
      <c r="AO169" s="371">
        <f t="shared" si="71"/>
        <v>-3.3218190819718579E-2</v>
      </c>
      <c r="AP169" s="341">
        <v>88.4</v>
      </c>
      <c r="AQ169" s="341">
        <v>84.6</v>
      </c>
      <c r="AR169" s="341">
        <f>AQ169-AP169-AR170</f>
        <v>-0.9000000000000199</v>
      </c>
      <c r="AS169" s="372">
        <v>6.6</v>
      </c>
      <c r="AT169" s="352">
        <v>7.4</v>
      </c>
      <c r="AU169" s="383">
        <f>AT169-AS169-AU170</f>
        <v>0.30000000000000071</v>
      </c>
      <c r="AV169" s="341"/>
      <c r="AW169" s="341"/>
      <c r="AX169" s="341"/>
      <c r="AY169" s="341"/>
      <c r="AZ169" s="362" t="s">
        <v>686</v>
      </c>
      <c r="BA169" s="550">
        <v>5559.8525222300004</v>
      </c>
      <c r="BB169" s="550">
        <v>-1.3287301600000001</v>
      </c>
      <c r="BC169" s="550">
        <v>2426.5945077800002</v>
      </c>
      <c r="BD169" s="550">
        <v>2459.2715912100002</v>
      </c>
      <c r="BE169" s="550">
        <v>3.1644797900000001</v>
      </c>
      <c r="BF169" s="550">
        <v>3.2077103</v>
      </c>
      <c r="BG169" s="550">
        <v>-0.26506777999999998</v>
      </c>
      <c r="BH169" s="550">
        <v>1.7674071</v>
      </c>
      <c r="BI169" s="550">
        <v>1.77210438</v>
      </c>
      <c r="BJ169" s="550">
        <v>-1.0974285100000001</v>
      </c>
      <c r="BK169" s="550">
        <v>-1.3477061800000001</v>
      </c>
      <c r="BL169" s="550">
        <v>0.81478070999999996</v>
      </c>
      <c r="BM169" s="550"/>
      <c r="BN169" s="550"/>
      <c r="BO169" s="550"/>
      <c r="BP169" s="550"/>
      <c r="BQ169" s="550"/>
      <c r="BR169" s="550"/>
      <c r="BS169" s="550"/>
    </row>
    <row r="170" spans="1:71" s="577" customFormat="1" ht="15" customHeight="1" x14ac:dyDescent="0.2">
      <c r="A170" s="404">
        <v>62008020</v>
      </c>
      <c r="B170" s="403" t="s">
        <v>634</v>
      </c>
      <c r="C170" s="403" t="s">
        <v>781</v>
      </c>
      <c r="D170" s="402" t="s">
        <v>718</v>
      </c>
      <c r="E170" s="346" t="s">
        <v>866</v>
      </c>
      <c r="F170" s="346" t="str">
        <f t="shared" si="60"/>
        <v>08/10/20</v>
      </c>
      <c r="G170" s="362" t="s">
        <v>867</v>
      </c>
      <c r="H170" s="362" t="s">
        <v>685</v>
      </c>
      <c r="I170" s="370"/>
      <c r="J170" s="363">
        <v>39.720751</v>
      </c>
      <c r="K170" s="363">
        <v>25.811167999999999</v>
      </c>
      <c r="L170" s="363">
        <v>29.271684</v>
      </c>
      <c r="M170" s="363">
        <v>43.366281000000001</v>
      </c>
      <c r="N170" s="347">
        <v>4250</v>
      </c>
      <c r="O170" s="347">
        <v>30.36</v>
      </c>
      <c r="P170" s="347">
        <v>0.3201</v>
      </c>
      <c r="Q170" s="347">
        <v>1.9560000000000001E-2</v>
      </c>
      <c r="R170" s="348">
        <v>6.2272970900000004</v>
      </c>
      <c r="S170" s="348">
        <f>R170+R169</f>
        <v>7.9946720899999999</v>
      </c>
      <c r="T170" s="380">
        <v>87.8</v>
      </c>
      <c r="U170" s="380">
        <v>84.9</v>
      </c>
      <c r="V170" s="352">
        <v>6980</v>
      </c>
      <c r="W170" s="352">
        <v>8867</v>
      </c>
      <c r="X170" s="352">
        <f>W170-V170</f>
        <v>1887</v>
      </c>
      <c r="Y170" s="352">
        <f t="shared" si="67"/>
        <v>303.02071231356649</v>
      </c>
      <c r="Z170" s="372">
        <v>440.65851900000001</v>
      </c>
      <c r="AA170" s="352">
        <v>471.67826300000002</v>
      </c>
      <c r="AB170" s="352">
        <f>AA170-Z170</f>
        <v>31.019744000000003</v>
      </c>
      <c r="AC170" s="371">
        <f t="shared" si="68"/>
        <v>4.9812532711523483</v>
      </c>
      <c r="AD170" s="372">
        <v>-9.26</v>
      </c>
      <c r="AE170" s="352">
        <v>-9.8000000000000007</v>
      </c>
      <c r="AF170" s="352">
        <f>AE170-AD170</f>
        <v>-0.54000000000000092</v>
      </c>
      <c r="AG170" s="371">
        <f t="shared" si="69"/>
        <v>-8.6714989215329191E-2</v>
      </c>
      <c r="AH170" s="372">
        <v>1488.85</v>
      </c>
      <c r="AI170" s="352">
        <v>1587.1912910000001</v>
      </c>
      <c r="AJ170" s="352">
        <f>AI170-AH170</f>
        <v>98.341291000000183</v>
      </c>
      <c r="AK170" s="371">
        <f t="shared" si="70"/>
        <v>15.791970349049169</v>
      </c>
      <c r="AL170" s="372">
        <v>-1.25</v>
      </c>
      <c r="AM170" s="352">
        <v>-1.341291</v>
      </c>
      <c r="AN170" s="352">
        <f>AM170-AL170</f>
        <v>-9.1291000000000011E-2</v>
      </c>
      <c r="AO170" s="371">
        <f t="shared" si="71"/>
        <v>-1.4659811260104825E-2</v>
      </c>
      <c r="AP170" s="341">
        <v>87.8</v>
      </c>
      <c r="AQ170" s="341">
        <v>84.9</v>
      </c>
      <c r="AR170" s="341">
        <f>AQ170-AP170</f>
        <v>-2.8999999999999915</v>
      </c>
      <c r="AS170" s="372">
        <v>6.8</v>
      </c>
      <c r="AT170" s="352">
        <v>7.3</v>
      </c>
      <c r="AU170" s="383">
        <f>AT170-AS170</f>
        <v>0.5</v>
      </c>
      <c r="AV170" s="341"/>
      <c r="AW170" s="341"/>
      <c r="AX170" s="341"/>
      <c r="AY170" s="341"/>
      <c r="AZ170" s="362" t="s">
        <v>686</v>
      </c>
      <c r="BA170" s="550">
        <v>11810.668369610001</v>
      </c>
      <c r="BB170" s="550">
        <v>-9.5136085000000001</v>
      </c>
      <c r="BC170" s="550">
        <v>1029.9651834599999</v>
      </c>
      <c r="BD170" s="550">
        <v>1138.25423516</v>
      </c>
      <c r="BE170" s="550">
        <v>6.9218917900000001</v>
      </c>
      <c r="BF170" s="550">
        <v>7.0840457800000003</v>
      </c>
      <c r="BG170" s="550">
        <v>-0.12051369000000001</v>
      </c>
      <c r="BH170" s="550">
        <v>6.2273440600000001</v>
      </c>
      <c r="BI170" s="550">
        <v>6.2348579199999996</v>
      </c>
      <c r="BJ170" s="550">
        <v>-2.2192884400000001</v>
      </c>
      <c r="BK170" s="550">
        <v>-2.2890025600000001</v>
      </c>
      <c r="BL170" s="550">
        <v>0.34890854999999998</v>
      </c>
      <c r="BM170" s="550"/>
      <c r="BN170" s="550"/>
      <c r="BO170" s="550"/>
      <c r="BP170" s="550"/>
      <c r="BQ170" s="550"/>
      <c r="BR170" s="550"/>
      <c r="BS170" s="550"/>
    </row>
    <row r="171" spans="1:71" s="577" customFormat="1" ht="15" customHeight="1" x14ac:dyDescent="0.2">
      <c r="A171" s="404">
        <v>62008020</v>
      </c>
      <c r="B171" s="403" t="s">
        <v>635</v>
      </c>
      <c r="C171" s="403" t="s">
        <v>782</v>
      </c>
      <c r="D171" s="402" t="s">
        <v>718</v>
      </c>
      <c r="E171" s="346" t="s">
        <v>866</v>
      </c>
      <c r="F171" s="346" t="str">
        <f t="shared" si="60"/>
        <v>08/10/20</v>
      </c>
      <c r="G171" s="362" t="s">
        <v>867</v>
      </c>
      <c r="H171" s="362" t="s">
        <v>685</v>
      </c>
      <c r="I171" s="370"/>
      <c r="J171" s="364">
        <f>AVERAGE(J169:J170)</f>
        <v>37.663222000000005</v>
      </c>
      <c r="K171" s="364">
        <f>AVERAGE(K169:K170)</f>
        <v>32.216481999999999</v>
      </c>
      <c r="L171" s="364">
        <f>AVERAGE(L169:L170)</f>
        <v>29.255655000000001</v>
      </c>
      <c r="M171" s="364">
        <f>AVERAGE(M169:M170)</f>
        <v>43.4564235</v>
      </c>
      <c r="N171" s="349"/>
      <c r="O171" s="347"/>
      <c r="P171" s="366"/>
      <c r="Q171" s="365"/>
      <c r="R171" s="350">
        <f>R170+R169</f>
        <v>7.9946720899999999</v>
      </c>
      <c r="S171" s="350">
        <f>S170</f>
        <v>7.9946720899999999</v>
      </c>
      <c r="T171" s="381">
        <f>T169</f>
        <v>88.4</v>
      </c>
      <c r="U171" s="381">
        <f>U170</f>
        <v>84.9</v>
      </c>
      <c r="V171" s="353">
        <f>V169</f>
        <v>6588</v>
      </c>
      <c r="W171" s="353">
        <f>W170</f>
        <v>8867</v>
      </c>
      <c r="X171" s="353">
        <f>SUM(X169:X170)</f>
        <v>2493</v>
      </c>
      <c r="Y171" s="353">
        <f t="shared" si="67"/>
        <v>311.83267705480091</v>
      </c>
      <c r="Z171" s="353">
        <f>Z169</f>
        <v>428.618516</v>
      </c>
      <c r="AA171" s="353">
        <f>AA170</f>
        <v>471.67826300000002</v>
      </c>
      <c r="AB171" s="353">
        <f>SUM(AB169:AB170)</f>
        <v>53.628081000000009</v>
      </c>
      <c r="AC171" s="351">
        <f t="shared" si="68"/>
        <v>6.7079775625919398</v>
      </c>
      <c r="AD171" s="353">
        <f>AD169</f>
        <v>-9.07</v>
      </c>
      <c r="AE171" s="353">
        <f>AE170</f>
        <v>-9.8000000000000007</v>
      </c>
      <c r="AF171" s="353">
        <f>SUM(AF169:AF170)</f>
        <v>-0.99000000000000021</v>
      </c>
      <c r="AG171" s="351">
        <f t="shared" si="69"/>
        <v>-0.12383247103259244</v>
      </c>
      <c r="AH171" s="353">
        <f>AH169</f>
        <v>1451.1925900000001</v>
      </c>
      <c r="AI171" s="353">
        <f>AI170</f>
        <v>1587.1912910000001</v>
      </c>
      <c r="AJ171" s="353">
        <f>SUM(AJ169:AJ170)</f>
        <v>166.30740999999989</v>
      </c>
      <c r="AK171" s="351">
        <f t="shared" si="70"/>
        <v>20.802280334677228</v>
      </c>
      <c r="AL171" s="353">
        <f>AL169</f>
        <v>-1.2</v>
      </c>
      <c r="AM171" s="353">
        <f>AM170</f>
        <v>-1.341291</v>
      </c>
      <c r="AN171" s="353">
        <f>SUM(AN169:AN170)</f>
        <v>-0.15000000000000013</v>
      </c>
      <c r="AO171" s="351">
        <f t="shared" si="71"/>
        <v>-1.8762495610998867E-2</v>
      </c>
      <c r="AP171" s="343"/>
      <c r="AQ171" s="343"/>
      <c r="AR171" s="343">
        <f>SUM(AR169:AR170)</f>
        <v>-3.8000000000000114</v>
      </c>
      <c r="AS171" s="353">
        <f>AS169</f>
        <v>6.6</v>
      </c>
      <c r="AT171" s="353">
        <f>AT170</f>
        <v>7.3</v>
      </c>
      <c r="AU171" s="384">
        <f>SUM(AU169:AU170)</f>
        <v>0.80000000000000071</v>
      </c>
      <c r="AV171" s="343"/>
      <c r="AW171" s="343"/>
      <c r="AX171" s="343"/>
      <c r="AY171" s="343"/>
      <c r="AZ171" s="362" t="s">
        <v>686</v>
      </c>
      <c r="BA171" s="550"/>
      <c r="BB171" s="550"/>
      <c r="BC171" s="550"/>
      <c r="BD171" s="550"/>
      <c r="BE171" s="550"/>
      <c r="BF171" s="550"/>
      <c r="BG171" s="550"/>
      <c r="BH171" s="550"/>
      <c r="BI171" s="550"/>
      <c r="BJ171" s="550"/>
      <c r="BK171" s="550"/>
      <c r="BL171" s="550"/>
      <c r="BM171" s="550"/>
      <c r="BN171" s="550"/>
      <c r="BO171" s="550"/>
      <c r="BP171" s="550"/>
      <c r="BQ171" s="550"/>
      <c r="BR171" s="550"/>
      <c r="BS171" s="550"/>
    </row>
    <row r="172" spans="1:71" s="577" customFormat="1" ht="15" customHeight="1" x14ac:dyDescent="0.2">
      <c r="A172" s="404">
        <v>62008021</v>
      </c>
      <c r="B172" s="403" t="s">
        <v>636</v>
      </c>
      <c r="C172" s="403" t="s">
        <v>773</v>
      </c>
      <c r="D172" s="402" t="s">
        <v>868</v>
      </c>
      <c r="E172" s="346" t="s">
        <v>869</v>
      </c>
      <c r="F172" s="346" t="str">
        <f t="shared" si="60"/>
        <v>08/10/20</v>
      </c>
      <c r="G172" s="362" t="s">
        <v>870</v>
      </c>
      <c r="H172" s="362" t="s">
        <v>685</v>
      </c>
      <c r="I172" s="370"/>
      <c r="J172" s="363">
        <v>724.37390100000005</v>
      </c>
      <c r="K172" s="363">
        <v>576.22311000000002</v>
      </c>
      <c r="L172" s="363">
        <v>541.56331899999998</v>
      </c>
      <c r="M172" s="363">
        <v>802.06554000000006</v>
      </c>
      <c r="N172" s="347">
        <v>4250</v>
      </c>
      <c r="O172" s="347">
        <v>30.36</v>
      </c>
      <c r="P172" s="347">
        <v>0.3201</v>
      </c>
      <c r="Q172" s="347">
        <v>1.9560000000000001E-2</v>
      </c>
      <c r="R172" s="348">
        <v>124.28686399999999</v>
      </c>
      <c r="S172" s="348">
        <f>R172+R171</f>
        <v>132.28153609</v>
      </c>
      <c r="T172" s="380">
        <v>84.5</v>
      </c>
      <c r="U172" s="380">
        <v>27.7</v>
      </c>
      <c r="V172" s="352">
        <v>9097</v>
      </c>
      <c r="W172" s="352">
        <v>43910</v>
      </c>
      <c r="X172" s="352">
        <f>W172-V172</f>
        <v>34813</v>
      </c>
      <c r="Y172" s="352">
        <f t="shared" si="67"/>
        <v>280.10200659661024</v>
      </c>
      <c r="Z172" s="372">
        <v>487.63663500000001</v>
      </c>
      <c r="AA172" s="352">
        <v>1033.424941</v>
      </c>
      <c r="AB172" s="352">
        <f>AA172-Z172</f>
        <v>545.78830599999992</v>
      </c>
      <c r="AC172" s="371">
        <f t="shared" si="68"/>
        <v>4.3913595406188701</v>
      </c>
      <c r="AD172" s="372">
        <v>-9.2799999999999994</v>
      </c>
      <c r="AE172" s="352">
        <v>-17.48</v>
      </c>
      <c r="AF172" s="352">
        <f>AE172-AD172</f>
        <v>-8.2000000000000011</v>
      </c>
      <c r="AG172" s="371">
        <f t="shared" si="69"/>
        <v>-6.5976401174624555E-2</v>
      </c>
      <c r="AH172" s="372">
        <v>1627.3346839999999</v>
      </c>
      <c r="AI172" s="352">
        <v>3120.1</v>
      </c>
      <c r="AJ172" s="352">
        <f>AI172-AH172</f>
        <v>1492.765316</v>
      </c>
      <c r="AK172" s="371">
        <f t="shared" si="70"/>
        <v>12.010644310729411</v>
      </c>
      <c r="AL172" s="372">
        <v>-1.35</v>
      </c>
      <c r="AM172" s="352">
        <v>-3.75</v>
      </c>
      <c r="AN172" s="352">
        <f>AM172-AL172</f>
        <v>-2.4</v>
      </c>
      <c r="AO172" s="371">
        <f t="shared" si="71"/>
        <v>-1.9310166197451083E-2</v>
      </c>
      <c r="AP172" s="341">
        <v>84.5</v>
      </c>
      <c r="AQ172" s="341">
        <v>27.7</v>
      </c>
      <c r="AR172" s="341">
        <f>AQ172-AP172</f>
        <v>-56.8</v>
      </c>
      <c r="AS172" s="372">
        <v>8.1</v>
      </c>
      <c r="AT172" s="352">
        <v>17.2</v>
      </c>
      <c r="AU172" s="383">
        <f>AT172-AS172</f>
        <v>9.1</v>
      </c>
      <c r="AV172" s="341"/>
      <c r="AW172" s="341"/>
      <c r="AX172" s="341"/>
      <c r="AY172" s="341"/>
      <c r="AZ172" s="362" t="s">
        <v>686</v>
      </c>
      <c r="BA172" s="550">
        <v>19.415543190000001</v>
      </c>
      <c r="BB172" s="550">
        <v>53.212234289999998</v>
      </c>
      <c r="BC172" s="550">
        <v>890.39596381000001</v>
      </c>
      <c r="BD172" s="550">
        <v>581.15200000000004</v>
      </c>
      <c r="BE172" s="550">
        <v>119.39812725</v>
      </c>
      <c r="BF172" s="550">
        <v>119.70642785</v>
      </c>
      <c r="BG172" s="550">
        <v>-0.10690106000000001</v>
      </c>
      <c r="BH172" s="550">
        <v>124.28794151</v>
      </c>
      <c r="BI172" s="550">
        <v>124.42094882000001</v>
      </c>
      <c r="BJ172" s="550">
        <v>-0.15103517</v>
      </c>
      <c r="BK172" s="550">
        <v>-0.25754724000000001</v>
      </c>
      <c r="BL172" s="550">
        <v>6.9008100000000003E-3</v>
      </c>
      <c r="BM172" s="550"/>
      <c r="BN172" s="550"/>
      <c r="BO172" s="550"/>
      <c r="BP172" s="550"/>
      <c r="BQ172" s="550"/>
      <c r="BR172" s="550"/>
      <c r="BS172" s="550"/>
    </row>
    <row r="173" spans="1:71" s="577" customFormat="1" ht="15" customHeight="1" x14ac:dyDescent="0.2">
      <c r="A173" s="404">
        <v>62008022</v>
      </c>
      <c r="B173" s="403" t="s">
        <v>637</v>
      </c>
      <c r="C173" s="403" t="s">
        <v>810</v>
      </c>
      <c r="D173" s="402" t="s">
        <v>871</v>
      </c>
      <c r="E173" s="346" t="s">
        <v>872</v>
      </c>
      <c r="F173" s="346" t="str">
        <f t="shared" si="60"/>
        <v>08/10/20</v>
      </c>
      <c r="G173" s="362" t="s">
        <v>873</v>
      </c>
      <c r="H173" s="362" t="s">
        <v>685</v>
      </c>
      <c r="I173" s="370"/>
      <c r="J173" s="363">
        <v>35.515028000000001</v>
      </c>
      <c r="K173" s="363">
        <v>45.477559999999997</v>
      </c>
      <c r="L173" s="363">
        <v>29.202058999999998</v>
      </c>
      <c r="M173" s="363">
        <v>44.827137999999998</v>
      </c>
      <c r="N173" s="347">
        <v>4250</v>
      </c>
      <c r="O173" s="347">
        <v>30.36</v>
      </c>
      <c r="P173" s="347">
        <v>0.3201</v>
      </c>
      <c r="Q173" s="347">
        <v>1.9560000000000001E-2</v>
      </c>
      <c r="R173" s="348">
        <v>1.7668619699999999</v>
      </c>
      <c r="S173" s="348">
        <f>R173+R172</f>
        <v>126.05372596999999</v>
      </c>
      <c r="T173" s="380">
        <v>27.7</v>
      </c>
      <c r="U173" s="380">
        <v>23.4</v>
      </c>
      <c r="V173" s="352">
        <v>43914</v>
      </c>
      <c r="W173" s="352">
        <v>46390.503548000001</v>
      </c>
      <c r="X173" s="352">
        <f>W173-V173-X174</f>
        <v>600.23217499999737</v>
      </c>
      <c r="Y173" s="352">
        <f t="shared" si="67"/>
        <v>339.71650598150427</v>
      </c>
      <c r="Z173" s="372">
        <v>1036.3254059999999</v>
      </c>
      <c r="AA173" s="352">
        <v>1090.0550350000001</v>
      </c>
      <c r="AB173" s="352">
        <f>AA173-Z173-AB174</f>
        <v>23.100819000000229</v>
      </c>
      <c r="AC173" s="371">
        <f t="shared" si="68"/>
        <v>13.074489910493817</v>
      </c>
      <c r="AD173" s="372">
        <v>-16.52</v>
      </c>
      <c r="AE173" s="352">
        <v>-17.489999999999998</v>
      </c>
      <c r="AF173" s="352">
        <f>AE173-AD173-AF174</f>
        <v>-0.53000000000000114</v>
      </c>
      <c r="AG173" s="371">
        <f t="shared" si="69"/>
        <v>-0.29996683894894244</v>
      </c>
      <c r="AH173" s="372">
        <v>3120.55</v>
      </c>
      <c r="AI173" s="352">
        <v>3290.5751890000001</v>
      </c>
      <c r="AJ173" s="352">
        <f>AI173-AH173-AJ174</f>
        <v>70.228738000000249</v>
      </c>
      <c r="AK173" s="371">
        <f t="shared" si="70"/>
        <v>39.747721775912268</v>
      </c>
      <c r="AL173" s="372">
        <v>-3.75</v>
      </c>
      <c r="AM173" s="352">
        <v>-3.9</v>
      </c>
      <c r="AN173" s="352">
        <f>AM173-AL173-AN174</f>
        <v>-4.9999999999999822E-2</v>
      </c>
      <c r="AO173" s="371">
        <f t="shared" si="71"/>
        <v>-2.8298758391409502E-2</v>
      </c>
      <c r="AP173" s="341">
        <v>27.7</v>
      </c>
      <c r="AQ173" s="341">
        <v>23.4</v>
      </c>
      <c r="AR173" s="341">
        <f>AQ173-AP173-AR174</f>
        <v>-1.1000000000000014</v>
      </c>
      <c r="AS173" s="372">
        <v>17.8</v>
      </c>
      <c r="AT173" s="352">
        <v>18.5</v>
      </c>
      <c r="AU173" s="383">
        <f>AT173-AS173-AU174</f>
        <v>0.19999999999999929</v>
      </c>
      <c r="AV173" s="341"/>
      <c r="AW173" s="341"/>
      <c r="AX173" s="341"/>
      <c r="AY173" s="341"/>
      <c r="AZ173" s="362" t="s">
        <v>686</v>
      </c>
      <c r="BA173" s="550">
        <v>5575.3745422000002</v>
      </c>
      <c r="BB173" s="550">
        <v>-1.30646855</v>
      </c>
      <c r="BC173" s="550">
        <v>2427.4308469900002</v>
      </c>
      <c r="BD173" s="550">
        <v>2459.5642806800001</v>
      </c>
      <c r="BE173" s="550">
        <v>3.1657814499999999</v>
      </c>
      <c r="BF173" s="550">
        <v>3.2080286899999999</v>
      </c>
      <c r="BG173" s="550">
        <v>-0.29484456999999997</v>
      </c>
      <c r="BH173" s="550">
        <v>1.7668807799999999</v>
      </c>
      <c r="BI173" s="550">
        <v>1.77210574</v>
      </c>
      <c r="BJ173" s="550">
        <v>-1.03571722</v>
      </c>
      <c r="BK173" s="550">
        <v>-1.3169222</v>
      </c>
      <c r="BL173" s="550">
        <v>0.81480841999999998</v>
      </c>
      <c r="BM173" s="550"/>
      <c r="BN173" s="550"/>
      <c r="BO173" s="550"/>
      <c r="BP173" s="550"/>
      <c r="BQ173" s="550"/>
      <c r="BR173" s="550"/>
      <c r="BS173" s="550"/>
    </row>
    <row r="174" spans="1:71" s="577" customFormat="1" ht="15" customHeight="1" x14ac:dyDescent="0.2">
      <c r="A174" s="404">
        <v>62008022</v>
      </c>
      <c r="B174" s="403" t="s">
        <v>638</v>
      </c>
      <c r="C174" s="403" t="s">
        <v>774</v>
      </c>
      <c r="D174" s="402" t="s">
        <v>871</v>
      </c>
      <c r="E174" s="346" t="s">
        <v>872</v>
      </c>
      <c r="F174" s="346" t="str">
        <f t="shared" si="60"/>
        <v>08/10/20</v>
      </c>
      <c r="G174" s="362" t="s">
        <v>873</v>
      </c>
      <c r="H174" s="362" t="s">
        <v>685</v>
      </c>
      <c r="I174" s="370"/>
      <c r="J174" s="363">
        <v>39.118006999999999</v>
      </c>
      <c r="K174" s="363">
        <v>35.273229000000001</v>
      </c>
      <c r="L174" s="363">
        <v>29.223278000000001</v>
      </c>
      <c r="M174" s="363">
        <v>43.883842000000001</v>
      </c>
      <c r="N174" s="347">
        <v>4250</v>
      </c>
      <c r="O174" s="347">
        <v>30.36</v>
      </c>
      <c r="P174" s="347">
        <v>0.3201</v>
      </c>
      <c r="Q174" s="347">
        <v>1.9560000000000001E-2</v>
      </c>
      <c r="R174" s="348">
        <v>6.2273321499999996</v>
      </c>
      <c r="S174" s="348">
        <f>R174+R173</f>
        <v>7.9941941199999995</v>
      </c>
      <c r="T174" s="380">
        <v>27</v>
      </c>
      <c r="U174" s="380">
        <v>23.8</v>
      </c>
      <c r="V174" s="352">
        <v>44309.533456999998</v>
      </c>
      <c r="W174" s="352">
        <v>46185.804830000001</v>
      </c>
      <c r="X174" s="352">
        <f>W174-V174</f>
        <v>1876.2713730000032</v>
      </c>
      <c r="Y174" s="352">
        <f t="shared" si="67"/>
        <v>301.29617752924958</v>
      </c>
      <c r="Z174" s="372">
        <v>1049.2153350000001</v>
      </c>
      <c r="AA174" s="352">
        <v>1079.844145</v>
      </c>
      <c r="AB174" s="352">
        <f>AA174-Z174</f>
        <v>30.62880999999993</v>
      </c>
      <c r="AC174" s="371">
        <f t="shared" si="68"/>
        <v>4.9184481030130911</v>
      </c>
      <c r="AD174" s="372">
        <v>-16.920000000000002</v>
      </c>
      <c r="AE174" s="352">
        <v>-17.36</v>
      </c>
      <c r="AF174" s="352">
        <f>AE174-AD174</f>
        <v>-0.43999999999999773</v>
      </c>
      <c r="AG174" s="371">
        <f t="shared" si="69"/>
        <v>-7.0656260080811287E-2</v>
      </c>
      <c r="AH174" s="372">
        <v>3162.3766620000001</v>
      </c>
      <c r="AI174" s="352">
        <v>3262.1731129999998</v>
      </c>
      <c r="AJ174" s="352">
        <f>AI174-AH174</f>
        <v>99.796450999999706</v>
      </c>
      <c r="AK174" s="371">
        <f t="shared" si="70"/>
        <v>16.025554538631717</v>
      </c>
      <c r="AL174" s="372">
        <v>-3.75</v>
      </c>
      <c r="AM174" s="352">
        <v>-3.85</v>
      </c>
      <c r="AN174" s="352">
        <f>AM174-AL174</f>
        <v>-0.10000000000000009</v>
      </c>
      <c r="AO174" s="371">
        <f t="shared" si="71"/>
        <v>-1.605824092745721E-2</v>
      </c>
      <c r="AP174" s="341">
        <v>27</v>
      </c>
      <c r="AQ174" s="341">
        <v>23.8</v>
      </c>
      <c r="AR174" s="341">
        <f>AQ174-AP174</f>
        <v>-3.1999999999999993</v>
      </c>
      <c r="AS174" s="372">
        <v>17.899999999999999</v>
      </c>
      <c r="AT174" s="352">
        <v>18.399999999999999</v>
      </c>
      <c r="AU174" s="383">
        <f>AT174-AS174</f>
        <v>0.5</v>
      </c>
      <c r="AV174" s="341"/>
      <c r="AW174" s="341"/>
      <c r="AX174" s="341"/>
      <c r="AY174" s="341"/>
      <c r="AZ174" s="362" t="s">
        <v>686</v>
      </c>
      <c r="BA174" s="550">
        <v>11853.36646066</v>
      </c>
      <c r="BB174" s="550">
        <v>-9.6369526499999996</v>
      </c>
      <c r="BC174" s="550">
        <v>1029.4629846800001</v>
      </c>
      <c r="BD174" s="550">
        <v>1139.25217757</v>
      </c>
      <c r="BE174" s="550">
        <v>6.9196572300000003</v>
      </c>
      <c r="BF174" s="550">
        <v>7.0855643800000001</v>
      </c>
      <c r="BG174" s="550">
        <v>-0.11979242</v>
      </c>
      <c r="BH174" s="550">
        <v>6.22739026</v>
      </c>
      <c r="BI174" s="550">
        <v>6.2348591500000001</v>
      </c>
      <c r="BJ174" s="550">
        <v>-2.27495644</v>
      </c>
      <c r="BK174" s="550">
        <v>-2.3414811800000002</v>
      </c>
      <c r="BL174" s="550">
        <v>0.34923504999999999</v>
      </c>
      <c r="BM174" s="550"/>
      <c r="BN174" s="550"/>
      <c r="BO174" s="550"/>
      <c r="BP174" s="550"/>
      <c r="BQ174" s="550"/>
      <c r="BR174" s="550"/>
      <c r="BS174" s="550"/>
    </row>
    <row r="175" spans="1:71" s="577" customFormat="1" ht="15" customHeight="1" x14ac:dyDescent="0.2">
      <c r="A175" s="404">
        <v>62008022</v>
      </c>
      <c r="B175" s="403" t="s">
        <v>639</v>
      </c>
      <c r="C175" s="403" t="s">
        <v>775</v>
      </c>
      <c r="D175" s="402" t="s">
        <v>871</v>
      </c>
      <c r="E175" s="346" t="s">
        <v>872</v>
      </c>
      <c r="F175" s="346" t="str">
        <f t="shared" si="60"/>
        <v>08/10/20</v>
      </c>
      <c r="G175" s="362" t="s">
        <v>873</v>
      </c>
      <c r="H175" s="362" t="s">
        <v>685</v>
      </c>
      <c r="I175" s="370"/>
      <c r="J175" s="364">
        <f>AVERAGE(J173:J174)</f>
        <v>37.316517500000003</v>
      </c>
      <c r="K175" s="364">
        <f>AVERAGE(K173:K174)</f>
        <v>40.375394499999999</v>
      </c>
      <c r="L175" s="364">
        <f>AVERAGE(L173:L174)</f>
        <v>29.212668499999999</v>
      </c>
      <c r="M175" s="364">
        <f>AVERAGE(M173:M174)</f>
        <v>44.355490000000003</v>
      </c>
      <c r="N175" s="349"/>
      <c r="O175" s="347"/>
      <c r="P175" s="366"/>
      <c r="Q175" s="365"/>
      <c r="R175" s="350">
        <f>R174+R173</f>
        <v>7.9941941199999995</v>
      </c>
      <c r="S175" s="350">
        <f>S174</f>
        <v>7.9941941199999995</v>
      </c>
      <c r="T175" s="381">
        <f>T173</f>
        <v>27.7</v>
      </c>
      <c r="U175" s="381">
        <f>U174</f>
        <v>23.8</v>
      </c>
      <c r="V175" s="353">
        <f>V173</f>
        <v>43914</v>
      </c>
      <c r="W175" s="353">
        <f>W174</f>
        <v>46185.804830000001</v>
      </c>
      <c r="X175" s="353">
        <f>SUM(X173:X174)</f>
        <v>2476.5035480000006</v>
      </c>
      <c r="Y175" s="353">
        <f t="shared" si="67"/>
        <v>309.78776732531992</v>
      </c>
      <c r="Z175" s="353">
        <f>Z173</f>
        <v>1036.3254059999999</v>
      </c>
      <c r="AA175" s="353">
        <f>AA174</f>
        <v>1079.844145</v>
      </c>
      <c r="AB175" s="353">
        <f>SUM(AB173:AB174)</f>
        <v>53.729629000000159</v>
      </c>
      <c r="AC175" s="351">
        <f t="shared" si="68"/>
        <v>6.7210813489728167</v>
      </c>
      <c r="AD175" s="353">
        <f>AD173</f>
        <v>-16.52</v>
      </c>
      <c r="AE175" s="353">
        <f>AE174</f>
        <v>-17.36</v>
      </c>
      <c r="AF175" s="353">
        <f>SUM(AF173:AF174)</f>
        <v>-0.96999999999999886</v>
      </c>
      <c r="AG175" s="351">
        <f t="shared" si="69"/>
        <v>-0.12133805927644886</v>
      </c>
      <c r="AH175" s="353">
        <f>AH173</f>
        <v>3120.55</v>
      </c>
      <c r="AI175" s="353">
        <f>AI174</f>
        <v>3262.1731129999998</v>
      </c>
      <c r="AJ175" s="353">
        <f>SUM(AJ173:AJ174)</f>
        <v>170.02518899999995</v>
      </c>
      <c r="AK175" s="351">
        <f t="shared" si="70"/>
        <v>21.268583980795299</v>
      </c>
      <c r="AL175" s="353">
        <f>AL173</f>
        <v>-3.75</v>
      </c>
      <c r="AM175" s="353">
        <f>AM174</f>
        <v>-3.85</v>
      </c>
      <c r="AN175" s="353">
        <f>SUM(AN173:AN174)</f>
        <v>-0.14999999999999991</v>
      </c>
      <c r="AO175" s="351">
        <f t="shared" si="71"/>
        <v>-1.8763617413883854E-2</v>
      </c>
      <c r="AP175" s="343"/>
      <c r="AQ175" s="343"/>
      <c r="AR175" s="343">
        <f>SUM(AR173:AR174)</f>
        <v>-4.3000000000000007</v>
      </c>
      <c r="AS175" s="353">
        <f>AS173</f>
        <v>17.8</v>
      </c>
      <c r="AT175" s="353">
        <f>AT174</f>
        <v>18.399999999999999</v>
      </c>
      <c r="AU175" s="384">
        <f>SUM(AU173:AU174)</f>
        <v>0.69999999999999929</v>
      </c>
      <c r="AV175" s="343"/>
      <c r="AW175" s="343"/>
      <c r="AX175" s="343"/>
      <c r="AY175" s="343"/>
      <c r="AZ175" s="362" t="s">
        <v>686</v>
      </c>
      <c r="BA175" s="550"/>
      <c r="BB175" s="550"/>
      <c r="BC175" s="550"/>
      <c r="BD175" s="550"/>
      <c r="BE175" s="550"/>
      <c r="BF175" s="550"/>
      <c r="BG175" s="550"/>
      <c r="BH175" s="550"/>
      <c r="BI175" s="550"/>
      <c r="BJ175" s="550"/>
      <c r="BK175" s="550"/>
      <c r="BL175" s="550"/>
      <c r="BM175" s="550"/>
      <c r="BN175" s="550"/>
      <c r="BO175" s="550"/>
      <c r="BP175" s="550"/>
      <c r="BQ175" s="550"/>
      <c r="BR175" s="550"/>
      <c r="BS175" s="550"/>
    </row>
    <row r="176" spans="1:71" s="577" customFormat="1" ht="15" customHeight="1" x14ac:dyDescent="0.2">
      <c r="A176" s="404">
        <v>62008023</v>
      </c>
      <c r="B176" s="403" t="s">
        <v>863</v>
      </c>
      <c r="C176" s="403" t="s">
        <v>773</v>
      </c>
      <c r="D176" s="402" t="s">
        <v>874</v>
      </c>
      <c r="E176" s="346" t="s">
        <v>875</v>
      </c>
      <c r="F176" s="346" t="str">
        <f t="shared" si="60"/>
        <v>08/10/20</v>
      </c>
      <c r="G176" s="362" t="s">
        <v>876</v>
      </c>
      <c r="H176" s="362" t="s">
        <v>685</v>
      </c>
      <c r="I176" s="370"/>
      <c r="J176" s="363">
        <v>35.961100999999999</v>
      </c>
      <c r="K176" s="363">
        <v>48.618516999999997</v>
      </c>
      <c r="L176" s="363">
        <v>29.197489000000001</v>
      </c>
      <c r="M176" s="363">
        <v>43.662820000000004</v>
      </c>
      <c r="N176" s="347">
        <v>4250</v>
      </c>
      <c r="O176" s="347">
        <v>30.36</v>
      </c>
      <c r="P176" s="347">
        <v>0.3201</v>
      </c>
      <c r="Q176" s="347">
        <v>1.9560000000000001E-2</v>
      </c>
      <c r="R176" s="348">
        <v>3.5701240300000001</v>
      </c>
      <c r="S176" s="348">
        <f t="shared" ref="S176:S181" si="72">R176+R175</f>
        <v>11.56431815</v>
      </c>
      <c r="T176" s="380">
        <v>23.4</v>
      </c>
      <c r="U176" s="380">
        <v>21.9</v>
      </c>
      <c r="V176" s="352">
        <v>46394</v>
      </c>
      <c r="W176" s="352">
        <v>47268</v>
      </c>
      <c r="X176" s="352">
        <f t="shared" ref="X176:X181" si="73">W176-V176</f>
        <v>874</v>
      </c>
      <c r="Y176" s="352">
        <f t="shared" si="67"/>
        <v>244.80942192924317</v>
      </c>
      <c r="Z176" s="372">
        <v>1091.8549619999999</v>
      </c>
      <c r="AA176" s="352">
        <v>1154.1946700000001</v>
      </c>
      <c r="AB176" s="352">
        <f t="shared" ref="AB176:AB181" si="74">AA176-Z176</f>
        <v>62.339708000000201</v>
      </c>
      <c r="AC176" s="371">
        <f t="shared" si="68"/>
        <v>17.461496428738975</v>
      </c>
      <c r="AD176" s="372">
        <v>-15.91</v>
      </c>
      <c r="AE176" s="352">
        <v>-17.55</v>
      </c>
      <c r="AF176" s="352">
        <f t="shared" ref="AF176:AF181" si="75">AE176-AD176</f>
        <v>-1.6400000000000006</v>
      </c>
      <c r="AG176" s="371">
        <f t="shared" si="69"/>
        <v>-0.45936779400910632</v>
      </c>
      <c r="AH176" s="372">
        <v>3291.8</v>
      </c>
      <c r="AI176" s="352">
        <v>3496.3233599999999</v>
      </c>
      <c r="AJ176" s="352">
        <f t="shared" ref="AJ176:AJ181" si="76">AI176-AH176</f>
        <v>204.52335999999968</v>
      </c>
      <c r="AK176" s="371">
        <f t="shared" si="70"/>
        <v>57.287466284469581</v>
      </c>
      <c r="AL176" s="372">
        <v>-3.9</v>
      </c>
      <c r="AM176" s="352">
        <v>-3.9</v>
      </c>
      <c r="AN176" s="352">
        <f t="shared" ref="AN176:AN181" si="77">AM176-AL176</f>
        <v>0</v>
      </c>
      <c r="AO176" s="371">
        <f t="shared" si="71"/>
        <v>0</v>
      </c>
      <c r="AP176" s="341">
        <v>23.4</v>
      </c>
      <c r="AQ176" s="341">
        <v>21.9</v>
      </c>
      <c r="AR176" s="341">
        <f t="shared" ref="AR176:AR181" si="78">AQ176-AP176</f>
        <v>-1.5</v>
      </c>
      <c r="AS176" s="372">
        <v>19.100000000000001</v>
      </c>
      <c r="AT176" s="352">
        <v>19.899999999999999</v>
      </c>
      <c r="AU176" s="383">
        <f t="shared" ref="AU176:AU181" si="79">AT176-AS176</f>
        <v>0.79999999999999716</v>
      </c>
      <c r="AV176" s="341"/>
      <c r="AW176" s="341"/>
      <c r="AX176" s="341"/>
      <c r="AY176" s="341"/>
      <c r="AZ176" s="362" t="s">
        <v>686</v>
      </c>
      <c r="BA176" s="550">
        <v>2358.0738936299999</v>
      </c>
      <c r="BB176" s="550">
        <v>-2.8737458500000002</v>
      </c>
      <c r="BC176" s="550">
        <v>2458.74412003</v>
      </c>
      <c r="BD176" s="550">
        <v>2531.4927889700002</v>
      </c>
      <c r="BE176" s="550">
        <v>3.2624209999999998</v>
      </c>
      <c r="BF176" s="550">
        <v>3.32167418</v>
      </c>
      <c r="BG176" s="550">
        <v>-0.2621964</v>
      </c>
      <c r="BH176" s="550">
        <v>3.5700891499999998</v>
      </c>
      <c r="BI176" s="550">
        <v>3.5794744000000001</v>
      </c>
      <c r="BJ176" s="550">
        <v>-1.54927474</v>
      </c>
      <c r="BK176" s="550">
        <v>-1.78383464</v>
      </c>
      <c r="BL176" s="550">
        <v>0.69053083000000004</v>
      </c>
      <c r="BM176" s="550"/>
      <c r="BN176" s="550"/>
      <c r="BO176" s="550"/>
      <c r="BP176" s="550"/>
      <c r="BQ176" s="550"/>
      <c r="BR176" s="550"/>
      <c r="BS176" s="550"/>
    </row>
    <row r="177" spans="1:71" s="577" customFormat="1" ht="15" customHeight="1" x14ac:dyDescent="0.2">
      <c r="A177" s="404">
        <v>62008023</v>
      </c>
      <c r="B177" s="403" t="s">
        <v>864</v>
      </c>
      <c r="C177" s="403" t="s">
        <v>774</v>
      </c>
      <c r="D177" s="402" t="s">
        <v>874</v>
      </c>
      <c r="E177" s="346" t="s">
        <v>875</v>
      </c>
      <c r="F177" s="346" t="str">
        <f t="shared" si="60"/>
        <v>08/10/20</v>
      </c>
      <c r="G177" s="362" t="s">
        <v>876</v>
      </c>
      <c r="H177" s="362" t="s">
        <v>685</v>
      </c>
      <c r="I177" s="370"/>
      <c r="J177" s="363">
        <v>35.517724999999999</v>
      </c>
      <c r="K177" s="363">
        <v>44.469681000000001</v>
      </c>
      <c r="L177" s="363">
        <v>29.175501000000001</v>
      </c>
      <c r="M177" s="363">
        <v>42.758522999999997</v>
      </c>
      <c r="N177" s="347">
        <v>4250</v>
      </c>
      <c r="O177" s="347">
        <v>30.36</v>
      </c>
      <c r="P177" s="347">
        <v>0.3201</v>
      </c>
      <c r="Q177" s="347">
        <v>1.9560000000000001E-2</v>
      </c>
      <c r="R177" s="348">
        <v>3.5701392300000001</v>
      </c>
      <c r="S177" s="348">
        <f t="shared" si="72"/>
        <v>7.1402632600000002</v>
      </c>
      <c r="T177" s="380">
        <v>21.8</v>
      </c>
      <c r="U177" s="380">
        <v>20.3</v>
      </c>
      <c r="V177" s="352">
        <v>47271</v>
      </c>
      <c r="W177" s="352">
        <v>48172</v>
      </c>
      <c r="X177" s="352">
        <f t="shared" si="73"/>
        <v>901</v>
      </c>
      <c r="Y177" s="352">
        <f t="shared" si="67"/>
        <v>252.37110990766598</v>
      </c>
      <c r="Z177" s="372">
        <v>1156.44427</v>
      </c>
      <c r="AA177" s="352">
        <v>1222.977834</v>
      </c>
      <c r="AB177" s="352">
        <f t="shared" si="74"/>
        <v>66.533564000000069</v>
      </c>
      <c r="AC177" s="371">
        <f t="shared" si="68"/>
        <v>18.636125852156212</v>
      </c>
      <c r="AD177" s="372">
        <v>-15.08</v>
      </c>
      <c r="AE177" s="352">
        <v>-17.649999999999999</v>
      </c>
      <c r="AF177" s="352">
        <f t="shared" si="75"/>
        <v>-2.5699999999999985</v>
      </c>
      <c r="AG177" s="371">
        <f t="shared" si="69"/>
        <v>-0.71985988064672712</v>
      </c>
      <c r="AH177" s="372">
        <v>3496.65</v>
      </c>
      <c r="AI177" s="352">
        <v>3723.6</v>
      </c>
      <c r="AJ177" s="352">
        <f t="shared" si="76"/>
        <v>226.94999999999982</v>
      </c>
      <c r="AK177" s="371">
        <f t="shared" si="70"/>
        <v>63.568949382402607</v>
      </c>
      <c r="AL177" s="372">
        <v>-3.9</v>
      </c>
      <c r="AM177" s="352">
        <v>-3.85</v>
      </c>
      <c r="AN177" s="352">
        <f t="shared" si="77"/>
        <v>4.9999999999999822E-2</v>
      </c>
      <c r="AO177" s="371">
        <f t="shared" si="71"/>
        <v>1.4005056043710603E-2</v>
      </c>
      <c r="AP177" s="341">
        <v>21.8</v>
      </c>
      <c r="AQ177" s="341">
        <v>20.3</v>
      </c>
      <c r="AR177" s="341">
        <f t="shared" si="78"/>
        <v>-1.5</v>
      </c>
      <c r="AS177" s="372">
        <v>20.7</v>
      </c>
      <c r="AT177" s="352">
        <v>21.5</v>
      </c>
      <c r="AU177" s="383">
        <f t="shared" si="79"/>
        <v>0.80000000000000071</v>
      </c>
      <c r="AV177" s="341"/>
      <c r="AW177" s="341"/>
      <c r="AX177" s="341"/>
      <c r="AY177" s="341"/>
      <c r="AZ177" s="362" t="s">
        <v>686</v>
      </c>
      <c r="BA177" s="550">
        <v>2348.74047195</v>
      </c>
      <c r="BB177" s="550">
        <v>-2.8668818300000001</v>
      </c>
      <c r="BC177" s="550">
        <v>2458.6747405599999</v>
      </c>
      <c r="BD177" s="550">
        <v>2531.2424710099999</v>
      </c>
      <c r="BE177" s="550">
        <v>3.2617297999999999</v>
      </c>
      <c r="BF177" s="550">
        <v>3.32144796</v>
      </c>
      <c r="BG177" s="550">
        <v>-0.26244099999999998</v>
      </c>
      <c r="BH177" s="550">
        <v>3.5700796399999999</v>
      </c>
      <c r="BI177" s="550">
        <v>3.5794736500000002</v>
      </c>
      <c r="BJ177" s="550">
        <v>-1.56362768</v>
      </c>
      <c r="BK177" s="550">
        <v>-1.79795536</v>
      </c>
      <c r="BL177" s="550">
        <v>0.69050579000000001</v>
      </c>
      <c r="BM177" s="550"/>
      <c r="BN177" s="550"/>
      <c r="BO177" s="550"/>
      <c r="BP177" s="550"/>
      <c r="BQ177" s="550"/>
      <c r="BR177" s="550"/>
      <c r="BS177" s="550"/>
    </row>
    <row r="178" spans="1:71" s="577" customFormat="1" ht="15" customHeight="1" x14ac:dyDescent="0.2">
      <c r="A178" s="404">
        <v>62008023</v>
      </c>
      <c r="B178" s="403" t="s">
        <v>865</v>
      </c>
      <c r="C178" s="403" t="s">
        <v>776</v>
      </c>
      <c r="D178" s="402" t="s">
        <v>874</v>
      </c>
      <c r="E178" s="346" t="s">
        <v>875</v>
      </c>
      <c r="F178" s="346" t="str">
        <f t="shared" si="60"/>
        <v>08/10/20</v>
      </c>
      <c r="G178" s="362" t="s">
        <v>876</v>
      </c>
      <c r="H178" s="362" t="s">
        <v>685</v>
      </c>
      <c r="I178" s="370"/>
      <c r="J178" s="363">
        <v>35.455804000000001</v>
      </c>
      <c r="K178" s="363">
        <v>42.729123999999999</v>
      </c>
      <c r="L178" s="363">
        <v>29.18056</v>
      </c>
      <c r="M178" s="363">
        <v>42.484675000000003</v>
      </c>
      <c r="N178" s="347">
        <v>4250</v>
      </c>
      <c r="O178" s="347">
        <v>30.36</v>
      </c>
      <c r="P178" s="347">
        <v>0.3201</v>
      </c>
      <c r="Q178" s="347">
        <v>1.9560000000000001E-2</v>
      </c>
      <c r="R178" s="348">
        <v>3.5698455199999999</v>
      </c>
      <c r="S178" s="348">
        <f t="shared" si="72"/>
        <v>7.13998475</v>
      </c>
      <c r="T178" s="380">
        <v>20.3</v>
      </c>
      <c r="U178" s="380">
        <v>18.7</v>
      </c>
      <c r="V178" s="352">
        <v>48175</v>
      </c>
      <c r="W178" s="352">
        <v>49076</v>
      </c>
      <c r="X178" s="352">
        <f t="shared" si="73"/>
        <v>901</v>
      </c>
      <c r="Y178" s="352">
        <f t="shared" si="67"/>
        <v>252.39187380858991</v>
      </c>
      <c r="Z178" s="372">
        <v>1225.082936</v>
      </c>
      <c r="AA178" s="352">
        <v>1291.416696</v>
      </c>
      <c r="AB178" s="352">
        <f t="shared" si="74"/>
        <v>66.333759999999984</v>
      </c>
      <c r="AC178" s="371">
        <f t="shared" si="68"/>
        <v>18.581689215504202</v>
      </c>
      <c r="AD178" s="372">
        <v>-15.502936</v>
      </c>
      <c r="AE178" s="352">
        <v>-17.670000000000002</v>
      </c>
      <c r="AF178" s="352">
        <f t="shared" si="75"/>
        <v>-2.1670640000000017</v>
      </c>
      <c r="AG178" s="371">
        <f t="shared" si="69"/>
        <v>-0.60704699625209602</v>
      </c>
      <c r="AH178" s="372">
        <v>3723.9</v>
      </c>
      <c r="AI178" s="352">
        <v>3954.1835080000001</v>
      </c>
      <c r="AJ178" s="352">
        <f t="shared" si="76"/>
        <v>230.28350799999998</v>
      </c>
      <c r="AK178" s="371">
        <f t="shared" si="70"/>
        <v>64.507975684057044</v>
      </c>
      <c r="AL178" s="372">
        <v>-3.85</v>
      </c>
      <c r="AM178" s="352">
        <v>-3.75</v>
      </c>
      <c r="AN178" s="352">
        <f t="shared" si="77"/>
        <v>0.10000000000000009</v>
      </c>
      <c r="AO178" s="371">
        <f t="shared" si="71"/>
        <v>2.8012416626924542E-2</v>
      </c>
      <c r="AP178" s="341">
        <v>20.3</v>
      </c>
      <c r="AQ178" s="341">
        <v>18.7</v>
      </c>
      <c r="AR178" s="341">
        <f t="shared" si="78"/>
        <v>-1.6000000000000014</v>
      </c>
      <c r="AS178" s="372">
        <v>22.3</v>
      </c>
      <c r="AT178" s="352">
        <v>23.1</v>
      </c>
      <c r="AU178" s="383">
        <f t="shared" si="79"/>
        <v>0.80000000000000071</v>
      </c>
      <c r="AV178" s="341"/>
      <c r="AW178" s="341"/>
      <c r="AX178" s="341"/>
      <c r="AY178" s="341"/>
      <c r="AZ178" s="362" t="s">
        <v>686</v>
      </c>
      <c r="BA178" s="550">
        <v>2350.7042676699998</v>
      </c>
      <c r="BB178" s="550">
        <v>-2.2983353100000001</v>
      </c>
      <c r="BC178" s="550">
        <v>2472.9247042299999</v>
      </c>
      <c r="BD178" s="550">
        <v>2531.0978190599999</v>
      </c>
      <c r="BE178" s="550">
        <v>3.27570469</v>
      </c>
      <c r="BF178" s="550">
        <v>3.3213156700000002</v>
      </c>
      <c r="BG178" s="550">
        <v>-0.27133652000000003</v>
      </c>
      <c r="BH178" s="550">
        <v>3.5697614500000001</v>
      </c>
      <c r="BI178" s="550">
        <v>3.5794738700000002</v>
      </c>
      <c r="BJ178" s="550">
        <v>-1.1172875799999999</v>
      </c>
      <c r="BK178" s="550">
        <v>-1.3732806</v>
      </c>
      <c r="BL178" s="550">
        <v>0.69049444999999998</v>
      </c>
      <c r="BM178" s="550"/>
      <c r="BN178" s="550"/>
      <c r="BO178" s="550"/>
      <c r="BP178" s="550"/>
      <c r="BQ178" s="550"/>
      <c r="BR178" s="550"/>
      <c r="BS178" s="550"/>
    </row>
    <row r="179" spans="1:71" s="577" customFormat="1" ht="15" customHeight="1" x14ac:dyDescent="0.2">
      <c r="A179" s="404">
        <v>62008024</v>
      </c>
      <c r="B179" s="403" t="s">
        <v>55</v>
      </c>
      <c r="C179" s="403" t="s">
        <v>773</v>
      </c>
      <c r="D179" s="402" t="s">
        <v>877</v>
      </c>
      <c r="E179" s="346" t="s">
        <v>878</v>
      </c>
      <c r="F179" s="346" t="str">
        <f t="shared" si="60"/>
        <v>08/10/20</v>
      </c>
      <c r="G179" s="362" t="s">
        <v>879</v>
      </c>
      <c r="H179" s="362" t="s">
        <v>685</v>
      </c>
      <c r="I179" s="370"/>
      <c r="J179" s="363">
        <v>38.145882</v>
      </c>
      <c r="K179" s="363">
        <v>31.211193999999999</v>
      </c>
      <c r="L179" s="363">
        <v>29.17858</v>
      </c>
      <c r="M179" s="363">
        <v>42.987696999999997</v>
      </c>
      <c r="N179" s="347">
        <v>4250</v>
      </c>
      <c r="O179" s="347">
        <v>30.36</v>
      </c>
      <c r="P179" s="347">
        <v>0.3201</v>
      </c>
      <c r="Q179" s="347">
        <v>1.9560000000000001E-2</v>
      </c>
      <c r="R179" s="348">
        <v>10.245892700000001</v>
      </c>
      <c r="S179" s="348">
        <f t="shared" si="72"/>
        <v>13.81573822</v>
      </c>
      <c r="T179" s="380">
        <v>18.7</v>
      </c>
      <c r="U179" s="380">
        <v>14.6</v>
      </c>
      <c r="V179" s="352">
        <v>49080</v>
      </c>
      <c r="W179" s="352">
        <v>51452</v>
      </c>
      <c r="X179" s="352">
        <f t="shared" si="73"/>
        <v>2372</v>
      </c>
      <c r="Y179" s="352">
        <f t="shared" si="67"/>
        <v>231.50740198557807</v>
      </c>
      <c r="Z179" s="372">
        <v>1293.3732580000001</v>
      </c>
      <c r="AA179" s="352">
        <v>1368.443008</v>
      </c>
      <c r="AB179" s="352">
        <f t="shared" si="74"/>
        <v>75.069749999999885</v>
      </c>
      <c r="AC179" s="371">
        <f t="shared" si="68"/>
        <v>7.3268139924986606</v>
      </c>
      <c r="AD179" s="372">
        <v>-16.133258000000001</v>
      </c>
      <c r="AE179" s="352">
        <v>-18.149999999999999</v>
      </c>
      <c r="AF179" s="352">
        <f t="shared" si="75"/>
        <v>-2.0167419999999971</v>
      </c>
      <c r="AG179" s="371">
        <f t="shared" si="69"/>
        <v>-0.19683419093389462</v>
      </c>
      <c r="AH179" s="372">
        <v>3955.7</v>
      </c>
      <c r="AI179" s="352">
        <v>4202.7</v>
      </c>
      <c r="AJ179" s="352">
        <f t="shared" si="76"/>
        <v>247</v>
      </c>
      <c r="AK179" s="371">
        <f t="shared" si="70"/>
        <v>24.107221033068207</v>
      </c>
      <c r="AL179" s="372">
        <v>-3.8</v>
      </c>
      <c r="AM179" s="352">
        <v>-3.75</v>
      </c>
      <c r="AN179" s="352">
        <f t="shared" si="77"/>
        <v>4.9999999999999822E-2</v>
      </c>
      <c r="AO179" s="371">
        <f t="shared" si="71"/>
        <v>4.8800042577060972E-3</v>
      </c>
      <c r="AP179" s="341">
        <v>18.7</v>
      </c>
      <c r="AQ179" s="341">
        <v>14.6</v>
      </c>
      <c r="AR179" s="341">
        <f t="shared" si="78"/>
        <v>-4.0999999999999996</v>
      </c>
      <c r="AS179" s="372">
        <v>23.8</v>
      </c>
      <c r="AT179" s="352">
        <v>24.8</v>
      </c>
      <c r="AU179" s="383">
        <f t="shared" si="79"/>
        <v>1</v>
      </c>
      <c r="AV179" s="341"/>
      <c r="AW179" s="341"/>
      <c r="AX179" s="341"/>
      <c r="AY179" s="341"/>
      <c r="AZ179" s="362" t="s">
        <v>686</v>
      </c>
      <c r="BA179" s="550">
        <v>1946.1516252700001</v>
      </c>
      <c r="BB179" s="550">
        <v>-0.72424184000000003</v>
      </c>
      <c r="BC179" s="550">
        <v>1297.3277968800001</v>
      </c>
      <c r="BD179" s="550">
        <v>1306.7921322899999</v>
      </c>
      <c r="BE179" s="550">
        <v>7.9727887300000004</v>
      </c>
      <c r="BF179" s="550">
        <v>8.0202322899999992</v>
      </c>
      <c r="BG179" s="550">
        <v>-0.10434982</v>
      </c>
      <c r="BH179" s="550">
        <v>10.24597752</v>
      </c>
      <c r="BI179" s="550">
        <v>10.25668035</v>
      </c>
      <c r="BJ179" s="550">
        <v>-0.49009781000000002</v>
      </c>
      <c r="BK179" s="550">
        <v>-0.59154846000000005</v>
      </c>
      <c r="BL179" s="550">
        <v>0.28277734999999998</v>
      </c>
      <c r="BM179" s="550"/>
      <c r="BN179" s="550"/>
      <c r="BO179" s="550"/>
      <c r="BP179" s="550"/>
      <c r="BQ179" s="550"/>
      <c r="BR179" s="550"/>
      <c r="BS179" s="550"/>
    </row>
    <row r="180" spans="1:71" s="577" customFormat="1" ht="15" customHeight="1" x14ac:dyDescent="0.2">
      <c r="A180" s="404">
        <v>62008025</v>
      </c>
      <c r="B180" s="403" t="s">
        <v>627</v>
      </c>
      <c r="C180" s="403" t="s">
        <v>773</v>
      </c>
      <c r="D180" s="402" t="s">
        <v>880</v>
      </c>
      <c r="E180" s="346" t="s">
        <v>881</v>
      </c>
      <c r="F180" s="346" t="str">
        <f t="shared" si="60"/>
        <v>08/10/20</v>
      </c>
      <c r="G180" s="362" t="s">
        <v>882</v>
      </c>
      <c r="H180" s="362" t="s">
        <v>685</v>
      </c>
      <c r="I180" s="370"/>
      <c r="J180" s="363">
        <v>35.501114000000001</v>
      </c>
      <c r="K180" s="363">
        <v>43.503473999999997</v>
      </c>
      <c r="L180" s="363">
        <v>29.152939</v>
      </c>
      <c r="M180" s="363">
        <v>43.189236000000001</v>
      </c>
      <c r="N180" s="347">
        <v>4250</v>
      </c>
      <c r="O180" s="347">
        <v>30.36</v>
      </c>
      <c r="P180" s="347">
        <v>0.3201</v>
      </c>
      <c r="Q180" s="347">
        <v>1.9560000000000001E-2</v>
      </c>
      <c r="R180" s="348">
        <v>3.5818028200000001</v>
      </c>
      <c r="S180" s="348">
        <f t="shared" si="72"/>
        <v>13.827695520000001</v>
      </c>
      <c r="T180" s="380">
        <v>14.5</v>
      </c>
      <c r="U180" s="380">
        <v>13</v>
      </c>
      <c r="V180" s="352">
        <v>51455</v>
      </c>
      <c r="W180" s="352">
        <v>52345</v>
      </c>
      <c r="X180" s="352">
        <f t="shared" si="73"/>
        <v>890</v>
      </c>
      <c r="Y180" s="352">
        <f t="shared" si="67"/>
        <v>248.47822304188145</v>
      </c>
      <c r="Z180" s="372">
        <v>1369.895475</v>
      </c>
      <c r="AA180" s="352">
        <v>1424.842572</v>
      </c>
      <c r="AB180" s="352">
        <f t="shared" si="74"/>
        <v>54.947096999999985</v>
      </c>
      <c r="AC180" s="371">
        <f t="shared" si="68"/>
        <v>15.340625869516732</v>
      </c>
      <c r="AD180" s="372">
        <v>-16.472738</v>
      </c>
      <c r="AE180" s="352">
        <v>-18.53</v>
      </c>
      <c r="AF180" s="352">
        <f t="shared" si="75"/>
        <v>-2.0572620000000015</v>
      </c>
      <c r="AG180" s="371">
        <f t="shared" si="69"/>
        <v>-0.57436495066470505</v>
      </c>
      <c r="AH180" s="372">
        <v>4204.3500000000004</v>
      </c>
      <c r="AI180" s="352">
        <v>4387.7</v>
      </c>
      <c r="AJ180" s="352">
        <f t="shared" si="76"/>
        <v>183.34999999999945</v>
      </c>
      <c r="AK180" s="371">
        <f t="shared" si="70"/>
        <v>51.189305836773968</v>
      </c>
      <c r="AL180" s="372">
        <v>-3.75</v>
      </c>
      <c r="AM180" s="352">
        <v>-3.7</v>
      </c>
      <c r="AN180" s="352">
        <f t="shared" si="77"/>
        <v>4.9999999999999822E-2</v>
      </c>
      <c r="AO180" s="371">
        <f t="shared" si="71"/>
        <v>1.3959450732689919E-2</v>
      </c>
      <c r="AP180" s="341">
        <v>14.5</v>
      </c>
      <c r="AQ180" s="341">
        <v>13</v>
      </c>
      <c r="AR180" s="341">
        <f t="shared" si="78"/>
        <v>-1.5</v>
      </c>
      <c r="AS180" s="372">
        <v>25.5</v>
      </c>
      <c r="AT180" s="352">
        <v>26.2</v>
      </c>
      <c r="AU180" s="383">
        <f t="shared" si="79"/>
        <v>0.69999999999999929</v>
      </c>
      <c r="AV180" s="341"/>
      <c r="AW180" s="341"/>
      <c r="AX180" s="341"/>
      <c r="AY180" s="341"/>
      <c r="AZ180" s="362" t="s">
        <v>686</v>
      </c>
      <c r="BA180" s="550">
        <v>2425.94952767</v>
      </c>
      <c r="BB180" s="550">
        <v>-2.1519949700000001</v>
      </c>
      <c r="BC180" s="550">
        <v>2004.7755195300001</v>
      </c>
      <c r="BD180" s="550">
        <v>2048.8670350299999</v>
      </c>
      <c r="BE180" s="550">
        <v>3.21046838</v>
      </c>
      <c r="BF180" s="550">
        <v>3.25857427</v>
      </c>
      <c r="BG180" s="550">
        <v>-0.25738298999999998</v>
      </c>
      <c r="BH180" s="550">
        <v>3.58173787</v>
      </c>
      <c r="BI180" s="550">
        <v>3.5909804400000001</v>
      </c>
      <c r="BJ180" s="550">
        <v>-1.23716771</v>
      </c>
      <c r="BK180" s="550">
        <v>-1.4762865599999999</v>
      </c>
      <c r="BL180" s="550">
        <v>0.59039997</v>
      </c>
      <c r="BM180" s="550"/>
      <c r="BN180" s="550"/>
      <c r="BO180" s="550"/>
      <c r="BP180" s="550"/>
      <c r="BQ180" s="550"/>
      <c r="BR180" s="550"/>
      <c r="BS180" s="550"/>
    </row>
    <row r="181" spans="1:71" s="577" customFormat="1" ht="15" customHeight="1" x14ac:dyDescent="0.2">
      <c r="A181" s="404">
        <v>62008025</v>
      </c>
      <c r="B181" s="403" t="s">
        <v>628</v>
      </c>
      <c r="C181" s="403" t="s">
        <v>774</v>
      </c>
      <c r="D181" s="402" t="s">
        <v>880</v>
      </c>
      <c r="E181" s="346" t="s">
        <v>881</v>
      </c>
      <c r="F181" s="346" t="str">
        <f t="shared" si="60"/>
        <v>08/10/20</v>
      </c>
      <c r="G181" s="362" t="s">
        <v>882</v>
      </c>
      <c r="H181" s="362" t="s">
        <v>685</v>
      </c>
      <c r="I181" s="370"/>
      <c r="J181" s="363">
        <v>33.380617999999998</v>
      </c>
      <c r="K181" s="363">
        <v>47.214433999999997</v>
      </c>
      <c r="L181" s="363">
        <v>29.138323</v>
      </c>
      <c r="M181" s="363">
        <v>43.102502000000001</v>
      </c>
      <c r="N181" s="347">
        <v>4250</v>
      </c>
      <c r="O181" s="347">
        <v>30.36</v>
      </c>
      <c r="P181" s="347">
        <v>0.3201</v>
      </c>
      <c r="Q181" s="347">
        <v>1.9560000000000001E-2</v>
      </c>
      <c r="R181" s="348">
        <v>3.8445692400000002</v>
      </c>
      <c r="S181" s="348">
        <f t="shared" si="72"/>
        <v>7.4263720600000003</v>
      </c>
      <c r="T181" s="380">
        <v>13</v>
      </c>
      <c r="U181" s="380">
        <v>11.4</v>
      </c>
      <c r="V181" s="352">
        <v>52345.249539999997</v>
      </c>
      <c r="W181" s="352">
        <v>53242</v>
      </c>
      <c r="X181" s="352">
        <f t="shared" si="73"/>
        <v>896.75046000000293</v>
      </c>
      <c r="Y181" s="352">
        <f t="shared" si="67"/>
        <v>233.25121854223724</v>
      </c>
      <c r="Z181" s="372">
        <v>1424.8724950000001</v>
      </c>
      <c r="AA181" s="352">
        <v>1513.04195</v>
      </c>
      <c r="AB181" s="352">
        <f t="shared" si="74"/>
        <v>88.169454999999971</v>
      </c>
      <c r="AC181" s="371">
        <f t="shared" si="68"/>
        <v>22.933506849781686</v>
      </c>
      <c r="AD181" s="372">
        <v>-18.53</v>
      </c>
      <c r="AE181" s="352">
        <v>-19.79</v>
      </c>
      <c r="AF181" s="352">
        <f t="shared" si="75"/>
        <v>-1.259999999999998</v>
      </c>
      <c r="AG181" s="371">
        <f t="shared" si="69"/>
        <v>-0.3277350260441656</v>
      </c>
      <c r="AH181" s="372">
        <v>4387.8</v>
      </c>
      <c r="AI181" s="352">
        <v>4644.1499999999996</v>
      </c>
      <c r="AJ181" s="352">
        <f t="shared" si="76"/>
        <v>256.34999999999945</v>
      </c>
      <c r="AK181" s="371">
        <f t="shared" si="70"/>
        <v>66.678471370176041</v>
      </c>
      <c r="AL181" s="372">
        <v>-3.7</v>
      </c>
      <c r="AM181" s="352">
        <v>-3.75</v>
      </c>
      <c r="AN181" s="352">
        <f t="shared" si="77"/>
        <v>-4.9999999999999822E-2</v>
      </c>
      <c r="AO181" s="371">
        <f t="shared" si="71"/>
        <v>-1.3005358176355753E-2</v>
      </c>
      <c r="AP181" s="341">
        <v>13</v>
      </c>
      <c r="AQ181" s="341">
        <v>11.4</v>
      </c>
      <c r="AR181" s="341">
        <f t="shared" si="78"/>
        <v>-1.5999999999999996</v>
      </c>
      <c r="AS181" s="372">
        <v>26.2</v>
      </c>
      <c r="AT181" s="352">
        <v>27.4</v>
      </c>
      <c r="AU181" s="383">
        <f t="shared" si="79"/>
        <v>1.1999999999999993</v>
      </c>
      <c r="AV181" s="341"/>
      <c r="AW181" s="341"/>
      <c r="AX181" s="341"/>
      <c r="AY181" s="341"/>
      <c r="AZ181" s="362" t="s">
        <v>686</v>
      </c>
      <c r="BA181" s="550">
        <v>1482.6684947700001</v>
      </c>
      <c r="BB181" s="550">
        <v>-1.87159476</v>
      </c>
      <c r="BC181" s="550">
        <v>3352.2443830699999</v>
      </c>
      <c r="BD181" s="550">
        <v>3416.18145624</v>
      </c>
      <c r="BE181" s="550">
        <v>2.9563379699999999</v>
      </c>
      <c r="BF181" s="550">
        <v>3.01870167</v>
      </c>
      <c r="BG181" s="550">
        <v>-0.39950027999999999</v>
      </c>
      <c r="BH181" s="550">
        <v>3.8444109599999998</v>
      </c>
      <c r="BI181" s="550">
        <v>3.8598309999999998</v>
      </c>
      <c r="BJ181" s="550">
        <v>-1.7015639199999999</v>
      </c>
      <c r="BK181" s="550">
        <v>-2.0659114000000001</v>
      </c>
      <c r="BL181" s="550">
        <v>0.71450482999999998</v>
      </c>
      <c r="BM181" s="550"/>
      <c r="BN181" s="550"/>
      <c r="BO181" s="550"/>
      <c r="BP181" s="550"/>
      <c r="BQ181" s="550"/>
      <c r="BR181" s="550"/>
      <c r="BS181" s="550"/>
    </row>
    <row r="182" spans="1:71" s="577" customFormat="1" ht="15" customHeight="1" x14ac:dyDescent="0.2">
      <c r="A182" s="404">
        <v>62008025</v>
      </c>
      <c r="B182" s="403" t="s">
        <v>629</v>
      </c>
      <c r="C182" s="403" t="s">
        <v>775</v>
      </c>
      <c r="D182" s="402" t="s">
        <v>880</v>
      </c>
      <c r="E182" s="346" t="s">
        <v>881</v>
      </c>
      <c r="F182" s="346" t="str">
        <f t="shared" si="60"/>
        <v>08/10/20</v>
      </c>
      <c r="G182" s="362" t="s">
        <v>882</v>
      </c>
      <c r="H182" s="362" t="s">
        <v>685</v>
      </c>
      <c r="I182" s="370"/>
      <c r="J182" s="364">
        <f>AVERAGE(J180:J181)</f>
        <v>34.440866</v>
      </c>
      <c r="K182" s="364">
        <f>AVERAGE(K180:K181)</f>
        <v>45.358953999999997</v>
      </c>
      <c r="L182" s="364">
        <f>AVERAGE(L180:L181)</f>
        <v>29.145631000000002</v>
      </c>
      <c r="M182" s="364">
        <f>AVERAGE(M180:M181)</f>
        <v>43.145869000000005</v>
      </c>
      <c r="N182" s="349"/>
      <c r="O182" s="347"/>
      <c r="P182" s="366"/>
      <c r="Q182" s="365"/>
      <c r="R182" s="350">
        <f>R181+R180</f>
        <v>7.4263720600000003</v>
      </c>
      <c r="S182" s="350">
        <f>S181</f>
        <v>7.4263720600000003</v>
      </c>
      <c r="T182" s="381">
        <f>T180</f>
        <v>14.5</v>
      </c>
      <c r="U182" s="381">
        <f>U181</f>
        <v>11.4</v>
      </c>
      <c r="V182" s="353">
        <f>V180</f>
        <v>51455</v>
      </c>
      <c r="W182" s="353">
        <f>W181</f>
        <v>53242</v>
      </c>
      <c r="X182" s="353">
        <f>SUM(X180:X181)</f>
        <v>1786.7504600000029</v>
      </c>
      <c r="Y182" s="353">
        <f t="shared" si="67"/>
        <v>240.59533316729662</v>
      </c>
      <c r="Z182" s="353">
        <f>Z180</f>
        <v>1369.895475</v>
      </c>
      <c r="AA182" s="353">
        <f>AA181</f>
        <v>1513.04195</v>
      </c>
      <c r="AB182" s="353">
        <f>SUM(AB180:AB181)</f>
        <v>143.11655199999996</v>
      </c>
      <c r="AC182" s="351">
        <f t="shared" si="68"/>
        <v>19.271395352093354</v>
      </c>
      <c r="AD182" s="353">
        <f>AD180</f>
        <v>-16.472738</v>
      </c>
      <c r="AE182" s="353">
        <f>AE181</f>
        <v>-19.79</v>
      </c>
      <c r="AF182" s="353">
        <f>SUM(AF180:AF181)</f>
        <v>-3.3172619999999995</v>
      </c>
      <c r="AG182" s="351">
        <f t="shared" si="69"/>
        <v>-0.44668675003067371</v>
      </c>
      <c r="AH182" s="353">
        <f>AH180</f>
        <v>4204.3500000000004</v>
      </c>
      <c r="AI182" s="353">
        <f>AI181</f>
        <v>4644.1499999999996</v>
      </c>
      <c r="AJ182" s="353">
        <f>SUM(AJ180:AJ181)</f>
        <v>439.69999999999891</v>
      </c>
      <c r="AK182" s="351">
        <f t="shared" si="70"/>
        <v>59.20791423423497</v>
      </c>
      <c r="AL182" s="353">
        <f>AL180</f>
        <v>-3.75</v>
      </c>
      <c r="AM182" s="353">
        <f>AM181</f>
        <v>-3.75</v>
      </c>
      <c r="AN182" s="353">
        <f>SUM(AN180:AN181)</f>
        <v>0</v>
      </c>
      <c r="AO182" s="351">
        <f t="shared" si="71"/>
        <v>0</v>
      </c>
      <c r="AP182" s="343"/>
      <c r="AQ182" s="343"/>
      <c r="AR182" s="343">
        <f>SUM(AR180:AR181)</f>
        <v>-3.0999999999999996</v>
      </c>
      <c r="AS182" s="353">
        <f>AS180</f>
        <v>25.5</v>
      </c>
      <c r="AT182" s="353">
        <f>AT181</f>
        <v>27.4</v>
      </c>
      <c r="AU182" s="384">
        <f>SUM(AU180:AU181)</f>
        <v>1.8999999999999986</v>
      </c>
      <c r="AV182" s="343"/>
      <c r="AW182" s="343"/>
      <c r="AX182" s="343"/>
      <c r="AY182" s="343"/>
      <c r="AZ182" s="362" t="s">
        <v>686</v>
      </c>
      <c r="BA182" s="550"/>
      <c r="BB182" s="550"/>
      <c r="BC182" s="550"/>
      <c r="BD182" s="550"/>
      <c r="BE182" s="550"/>
      <c r="BF182" s="550"/>
      <c r="BG182" s="550"/>
      <c r="BH182" s="550"/>
      <c r="BI182" s="550"/>
      <c r="BJ182" s="550"/>
      <c r="BK182" s="550"/>
      <c r="BL182" s="550"/>
      <c r="BM182" s="550"/>
      <c r="BN182" s="550"/>
      <c r="BO182" s="550"/>
      <c r="BP182" s="550"/>
      <c r="BQ182" s="550"/>
      <c r="BR182" s="550"/>
      <c r="BS182" s="550"/>
    </row>
    <row r="183" spans="1:71" s="577" customFormat="1" ht="15" customHeight="1" x14ac:dyDescent="0.2">
      <c r="A183" s="404">
        <v>62008026</v>
      </c>
      <c r="B183" s="403" t="s">
        <v>798</v>
      </c>
      <c r="C183" s="403" t="s">
        <v>773</v>
      </c>
      <c r="D183" s="402" t="s">
        <v>727</v>
      </c>
      <c r="E183" s="346" t="s">
        <v>883</v>
      </c>
      <c r="F183" s="346" t="str">
        <f t="shared" si="60"/>
        <v>08/10/20</v>
      </c>
      <c r="G183" s="362" t="s">
        <v>884</v>
      </c>
      <c r="H183" s="362" t="s">
        <v>685</v>
      </c>
      <c r="I183" s="370"/>
      <c r="J183" s="363">
        <v>43.955485000000003</v>
      </c>
      <c r="K183" s="363">
        <v>22.370168</v>
      </c>
      <c r="L183" s="363">
        <v>29.147134999999999</v>
      </c>
      <c r="M183" s="363">
        <v>47.027121999999999</v>
      </c>
      <c r="N183" s="347">
        <v>4250</v>
      </c>
      <c r="O183" s="347">
        <v>30.36</v>
      </c>
      <c r="P183" s="347">
        <v>0.3201</v>
      </c>
      <c r="Q183" s="347">
        <v>1.9560000000000001E-2</v>
      </c>
      <c r="R183" s="348">
        <v>20.967601120000001</v>
      </c>
      <c r="S183" s="348">
        <f>R183+R182</f>
        <v>28.393973180000003</v>
      </c>
      <c r="T183" s="380">
        <v>11.4</v>
      </c>
      <c r="U183" s="380">
        <v>0.1</v>
      </c>
      <c r="V183" s="352">
        <v>53246</v>
      </c>
      <c r="W183" s="352">
        <v>59309</v>
      </c>
      <c r="X183" s="352">
        <f>W183-V183</f>
        <v>6063</v>
      </c>
      <c r="Y183" s="352">
        <f t="shared" si="67"/>
        <v>289.16040348634789</v>
      </c>
      <c r="Z183" s="372">
        <v>1514.9784749999999</v>
      </c>
      <c r="AA183" s="352">
        <v>1623.46</v>
      </c>
      <c r="AB183" s="352">
        <f>AA183-Z183</f>
        <v>108.48152500000015</v>
      </c>
      <c r="AC183" s="371">
        <f t="shared" si="68"/>
        <v>5.1737690153083253</v>
      </c>
      <c r="AD183" s="372">
        <v>-18.557119</v>
      </c>
      <c r="AE183" s="352">
        <v>-19.170000000000002</v>
      </c>
      <c r="AF183" s="352">
        <f>AE183-AD183</f>
        <v>-0.61288100000000156</v>
      </c>
      <c r="AG183" s="371">
        <f t="shared" si="69"/>
        <v>-2.9229905533418577E-2</v>
      </c>
      <c r="AH183" s="372">
        <v>4646.25</v>
      </c>
      <c r="AI183" s="352">
        <v>5006.2</v>
      </c>
      <c r="AJ183" s="352">
        <f>AI183-AH183</f>
        <v>359.94999999999982</v>
      </c>
      <c r="AK183" s="371">
        <f t="shared" si="70"/>
        <v>17.166961443989916</v>
      </c>
      <c r="AL183" s="372">
        <v>-3.75</v>
      </c>
      <c r="AM183" s="352">
        <v>-4.3499999999999996</v>
      </c>
      <c r="AN183" s="352">
        <f>AM183-AL183</f>
        <v>-0.59999999999999964</v>
      </c>
      <c r="AO183" s="371">
        <f t="shared" si="71"/>
        <v>-2.861557679231546E-2</v>
      </c>
      <c r="AP183" s="341">
        <v>11.4</v>
      </c>
      <c r="AQ183" s="341">
        <v>0.1</v>
      </c>
      <c r="AR183" s="341">
        <f>AQ183-AP183</f>
        <v>-11.3</v>
      </c>
      <c r="AS183" s="372">
        <v>27.7</v>
      </c>
      <c r="AT183" s="352">
        <v>29.3</v>
      </c>
      <c r="AU183" s="383">
        <f>AT183-AS183</f>
        <v>1.6000000000000014</v>
      </c>
      <c r="AV183" s="341"/>
      <c r="AW183" s="341"/>
      <c r="AX183" s="341"/>
      <c r="AY183" s="341"/>
      <c r="AZ183" s="362" t="s">
        <v>686</v>
      </c>
      <c r="BA183" s="550">
        <v>109.1521604</v>
      </c>
      <c r="BB183" s="550">
        <v>7.1158338199999998</v>
      </c>
      <c r="BC183" s="550">
        <v>622.50581058</v>
      </c>
      <c r="BD183" s="550">
        <v>581.15200000000004</v>
      </c>
      <c r="BE183" s="550">
        <v>20.107966820000001</v>
      </c>
      <c r="BF183" s="550">
        <v>21.6718215</v>
      </c>
      <c r="BG183" s="550">
        <v>-4.1402110299999997</v>
      </c>
      <c r="BH183" s="550">
        <v>20.967795710000001</v>
      </c>
      <c r="BI183" s="550">
        <v>21.873400650000001</v>
      </c>
      <c r="BJ183" s="550">
        <v>-3.3150817300000002</v>
      </c>
      <c r="BK183" s="550">
        <v>-7.2160740099999998</v>
      </c>
      <c r="BL183" s="550">
        <v>3.81173E-2</v>
      </c>
      <c r="BM183" s="550"/>
      <c r="BN183" s="550"/>
      <c r="BO183" s="550"/>
      <c r="BP183" s="550"/>
      <c r="BQ183" s="550"/>
      <c r="BR183" s="550"/>
      <c r="BS183" s="550"/>
    </row>
    <row r="184" spans="1:71" s="577" customFormat="1" ht="15" customHeight="1" x14ac:dyDescent="0.2">
      <c r="A184" s="403">
        <f>A183+1</f>
        <v>62008027</v>
      </c>
      <c r="B184" s="440" t="s">
        <v>645</v>
      </c>
      <c r="C184" s="403" t="s">
        <v>773</v>
      </c>
      <c r="D184" s="402" t="s">
        <v>731</v>
      </c>
      <c r="E184" s="346" t="s">
        <v>885</v>
      </c>
      <c r="F184" s="346" t="str">
        <f t="shared" si="60"/>
        <v>08/10/20</v>
      </c>
      <c r="G184" s="362" t="s">
        <v>886</v>
      </c>
      <c r="H184" s="362" t="s">
        <v>887</v>
      </c>
      <c r="I184" s="370"/>
      <c r="J184" s="363">
        <v>1699.8987930000001</v>
      </c>
      <c r="K184" s="363">
        <v>2348.4715719999999</v>
      </c>
      <c r="L184" s="363">
        <v>1478.1907040000001</v>
      </c>
      <c r="M184" s="363">
        <v>1764.8913700000001</v>
      </c>
      <c r="N184" s="347">
        <v>4250</v>
      </c>
      <c r="O184" s="347">
        <v>30.36</v>
      </c>
      <c r="P184" s="347">
        <v>0.3201</v>
      </c>
      <c r="Q184" s="347">
        <v>1.9560000000000001E-2</v>
      </c>
      <c r="R184" s="348">
        <v>2.1525570000000001E-2</v>
      </c>
      <c r="S184" s="348">
        <f>R184+R183</f>
        <v>20.989126690000003</v>
      </c>
      <c r="T184" s="380" t="s">
        <v>1004</v>
      </c>
      <c r="U184" s="380" t="s">
        <v>1005</v>
      </c>
      <c r="V184" s="352">
        <v>59309</v>
      </c>
      <c r="W184" s="352">
        <v>-371</v>
      </c>
      <c r="X184" s="352">
        <f>W184-V184</f>
        <v>-59680</v>
      </c>
      <c r="Y184" s="352">
        <f t="shared" si="67"/>
        <v>-2772516.5930565367</v>
      </c>
      <c r="Z184" s="372">
        <v>1623.41</v>
      </c>
      <c r="AA184" s="352">
        <v>2584.12</v>
      </c>
      <c r="AB184" s="352">
        <f>AA184-Z184</f>
        <v>960.70999999999981</v>
      </c>
      <c r="AC184" s="371">
        <f t="shared" si="68"/>
        <v>44631.106168152561</v>
      </c>
      <c r="AD184" s="372">
        <v>-17.18</v>
      </c>
      <c r="AE184" s="352">
        <v>-42.02</v>
      </c>
      <c r="AF184" s="352">
        <f>AE184-AD184</f>
        <v>-24.840000000000003</v>
      </c>
      <c r="AG184" s="371">
        <f t="shared" si="69"/>
        <v>-1153.9764103807706</v>
      </c>
      <c r="AH184" s="372" t="s">
        <v>1006</v>
      </c>
      <c r="AI184" s="352" t="s">
        <v>1007</v>
      </c>
      <c r="AJ184" s="352" t="e">
        <f>AI184-AH184</f>
        <v>#VALUE!</v>
      </c>
      <c r="AK184" s="371" t="e">
        <f t="shared" si="70"/>
        <v>#VALUE!</v>
      </c>
      <c r="AL184" s="372" t="s">
        <v>1008</v>
      </c>
      <c r="AM184" s="352" t="s">
        <v>1009</v>
      </c>
      <c r="AN184" s="352" t="e">
        <f>AM184-AL184</f>
        <v>#VALUE!</v>
      </c>
      <c r="AO184" s="371" t="e">
        <f t="shared" si="71"/>
        <v>#VALUE!</v>
      </c>
      <c r="AP184" s="341" t="s">
        <v>982</v>
      </c>
      <c r="AQ184" s="341" t="s">
        <v>1010</v>
      </c>
      <c r="AR184" s="341" t="e">
        <f>AQ184-AP184</f>
        <v>#VALUE!</v>
      </c>
      <c r="AS184" s="372">
        <v>30.1</v>
      </c>
      <c r="AT184" s="352">
        <v>67050.3</v>
      </c>
      <c r="AU184" s="383">
        <f>AT184-AS184</f>
        <v>67020.2</v>
      </c>
      <c r="AV184" s="341"/>
      <c r="AW184" s="341"/>
      <c r="AX184" s="341"/>
      <c r="AY184" s="341"/>
      <c r="AZ184" s="362" t="s">
        <v>888</v>
      </c>
      <c r="BA184" s="550">
        <v>0</v>
      </c>
      <c r="BB184" s="550" t="s">
        <v>691</v>
      </c>
      <c r="BC184" s="550">
        <v>0</v>
      </c>
      <c r="BD184" s="550">
        <v>0</v>
      </c>
      <c r="BE184" s="550">
        <v>0</v>
      </c>
      <c r="BF184" s="550">
        <v>0</v>
      </c>
      <c r="BG184" s="550" t="s">
        <v>691</v>
      </c>
      <c r="BH184" s="550">
        <v>0</v>
      </c>
      <c r="BI184" s="550">
        <v>0</v>
      </c>
      <c r="BJ184" s="550" t="s">
        <v>691</v>
      </c>
      <c r="BK184" s="550" t="s">
        <v>691</v>
      </c>
      <c r="BL184" s="550" t="s">
        <v>691</v>
      </c>
      <c r="BM184" s="550"/>
      <c r="BN184" s="550"/>
      <c r="BO184" s="550"/>
      <c r="BP184" s="550"/>
      <c r="BQ184" s="550"/>
      <c r="BR184" s="550"/>
      <c r="BS184" s="550"/>
    </row>
    <row r="185" spans="1:71" s="548" customFormat="1" ht="15" customHeight="1" x14ac:dyDescent="0.2">
      <c r="A185" s="576" t="s">
        <v>890</v>
      </c>
      <c r="B185" s="435"/>
      <c r="C185" s="436"/>
      <c r="D185" s="436"/>
      <c r="E185" s="436"/>
      <c r="F185" s="436"/>
      <c r="G185" s="436"/>
      <c r="H185" s="435"/>
      <c r="I185" s="435"/>
      <c r="J185" s="446"/>
      <c r="K185" s="447"/>
      <c r="L185" s="435"/>
      <c r="M185" s="435"/>
      <c r="N185" s="435"/>
      <c r="O185" s="435"/>
      <c r="P185" s="435"/>
      <c r="Q185" s="435"/>
      <c r="R185" s="435"/>
      <c r="S185" s="435"/>
      <c r="T185" s="435"/>
      <c r="U185" s="435"/>
      <c r="V185" s="435"/>
      <c r="W185" s="435"/>
      <c r="X185" s="435"/>
      <c r="Y185" s="435"/>
      <c r="Z185" s="435"/>
      <c r="AA185" s="435"/>
      <c r="AB185" s="435"/>
      <c r="AC185" s="435"/>
      <c r="AD185" s="435"/>
      <c r="AE185" s="435"/>
      <c r="AF185" s="435"/>
      <c r="AG185" s="435"/>
      <c r="AH185" s="435"/>
      <c r="AI185" s="435"/>
      <c r="AJ185" s="435"/>
      <c r="AK185" s="435"/>
      <c r="AL185" s="435"/>
      <c r="AM185" s="435"/>
      <c r="AN185" s="435"/>
      <c r="AO185" s="435"/>
      <c r="AP185" s="435"/>
      <c r="AQ185" s="435"/>
      <c r="AR185" s="435"/>
      <c r="AS185" s="435"/>
      <c r="AT185" s="435"/>
      <c r="AU185" s="435"/>
      <c r="AV185" s="435"/>
      <c r="AW185" s="435"/>
      <c r="AX185" s="435"/>
      <c r="AY185" s="435"/>
      <c r="AZ185" s="435"/>
      <c r="BA185" s="435"/>
      <c r="BB185" s="435"/>
      <c r="BC185" s="435"/>
      <c r="BD185" s="435"/>
      <c r="BE185" s="435"/>
      <c r="BF185" s="448"/>
      <c r="BG185" s="435"/>
      <c r="BH185" s="435"/>
      <c r="BI185" s="435"/>
      <c r="BJ185" s="435"/>
      <c r="BK185" s="435"/>
      <c r="BL185" s="435"/>
      <c r="BM185" s="435"/>
      <c r="BN185" s="435"/>
      <c r="BO185" s="435"/>
      <c r="BP185" s="435"/>
      <c r="BQ185" s="435"/>
      <c r="BR185" s="439"/>
      <c r="BS185" s="578"/>
    </row>
    <row r="186" spans="1:71" s="577" customFormat="1" ht="15" customHeight="1" x14ac:dyDescent="0.2">
      <c r="A186" s="404">
        <v>62008028</v>
      </c>
      <c r="B186" s="403" t="s">
        <v>627</v>
      </c>
      <c r="C186" s="403" t="s">
        <v>773</v>
      </c>
      <c r="D186" s="402" t="s">
        <v>718</v>
      </c>
      <c r="E186" s="346" t="s">
        <v>891</v>
      </c>
      <c r="F186" s="346" t="str">
        <f t="shared" si="60"/>
        <v>08/11/20</v>
      </c>
      <c r="G186" s="362" t="s">
        <v>892</v>
      </c>
      <c r="H186" s="362" t="s">
        <v>685</v>
      </c>
      <c r="I186" s="370"/>
      <c r="J186" s="363">
        <v>35.103223999999997</v>
      </c>
      <c r="K186" s="363">
        <v>39.308501999999997</v>
      </c>
      <c r="L186" s="363">
        <v>29.275617</v>
      </c>
      <c r="M186" s="363">
        <v>37.146693999999997</v>
      </c>
      <c r="N186" s="347">
        <v>4250</v>
      </c>
      <c r="O186" s="347">
        <v>30.36</v>
      </c>
      <c r="P186" s="347">
        <v>0.3201</v>
      </c>
      <c r="Q186" s="347">
        <v>1.9560000000000001E-2</v>
      </c>
      <c r="R186" s="348">
        <v>3.5822141699999999</v>
      </c>
      <c r="S186" s="348">
        <f>R186+R185</f>
        <v>3.5822141699999999</v>
      </c>
      <c r="T186" s="380">
        <v>96.2</v>
      </c>
      <c r="U186" s="380">
        <v>94.9</v>
      </c>
      <c r="V186" s="352">
        <v>-370</v>
      </c>
      <c r="W186" s="352">
        <v>631</v>
      </c>
      <c r="X186" s="352">
        <f>W186-V186</f>
        <v>1001</v>
      </c>
      <c r="Y186" s="352">
        <f t="shared" ref="Y186:Y195" si="80">X186/$R186</f>
        <v>279.43611199550361</v>
      </c>
      <c r="Z186" s="372">
        <v>2584.4243670000001</v>
      </c>
      <c r="AA186" s="352">
        <v>2643.6342</v>
      </c>
      <c r="AB186" s="352">
        <f>AA186-Z186</f>
        <v>59.20983299999989</v>
      </c>
      <c r="AC186" s="371">
        <f t="shared" ref="AC186:AC195" si="81">AB186/$R186</f>
        <v>16.528836688734302</v>
      </c>
      <c r="AD186" s="372">
        <v>-39.154367000000001</v>
      </c>
      <c r="AE186" s="352">
        <v>-40.700000000000003</v>
      </c>
      <c r="AF186" s="352">
        <f>AE186-AD186</f>
        <v>-1.5456330000000023</v>
      </c>
      <c r="AG186" s="371">
        <f t="shared" ref="AG186:AG195" si="82">AF186/$R186</f>
        <v>-0.43147420189005681</v>
      </c>
      <c r="AH186" s="372">
        <v>5006.2</v>
      </c>
      <c r="AI186" s="352">
        <v>5226.25</v>
      </c>
      <c r="AJ186" s="352">
        <f>AI186-AH186</f>
        <v>220.05000000000018</v>
      </c>
      <c r="AK186" s="371">
        <f t="shared" ref="AK186:AK195" si="83">AJ186/$R186</f>
        <v>61.428487956653967</v>
      </c>
      <c r="AL186" s="372">
        <v>-4.3499999999999996</v>
      </c>
      <c r="AM186" s="352">
        <v>-4.721025</v>
      </c>
      <c r="AN186" s="352">
        <f>AM186-AL186</f>
        <v>-0.37102500000000038</v>
      </c>
      <c r="AO186" s="371">
        <f t="shared" ref="AO186:AO195" si="84">AN186/$R186</f>
        <v>-0.10357420924388795</v>
      </c>
      <c r="AP186" s="341">
        <v>96.2</v>
      </c>
      <c r="AQ186" s="341">
        <v>94.9</v>
      </c>
      <c r="AR186" s="341">
        <f>AQ186-AP186</f>
        <v>-1.2999999999999972</v>
      </c>
      <c r="AS186" s="372">
        <v>67073.7</v>
      </c>
      <c r="AT186" s="352">
        <v>67074.3</v>
      </c>
      <c r="AU186" s="383">
        <f>AT186-AS186</f>
        <v>0.60000000000582077</v>
      </c>
      <c r="AV186" s="341"/>
      <c r="AW186" s="341"/>
      <c r="AX186" s="341"/>
      <c r="AY186" s="341"/>
      <c r="AZ186" s="362" t="s">
        <v>686</v>
      </c>
      <c r="BA186" s="550">
        <v>2419.2673322400001</v>
      </c>
      <c r="BB186" s="550">
        <v>-1.8808897499999999</v>
      </c>
      <c r="BC186" s="550">
        <v>2010.3202849700001</v>
      </c>
      <c r="BD186" s="550">
        <v>2048.8570268399999</v>
      </c>
      <c r="BE186" s="550">
        <v>3.2142906500000001</v>
      </c>
      <c r="BF186" s="550">
        <v>3.2585694699999999</v>
      </c>
      <c r="BG186" s="550">
        <v>-0.24556596</v>
      </c>
      <c r="BH186" s="550">
        <v>3.5821625899999998</v>
      </c>
      <c r="BI186" s="550">
        <v>3.59098082</v>
      </c>
      <c r="BJ186" s="550">
        <v>-1.1286122000000001</v>
      </c>
      <c r="BK186" s="550">
        <v>-1.3588420999999999</v>
      </c>
      <c r="BL186" s="550">
        <v>0.59039659</v>
      </c>
      <c r="BM186" s="550"/>
      <c r="BN186" s="550"/>
      <c r="BO186" s="550"/>
      <c r="BP186" s="550"/>
      <c r="BQ186" s="550"/>
      <c r="BR186" s="550"/>
      <c r="BS186" s="550"/>
    </row>
    <row r="187" spans="1:71" s="577" customFormat="1" ht="15" customHeight="1" x14ac:dyDescent="0.2">
      <c r="A187" s="404">
        <f>A186</f>
        <v>62008028</v>
      </c>
      <c r="B187" s="403" t="s">
        <v>628</v>
      </c>
      <c r="C187" s="403" t="s">
        <v>774</v>
      </c>
      <c r="D187" s="402" t="s">
        <v>718</v>
      </c>
      <c r="E187" s="346" t="s">
        <v>891</v>
      </c>
      <c r="F187" s="346" t="str">
        <f t="shared" si="60"/>
        <v>08/11/20</v>
      </c>
      <c r="G187" s="362" t="s">
        <v>892</v>
      </c>
      <c r="H187" s="362" t="s">
        <v>685</v>
      </c>
      <c r="I187" s="370"/>
      <c r="J187" s="363">
        <v>33.443356000000001</v>
      </c>
      <c r="K187" s="363">
        <v>49.741942999999999</v>
      </c>
      <c r="L187" s="363">
        <v>29.276702</v>
      </c>
      <c r="M187" s="363">
        <v>39.527479999999997</v>
      </c>
      <c r="N187" s="347">
        <v>4250</v>
      </c>
      <c r="O187" s="347">
        <v>30.36</v>
      </c>
      <c r="P187" s="347">
        <v>0.3201</v>
      </c>
      <c r="Q187" s="347">
        <v>1.9560000000000001E-2</v>
      </c>
      <c r="R187" s="348">
        <v>3.8445096699999999</v>
      </c>
      <c r="S187" s="348">
        <f>R187+R186</f>
        <v>7.4267238399999993</v>
      </c>
      <c r="T187" s="380">
        <v>94.9</v>
      </c>
      <c r="U187" s="380">
        <v>93.6</v>
      </c>
      <c r="V187" s="352">
        <v>631.46192799999994</v>
      </c>
      <c r="W187" s="352">
        <v>1527</v>
      </c>
      <c r="X187" s="352">
        <f>W187-V187</f>
        <v>895.53807200000006</v>
      </c>
      <c r="Y187" s="352">
        <f t="shared" si="80"/>
        <v>232.9394770386935</v>
      </c>
      <c r="Z187" s="372">
        <v>2643.6538580000001</v>
      </c>
      <c r="AA187" s="352">
        <v>2726.1337159999998</v>
      </c>
      <c r="AB187" s="352">
        <f>AA187-Z187</f>
        <v>82.479857999999695</v>
      </c>
      <c r="AC187" s="371">
        <f t="shared" si="81"/>
        <v>21.453934332281104</v>
      </c>
      <c r="AD187" s="372">
        <v>-40.700000000000003</v>
      </c>
      <c r="AE187" s="352">
        <v>-41.43</v>
      </c>
      <c r="AF187" s="352">
        <f>AE187-AD187</f>
        <v>-0.72999999999999687</v>
      </c>
      <c r="AG187" s="371">
        <f t="shared" si="82"/>
        <v>-0.18988117150450473</v>
      </c>
      <c r="AH187" s="372">
        <v>5226.3203519999997</v>
      </c>
      <c r="AI187" s="352">
        <v>5461.5685569999996</v>
      </c>
      <c r="AJ187" s="352">
        <f>AI187-AH187</f>
        <v>235.24820499999987</v>
      </c>
      <c r="AK187" s="371">
        <f t="shared" si="83"/>
        <v>61.190691451687748</v>
      </c>
      <c r="AL187" s="372">
        <v>-4.75</v>
      </c>
      <c r="AM187" s="352">
        <v>-5.65</v>
      </c>
      <c r="AN187" s="352">
        <f>AM187-AL187</f>
        <v>-0.90000000000000036</v>
      </c>
      <c r="AO187" s="371">
        <f t="shared" si="84"/>
        <v>-0.23410007445760966</v>
      </c>
      <c r="AP187" s="341">
        <v>94.9</v>
      </c>
      <c r="AQ187" s="341">
        <v>93.6</v>
      </c>
      <c r="AR187" s="341">
        <f>AQ187-AP187</f>
        <v>-1.3000000000000114</v>
      </c>
      <c r="AS187" s="372">
        <v>67074.3</v>
      </c>
      <c r="AT187" s="352">
        <v>67075.5</v>
      </c>
      <c r="AU187" s="383">
        <f>AT187-AS187</f>
        <v>1.1999999999970896</v>
      </c>
      <c r="AV187" s="341"/>
      <c r="AW187" s="341"/>
      <c r="AX187" s="341"/>
      <c r="AY187" s="341"/>
      <c r="AZ187" s="362" t="s">
        <v>686</v>
      </c>
      <c r="BA187" s="550">
        <v>1483.2735807700001</v>
      </c>
      <c r="BB187" s="550">
        <v>-2.0723929700000001</v>
      </c>
      <c r="BC187" s="550">
        <v>3345.3718033800001</v>
      </c>
      <c r="BD187" s="550">
        <v>3416.1682337900002</v>
      </c>
      <c r="BE187" s="550">
        <v>2.9551577500000001</v>
      </c>
      <c r="BF187" s="550">
        <v>3.0186969000000001</v>
      </c>
      <c r="BG187" s="550">
        <v>-0.40045963000000001</v>
      </c>
      <c r="BH187" s="550">
        <v>3.8443734200000002</v>
      </c>
      <c r="BI187" s="550">
        <v>3.8598304799999998</v>
      </c>
      <c r="BJ187" s="550">
        <v>-1.74104028</v>
      </c>
      <c r="BK187" s="550">
        <v>-2.10485356</v>
      </c>
      <c r="BL187" s="550">
        <v>0.71450228999999998</v>
      </c>
      <c r="BM187" s="550"/>
      <c r="BN187" s="550"/>
      <c r="BO187" s="550"/>
      <c r="BP187" s="550"/>
      <c r="BQ187" s="550"/>
      <c r="BR187" s="550"/>
      <c r="BS187" s="550"/>
    </row>
    <row r="188" spans="1:71" s="577" customFormat="1" ht="15" customHeight="1" x14ac:dyDescent="0.2">
      <c r="A188" s="404">
        <f t="shared" ref="A188:A195" si="85">A187</f>
        <v>62008028</v>
      </c>
      <c r="B188" s="403" t="s">
        <v>629</v>
      </c>
      <c r="C188" s="403" t="s">
        <v>775</v>
      </c>
      <c r="D188" s="402" t="s">
        <v>718</v>
      </c>
      <c r="E188" s="346" t="s">
        <v>891</v>
      </c>
      <c r="F188" s="346" t="str">
        <f t="shared" si="60"/>
        <v>08/11/20</v>
      </c>
      <c r="G188" s="362" t="s">
        <v>892</v>
      </c>
      <c r="H188" s="362" t="s">
        <v>685</v>
      </c>
      <c r="I188" s="370"/>
      <c r="J188" s="364">
        <f>AVERAGE(J186:J187)</f>
        <v>34.273290000000003</v>
      </c>
      <c r="K188" s="364">
        <f>AVERAGE(K186:K187)</f>
        <v>44.525222499999998</v>
      </c>
      <c r="L188" s="364">
        <f>AVERAGE(L186:L187)</f>
        <v>29.276159499999999</v>
      </c>
      <c r="M188" s="364">
        <f>AVERAGE(M186:M187)</f>
        <v>38.337086999999997</v>
      </c>
      <c r="N188" s="349"/>
      <c r="O188" s="347"/>
      <c r="P188" s="366"/>
      <c r="Q188" s="365"/>
      <c r="R188" s="350">
        <f>R187+R186</f>
        <v>7.4267238399999993</v>
      </c>
      <c r="S188" s="350">
        <f>S187</f>
        <v>7.4267238399999993</v>
      </c>
      <c r="T188" s="381">
        <f>T186</f>
        <v>96.2</v>
      </c>
      <c r="U188" s="381">
        <f>U187</f>
        <v>93.6</v>
      </c>
      <c r="V188" s="353">
        <f>V186</f>
        <v>-370</v>
      </c>
      <c r="W188" s="353">
        <f>W187</f>
        <v>1527</v>
      </c>
      <c r="X188" s="353">
        <f>SUM(X186:X187)</f>
        <v>1896.5380720000001</v>
      </c>
      <c r="Y188" s="353">
        <f t="shared" si="80"/>
        <v>255.36671523792654</v>
      </c>
      <c r="Z188" s="353">
        <f>Z186</f>
        <v>2584.4243670000001</v>
      </c>
      <c r="AA188" s="353">
        <f>AA187</f>
        <v>2726.1337159999998</v>
      </c>
      <c r="AB188" s="353">
        <f>SUM(AB186:AB187)</f>
        <v>141.68969099999958</v>
      </c>
      <c r="AC188" s="351">
        <f t="shared" si="81"/>
        <v>19.078357301622731</v>
      </c>
      <c r="AD188" s="353">
        <f>AD186</f>
        <v>-39.154367000000001</v>
      </c>
      <c r="AE188" s="353">
        <f>AE187</f>
        <v>-41.43</v>
      </c>
      <c r="AF188" s="353">
        <f>SUM(AF186:AF187)</f>
        <v>-2.2756329999999991</v>
      </c>
      <c r="AG188" s="351">
        <f t="shared" si="82"/>
        <v>-0.30641142030131008</v>
      </c>
      <c r="AH188" s="353">
        <f>AH186</f>
        <v>5006.2</v>
      </c>
      <c r="AI188" s="353">
        <f>AI187</f>
        <v>5461.5685569999996</v>
      </c>
      <c r="AJ188" s="353">
        <f>SUM(AJ186:AJ187)</f>
        <v>455.29820500000005</v>
      </c>
      <c r="AK188" s="351">
        <f t="shared" si="83"/>
        <v>61.305390480225547</v>
      </c>
      <c r="AL188" s="353">
        <f>AL186</f>
        <v>-4.3499999999999996</v>
      </c>
      <c r="AM188" s="353">
        <f>AM187</f>
        <v>-5.65</v>
      </c>
      <c r="AN188" s="353">
        <f>SUM(AN186:AN187)</f>
        <v>-1.2710250000000007</v>
      </c>
      <c r="AO188" s="351">
        <f t="shared" si="84"/>
        <v>-0.17114208463687816</v>
      </c>
      <c r="AP188" s="343"/>
      <c r="AQ188" s="343"/>
      <c r="AR188" s="343">
        <f>SUM(AR186:AR187)</f>
        <v>-2.6000000000000085</v>
      </c>
      <c r="AS188" s="353">
        <f>AS186</f>
        <v>67073.7</v>
      </c>
      <c r="AT188" s="353">
        <f>AT187</f>
        <v>67075.5</v>
      </c>
      <c r="AU188" s="384">
        <f>SUM(AU186:AU187)</f>
        <v>1.8000000000029104</v>
      </c>
      <c r="AV188" s="343"/>
      <c r="AW188" s="343"/>
      <c r="AX188" s="343"/>
      <c r="AY188" s="343"/>
      <c r="AZ188" s="362" t="s">
        <v>686</v>
      </c>
      <c r="BA188" s="550"/>
      <c r="BB188" s="550"/>
      <c r="BC188" s="550"/>
      <c r="BD188" s="550"/>
      <c r="BE188" s="550"/>
      <c r="BF188" s="550"/>
      <c r="BG188" s="550"/>
      <c r="BH188" s="550"/>
      <c r="BI188" s="550"/>
      <c r="BJ188" s="550"/>
      <c r="BK188" s="550"/>
      <c r="BL188" s="550"/>
      <c r="BM188" s="550"/>
      <c r="BN188" s="550"/>
      <c r="BO188" s="550"/>
      <c r="BP188" s="550"/>
      <c r="BQ188" s="550"/>
      <c r="BR188" s="550"/>
      <c r="BS188" s="550"/>
    </row>
    <row r="189" spans="1:71" s="577" customFormat="1" ht="15" customHeight="1" x14ac:dyDescent="0.2">
      <c r="A189" s="404">
        <f t="shared" si="85"/>
        <v>62008028</v>
      </c>
      <c r="B189" s="403" t="s">
        <v>630</v>
      </c>
      <c r="C189" s="403" t="s">
        <v>776</v>
      </c>
      <c r="D189" s="402" t="s">
        <v>718</v>
      </c>
      <c r="E189" s="346" t="s">
        <v>891</v>
      </c>
      <c r="F189" s="346" t="str">
        <f t="shared" si="60"/>
        <v>08/11/20</v>
      </c>
      <c r="G189" s="362" t="s">
        <v>892</v>
      </c>
      <c r="H189" s="362" t="s">
        <v>685</v>
      </c>
      <c r="I189" s="370"/>
      <c r="J189" s="363">
        <v>37.256883999999999</v>
      </c>
      <c r="K189" s="363">
        <v>32.366238000000003</v>
      </c>
      <c r="L189" s="363">
        <v>29.281739999999999</v>
      </c>
      <c r="M189" s="363">
        <v>40.891415000000002</v>
      </c>
      <c r="N189" s="347">
        <v>4250</v>
      </c>
      <c r="O189" s="347">
        <v>30.36</v>
      </c>
      <c r="P189" s="347">
        <v>0.3201</v>
      </c>
      <c r="Q189" s="347">
        <v>1.9560000000000001E-2</v>
      </c>
      <c r="R189" s="348">
        <v>10.245792460000001</v>
      </c>
      <c r="S189" s="348">
        <f>R189+R188</f>
        <v>17.672516299999998</v>
      </c>
      <c r="T189" s="380">
        <v>93.6</v>
      </c>
      <c r="U189" s="380">
        <v>90.2</v>
      </c>
      <c r="V189" s="352">
        <v>1533</v>
      </c>
      <c r="W189" s="352">
        <v>3823</v>
      </c>
      <c r="X189" s="352">
        <f>W189-V189</f>
        <v>2290</v>
      </c>
      <c r="Y189" s="352">
        <f t="shared" si="80"/>
        <v>223.50638166254637</v>
      </c>
      <c r="Z189" s="372">
        <v>2727.8737510000001</v>
      </c>
      <c r="AA189" s="352">
        <v>2788.3632910000001</v>
      </c>
      <c r="AB189" s="352">
        <f>AA189-Z189</f>
        <v>60.489540000000034</v>
      </c>
      <c r="AC189" s="371">
        <f t="shared" si="81"/>
        <v>5.9038420147737432</v>
      </c>
      <c r="AD189" s="372">
        <v>-41.46</v>
      </c>
      <c r="AE189" s="352">
        <v>-41.86</v>
      </c>
      <c r="AF189" s="352">
        <f>AE189-AD189</f>
        <v>-0.39999999999999858</v>
      </c>
      <c r="AG189" s="371">
        <f t="shared" si="82"/>
        <v>-3.9040416010924991E-2</v>
      </c>
      <c r="AH189" s="372">
        <v>5465.1187440000003</v>
      </c>
      <c r="AI189" s="352">
        <v>5601.15</v>
      </c>
      <c r="AJ189" s="352">
        <f>AI189-AH189</f>
        <v>136.0312559999993</v>
      </c>
      <c r="AK189" s="371">
        <f t="shared" si="83"/>
        <v>13.27679206182157</v>
      </c>
      <c r="AL189" s="372">
        <v>-5.7</v>
      </c>
      <c r="AM189" s="352">
        <v>-7.5</v>
      </c>
      <c r="AN189" s="352">
        <f>AM189-AL189</f>
        <v>-1.7999999999999998</v>
      </c>
      <c r="AO189" s="371">
        <f t="shared" si="84"/>
        <v>-0.17568187204916308</v>
      </c>
      <c r="AP189" s="341">
        <v>93.6</v>
      </c>
      <c r="AQ189" s="341">
        <v>90.2</v>
      </c>
      <c r="AR189" s="341">
        <f>AQ189-AP189</f>
        <v>-3.3999999999999915</v>
      </c>
      <c r="AS189" s="372">
        <v>67075.5</v>
      </c>
      <c r="AT189" s="352">
        <v>67076.5</v>
      </c>
      <c r="AU189" s="383">
        <f>AT189-AS189</f>
        <v>1</v>
      </c>
      <c r="AV189" s="341"/>
      <c r="AW189" s="341"/>
      <c r="AX189" s="341"/>
      <c r="AY189" s="341"/>
      <c r="AZ189" s="362" t="s">
        <v>686</v>
      </c>
      <c r="BA189" s="550">
        <v>1945.4917455499999</v>
      </c>
      <c r="BB189" s="550">
        <v>-0.76978612999999996</v>
      </c>
      <c r="BC189" s="550">
        <v>1296.66951784</v>
      </c>
      <c r="BD189" s="550">
        <v>1306.72853285</v>
      </c>
      <c r="BE189" s="550">
        <v>7.9695137899999997</v>
      </c>
      <c r="BF189" s="550">
        <v>8.0200784699999996</v>
      </c>
      <c r="BG189" s="550">
        <v>-0.10533539</v>
      </c>
      <c r="BH189" s="550">
        <v>10.24587644</v>
      </c>
      <c r="BI189" s="550">
        <v>10.25668035</v>
      </c>
      <c r="BJ189" s="550">
        <v>-0.52847266000000004</v>
      </c>
      <c r="BK189" s="550">
        <v>-0.63047615000000001</v>
      </c>
      <c r="BL189" s="550">
        <v>0.28276711999999998</v>
      </c>
      <c r="BM189" s="550"/>
      <c r="BN189" s="550"/>
      <c r="BO189" s="550"/>
      <c r="BP189" s="550"/>
      <c r="BQ189" s="550"/>
      <c r="BR189" s="550"/>
      <c r="BS189" s="550"/>
    </row>
    <row r="190" spans="1:71" s="577" customFormat="1" ht="15" customHeight="1" x14ac:dyDescent="0.2">
      <c r="A190" s="404">
        <f t="shared" si="85"/>
        <v>62008028</v>
      </c>
      <c r="B190" s="403" t="s">
        <v>631</v>
      </c>
      <c r="C190" s="403" t="s">
        <v>777</v>
      </c>
      <c r="D190" s="402" t="s">
        <v>718</v>
      </c>
      <c r="E190" s="346" t="s">
        <v>891</v>
      </c>
      <c r="F190" s="346" t="str">
        <f t="shared" si="60"/>
        <v>08/11/20</v>
      </c>
      <c r="G190" s="362" t="s">
        <v>892</v>
      </c>
      <c r="H190" s="362" t="s">
        <v>685</v>
      </c>
      <c r="I190" s="370"/>
      <c r="J190" s="363">
        <v>32.721080000000001</v>
      </c>
      <c r="K190" s="363">
        <v>60.029060999999999</v>
      </c>
      <c r="L190" s="363">
        <v>29.281462999999999</v>
      </c>
      <c r="M190" s="363">
        <v>40.176879999999997</v>
      </c>
      <c r="N190" s="347">
        <v>4250</v>
      </c>
      <c r="O190" s="347">
        <v>30.36</v>
      </c>
      <c r="P190" s="347">
        <v>0.3201</v>
      </c>
      <c r="Q190" s="347">
        <v>1.9560000000000001E-2</v>
      </c>
      <c r="R190" s="348">
        <v>3.5824557800000001</v>
      </c>
      <c r="S190" s="348">
        <f>R190+R189</f>
        <v>13.828248240000001</v>
      </c>
      <c r="T190" s="380">
        <v>90.2</v>
      </c>
      <c r="U190" s="380">
        <v>89</v>
      </c>
      <c r="V190" s="352">
        <v>3829</v>
      </c>
      <c r="W190" s="352">
        <v>4629</v>
      </c>
      <c r="X190" s="352">
        <f>W190-V190</f>
        <v>800</v>
      </c>
      <c r="Y190" s="352">
        <f t="shared" si="80"/>
        <v>223.31050238392615</v>
      </c>
      <c r="Z190" s="372">
        <v>2792.1728549999998</v>
      </c>
      <c r="AA190" s="352">
        <v>2835.2726929999999</v>
      </c>
      <c r="AB190" s="352">
        <f>AA190-Z190</f>
        <v>43.099838000000091</v>
      </c>
      <c r="AC190" s="371">
        <f t="shared" si="81"/>
        <v>12.030808095557314</v>
      </c>
      <c r="AD190" s="372">
        <v>-40.049999999999997</v>
      </c>
      <c r="AE190" s="352">
        <v>-40.909999999999997</v>
      </c>
      <c r="AF190" s="352">
        <f>AE190-AD190</f>
        <v>-0.85999999999999943</v>
      </c>
      <c r="AG190" s="371">
        <f t="shared" si="82"/>
        <v>-0.24005879006272043</v>
      </c>
      <c r="AH190" s="372">
        <v>5601.75</v>
      </c>
      <c r="AI190" s="352">
        <v>5688.9</v>
      </c>
      <c r="AJ190" s="352">
        <f>AI190-AH190</f>
        <v>87.149999999999636</v>
      </c>
      <c r="AK190" s="371">
        <f t="shared" si="83"/>
        <v>24.326887853448852</v>
      </c>
      <c r="AL190" s="372">
        <v>-7.5</v>
      </c>
      <c r="AM190" s="352">
        <v>-10.95</v>
      </c>
      <c r="AN190" s="352">
        <f>AM190-AL190</f>
        <v>-3.4499999999999993</v>
      </c>
      <c r="AO190" s="371">
        <f t="shared" si="84"/>
        <v>-0.96302654153068123</v>
      </c>
      <c r="AP190" s="341">
        <v>90.2</v>
      </c>
      <c r="AQ190" s="341">
        <v>89</v>
      </c>
      <c r="AR190" s="341">
        <f>AQ190-AP190</f>
        <v>-1.2000000000000028</v>
      </c>
      <c r="AS190" s="372">
        <v>67077.3</v>
      </c>
      <c r="AT190" s="352">
        <v>67077.899999999994</v>
      </c>
      <c r="AU190" s="383">
        <f>AT190-AS190</f>
        <v>0.59999999999126885</v>
      </c>
      <c r="AV190" s="341"/>
      <c r="AW190" s="341"/>
      <c r="AX190" s="341"/>
      <c r="AY190" s="341"/>
      <c r="AZ190" s="362" t="s">
        <v>686</v>
      </c>
      <c r="BA190" s="550">
        <v>2410.78615562</v>
      </c>
      <c r="BB190" s="550">
        <v>-2.15656691</v>
      </c>
      <c r="BC190" s="550">
        <v>2004.4748774899999</v>
      </c>
      <c r="BD190" s="550">
        <v>2048.6555042099999</v>
      </c>
      <c r="BE190" s="550">
        <v>3.2103204600000002</v>
      </c>
      <c r="BF190" s="550">
        <v>3.25828841</v>
      </c>
      <c r="BG190" s="550">
        <v>-0.23833260000000001</v>
      </c>
      <c r="BH190" s="550">
        <v>3.5824210999999999</v>
      </c>
      <c r="BI190" s="550">
        <v>3.5909795799999999</v>
      </c>
      <c r="BJ190" s="550">
        <v>-1.2522857000000001</v>
      </c>
      <c r="BK190" s="550">
        <v>-1.4721823700000001</v>
      </c>
      <c r="BL190" s="550">
        <v>0.59036215000000003</v>
      </c>
      <c r="BM190" s="550"/>
      <c r="BN190" s="550"/>
      <c r="BO190" s="550"/>
      <c r="BP190" s="550"/>
      <c r="BQ190" s="550"/>
      <c r="BR190" s="550"/>
      <c r="BS190" s="550"/>
    </row>
    <row r="191" spans="1:71" s="577" customFormat="1" ht="15" customHeight="1" x14ac:dyDescent="0.2">
      <c r="A191" s="404">
        <f t="shared" si="85"/>
        <v>62008028</v>
      </c>
      <c r="B191" s="403" t="s">
        <v>225</v>
      </c>
      <c r="C191" s="403" t="s">
        <v>778</v>
      </c>
      <c r="D191" s="402" t="s">
        <v>718</v>
      </c>
      <c r="E191" s="346" t="s">
        <v>891</v>
      </c>
      <c r="F191" s="346" t="str">
        <f t="shared" si="60"/>
        <v>08/11/20</v>
      </c>
      <c r="G191" s="362" t="s">
        <v>892</v>
      </c>
      <c r="H191" s="362" t="s">
        <v>685</v>
      </c>
      <c r="I191" s="370"/>
      <c r="J191" s="363">
        <v>32.289558999999997</v>
      </c>
      <c r="K191" s="363">
        <v>49.485818999999999</v>
      </c>
      <c r="L191" s="363">
        <v>29.285350000000001</v>
      </c>
      <c r="M191" s="363">
        <v>39.781322000000003</v>
      </c>
      <c r="N191" s="347">
        <v>4250</v>
      </c>
      <c r="O191" s="347">
        <v>30.36</v>
      </c>
      <c r="P191" s="347">
        <v>0.3201</v>
      </c>
      <c r="Q191" s="347">
        <v>1.9560000000000001E-2</v>
      </c>
      <c r="R191" s="348">
        <v>3.8443687299999998</v>
      </c>
      <c r="S191" s="348">
        <f>R191+R190</f>
        <v>7.4268245099999994</v>
      </c>
      <c r="T191" s="380">
        <v>89</v>
      </c>
      <c r="U191" s="380">
        <v>87.8</v>
      </c>
      <c r="V191" s="352">
        <v>4629</v>
      </c>
      <c r="W191" s="352">
        <v>5388</v>
      </c>
      <c r="X191" s="352">
        <f>W191-V191</f>
        <v>759</v>
      </c>
      <c r="Y191" s="352">
        <f t="shared" si="80"/>
        <v>197.43163398376723</v>
      </c>
      <c r="Z191" s="372">
        <v>2835.2927599999998</v>
      </c>
      <c r="AA191" s="352">
        <v>2911.2022609999999</v>
      </c>
      <c r="AB191" s="352">
        <f>AA191-Z191</f>
        <v>75.909501000000091</v>
      </c>
      <c r="AC191" s="371">
        <f t="shared" si="81"/>
        <v>19.745634805431397</v>
      </c>
      <c r="AD191" s="372">
        <v>-40.909999999999997</v>
      </c>
      <c r="AE191" s="352">
        <v>-41.74</v>
      </c>
      <c r="AF191" s="352">
        <f>AE191-AD191</f>
        <v>-0.8300000000000054</v>
      </c>
      <c r="AG191" s="371">
        <f t="shared" si="82"/>
        <v>-0.21590020580570204</v>
      </c>
      <c r="AH191" s="372">
        <v>5688.95</v>
      </c>
      <c r="AI191" s="352">
        <v>5800.2</v>
      </c>
      <c r="AJ191" s="352">
        <f>AI191-AH191</f>
        <v>111.25</v>
      </c>
      <c r="AK191" s="371">
        <f t="shared" si="83"/>
        <v>28.938431199860478</v>
      </c>
      <c r="AL191" s="372">
        <v>-10.95</v>
      </c>
      <c r="AM191" s="352">
        <v>-16.45</v>
      </c>
      <c r="AN191" s="352">
        <f>AM191-AL191</f>
        <v>-5.5</v>
      </c>
      <c r="AO191" s="371">
        <f t="shared" si="84"/>
        <v>-1.4306640143751248</v>
      </c>
      <c r="AP191" s="341">
        <v>89</v>
      </c>
      <c r="AQ191" s="341">
        <v>87.8</v>
      </c>
      <c r="AR191" s="341">
        <f>AQ191-AP191</f>
        <v>-1.2000000000000028</v>
      </c>
      <c r="AS191" s="372">
        <v>67077.899999999994</v>
      </c>
      <c r="AT191" s="352">
        <v>67079.100000000006</v>
      </c>
      <c r="AU191" s="383">
        <f>AT191-AS191</f>
        <v>1.2000000000116415</v>
      </c>
      <c r="AV191" s="341"/>
      <c r="AW191" s="341"/>
      <c r="AX191" s="341"/>
      <c r="AY191" s="341"/>
      <c r="AZ191" s="362" t="s">
        <v>686</v>
      </c>
      <c r="BA191" s="550">
        <v>1481.7189403100001</v>
      </c>
      <c r="BB191" s="550">
        <v>-2.0619456399999998</v>
      </c>
      <c r="BC191" s="550">
        <v>3345.55083208</v>
      </c>
      <c r="BD191" s="550">
        <v>3415.9866193500002</v>
      </c>
      <c r="BE191" s="550">
        <v>2.9549714200000001</v>
      </c>
      <c r="BF191" s="550">
        <v>3.018418</v>
      </c>
      <c r="BG191" s="550">
        <v>-0.40458703000000001</v>
      </c>
      <c r="BH191" s="550">
        <v>3.8442131900000001</v>
      </c>
      <c r="BI191" s="550">
        <v>3.8598295600000001</v>
      </c>
      <c r="BJ191" s="550">
        <v>-1.7338389999999999</v>
      </c>
      <c r="BK191" s="550">
        <v>-2.10198106</v>
      </c>
      <c r="BL191" s="550">
        <v>0.71451556999999999</v>
      </c>
      <c r="BM191" s="550"/>
      <c r="BN191" s="550"/>
      <c r="BO191" s="550"/>
      <c r="BP191" s="550"/>
      <c r="BQ191" s="550"/>
      <c r="BR191" s="550"/>
      <c r="BS191" s="550"/>
    </row>
    <row r="192" spans="1:71" s="577" customFormat="1" ht="15" customHeight="1" x14ac:dyDescent="0.2">
      <c r="A192" s="404">
        <f t="shared" si="85"/>
        <v>62008028</v>
      </c>
      <c r="B192" s="403" t="s">
        <v>632</v>
      </c>
      <c r="C192" s="403" t="s">
        <v>779</v>
      </c>
      <c r="D192" s="402" t="s">
        <v>718</v>
      </c>
      <c r="E192" s="346" t="s">
        <v>891</v>
      </c>
      <c r="F192" s="346" t="str">
        <f t="shared" si="60"/>
        <v>08/11/20</v>
      </c>
      <c r="G192" s="362" t="s">
        <v>892</v>
      </c>
      <c r="H192" s="362" t="s">
        <v>685</v>
      </c>
      <c r="I192" s="370"/>
      <c r="J192" s="364">
        <f>AVERAGE(J190:J191)</f>
        <v>32.505319499999999</v>
      </c>
      <c r="K192" s="364">
        <f>AVERAGE(K190:K191)</f>
        <v>54.757440000000003</v>
      </c>
      <c r="L192" s="364">
        <f>AVERAGE(L190:L191)</f>
        <v>29.283406499999998</v>
      </c>
      <c r="M192" s="364">
        <f>AVERAGE(M190:M191)</f>
        <v>39.979101</v>
      </c>
      <c r="N192" s="349"/>
      <c r="O192" s="347"/>
      <c r="P192" s="366"/>
      <c r="Q192" s="365"/>
      <c r="R192" s="350">
        <f>R191+R190</f>
        <v>7.4268245099999994</v>
      </c>
      <c r="S192" s="350">
        <f>S191</f>
        <v>7.4268245099999994</v>
      </c>
      <c r="T192" s="381">
        <f>T190</f>
        <v>90.2</v>
      </c>
      <c r="U192" s="381">
        <f>U191</f>
        <v>87.8</v>
      </c>
      <c r="V192" s="353">
        <f>V190</f>
        <v>3829</v>
      </c>
      <c r="W192" s="353">
        <f>W191</f>
        <v>5388</v>
      </c>
      <c r="X192" s="353">
        <f>SUM(X190:X191)</f>
        <v>1559</v>
      </c>
      <c r="Y192" s="353">
        <f t="shared" si="80"/>
        <v>209.91474861171858</v>
      </c>
      <c r="Z192" s="353">
        <f>Z190</f>
        <v>2792.1728549999998</v>
      </c>
      <c r="AA192" s="353">
        <f>AA191</f>
        <v>2911.2022609999999</v>
      </c>
      <c r="AB192" s="353">
        <f>SUM(AB190:AB191)</f>
        <v>119.00933900000018</v>
      </c>
      <c r="AC192" s="351">
        <f t="shared" si="81"/>
        <v>16.024256240302652</v>
      </c>
      <c r="AD192" s="353">
        <f>AD190</f>
        <v>-40.049999999999997</v>
      </c>
      <c r="AE192" s="353">
        <f>AE191</f>
        <v>-41.74</v>
      </c>
      <c r="AF192" s="353">
        <f>SUM(AF190:AF191)</f>
        <v>-1.6900000000000048</v>
      </c>
      <c r="AG192" s="351">
        <f t="shared" si="82"/>
        <v>-0.2275535119652376</v>
      </c>
      <c r="AH192" s="353">
        <f>AH190</f>
        <v>5601.75</v>
      </c>
      <c r="AI192" s="353">
        <f>AI191</f>
        <v>5800.2</v>
      </c>
      <c r="AJ192" s="353">
        <f>SUM(AJ190:AJ191)</f>
        <v>198.39999999999964</v>
      </c>
      <c r="AK192" s="351">
        <f t="shared" si="83"/>
        <v>26.713974422427768</v>
      </c>
      <c r="AL192" s="353">
        <f>AL190</f>
        <v>-7.5</v>
      </c>
      <c r="AM192" s="353">
        <f>AM191</f>
        <v>-16.45</v>
      </c>
      <c r="AN192" s="353">
        <f>SUM(AN190:AN191)</f>
        <v>-8.9499999999999993</v>
      </c>
      <c r="AO192" s="351">
        <f t="shared" si="84"/>
        <v>-1.2050910840762548</v>
      </c>
      <c r="AP192" s="343"/>
      <c r="AQ192" s="343"/>
      <c r="AR192" s="343">
        <f>SUM(AR190:AR191)</f>
        <v>-2.4000000000000057</v>
      </c>
      <c r="AS192" s="353">
        <f>AS190</f>
        <v>67077.3</v>
      </c>
      <c r="AT192" s="353">
        <f>AT191</f>
        <v>67079.100000000006</v>
      </c>
      <c r="AU192" s="384">
        <f>SUM(AU190:AU191)</f>
        <v>1.8000000000029104</v>
      </c>
      <c r="AV192" s="343"/>
      <c r="AW192" s="343"/>
      <c r="AX192" s="343"/>
      <c r="AY192" s="343"/>
      <c r="AZ192" s="362" t="s">
        <v>686</v>
      </c>
      <c r="BA192" s="550"/>
      <c r="BB192" s="550"/>
      <c r="BC192" s="550"/>
      <c r="BD192" s="550"/>
      <c r="BE192" s="550"/>
      <c r="BF192" s="550"/>
      <c r="BG192" s="550"/>
      <c r="BH192" s="550"/>
      <c r="BI192" s="550"/>
      <c r="BJ192" s="550"/>
      <c r="BK192" s="550"/>
      <c r="BL192" s="550"/>
      <c r="BM192" s="550"/>
      <c r="BN192" s="550"/>
      <c r="BO192" s="550"/>
      <c r="BP192" s="550"/>
      <c r="BQ192" s="550"/>
      <c r="BR192" s="550"/>
      <c r="BS192" s="550"/>
    </row>
    <row r="193" spans="1:71" s="577" customFormat="1" ht="15" customHeight="1" x14ac:dyDescent="0.2">
      <c r="A193" s="404">
        <f t="shared" si="85"/>
        <v>62008028</v>
      </c>
      <c r="B193" s="403" t="s">
        <v>633</v>
      </c>
      <c r="C193" s="403" t="s">
        <v>780</v>
      </c>
      <c r="D193" s="402" t="s">
        <v>718</v>
      </c>
      <c r="E193" s="346" t="s">
        <v>891</v>
      </c>
      <c r="F193" s="346" t="str">
        <f t="shared" si="60"/>
        <v>08/11/20</v>
      </c>
      <c r="G193" s="362" t="s">
        <v>892</v>
      </c>
      <c r="H193" s="362" t="s">
        <v>685</v>
      </c>
      <c r="I193" s="370"/>
      <c r="J193" s="363">
        <v>34.306015000000002</v>
      </c>
      <c r="K193" s="363">
        <v>37.574052000000002</v>
      </c>
      <c r="L193" s="363">
        <v>29.289152999999999</v>
      </c>
      <c r="M193" s="363">
        <v>41.598604000000002</v>
      </c>
      <c r="N193" s="347">
        <v>4250</v>
      </c>
      <c r="O193" s="347">
        <v>30.36</v>
      </c>
      <c r="P193" s="347">
        <v>0.3201</v>
      </c>
      <c r="Q193" s="347">
        <v>1.9560000000000001E-2</v>
      </c>
      <c r="R193" s="348">
        <v>1.7662677200000001</v>
      </c>
      <c r="S193" s="348">
        <f>R193+R192</f>
        <v>9.1930922299999995</v>
      </c>
      <c r="T193" s="380">
        <v>87.8</v>
      </c>
      <c r="U193" s="380">
        <v>84.1</v>
      </c>
      <c r="V193" s="352">
        <v>5411</v>
      </c>
      <c r="W193" s="352">
        <v>7826</v>
      </c>
      <c r="X193" s="352">
        <f>W193-V193-X194</f>
        <v>568</v>
      </c>
      <c r="Y193" s="352">
        <f t="shared" si="80"/>
        <v>321.58205325747559</v>
      </c>
      <c r="Z193" s="372">
        <v>2920.7</v>
      </c>
      <c r="AA193" s="352">
        <v>2966.5618760000002</v>
      </c>
      <c r="AB193" s="352">
        <f>AA193-Z193-AB194</f>
        <v>19.642026000000442</v>
      </c>
      <c r="AC193" s="371">
        <f t="shared" si="81"/>
        <v>11.120639174677574</v>
      </c>
      <c r="AD193" s="372">
        <v>-41.89</v>
      </c>
      <c r="AE193" s="352">
        <v>-42.24</v>
      </c>
      <c r="AF193" s="352">
        <f>AE193-AD193-AF194</f>
        <v>-0.14000000000000767</v>
      </c>
      <c r="AG193" s="371">
        <f t="shared" si="82"/>
        <v>-7.9263182140931421E-2</v>
      </c>
      <c r="AH193" s="372">
        <v>5812.5</v>
      </c>
      <c r="AI193" s="352">
        <v>5900.5</v>
      </c>
      <c r="AJ193" s="352">
        <f>AI193-AH193-AJ194</f>
        <v>32.649999999999636</v>
      </c>
      <c r="AK193" s="371">
        <f t="shared" si="83"/>
        <v>18.485306406437431</v>
      </c>
      <c r="AL193" s="372">
        <v>-16.600000000000001</v>
      </c>
      <c r="AM193" s="352">
        <v>-20.95</v>
      </c>
      <c r="AN193" s="352">
        <f>AM193-AL193-AN194</f>
        <v>-1.3499999999999979</v>
      </c>
      <c r="AO193" s="371">
        <f t="shared" si="84"/>
        <v>-0.76432354207322417</v>
      </c>
      <c r="AP193" s="341">
        <v>87.8</v>
      </c>
      <c r="AQ193" s="341">
        <v>84.1</v>
      </c>
      <c r="AR193" s="341">
        <f>AQ193-AP193-AR194</f>
        <v>-0.90000000000000568</v>
      </c>
      <c r="AS193" s="372">
        <v>67079.199999999997</v>
      </c>
      <c r="AT193" s="352">
        <v>67080</v>
      </c>
      <c r="AU193" s="383">
        <f>AT193-AS193-AU194</f>
        <v>0.39999999999417923</v>
      </c>
      <c r="AV193" s="341"/>
      <c r="AW193" s="341"/>
      <c r="AX193" s="341"/>
      <c r="AY193" s="341"/>
      <c r="AZ193" s="362" t="s">
        <v>686</v>
      </c>
      <c r="BA193" s="550">
        <v>5560.0867787099996</v>
      </c>
      <c r="BB193" s="550">
        <v>-1.2946325999999999</v>
      </c>
      <c r="BC193" s="550">
        <v>2427.4287244799998</v>
      </c>
      <c r="BD193" s="550">
        <v>2459.26719938</v>
      </c>
      <c r="BE193" s="550">
        <v>3.1643820100000002</v>
      </c>
      <c r="BF193" s="550">
        <v>3.20770336</v>
      </c>
      <c r="BG193" s="550">
        <v>-0.33039362</v>
      </c>
      <c r="BH193" s="550">
        <v>1.76624983</v>
      </c>
      <c r="BI193" s="550">
        <v>1.77210475</v>
      </c>
      <c r="BJ193" s="550">
        <v>-1.0341134700000001</v>
      </c>
      <c r="BK193" s="550">
        <v>-1.35054096</v>
      </c>
      <c r="BL193" s="550">
        <v>0.81478119999999998</v>
      </c>
      <c r="BM193" s="550"/>
      <c r="BN193" s="550"/>
      <c r="BO193" s="550"/>
      <c r="BP193" s="550"/>
      <c r="BQ193" s="550"/>
      <c r="BR193" s="550"/>
      <c r="BS193" s="550"/>
    </row>
    <row r="194" spans="1:71" s="577" customFormat="1" ht="15" customHeight="1" x14ac:dyDescent="0.2">
      <c r="A194" s="404">
        <f t="shared" si="85"/>
        <v>62008028</v>
      </c>
      <c r="B194" s="403" t="s">
        <v>634</v>
      </c>
      <c r="C194" s="403" t="s">
        <v>781</v>
      </c>
      <c r="D194" s="402" t="s">
        <v>718</v>
      </c>
      <c r="E194" s="346" t="s">
        <v>891</v>
      </c>
      <c r="F194" s="346" t="str">
        <f t="shared" si="60"/>
        <v>08/11/20</v>
      </c>
      <c r="G194" s="362" t="s">
        <v>892</v>
      </c>
      <c r="H194" s="362" t="s">
        <v>685</v>
      </c>
      <c r="I194" s="370"/>
      <c r="J194" s="363">
        <v>38.496563000000002</v>
      </c>
      <c r="K194" s="363">
        <v>27.232306000000001</v>
      </c>
      <c r="L194" s="363">
        <v>29.307321999999999</v>
      </c>
      <c r="M194" s="363">
        <v>41.565685000000002</v>
      </c>
      <c r="N194" s="347">
        <v>4250</v>
      </c>
      <c r="O194" s="347">
        <v>30.36</v>
      </c>
      <c r="P194" s="347">
        <v>0.3201</v>
      </c>
      <c r="Q194" s="347">
        <v>1.9560000000000001E-2</v>
      </c>
      <c r="R194" s="348">
        <v>6.22736219</v>
      </c>
      <c r="S194" s="348">
        <f>R194+R193</f>
        <v>7.9936299100000001</v>
      </c>
      <c r="T194" s="380">
        <v>87.2</v>
      </c>
      <c r="U194" s="380">
        <v>84.4</v>
      </c>
      <c r="V194" s="352">
        <v>5784</v>
      </c>
      <c r="W194" s="352">
        <v>7631</v>
      </c>
      <c r="X194" s="352">
        <f>W194-V194</f>
        <v>1847</v>
      </c>
      <c r="Y194" s="352">
        <f t="shared" si="80"/>
        <v>296.59427919030355</v>
      </c>
      <c r="Z194" s="372">
        <v>2931.2021920000002</v>
      </c>
      <c r="AA194" s="352">
        <v>2957.4220420000001</v>
      </c>
      <c r="AB194" s="352">
        <f>AA194-Z194</f>
        <v>26.219849999999951</v>
      </c>
      <c r="AC194" s="371">
        <f t="shared" si="81"/>
        <v>4.2104263731607281</v>
      </c>
      <c r="AD194" s="372">
        <v>-41.95</v>
      </c>
      <c r="AE194" s="352">
        <v>-42.16</v>
      </c>
      <c r="AF194" s="352">
        <f>AE194-AD194</f>
        <v>-0.20999999999999375</v>
      </c>
      <c r="AG194" s="371">
        <f t="shared" si="82"/>
        <v>-3.3722143275561389E-2</v>
      </c>
      <c r="AH194" s="372">
        <v>5830.15</v>
      </c>
      <c r="AI194" s="352">
        <v>5885.5</v>
      </c>
      <c r="AJ194" s="352">
        <f>AI194-AH194</f>
        <v>55.350000000000364</v>
      </c>
      <c r="AK194" s="371">
        <f t="shared" si="83"/>
        <v>8.8881934776304323</v>
      </c>
      <c r="AL194" s="372">
        <v>-17.45</v>
      </c>
      <c r="AM194" s="352">
        <v>-20.45</v>
      </c>
      <c r="AN194" s="352">
        <f>AM194-AL194</f>
        <v>-3</v>
      </c>
      <c r="AO194" s="371">
        <f t="shared" si="84"/>
        <v>-0.48174490393660563</v>
      </c>
      <c r="AP194" s="341">
        <v>87.2</v>
      </c>
      <c r="AQ194" s="341">
        <v>84.4</v>
      </c>
      <c r="AR194" s="341">
        <f>AQ194-AP194</f>
        <v>-2.7999999999999972</v>
      </c>
      <c r="AS194" s="372">
        <v>67079.399999999994</v>
      </c>
      <c r="AT194" s="352">
        <v>67079.8</v>
      </c>
      <c r="AU194" s="383">
        <f>AT194-AS194</f>
        <v>0.40000000000873115</v>
      </c>
      <c r="AV194" s="341"/>
      <c r="AW194" s="341"/>
      <c r="AX194" s="341"/>
      <c r="AY194" s="341"/>
      <c r="AZ194" s="362" t="s">
        <v>686</v>
      </c>
      <c r="BA194" s="550">
        <v>11810.68402155</v>
      </c>
      <c r="BB194" s="550">
        <v>-9.4693178499999995</v>
      </c>
      <c r="BC194" s="550">
        <v>1030.4753634000001</v>
      </c>
      <c r="BD194" s="550">
        <v>1138.2609065700001</v>
      </c>
      <c r="BE194" s="550">
        <v>6.9214127999999997</v>
      </c>
      <c r="BF194" s="550">
        <v>7.0840808099999997</v>
      </c>
      <c r="BG194" s="550">
        <v>-0.11964115</v>
      </c>
      <c r="BH194" s="550">
        <v>6.2273985100000004</v>
      </c>
      <c r="BI194" s="550">
        <v>6.2348579600000003</v>
      </c>
      <c r="BJ194" s="550">
        <v>-2.2277610299999999</v>
      </c>
      <c r="BK194" s="550">
        <v>-2.2962472799999998</v>
      </c>
      <c r="BL194" s="550">
        <v>0.34891035999999997</v>
      </c>
      <c r="BM194" s="550"/>
      <c r="BN194" s="550"/>
      <c r="BO194" s="550"/>
      <c r="BP194" s="550"/>
      <c r="BQ194" s="550"/>
      <c r="BR194" s="550"/>
      <c r="BS194" s="550"/>
    </row>
    <row r="195" spans="1:71" s="577" customFormat="1" ht="15" customHeight="1" x14ac:dyDescent="0.2">
      <c r="A195" s="404">
        <f t="shared" si="85"/>
        <v>62008028</v>
      </c>
      <c r="B195" s="403" t="s">
        <v>635</v>
      </c>
      <c r="C195" s="403" t="s">
        <v>782</v>
      </c>
      <c r="D195" s="402" t="s">
        <v>718</v>
      </c>
      <c r="E195" s="346" t="s">
        <v>891</v>
      </c>
      <c r="F195" s="346" t="str">
        <f t="shared" si="60"/>
        <v>08/11/20</v>
      </c>
      <c r="G195" s="362" t="s">
        <v>892</v>
      </c>
      <c r="H195" s="362" t="s">
        <v>685</v>
      </c>
      <c r="I195" s="370"/>
      <c r="J195" s="364">
        <f>AVERAGE(J193:J194)</f>
        <v>36.401289000000006</v>
      </c>
      <c r="K195" s="364">
        <f>AVERAGE(K193:K194)</f>
        <v>32.403179000000002</v>
      </c>
      <c r="L195" s="364">
        <f>AVERAGE(L193:L194)</f>
        <v>29.298237499999999</v>
      </c>
      <c r="M195" s="364">
        <f>AVERAGE(M193:M194)</f>
        <v>41.582144499999998</v>
      </c>
      <c r="N195" s="349"/>
      <c r="O195" s="347"/>
      <c r="P195" s="366"/>
      <c r="Q195" s="365"/>
      <c r="R195" s="350">
        <f>R194+R193</f>
        <v>7.9936299100000001</v>
      </c>
      <c r="S195" s="350">
        <f>S194</f>
        <v>7.9936299100000001</v>
      </c>
      <c r="T195" s="381">
        <f>T193</f>
        <v>87.8</v>
      </c>
      <c r="U195" s="381">
        <f>U194</f>
        <v>84.4</v>
      </c>
      <c r="V195" s="353">
        <f>V193</f>
        <v>5411</v>
      </c>
      <c r="W195" s="353">
        <f>W194</f>
        <v>7631</v>
      </c>
      <c r="X195" s="353">
        <f>SUM(X193:X194)</f>
        <v>2415</v>
      </c>
      <c r="Y195" s="353">
        <f t="shared" si="80"/>
        <v>302.11556291577176</v>
      </c>
      <c r="Z195" s="353">
        <f>Z193</f>
        <v>2920.7</v>
      </c>
      <c r="AA195" s="353">
        <f>AA194</f>
        <v>2957.4220420000001</v>
      </c>
      <c r="AB195" s="353">
        <f>SUM(AB193:AB194)</f>
        <v>45.861876000000393</v>
      </c>
      <c r="AC195" s="351">
        <f t="shared" si="81"/>
        <v>5.7373028919724396</v>
      </c>
      <c r="AD195" s="353">
        <f>AD193</f>
        <v>-41.89</v>
      </c>
      <c r="AE195" s="353">
        <f>AE194</f>
        <v>-42.16</v>
      </c>
      <c r="AF195" s="353">
        <f>SUM(AF193:AF194)</f>
        <v>-0.35000000000000142</v>
      </c>
      <c r="AG195" s="351">
        <f t="shared" si="82"/>
        <v>-4.378486419069174E-2</v>
      </c>
      <c r="AH195" s="353">
        <f>AH193</f>
        <v>5812.5</v>
      </c>
      <c r="AI195" s="353">
        <f>AI194</f>
        <v>5885.5</v>
      </c>
      <c r="AJ195" s="353">
        <f>SUM(AJ193:AJ194)</f>
        <v>88</v>
      </c>
      <c r="AK195" s="351">
        <f t="shared" si="83"/>
        <v>11.008765853659591</v>
      </c>
      <c r="AL195" s="353">
        <f>AL193</f>
        <v>-16.600000000000001</v>
      </c>
      <c r="AM195" s="353">
        <f>AM194</f>
        <v>-20.45</v>
      </c>
      <c r="AN195" s="353">
        <f>SUM(AN193:AN194)</f>
        <v>-4.3499999999999979</v>
      </c>
      <c r="AO195" s="351">
        <f t="shared" si="84"/>
        <v>-0.54418331208430915</v>
      </c>
      <c r="AP195" s="343"/>
      <c r="AQ195" s="343"/>
      <c r="AR195" s="343">
        <f>SUM(AR193:AR194)</f>
        <v>-3.7000000000000028</v>
      </c>
      <c r="AS195" s="353">
        <f>AS193</f>
        <v>67079.199999999997</v>
      </c>
      <c r="AT195" s="353">
        <f>AT194</f>
        <v>67079.8</v>
      </c>
      <c r="AU195" s="384">
        <f>SUM(AU193:AU194)</f>
        <v>0.80000000000291038</v>
      </c>
      <c r="AV195" s="343"/>
      <c r="AW195" s="343"/>
      <c r="AX195" s="343"/>
      <c r="AY195" s="343"/>
      <c r="AZ195" s="362" t="s">
        <v>686</v>
      </c>
      <c r="BA195" s="550"/>
      <c r="BB195" s="550"/>
      <c r="BC195" s="550"/>
      <c r="BD195" s="550"/>
      <c r="BE195" s="550"/>
      <c r="BF195" s="550"/>
      <c r="BG195" s="550"/>
      <c r="BH195" s="550"/>
      <c r="BI195" s="550"/>
      <c r="BJ195" s="550"/>
      <c r="BK195" s="550"/>
      <c r="BL195" s="550"/>
      <c r="BM195" s="550"/>
      <c r="BN195" s="550"/>
      <c r="BO195" s="550"/>
      <c r="BP195" s="550"/>
      <c r="BQ195" s="550"/>
      <c r="BR195" s="550"/>
      <c r="BS195" s="550"/>
    </row>
    <row r="196" spans="1:71" s="548" customFormat="1" ht="15" customHeight="1" x14ac:dyDescent="0.2">
      <c r="A196" s="576" t="s">
        <v>893</v>
      </c>
      <c r="B196" s="435"/>
      <c r="C196" s="436"/>
      <c r="D196" s="436"/>
      <c r="E196" s="436"/>
      <c r="F196" s="436"/>
      <c r="G196" s="436"/>
      <c r="H196" s="435"/>
      <c r="I196" s="435"/>
      <c r="J196" s="446"/>
      <c r="K196" s="447"/>
      <c r="L196" s="435"/>
      <c r="M196" s="435"/>
      <c r="N196" s="435"/>
      <c r="O196" s="435"/>
      <c r="P196" s="435"/>
      <c r="Q196" s="435"/>
      <c r="R196" s="435"/>
      <c r="S196" s="435"/>
      <c r="T196" s="435"/>
      <c r="U196" s="435"/>
      <c r="V196" s="435"/>
      <c r="W196" s="435"/>
      <c r="X196" s="435"/>
      <c r="Y196" s="435"/>
      <c r="Z196" s="435"/>
      <c r="AA196" s="435"/>
      <c r="AB196" s="435"/>
      <c r="AC196" s="435"/>
      <c r="AD196" s="435"/>
      <c r="AE196" s="435"/>
      <c r="AF196" s="435"/>
      <c r="AG196" s="435"/>
      <c r="AH196" s="435"/>
      <c r="AI196" s="435"/>
      <c r="AJ196" s="435"/>
      <c r="AK196" s="435"/>
      <c r="AL196" s="435"/>
      <c r="AM196" s="435"/>
      <c r="AN196" s="435"/>
      <c r="AO196" s="435"/>
      <c r="AP196" s="435"/>
      <c r="AQ196" s="435"/>
      <c r="AR196" s="435"/>
      <c r="AS196" s="435"/>
      <c r="AT196" s="435"/>
      <c r="AU196" s="435"/>
      <c r="AV196" s="435"/>
      <c r="AW196" s="435"/>
      <c r="AX196" s="435"/>
      <c r="AY196" s="435"/>
      <c r="AZ196" s="435"/>
      <c r="BA196" s="435"/>
      <c r="BB196" s="435"/>
      <c r="BC196" s="435"/>
      <c r="BD196" s="435"/>
      <c r="BE196" s="435"/>
      <c r="BF196" s="448"/>
      <c r="BG196" s="435"/>
      <c r="BH196" s="435"/>
      <c r="BI196" s="435"/>
      <c r="BJ196" s="435"/>
      <c r="BK196" s="435"/>
      <c r="BL196" s="435"/>
      <c r="BM196" s="435"/>
      <c r="BN196" s="435"/>
      <c r="BO196" s="435"/>
      <c r="BP196" s="435"/>
      <c r="BQ196" s="435"/>
      <c r="BR196" s="439"/>
      <c r="BS196" s="578"/>
    </row>
    <row r="197" spans="1:71" s="577" customFormat="1" ht="15" customHeight="1" x14ac:dyDescent="0.2">
      <c r="A197" s="404">
        <v>62008029</v>
      </c>
      <c r="B197" s="403" t="s">
        <v>627</v>
      </c>
      <c r="C197" s="403" t="s">
        <v>773</v>
      </c>
      <c r="D197" s="402" t="s">
        <v>718</v>
      </c>
      <c r="E197" s="346" t="s">
        <v>897</v>
      </c>
      <c r="F197" s="346" t="str">
        <f t="shared" si="60"/>
        <v>08/12/20</v>
      </c>
      <c r="G197" s="362" t="s">
        <v>898</v>
      </c>
      <c r="H197" s="362" t="s">
        <v>899</v>
      </c>
      <c r="I197" s="370"/>
      <c r="J197" s="363">
        <v>-5.5703399999999998</v>
      </c>
      <c r="K197" s="363">
        <v>22.386593999999999</v>
      </c>
      <c r="L197" s="363">
        <v>29.408265</v>
      </c>
      <c r="M197" s="363">
        <v>3.0320469999999999</v>
      </c>
      <c r="N197" s="347">
        <v>4250</v>
      </c>
      <c r="O197" s="347">
        <v>30.36</v>
      </c>
      <c r="P197" s="347">
        <v>0.3201</v>
      </c>
      <c r="Q197" s="347">
        <v>1.9560000000000001E-2</v>
      </c>
      <c r="R197" s="348">
        <v>3.58184178</v>
      </c>
      <c r="S197" s="348">
        <f>R197+R196</f>
        <v>3.58184178</v>
      </c>
      <c r="T197" s="380">
        <v>97.1</v>
      </c>
      <c r="U197" s="380">
        <v>94.6</v>
      </c>
      <c r="V197" s="352">
        <v>-906</v>
      </c>
      <c r="W197" s="352">
        <v>444</v>
      </c>
      <c r="X197" s="352">
        <f>W197-V197</f>
        <v>1350</v>
      </c>
      <c r="Y197" s="352">
        <f t="shared" ref="Y197:Y218" si="86">X197/$R197</f>
        <v>376.90107015279722</v>
      </c>
      <c r="Z197" s="372">
        <v>3227.31</v>
      </c>
      <c r="AA197" s="352">
        <v>3288.0899599999998</v>
      </c>
      <c r="AB197" s="352">
        <f>AA197-Z197</f>
        <v>60.779959999999846</v>
      </c>
      <c r="AC197" s="371">
        <f t="shared" ref="AC197:AC218" si="87">AB197/$R197</f>
        <v>16.968912568773444</v>
      </c>
      <c r="AD197" s="372">
        <v>-43.43</v>
      </c>
      <c r="AE197" s="352">
        <v>-45.49</v>
      </c>
      <c r="AF197" s="352">
        <f>AE197-AD197</f>
        <v>-2.0600000000000023</v>
      </c>
      <c r="AG197" s="371">
        <f t="shared" ref="AG197:AG218" si="88">AF197/$R197</f>
        <v>-0.57512311445538011</v>
      </c>
      <c r="AH197" s="372">
        <v>5901</v>
      </c>
      <c r="AI197" s="352">
        <v>6193.65</v>
      </c>
      <c r="AJ197" s="352">
        <f>AI197-AH197</f>
        <v>292.64999999999964</v>
      </c>
      <c r="AK197" s="371">
        <f t="shared" ref="AK197:AK218" si="89">AJ197/$R197</f>
        <v>81.703776429789599</v>
      </c>
      <c r="AL197" s="372">
        <v>-21</v>
      </c>
      <c r="AM197" s="352">
        <v>317.75</v>
      </c>
      <c r="AN197" s="352">
        <f>AM197-AL197</f>
        <v>338.75</v>
      </c>
      <c r="AO197" s="371">
        <f t="shared" ref="AO197:AO218" si="90">AN197/$R197</f>
        <v>94.574250010563006</v>
      </c>
      <c r="AP197" s="341">
        <v>97.1</v>
      </c>
      <c r="AQ197" s="341">
        <v>94.6</v>
      </c>
      <c r="AR197" s="341">
        <f>AQ197-AP197</f>
        <v>-2.5</v>
      </c>
      <c r="AS197" s="372">
        <v>77072.600000000006</v>
      </c>
      <c r="AT197" s="352">
        <v>77073.399999999994</v>
      </c>
      <c r="AU197" s="383">
        <f>AT197-AS197</f>
        <v>0.79999999998835847</v>
      </c>
      <c r="AV197" s="341"/>
      <c r="AW197" s="341"/>
      <c r="AX197" s="341"/>
      <c r="AY197" s="341"/>
      <c r="AZ197" s="362" t="s">
        <v>686</v>
      </c>
      <c r="BA197" s="550">
        <v>2417.5341464799999</v>
      </c>
      <c r="BB197" s="550">
        <v>-1.1276184600000001</v>
      </c>
      <c r="BC197" s="550">
        <v>2025.70285025</v>
      </c>
      <c r="BD197" s="550">
        <v>2048.8055599499999</v>
      </c>
      <c r="BE197" s="550">
        <v>3.2214958999999999</v>
      </c>
      <c r="BF197" s="550">
        <v>3.2584947299999998</v>
      </c>
      <c r="BG197" s="550">
        <v>-0.25648032999999998</v>
      </c>
      <c r="BH197" s="550">
        <v>3.5817699200000002</v>
      </c>
      <c r="BI197" s="550">
        <v>3.59098008</v>
      </c>
      <c r="BJ197" s="550">
        <v>-0.88907243000000002</v>
      </c>
      <c r="BK197" s="550">
        <v>-1.13545772</v>
      </c>
      <c r="BL197" s="550">
        <v>0.59038767000000003</v>
      </c>
      <c r="BM197" s="550"/>
      <c r="BN197" s="550"/>
      <c r="BO197" s="550"/>
      <c r="BP197" s="550"/>
      <c r="BQ197" s="550"/>
      <c r="BR197" s="550"/>
      <c r="BS197" s="550"/>
    </row>
    <row r="198" spans="1:71" s="577" customFormat="1" ht="15" customHeight="1" x14ac:dyDescent="0.2">
      <c r="A198" s="404">
        <f>A197</f>
        <v>62008029</v>
      </c>
      <c r="B198" s="403" t="s">
        <v>894</v>
      </c>
      <c r="C198" s="403" t="s">
        <v>774</v>
      </c>
      <c r="D198" s="402" t="s">
        <v>718</v>
      </c>
      <c r="E198" s="346" t="s">
        <v>897</v>
      </c>
      <c r="F198" s="346" t="str">
        <f t="shared" si="60"/>
        <v>08/12/20</v>
      </c>
      <c r="G198" s="362" t="s">
        <v>898</v>
      </c>
      <c r="H198" s="362" t="s">
        <v>899</v>
      </c>
      <c r="I198" s="370"/>
      <c r="J198" s="363">
        <v>-7.3657349999999999</v>
      </c>
      <c r="K198" s="363">
        <v>25.964856999999999</v>
      </c>
      <c r="L198" s="363">
        <v>29.412002000000001</v>
      </c>
      <c r="M198" s="363">
        <v>6.9078140000000001</v>
      </c>
      <c r="N198" s="347">
        <v>4250</v>
      </c>
      <c r="O198" s="347">
        <v>30.36</v>
      </c>
      <c r="P198" s="347">
        <v>0.3201</v>
      </c>
      <c r="Q198" s="347">
        <v>1.9560000000000001E-2</v>
      </c>
      <c r="R198" s="348">
        <v>3.8477953</v>
      </c>
      <c r="S198" s="348">
        <f>R198+R197</f>
        <v>7.42963708</v>
      </c>
      <c r="T198" s="380">
        <v>94.6</v>
      </c>
      <c r="U198" s="380">
        <v>92</v>
      </c>
      <c r="V198" s="352">
        <v>444</v>
      </c>
      <c r="W198" s="352">
        <v>1754</v>
      </c>
      <c r="X198" s="352">
        <f>W198-V198</f>
        <v>1310</v>
      </c>
      <c r="Y198" s="352">
        <f t="shared" si="86"/>
        <v>340.45470142343589</v>
      </c>
      <c r="Z198" s="372">
        <v>3288.1200760000002</v>
      </c>
      <c r="AA198" s="352">
        <v>3389.2895659999999</v>
      </c>
      <c r="AB198" s="352">
        <f>AA198-Z198</f>
        <v>101.16948999999977</v>
      </c>
      <c r="AC198" s="371">
        <f t="shared" si="87"/>
        <v>26.292846191687943</v>
      </c>
      <c r="AD198" s="372">
        <v>-45.49</v>
      </c>
      <c r="AE198" s="352">
        <v>-46.27</v>
      </c>
      <c r="AF198" s="352">
        <f>AE198-AD198</f>
        <v>-0.78000000000000114</v>
      </c>
      <c r="AG198" s="371">
        <f t="shared" si="88"/>
        <v>-0.20271348634372549</v>
      </c>
      <c r="AH198" s="372">
        <v>6193.75</v>
      </c>
      <c r="AI198" s="352">
        <v>6658.6978440000003</v>
      </c>
      <c r="AJ198" s="352">
        <f>AI198-AH198</f>
        <v>464.94784400000026</v>
      </c>
      <c r="AK198" s="371">
        <f t="shared" si="89"/>
        <v>120.83486977594683</v>
      </c>
      <c r="AL198" s="372">
        <v>317.90026999999998</v>
      </c>
      <c r="AM198" s="352">
        <v>693.84784400000001</v>
      </c>
      <c r="AN198" s="352">
        <f>AM198-AL198</f>
        <v>375.94757400000003</v>
      </c>
      <c r="AO198" s="371">
        <f t="shared" si="90"/>
        <v>97.704671035904653</v>
      </c>
      <c r="AP198" s="341">
        <v>94.6</v>
      </c>
      <c r="AQ198" s="341">
        <v>92</v>
      </c>
      <c r="AR198" s="341">
        <f>AQ198-AP198</f>
        <v>-2.5999999999999943</v>
      </c>
      <c r="AS198" s="372">
        <v>77073.399999999994</v>
      </c>
      <c r="AT198" s="352">
        <v>77074.7</v>
      </c>
      <c r="AU198" s="383">
        <f>AT198-AS198</f>
        <v>1.3000000000029104</v>
      </c>
      <c r="AV198" s="341"/>
      <c r="AW198" s="341"/>
      <c r="AX198" s="341"/>
      <c r="AY198" s="341"/>
      <c r="AZ198" s="362" t="s">
        <v>686</v>
      </c>
      <c r="BA198" s="550">
        <v>1482.32260445</v>
      </c>
      <c r="BB198" s="550">
        <v>-2.2498394500000001</v>
      </c>
      <c r="BC198" s="550">
        <v>3339.2644125299998</v>
      </c>
      <c r="BD198" s="550">
        <v>3416.12166536</v>
      </c>
      <c r="BE198" s="550">
        <v>2.9510371700000002</v>
      </c>
      <c r="BF198" s="550">
        <v>3.0185892000000001</v>
      </c>
      <c r="BG198" s="550">
        <v>-0.31736246000000001</v>
      </c>
      <c r="BH198" s="550">
        <v>3.8475801000000001</v>
      </c>
      <c r="BI198" s="550">
        <v>3.8598297499999998</v>
      </c>
      <c r="BJ198" s="550">
        <v>-1.96446736</v>
      </c>
      <c r="BK198" s="550">
        <v>-2.2378676400000002</v>
      </c>
      <c r="BL198" s="550">
        <v>0.71451182000000002</v>
      </c>
      <c r="BM198" s="550"/>
      <c r="BN198" s="550"/>
      <c r="BO198" s="550"/>
      <c r="BP198" s="550"/>
      <c r="BQ198" s="550"/>
      <c r="BR198" s="550"/>
      <c r="BS198" s="550"/>
    </row>
    <row r="199" spans="1:71" s="577" customFormat="1" ht="15" customHeight="1" x14ac:dyDescent="0.2">
      <c r="A199" s="404">
        <f t="shared" ref="A199:A206" si="91">A198</f>
        <v>62008029</v>
      </c>
      <c r="B199" s="403" t="s">
        <v>629</v>
      </c>
      <c r="C199" s="403" t="s">
        <v>775</v>
      </c>
      <c r="D199" s="402" t="s">
        <v>718</v>
      </c>
      <c r="E199" s="346" t="s">
        <v>897</v>
      </c>
      <c r="F199" s="346" t="str">
        <f t="shared" si="60"/>
        <v>08/12/20</v>
      </c>
      <c r="G199" s="362" t="s">
        <v>898</v>
      </c>
      <c r="H199" s="362" t="s">
        <v>899</v>
      </c>
      <c r="I199" s="370"/>
      <c r="J199" s="364">
        <f>AVERAGE(J197:J198)</f>
        <v>-6.4680374999999994</v>
      </c>
      <c r="K199" s="364">
        <f>AVERAGE(K197:K198)</f>
        <v>24.175725499999999</v>
      </c>
      <c r="L199" s="364">
        <f>AVERAGE(L197:L198)</f>
        <v>29.410133500000001</v>
      </c>
      <c r="M199" s="364">
        <f>AVERAGE(M197:M198)</f>
        <v>4.9699305000000003</v>
      </c>
      <c r="N199" s="349"/>
      <c r="O199" s="347"/>
      <c r="P199" s="366"/>
      <c r="Q199" s="365"/>
      <c r="R199" s="350">
        <f>R198+R197</f>
        <v>7.42963708</v>
      </c>
      <c r="S199" s="350">
        <f>S198</f>
        <v>7.42963708</v>
      </c>
      <c r="T199" s="381">
        <f>T197</f>
        <v>97.1</v>
      </c>
      <c r="U199" s="381">
        <f>U198</f>
        <v>92</v>
      </c>
      <c r="V199" s="353">
        <f>V197</f>
        <v>-906</v>
      </c>
      <c r="W199" s="353">
        <f>W198</f>
        <v>1754</v>
      </c>
      <c r="X199" s="353">
        <f>SUM(X197:X198)</f>
        <v>2660</v>
      </c>
      <c r="Y199" s="353">
        <f t="shared" si="86"/>
        <v>358.02556320826375</v>
      </c>
      <c r="Z199" s="353">
        <f>Z197</f>
        <v>3227.31</v>
      </c>
      <c r="AA199" s="353">
        <f>AA198</f>
        <v>3389.2895659999999</v>
      </c>
      <c r="AB199" s="353">
        <f>SUM(AB197:AB198)</f>
        <v>161.94944999999962</v>
      </c>
      <c r="AC199" s="351">
        <f t="shared" si="87"/>
        <v>21.797760544179852</v>
      </c>
      <c r="AD199" s="353">
        <f>AD197</f>
        <v>-43.43</v>
      </c>
      <c r="AE199" s="353">
        <f>AE198</f>
        <v>-46.27</v>
      </c>
      <c r="AF199" s="353">
        <f>SUM(AF197:AF198)</f>
        <v>-2.8400000000000034</v>
      </c>
      <c r="AG199" s="351">
        <f t="shared" si="88"/>
        <v>-0.38225285695919931</v>
      </c>
      <c r="AH199" s="353">
        <f>AH197</f>
        <v>5901</v>
      </c>
      <c r="AI199" s="353">
        <f>AI198</f>
        <v>6658.6978440000003</v>
      </c>
      <c r="AJ199" s="353">
        <f>SUM(AJ197:AJ198)</f>
        <v>757.5978439999999</v>
      </c>
      <c r="AK199" s="351">
        <f t="shared" si="89"/>
        <v>101.9696972870174</v>
      </c>
      <c r="AL199" s="353">
        <f>AL197</f>
        <v>-21</v>
      </c>
      <c r="AM199" s="353">
        <f>AM198</f>
        <v>693.84784400000001</v>
      </c>
      <c r="AN199" s="353">
        <f>SUM(AN197:AN198)</f>
        <v>714.69757400000003</v>
      </c>
      <c r="AO199" s="351">
        <f t="shared" si="90"/>
        <v>96.195489268770586</v>
      </c>
      <c r="AP199" s="343"/>
      <c r="AQ199" s="343"/>
      <c r="AR199" s="343">
        <f>SUM(AR197:AR198)</f>
        <v>-5.0999999999999943</v>
      </c>
      <c r="AS199" s="353">
        <f>AS197</f>
        <v>77072.600000000006</v>
      </c>
      <c r="AT199" s="353">
        <f>AT198</f>
        <v>77074.7</v>
      </c>
      <c r="AU199" s="384">
        <f>SUM(AU197:AU198)</f>
        <v>2.0999999999912689</v>
      </c>
      <c r="AV199" s="343"/>
      <c r="AW199" s="343"/>
      <c r="AX199" s="343"/>
      <c r="AY199" s="343"/>
      <c r="AZ199" s="362" t="s">
        <v>686</v>
      </c>
      <c r="BA199" s="550"/>
      <c r="BB199" s="550"/>
      <c r="BC199" s="550"/>
      <c r="BD199" s="550"/>
      <c r="BE199" s="550"/>
      <c r="BF199" s="550"/>
      <c r="BG199" s="550"/>
      <c r="BH199" s="550"/>
      <c r="BI199" s="550"/>
      <c r="BJ199" s="550"/>
      <c r="BK199" s="550"/>
      <c r="BL199" s="550"/>
      <c r="BM199" s="550"/>
      <c r="BN199" s="550"/>
      <c r="BO199" s="550"/>
      <c r="BP199" s="550"/>
      <c r="BQ199" s="550"/>
      <c r="BR199" s="550"/>
      <c r="BS199" s="550"/>
    </row>
    <row r="200" spans="1:71" s="577" customFormat="1" ht="15" customHeight="1" x14ac:dyDescent="0.2">
      <c r="A200" s="404">
        <f t="shared" si="91"/>
        <v>62008029</v>
      </c>
      <c r="B200" s="403" t="s">
        <v>630</v>
      </c>
      <c r="C200" s="403" t="s">
        <v>776</v>
      </c>
      <c r="D200" s="402" t="s">
        <v>718</v>
      </c>
      <c r="E200" s="346" t="s">
        <v>897</v>
      </c>
      <c r="F200" s="346" t="str">
        <f t="shared" si="60"/>
        <v>08/12/20</v>
      </c>
      <c r="G200" s="362" t="s">
        <v>898</v>
      </c>
      <c r="H200" s="362" t="s">
        <v>899</v>
      </c>
      <c r="I200" s="370"/>
      <c r="J200" s="363">
        <v>-3.2424309999999998</v>
      </c>
      <c r="K200" s="363">
        <v>19.135943000000001</v>
      </c>
      <c r="L200" s="363">
        <v>29.411268</v>
      </c>
      <c r="M200" s="363">
        <v>8.0246040000000001</v>
      </c>
      <c r="N200" s="347">
        <v>4250</v>
      </c>
      <c r="O200" s="347">
        <v>30.36</v>
      </c>
      <c r="P200" s="347">
        <v>0.3201</v>
      </c>
      <c r="Q200" s="347">
        <v>1.9560000000000001E-2</v>
      </c>
      <c r="R200" s="348">
        <v>10.24492468</v>
      </c>
      <c r="S200" s="348">
        <f>R200+R199</f>
        <v>17.67456176</v>
      </c>
      <c r="T200" s="380">
        <v>92</v>
      </c>
      <c r="U200" s="380">
        <v>87.3</v>
      </c>
      <c r="V200" s="352">
        <v>1761</v>
      </c>
      <c r="W200" s="352">
        <v>4731</v>
      </c>
      <c r="X200" s="352">
        <f>W200-V200</f>
        <v>2970</v>
      </c>
      <c r="Y200" s="352">
        <f t="shared" si="86"/>
        <v>289.89964228804854</v>
      </c>
      <c r="Z200" s="372">
        <v>3391.109571</v>
      </c>
      <c r="AA200" s="352">
        <v>3461.9192149999999</v>
      </c>
      <c r="AB200" s="352">
        <f>AA200-Z200</f>
        <v>70.809643999999935</v>
      </c>
      <c r="AC200" s="371">
        <f t="shared" si="87"/>
        <v>6.9116802916309901</v>
      </c>
      <c r="AD200" s="372">
        <v>-46.28</v>
      </c>
      <c r="AE200" s="352">
        <v>-46.67</v>
      </c>
      <c r="AF200" s="352">
        <f>AE200-AD200</f>
        <v>-0.39000000000000057</v>
      </c>
      <c r="AG200" s="371">
        <f t="shared" si="88"/>
        <v>-3.8067629795400362E-2</v>
      </c>
      <c r="AH200" s="372">
        <v>6663.7978380000004</v>
      </c>
      <c r="AI200" s="352">
        <v>7075.4464209999996</v>
      </c>
      <c r="AJ200" s="352">
        <f>AI200-AH200</f>
        <v>411.64858299999923</v>
      </c>
      <c r="AK200" s="371">
        <f t="shared" si="89"/>
        <v>40.180732983192534</v>
      </c>
      <c r="AL200" s="372">
        <v>697.45</v>
      </c>
      <c r="AM200" s="352">
        <v>835.2</v>
      </c>
      <c r="AN200" s="352">
        <f>AM200-AL200</f>
        <v>137.75</v>
      </c>
      <c r="AO200" s="371">
        <f t="shared" si="90"/>
        <v>13.445682062349725</v>
      </c>
      <c r="AP200" s="341">
        <v>92</v>
      </c>
      <c r="AQ200" s="341">
        <v>87.3</v>
      </c>
      <c r="AR200" s="341">
        <f>AQ200-AP200</f>
        <v>-4.7000000000000028</v>
      </c>
      <c r="AS200" s="372">
        <v>77074.7</v>
      </c>
      <c r="AT200" s="352">
        <v>77075.899999999994</v>
      </c>
      <c r="AU200" s="383">
        <f>AT200-AS200</f>
        <v>1.1999999999970896</v>
      </c>
      <c r="AV200" s="341"/>
      <c r="AW200" s="341"/>
      <c r="AX200" s="341"/>
      <c r="AY200" s="341"/>
      <c r="AZ200" s="362" t="s">
        <v>686</v>
      </c>
      <c r="BA200" s="550">
        <v>1945.01540105</v>
      </c>
      <c r="BB200" s="550">
        <v>-0.82474168999999997</v>
      </c>
      <c r="BC200" s="550">
        <v>1295.93951225</v>
      </c>
      <c r="BD200" s="550">
        <v>1306.71654842</v>
      </c>
      <c r="BE200" s="550">
        <v>7.9750329200000003</v>
      </c>
      <c r="BF200" s="550">
        <v>8.0200426700000005</v>
      </c>
      <c r="BG200" s="550">
        <v>-0.11390562999999999</v>
      </c>
      <c r="BH200" s="550">
        <v>10.24499761</v>
      </c>
      <c r="BI200" s="550">
        <v>10.25668055</v>
      </c>
      <c r="BJ200" s="550">
        <v>-0.44983472000000002</v>
      </c>
      <c r="BK200" s="550">
        <v>-0.56121580999999998</v>
      </c>
      <c r="BL200" s="550">
        <v>0.28276539000000001</v>
      </c>
      <c r="BM200" s="550"/>
      <c r="BN200" s="550"/>
      <c r="BO200" s="550"/>
      <c r="BP200" s="550"/>
      <c r="BQ200" s="550"/>
      <c r="BR200" s="550"/>
      <c r="BS200" s="550"/>
    </row>
    <row r="201" spans="1:71" s="577" customFormat="1" ht="15" customHeight="1" x14ac:dyDescent="0.2">
      <c r="A201" s="404">
        <f t="shared" si="91"/>
        <v>62008029</v>
      </c>
      <c r="B201" s="403" t="s">
        <v>631</v>
      </c>
      <c r="C201" s="403" t="s">
        <v>777</v>
      </c>
      <c r="D201" s="402" t="s">
        <v>718</v>
      </c>
      <c r="E201" s="346" t="s">
        <v>897</v>
      </c>
      <c r="F201" s="346" t="str">
        <f t="shared" si="60"/>
        <v>08/12/20</v>
      </c>
      <c r="G201" s="362" t="s">
        <v>898</v>
      </c>
      <c r="H201" s="362" t="s">
        <v>899</v>
      </c>
      <c r="I201" s="370"/>
      <c r="J201" s="363">
        <v>-7.0344819999999997</v>
      </c>
      <c r="K201" s="363">
        <v>32.526643999999997</v>
      </c>
      <c r="L201" s="363">
        <v>29.414967000000001</v>
      </c>
      <c r="M201" s="363">
        <v>7.371238</v>
      </c>
      <c r="N201" s="347">
        <v>4250</v>
      </c>
      <c r="O201" s="347">
        <v>30.36</v>
      </c>
      <c r="P201" s="347">
        <v>0.3201</v>
      </c>
      <c r="Q201" s="347">
        <v>1.9560000000000001E-2</v>
      </c>
      <c r="R201" s="348">
        <v>3.5827445999999998</v>
      </c>
      <c r="S201" s="348">
        <f>R201+R200</f>
        <v>13.82766928</v>
      </c>
      <c r="T201" s="380">
        <v>87.3</v>
      </c>
      <c r="U201" s="380">
        <v>85.2</v>
      </c>
      <c r="V201" s="352">
        <v>4737</v>
      </c>
      <c r="W201" s="352">
        <v>5915</v>
      </c>
      <c r="X201" s="352">
        <f>W201-V201</f>
        <v>1178</v>
      </c>
      <c r="Y201" s="352">
        <f t="shared" si="86"/>
        <v>328.79820682724636</v>
      </c>
      <c r="Z201" s="372">
        <v>3465.1189730000001</v>
      </c>
      <c r="AA201" s="352">
        <v>3520.858733</v>
      </c>
      <c r="AB201" s="352">
        <f>AA201-Z201</f>
        <v>55.739759999999933</v>
      </c>
      <c r="AC201" s="371">
        <f t="shared" si="87"/>
        <v>15.557837977063711</v>
      </c>
      <c r="AD201" s="372">
        <v>-43.47</v>
      </c>
      <c r="AE201" s="352">
        <v>-45.73</v>
      </c>
      <c r="AF201" s="352">
        <f>AE201-AD201</f>
        <v>-2.259999999999998</v>
      </c>
      <c r="AG201" s="371">
        <f t="shared" si="88"/>
        <v>-0.63080131360745006</v>
      </c>
      <c r="AH201" s="372">
        <v>7077.55</v>
      </c>
      <c r="AI201" s="352">
        <v>7339.9945209999996</v>
      </c>
      <c r="AJ201" s="352">
        <f>AI201-AH201</f>
        <v>262.44452099999944</v>
      </c>
      <c r="AK201" s="371">
        <f t="shared" si="89"/>
        <v>73.25236663534416</v>
      </c>
      <c r="AL201" s="372">
        <v>836.1</v>
      </c>
      <c r="AM201" s="352">
        <v>984.04726000000005</v>
      </c>
      <c r="AN201" s="352">
        <f>AM201-AL201</f>
        <v>147.94726000000003</v>
      </c>
      <c r="AO201" s="371">
        <f t="shared" si="90"/>
        <v>41.294392014434976</v>
      </c>
      <c r="AP201" s="341">
        <v>87.3</v>
      </c>
      <c r="AQ201" s="341">
        <v>85.2</v>
      </c>
      <c r="AR201" s="341">
        <f>AQ201-AP201</f>
        <v>-2.0999999999999943</v>
      </c>
      <c r="AS201" s="372">
        <v>77076.800000000003</v>
      </c>
      <c r="AT201" s="352">
        <v>77077.5</v>
      </c>
      <c r="AU201" s="383">
        <f>AT201-AS201</f>
        <v>0.69999999999708962</v>
      </c>
      <c r="AV201" s="341"/>
      <c r="AW201" s="341"/>
      <c r="AX201" s="341"/>
      <c r="AY201" s="341"/>
      <c r="AZ201" s="362" t="s">
        <v>686</v>
      </c>
      <c r="BA201" s="550">
        <v>2410.4759178300001</v>
      </c>
      <c r="BB201" s="550">
        <v>-1.12537424</v>
      </c>
      <c r="BC201" s="550">
        <v>2025.5883988099999</v>
      </c>
      <c r="BD201" s="550">
        <v>2048.6433027200001</v>
      </c>
      <c r="BE201" s="550">
        <v>3.2242066299999999</v>
      </c>
      <c r="BF201" s="550">
        <v>3.2582768199999999</v>
      </c>
      <c r="BG201" s="550">
        <v>-0.23177481</v>
      </c>
      <c r="BH201" s="550">
        <v>3.5826565700000002</v>
      </c>
      <c r="BI201" s="550">
        <v>3.5909795600000001</v>
      </c>
      <c r="BJ201" s="550">
        <v>-0.82247592000000003</v>
      </c>
      <c r="BK201" s="550">
        <v>-1.0456505199999999</v>
      </c>
      <c r="BL201" s="550">
        <v>0.59035908999999998</v>
      </c>
      <c r="BM201" s="550"/>
      <c r="BN201" s="550"/>
      <c r="BO201" s="550"/>
      <c r="BP201" s="550"/>
      <c r="BQ201" s="550"/>
      <c r="BR201" s="550"/>
      <c r="BS201" s="550"/>
    </row>
    <row r="202" spans="1:71" s="577" customFormat="1" ht="15" customHeight="1" x14ac:dyDescent="0.2">
      <c r="A202" s="404">
        <f t="shared" si="91"/>
        <v>62008029</v>
      </c>
      <c r="B202" s="403" t="s">
        <v>895</v>
      </c>
      <c r="C202" s="403" t="s">
        <v>778</v>
      </c>
      <c r="D202" s="402" t="s">
        <v>718</v>
      </c>
      <c r="E202" s="346" t="s">
        <v>897</v>
      </c>
      <c r="F202" s="346" t="str">
        <f t="shared" si="60"/>
        <v>08/12/20</v>
      </c>
      <c r="G202" s="362" t="s">
        <v>898</v>
      </c>
      <c r="H202" s="362" t="s">
        <v>899</v>
      </c>
      <c r="I202" s="370"/>
      <c r="J202" s="363">
        <v>-7.1497679999999999</v>
      </c>
      <c r="K202" s="363">
        <v>27.064651999999999</v>
      </c>
      <c r="L202" s="363">
        <v>29.410111000000001</v>
      </c>
      <c r="M202" s="363">
        <v>8.0139449999999997</v>
      </c>
      <c r="N202" s="347">
        <v>4250</v>
      </c>
      <c r="O202" s="347">
        <v>30.36</v>
      </c>
      <c r="P202" s="347">
        <v>0.3201</v>
      </c>
      <c r="Q202" s="347">
        <v>1.9560000000000001E-2</v>
      </c>
      <c r="R202" s="348">
        <v>3.8566650400000002</v>
      </c>
      <c r="S202" s="348">
        <f>R202+R201</f>
        <v>7.43940964</v>
      </c>
      <c r="T202" s="380">
        <v>85.2</v>
      </c>
      <c r="U202" s="380">
        <v>83.2</v>
      </c>
      <c r="V202" s="352">
        <v>5915</v>
      </c>
      <c r="W202" s="352">
        <v>7135</v>
      </c>
      <c r="X202" s="352">
        <f>W202-V202</f>
        <v>1220</v>
      </c>
      <c r="Y202" s="352">
        <f t="shared" si="86"/>
        <v>316.33548346734307</v>
      </c>
      <c r="Z202" s="372">
        <v>3520.8786380000001</v>
      </c>
      <c r="AA202" s="352">
        <v>3616.1582699999999</v>
      </c>
      <c r="AB202" s="352">
        <f>AA202-Z202</f>
        <v>95.279631999999765</v>
      </c>
      <c r="AC202" s="371">
        <f t="shared" si="87"/>
        <v>24.70518725681185</v>
      </c>
      <c r="AD202" s="372">
        <v>-45.73</v>
      </c>
      <c r="AE202" s="352">
        <v>-46.79</v>
      </c>
      <c r="AF202" s="352">
        <f>AE202-AD202</f>
        <v>-1.0600000000000023</v>
      </c>
      <c r="AG202" s="371">
        <f t="shared" si="88"/>
        <v>-0.27484886268474129</v>
      </c>
      <c r="AH202" s="372">
        <v>7340.0863369999997</v>
      </c>
      <c r="AI202" s="352">
        <v>7756.45</v>
      </c>
      <c r="AJ202" s="352">
        <f>AI202-AH202</f>
        <v>416.36366300000009</v>
      </c>
      <c r="AK202" s="371">
        <f t="shared" si="89"/>
        <v>107.95950871585157</v>
      </c>
      <c r="AL202" s="372">
        <v>984.05</v>
      </c>
      <c r="AM202" s="352">
        <v>1083.95</v>
      </c>
      <c r="AN202" s="352">
        <f>AM202-AL202</f>
        <v>99.900000000000091</v>
      </c>
      <c r="AO202" s="371">
        <f t="shared" si="90"/>
        <v>25.903208851137379</v>
      </c>
      <c r="AP202" s="341">
        <v>85.2</v>
      </c>
      <c r="AQ202" s="341">
        <v>83.2</v>
      </c>
      <c r="AR202" s="341">
        <f>AQ202-AP202</f>
        <v>-2</v>
      </c>
      <c r="AS202" s="372">
        <v>77077.5</v>
      </c>
      <c r="AT202" s="352">
        <v>77078.8</v>
      </c>
      <c r="AU202" s="383">
        <f>AT202-AS202</f>
        <v>1.3000000000029104</v>
      </c>
      <c r="AV202" s="341"/>
      <c r="AW202" s="341"/>
      <c r="AX202" s="341"/>
      <c r="AY202" s="341"/>
      <c r="AZ202" s="362" t="s">
        <v>686</v>
      </c>
      <c r="BA202" s="550">
        <v>1481.7525956899999</v>
      </c>
      <c r="BB202" s="550">
        <v>-1.5926842800000001</v>
      </c>
      <c r="BC202" s="550">
        <v>3361.5879623000001</v>
      </c>
      <c r="BD202" s="550">
        <v>3415.9939610400002</v>
      </c>
      <c r="BE202" s="550">
        <v>2.9594014199999998</v>
      </c>
      <c r="BF202" s="550">
        <v>3.0184255100000001</v>
      </c>
      <c r="BG202" s="550">
        <v>-8.6103410000000005E-2</v>
      </c>
      <c r="BH202" s="550">
        <v>3.8565059599999998</v>
      </c>
      <c r="BI202" s="550">
        <v>3.8598294000000002</v>
      </c>
      <c r="BJ202" s="550">
        <v>-1.9066397900000001</v>
      </c>
      <c r="BK202" s="550">
        <v>-1.95545963</v>
      </c>
      <c r="BL202" s="550">
        <v>0.71451609000000005</v>
      </c>
      <c r="BM202" s="550"/>
      <c r="BN202" s="550"/>
      <c r="BO202" s="550"/>
      <c r="BP202" s="550"/>
      <c r="BQ202" s="550"/>
      <c r="BR202" s="550"/>
      <c r="BS202" s="550"/>
    </row>
    <row r="203" spans="1:71" s="577" customFormat="1" ht="15" customHeight="1" x14ac:dyDescent="0.2">
      <c r="A203" s="404">
        <f t="shared" si="91"/>
        <v>62008029</v>
      </c>
      <c r="B203" s="403" t="s">
        <v>632</v>
      </c>
      <c r="C203" s="403" t="s">
        <v>779</v>
      </c>
      <c r="D203" s="402" t="s">
        <v>718</v>
      </c>
      <c r="E203" s="346" t="s">
        <v>897</v>
      </c>
      <c r="F203" s="346" t="str">
        <f t="shared" si="60"/>
        <v>08/12/20</v>
      </c>
      <c r="G203" s="362" t="s">
        <v>898</v>
      </c>
      <c r="H203" s="362" t="s">
        <v>899</v>
      </c>
      <c r="I203" s="370"/>
      <c r="J203" s="364">
        <f>AVERAGE(J201:J202)</f>
        <v>-7.0921249999999993</v>
      </c>
      <c r="K203" s="364">
        <f>AVERAGE(K201:K202)</f>
        <v>29.795648</v>
      </c>
      <c r="L203" s="364">
        <f>AVERAGE(L201:L202)</f>
        <v>29.412539000000002</v>
      </c>
      <c r="M203" s="364">
        <f>AVERAGE(M201:M202)</f>
        <v>7.6925914999999998</v>
      </c>
      <c r="N203" s="349"/>
      <c r="O203" s="347"/>
      <c r="P203" s="366"/>
      <c r="Q203" s="365"/>
      <c r="R203" s="350">
        <f>R202+R201</f>
        <v>7.43940964</v>
      </c>
      <c r="S203" s="350">
        <f>S202</f>
        <v>7.43940964</v>
      </c>
      <c r="T203" s="381">
        <f>T201</f>
        <v>87.3</v>
      </c>
      <c r="U203" s="381">
        <f>U202</f>
        <v>83.2</v>
      </c>
      <c r="V203" s="353">
        <f>V201</f>
        <v>4737</v>
      </c>
      <c r="W203" s="353">
        <f>W202</f>
        <v>7135</v>
      </c>
      <c r="X203" s="353">
        <f>SUM(X201:X202)</f>
        <v>2398</v>
      </c>
      <c r="Y203" s="353">
        <f t="shared" si="86"/>
        <v>322.33740525679667</v>
      </c>
      <c r="Z203" s="353">
        <f>Z201</f>
        <v>3465.1189730000001</v>
      </c>
      <c r="AA203" s="353">
        <f>AA202</f>
        <v>3616.1582699999999</v>
      </c>
      <c r="AB203" s="353">
        <f>SUM(AB201:AB202)</f>
        <v>151.0193919999997</v>
      </c>
      <c r="AC203" s="351">
        <f t="shared" si="87"/>
        <v>20.299916163777709</v>
      </c>
      <c r="AD203" s="353">
        <f>AD201</f>
        <v>-43.47</v>
      </c>
      <c r="AE203" s="353">
        <f>AE202</f>
        <v>-46.79</v>
      </c>
      <c r="AF203" s="353">
        <f>SUM(AF201:AF202)</f>
        <v>-3.3200000000000003</v>
      </c>
      <c r="AG203" s="351">
        <f t="shared" si="88"/>
        <v>-0.44627197058071938</v>
      </c>
      <c r="AH203" s="353">
        <f>AH201</f>
        <v>7077.55</v>
      </c>
      <c r="AI203" s="353">
        <f>AI202</f>
        <v>7756.45</v>
      </c>
      <c r="AJ203" s="353">
        <f>SUM(AJ201:AJ202)</f>
        <v>678.80818399999953</v>
      </c>
      <c r="AK203" s="351">
        <f t="shared" si="89"/>
        <v>91.244899373493766</v>
      </c>
      <c r="AL203" s="353">
        <f>AL201</f>
        <v>836.1</v>
      </c>
      <c r="AM203" s="353">
        <f>AM202</f>
        <v>1083.95</v>
      </c>
      <c r="AN203" s="353">
        <f>SUM(AN201:AN202)</f>
        <v>247.84726000000012</v>
      </c>
      <c r="AO203" s="351">
        <f t="shared" si="90"/>
        <v>33.315447326274686</v>
      </c>
      <c r="AP203" s="343"/>
      <c r="AQ203" s="343"/>
      <c r="AR203" s="343">
        <f>SUM(AR201:AR202)</f>
        <v>-4.0999999999999943</v>
      </c>
      <c r="AS203" s="353">
        <f>AS201</f>
        <v>77076.800000000003</v>
      </c>
      <c r="AT203" s="353">
        <f>AT202</f>
        <v>77078.8</v>
      </c>
      <c r="AU203" s="384">
        <f>SUM(AU201:AU202)</f>
        <v>2</v>
      </c>
      <c r="AV203" s="343"/>
      <c r="AW203" s="343"/>
      <c r="AX203" s="343"/>
      <c r="AY203" s="343"/>
      <c r="AZ203" s="362" t="s">
        <v>686</v>
      </c>
      <c r="BA203" s="550"/>
      <c r="BB203" s="550"/>
      <c r="BC203" s="550"/>
      <c r="BD203" s="550"/>
      <c r="BE203" s="550"/>
      <c r="BF203" s="550"/>
      <c r="BG203" s="550"/>
      <c r="BH203" s="550"/>
      <c r="BI203" s="550"/>
      <c r="BJ203" s="550"/>
      <c r="BK203" s="550"/>
      <c r="BL203" s="550"/>
      <c r="BM203" s="550"/>
      <c r="BN203" s="550"/>
      <c r="BO203" s="550"/>
      <c r="BP203" s="550"/>
      <c r="BQ203" s="550"/>
      <c r="BR203" s="550"/>
      <c r="BS203" s="550"/>
    </row>
    <row r="204" spans="1:71" s="577" customFormat="1" ht="15" customHeight="1" x14ac:dyDescent="0.2">
      <c r="A204" s="404">
        <f t="shared" si="91"/>
        <v>62008029</v>
      </c>
      <c r="B204" s="403" t="s">
        <v>633</v>
      </c>
      <c r="C204" s="403" t="s">
        <v>780</v>
      </c>
      <c r="D204" s="402" t="s">
        <v>718</v>
      </c>
      <c r="E204" s="346" t="s">
        <v>897</v>
      </c>
      <c r="F204" s="346" t="str">
        <f t="shared" si="60"/>
        <v>08/12/20</v>
      </c>
      <c r="G204" s="362" t="s">
        <v>898</v>
      </c>
      <c r="H204" s="362" t="s">
        <v>899</v>
      </c>
      <c r="I204" s="370"/>
      <c r="J204" s="363">
        <v>-5.1461899999999998</v>
      </c>
      <c r="K204" s="363">
        <v>20.710477000000001</v>
      </c>
      <c r="L204" s="363">
        <v>29.405432000000001</v>
      </c>
      <c r="M204" s="363">
        <v>9.8321959999999997</v>
      </c>
      <c r="N204" s="347">
        <v>4250</v>
      </c>
      <c r="O204" s="347">
        <v>30.36</v>
      </c>
      <c r="P204" s="347">
        <v>0.3201</v>
      </c>
      <c r="Q204" s="347">
        <v>1.9560000000000001E-2</v>
      </c>
      <c r="R204" s="348">
        <v>1.76841385</v>
      </c>
      <c r="S204" s="348">
        <f>R204+R203</f>
        <v>9.2078234899999991</v>
      </c>
      <c r="T204" s="380">
        <v>83.1</v>
      </c>
      <c r="U204" s="380">
        <v>78.400000000000006</v>
      </c>
      <c r="V204" s="352">
        <v>7178.8137059999999</v>
      </c>
      <c r="W204" s="352">
        <v>10157</v>
      </c>
      <c r="X204" s="352">
        <f>W204-V204-X205</f>
        <v>792.99291499999981</v>
      </c>
      <c r="Y204" s="352">
        <f t="shared" si="86"/>
        <v>448.42043902788924</v>
      </c>
      <c r="Z204" s="372">
        <v>3626.2181369999998</v>
      </c>
      <c r="AA204" s="352">
        <v>3677.3478420000001</v>
      </c>
      <c r="AB204" s="352">
        <f>AA204-Z204-AB205</f>
        <v>23.089844999999968</v>
      </c>
      <c r="AC204" s="371">
        <f t="shared" si="87"/>
        <v>13.056810768587889</v>
      </c>
      <c r="AD204" s="372">
        <v>-46.86</v>
      </c>
      <c r="AE204" s="352">
        <v>-47.23</v>
      </c>
      <c r="AF204" s="352">
        <f>AE204-AD204-AF205</f>
        <v>-0.14999999999999858</v>
      </c>
      <c r="AG204" s="371">
        <f t="shared" si="88"/>
        <v>-8.4821774043444972E-2</v>
      </c>
      <c r="AH204" s="372">
        <v>7786.325769</v>
      </c>
      <c r="AI204" s="352">
        <v>8062.5388899999998</v>
      </c>
      <c r="AJ204" s="352">
        <f>AI204-AH204-AJ205</f>
        <v>108.89383799999905</v>
      </c>
      <c r="AK204" s="371">
        <f t="shared" si="89"/>
        <v>61.577123477063388</v>
      </c>
      <c r="AL204" s="372">
        <v>1093.45</v>
      </c>
      <c r="AM204" s="352">
        <v>1116.7</v>
      </c>
      <c r="AN204" s="352">
        <f>AM204-AL204-AN205</f>
        <v>14.25</v>
      </c>
      <c r="AO204" s="371">
        <f t="shared" si="90"/>
        <v>8.058068534127349</v>
      </c>
      <c r="AP204" s="341">
        <v>83.1</v>
      </c>
      <c r="AQ204" s="341">
        <v>78.400000000000006</v>
      </c>
      <c r="AR204" s="341">
        <f>AQ204-AP204-AR205</f>
        <v>-1.2999999999999829</v>
      </c>
      <c r="AS204" s="372">
        <v>77078.899999999994</v>
      </c>
      <c r="AT204" s="352">
        <v>77079.8</v>
      </c>
      <c r="AU204" s="383">
        <f>AT204-AS204-AU205</f>
        <v>0.3000000000174623</v>
      </c>
      <c r="AV204" s="341"/>
      <c r="AW204" s="341"/>
      <c r="AX204" s="341"/>
      <c r="AY204" s="341"/>
      <c r="AZ204" s="362" t="s">
        <v>686</v>
      </c>
      <c r="BA204" s="550">
        <v>5560.5599675699996</v>
      </c>
      <c r="BB204" s="550">
        <v>-2.1765345100000002</v>
      </c>
      <c r="BC204" s="550">
        <v>2405.7661074399998</v>
      </c>
      <c r="BD204" s="550">
        <v>2459.29347882</v>
      </c>
      <c r="BE204" s="550">
        <v>3.13498784</v>
      </c>
      <c r="BF204" s="550">
        <v>3.20773017</v>
      </c>
      <c r="BG204" s="550">
        <v>-0.20919203</v>
      </c>
      <c r="BH204" s="550">
        <v>1.76839803</v>
      </c>
      <c r="BI204" s="550">
        <v>1.7721051299999999</v>
      </c>
      <c r="BJ204" s="550">
        <v>-2.1062924700000001</v>
      </c>
      <c r="BK204" s="550">
        <v>-2.2677196999999998</v>
      </c>
      <c r="BL204" s="550">
        <v>0.81478238000000003</v>
      </c>
      <c r="BM204" s="550"/>
      <c r="BN204" s="550"/>
      <c r="BO204" s="550"/>
      <c r="BP204" s="550"/>
      <c r="BQ204" s="550"/>
      <c r="BR204" s="550"/>
      <c r="BS204" s="550"/>
    </row>
    <row r="205" spans="1:71" s="577" customFormat="1" ht="15" customHeight="1" x14ac:dyDescent="0.2">
      <c r="A205" s="404">
        <f t="shared" si="91"/>
        <v>62008029</v>
      </c>
      <c r="B205" s="403" t="s">
        <v>634</v>
      </c>
      <c r="C205" s="403" t="s">
        <v>781</v>
      </c>
      <c r="D205" s="402" t="s">
        <v>718</v>
      </c>
      <c r="E205" s="346" t="s">
        <v>897</v>
      </c>
      <c r="F205" s="346" t="str">
        <f t="shared" si="60"/>
        <v>08/12/20</v>
      </c>
      <c r="G205" s="362" t="s">
        <v>898</v>
      </c>
      <c r="H205" s="362" t="s">
        <v>899</v>
      </c>
      <c r="I205" s="370"/>
      <c r="J205" s="363">
        <v>-0.74821800000000005</v>
      </c>
      <c r="K205" s="363">
        <v>16.043265000000002</v>
      </c>
      <c r="L205" s="363">
        <v>29.402224</v>
      </c>
      <c r="M205" s="363">
        <v>9.1937130000000007</v>
      </c>
      <c r="N205" s="347">
        <v>4250</v>
      </c>
      <c r="O205" s="347">
        <v>30.36</v>
      </c>
      <c r="P205" s="347">
        <v>0.3201</v>
      </c>
      <c r="Q205" s="347">
        <v>1.9560000000000001E-2</v>
      </c>
      <c r="R205" s="348">
        <v>6.2272726499999997</v>
      </c>
      <c r="S205" s="348">
        <f>R205+R204</f>
        <v>7.9956864999999997</v>
      </c>
      <c r="T205" s="380">
        <v>82.2</v>
      </c>
      <c r="U205" s="380">
        <v>78.8</v>
      </c>
      <c r="V205" s="352">
        <v>7719.8066209999997</v>
      </c>
      <c r="W205" s="352">
        <v>9905</v>
      </c>
      <c r="X205" s="352">
        <f>W205-V205</f>
        <v>2185.1933790000003</v>
      </c>
      <c r="Y205" s="352">
        <f t="shared" si="86"/>
        <v>350.90697032512304</v>
      </c>
      <c r="Z205" s="372">
        <v>3638.5480659999998</v>
      </c>
      <c r="AA205" s="352">
        <v>3666.5879260000002</v>
      </c>
      <c r="AB205" s="352">
        <f>AA205-Z205</f>
        <v>28.039860000000317</v>
      </c>
      <c r="AC205" s="371">
        <f t="shared" si="87"/>
        <v>4.50275129674952</v>
      </c>
      <c r="AD205" s="372">
        <v>-46.95</v>
      </c>
      <c r="AE205" s="352">
        <v>-47.17</v>
      </c>
      <c r="AF205" s="352">
        <f>AE205-AD205</f>
        <v>-0.21999999999999886</v>
      </c>
      <c r="AG205" s="371">
        <f t="shared" si="88"/>
        <v>-3.5328467591666933E-2</v>
      </c>
      <c r="AH205" s="372">
        <v>7853.0307169999996</v>
      </c>
      <c r="AI205" s="352">
        <v>8020.35</v>
      </c>
      <c r="AJ205" s="352">
        <f>AI205-AH205</f>
        <v>167.31928300000072</v>
      </c>
      <c r="AK205" s="371">
        <f t="shared" si="89"/>
        <v>26.868790304211384</v>
      </c>
      <c r="AL205" s="372">
        <v>1103.5999999999999</v>
      </c>
      <c r="AM205" s="352">
        <v>1112.5999999999999</v>
      </c>
      <c r="AN205" s="352">
        <f>AM205-AL205</f>
        <v>9</v>
      </c>
      <c r="AO205" s="371">
        <f t="shared" si="90"/>
        <v>1.4452554923863821</v>
      </c>
      <c r="AP205" s="341">
        <v>82.2</v>
      </c>
      <c r="AQ205" s="341">
        <v>78.8</v>
      </c>
      <c r="AR205" s="341">
        <f>AQ205-AP205</f>
        <v>-3.4000000000000057</v>
      </c>
      <c r="AS205" s="372">
        <v>77079.100000000006</v>
      </c>
      <c r="AT205" s="352">
        <v>77079.7</v>
      </c>
      <c r="AU205" s="383">
        <f>AT205-AS205</f>
        <v>0.59999999999126885</v>
      </c>
      <c r="AV205" s="341"/>
      <c r="AW205" s="341"/>
      <c r="AX205" s="341"/>
      <c r="AY205" s="341"/>
      <c r="AZ205" s="362" t="s">
        <v>686</v>
      </c>
      <c r="BA205" s="550">
        <v>11814.31325372</v>
      </c>
      <c r="BB205" s="550">
        <v>-7.0395615600000001</v>
      </c>
      <c r="BC205" s="550">
        <v>1058.1998892700001</v>
      </c>
      <c r="BD205" s="550">
        <v>1138.33358256</v>
      </c>
      <c r="BE205" s="550">
        <v>6.9580610299999996</v>
      </c>
      <c r="BF205" s="550">
        <v>7.0841608699999998</v>
      </c>
      <c r="BG205" s="550">
        <v>-0.12104068</v>
      </c>
      <c r="BH205" s="550">
        <v>6.2273113100000002</v>
      </c>
      <c r="BI205" s="550">
        <v>6.2348580199999999</v>
      </c>
      <c r="BJ205" s="550">
        <v>-1.6890498700000001</v>
      </c>
      <c r="BK205" s="550">
        <v>-1.7800250399999999</v>
      </c>
      <c r="BL205" s="550">
        <v>0.34893456</v>
      </c>
      <c r="BM205" s="550"/>
      <c r="BN205" s="550"/>
      <c r="BO205" s="550"/>
      <c r="BP205" s="550"/>
      <c r="BQ205" s="550"/>
      <c r="BR205" s="550"/>
      <c r="BS205" s="550"/>
    </row>
    <row r="206" spans="1:71" s="577" customFormat="1" ht="15" customHeight="1" x14ac:dyDescent="0.2">
      <c r="A206" s="404">
        <f t="shared" si="91"/>
        <v>62008029</v>
      </c>
      <c r="B206" s="403" t="s">
        <v>635</v>
      </c>
      <c r="C206" s="403" t="s">
        <v>782</v>
      </c>
      <c r="D206" s="402" t="s">
        <v>718</v>
      </c>
      <c r="E206" s="346" t="s">
        <v>897</v>
      </c>
      <c r="F206" s="346" t="str">
        <f t="shared" ref="F206:F269" si="92">LEFT(E206,8)</f>
        <v>08/12/20</v>
      </c>
      <c r="G206" s="362" t="s">
        <v>898</v>
      </c>
      <c r="H206" s="362" t="s">
        <v>899</v>
      </c>
      <c r="I206" s="370"/>
      <c r="J206" s="364">
        <f>AVERAGE(J204:J205)</f>
        <v>-2.9472040000000002</v>
      </c>
      <c r="K206" s="364">
        <f>AVERAGE(K204:K205)</f>
        <v>18.376871000000001</v>
      </c>
      <c r="L206" s="364">
        <f>AVERAGE(L204:L205)</f>
        <v>29.403828000000001</v>
      </c>
      <c r="M206" s="364">
        <f>AVERAGE(M204:M205)</f>
        <v>9.5129544999999993</v>
      </c>
      <c r="N206" s="349"/>
      <c r="O206" s="347"/>
      <c r="P206" s="366"/>
      <c r="Q206" s="365"/>
      <c r="R206" s="350">
        <f>R205+R204</f>
        <v>7.9956864999999997</v>
      </c>
      <c r="S206" s="350">
        <f>S205</f>
        <v>7.9956864999999997</v>
      </c>
      <c r="T206" s="381">
        <f>T204</f>
        <v>83.1</v>
      </c>
      <c r="U206" s="381">
        <f>U205</f>
        <v>78.8</v>
      </c>
      <c r="V206" s="353">
        <f>V204</f>
        <v>7178.8137059999999</v>
      </c>
      <c r="W206" s="353">
        <f>W205</f>
        <v>9905</v>
      </c>
      <c r="X206" s="353">
        <f>SUM(X204:X205)</f>
        <v>2978.1862940000001</v>
      </c>
      <c r="Y206" s="353">
        <f t="shared" si="86"/>
        <v>372.47412013965283</v>
      </c>
      <c r="Z206" s="353">
        <f>Z204</f>
        <v>3626.2181369999998</v>
      </c>
      <c r="AA206" s="353">
        <f>AA205</f>
        <v>3666.5879260000002</v>
      </c>
      <c r="AB206" s="353">
        <f>SUM(AB204:AB205)</f>
        <v>51.129705000000286</v>
      </c>
      <c r="AC206" s="351">
        <f t="shared" si="87"/>
        <v>6.3946610463029394</v>
      </c>
      <c r="AD206" s="353">
        <f>AD204</f>
        <v>-46.86</v>
      </c>
      <c r="AE206" s="353">
        <f>AE205</f>
        <v>-47.17</v>
      </c>
      <c r="AF206" s="353">
        <f>SUM(AF204:AF205)</f>
        <v>-0.36999999999999744</v>
      </c>
      <c r="AG206" s="351">
        <f t="shared" si="88"/>
        <v>-4.6274950875074633E-2</v>
      </c>
      <c r="AH206" s="353">
        <f>AH204</f>
        <v>7786.325769</v>
      </c>
      <c r="AI206" s="353">
        <f>AI205</f>
        <v>8020.35</v>
      </c>
      <c r="AJ206" s="353">
        <f>SUM(AJ204:AJ205)</f>
        <v>276.21312099999977</v>
      </c>
      <c r="AK206" s="351">
        <f t="shared" si="89"/>
        <v>34.545266500881418</v>
      </c>
      <c r="AL206" s="353">
        <f>AL204</f>
        <v>1093.45</v>
      </c>
      <c r="AM206" s="353">
        <f>AM205</f>
        <v>1112.5999999999999</v>
      </c>
      <c r="AN206" s="353">
        <f>SUM(AN204:AN205)</f>
        <v>23.25</v>
      </c>
      <c r="AO206" s="351">
        <f t="shared" si="90"/>
        <v>2.9078178590418724</v>
      </c>
      <c r="AP206" s="343"/>
      <c r="AQ206" s="343"/>
      <c r="AR206" s="343">
        <f>SUM(AR204:AR205)</f>
        <v>-4.6999999999999886</v>
      </c>
      <c r="AS206" s="353">
        <f>AS204</f>
        <v>77078.899999999994</v>
      </c>
      <c r="AT206" s="353">
        <f>AT205</f>
        <v>77079.7</v>
      </c>
      <c r="AU206" s="384">
        <f>SUM(AU204:AU205)</f>
        <v>0.90000000000873115</v>
      </c>
      <c r="AV206" s="343"/>
      <c r="AW206" s="343"/>
      <c r="AX206" s="343"/>
      <c r="AY206" s="343"/>
      <c r="AZ206" s="362" t="s">
        <v>686</v>
      </c>
      <c r="BA206" s="550"/>
      <c r="BB206" s="550"/>
      <c r="BC206" s="550"/>
      <c r="BD206" s="550"/>
      <c r="BE206" s="550"/>
      <c r="BF206" s="550"/>
      <c r="BG206" s="550"/>
      <c r="BH206" s="550"/>
      <c r="BI206" s="550"/>
      <c r="BJ206" s="550"/>
      <c r="BK206" s="550"/>
      <c r="BL206" s="550"/>
      <c r="BM206" s="550"/>
      <c r="BN206" s="550"/>
      <c r="BO206" s="550"/>
      <c r="BP206" s="550"/>
      <c r="BQ206" s="550"/>
      <c r="BR206" s="550"/>
      <c r="BS206" s="550"/>
    </row>
    <row r="207" spans="1:71" s="577" customFormat="1" ht="15" customHeight="1" x14ac:dyDescent="0.2">
      <c r="A207" s="404">
        <v>62008030</v>
      </c>
      <c r="B207" s="403" t="s">
        <v>896</v>
      </c>
      <c r="C207" s="403" t="s">
        <v>773</v>
      </c>
      <c r="D207" s="402" t="s">
        <v>900</v>
      </c>
      <c r="E207" s="346" t="s">
        <v>901</v>
      </c>
      <c r="F207" s="346" t="str">
        <f t="shared" si="92"/>
        <v>08/12/20</v>
      </c>
      <c r="G207" s="362" t="s">
        <v>902</v>
      </c>
      <c r="H207" s="362" t="s">
        <v>903</v>
      </c>
      <c r="I207" s="370"/>
      <c r="J207" s="363">
        <v>0.25093500000000002</v>
      </c>
      <c r="K207" s="363">
        <v>-50.687378000000002</v>
      </c>
      <c r="L207" s="363">
        <v>-141.73229000000001</v>
      </c>
      <c r="M207" s="363">
        <v>-50.029580000000003</v>
      </c>
      <c r="N207" s="347">
        <v>4250</v>
      </c>
      <c r="O207" s="347">
        <v>30.36</v>
      </c>
      <c r="P207" s="347">
        <v>0.3201</v>
      </c>
      <c r="Q207" s="347">
        <v>1.9560000000000001E-2</v>
      </c>
      <c r="R207" s="348">
        <v>97.232581620000005</v>
      </c>
      <c r="S207" s="348">
        <f>R207+R206</f>
        <v>105.22826812000001</v>
      </c>
      <c r="T207" s="380">
        <v>78.3</v>
      </c>
      <c r="U207" s="380">
        <v>25.3</v>
      </c>
      <c r="V207" s="352">
        <v>10163</v>
      </c>
      <c r="W207" s="352">
        <v>41529</v>
      </c>
      <c r="X207" s="352">
        <f>W207-V207</f>
        <v>31366</v>
      </c>
      <c r="Y207" s="352">
        <f t="shared" si="86"/>
        <v>322.58734137681529</v>
      </c>
      <c r="Z207" s="372">
        <v>3679.7280609999998</v>
      </c>
      <c r="AA207" s="352">
        <v>4080.4353460000002</v>
      </c>
      <c r="AB207" s="352">
        <f>AA207-Z207</f>
        <v>400.70728500000041</v>
      </c>
      <c r="AC207" s="371">
        <f t="shared" si="87"/>
        <v>4.1211215245320396</v>
      </c>
      <c r="AD207" s="372">
        <v>-44.498061</v>
      </c>
      <c r="AE207" s="352">
        <v>-49.31</v>
      </c>
      <c r="AF207" s="352">
        <f>AE207-AD207</f>
        <v>-4.8119390000000024</v>
      </c>
      <c r="AG207" s="371">
        <f t="shared" si="88"/>
        <v>-4.9488956477632219E-2</v>
      </c>
      <c r="AH207" s="372">
        <v>8066.3</v>
      </c>
      <c r="AI207" s="352">
        <v>10262.476735</v>
      </c>
      <c r="AJ207" s="352">
        <f>AI207-AH207</f>
        <v>2196.176735</v>
      </c>
      <c r="AK207" s="371">
        <f t="shared" si="89"/>
        <v>22.5868397034134</v>
      </c>
      <c r="AL207" s="372">
        <v>1117.640316</v>
      </c>
      <c r="AM207" s="352">
        <v>1333.3</v>
      </c>
      <c r="AN207" s="352">
        <f>AM207-AL207</f>
        <v>215.65968399999997</v>
      </c>
      <c r="AO207" s="371">
        <f t="shared" si="90"/>
        <v>2.217977558621568</v>
      </c>
      <c r="AP207" s="341">
        <v>78.3</v>
      </c>
      <c r="AQ207" s="341">
        <v>25.3</v>
      </c>
      <c r="AR207" s="341">
        <f>AQ207-AP207</f>
        <v>-53</v>
      </c>
      <c r="AS207" s="372">
        <v>77080.5</v>
      </c>
      <c r="AT207" s="352">
        <v>77088.399999999994</v>
      </c>
      <c r="AU207" s="383">
        <f>AT207-AS207</f>
        <v>7.8999999999941792</v>
      </c>
      <c r="AV207" s="341"/>
      <c r="AW207" s="341"/>
      <c r="AX207" s="341"/>
      <c r="AY207" s="341"/>
      <c r="AZ207" s="362" t="s">
        <v>686</v>
      </c>
      <c r="BA207" s="550">
        <v>24.777108590000001</v>
      </c>
      <c r="BB207" s="550">
        <v>47.087648160000001</v>
      </c>
      <c r="BC207" s="550">
        <v>854.80280904999995</v>
      </c>
      <c r="BD207" s="550">
        <v>581.15200000000004</v>
      </c>
      <c r="BE207" s="550">
        <v>93.516225719999994</v>
      </c>
      <c r="BF207" s="550">
        <v>93.761127419999994</v>
      </c>
      <c r="BG207" s="550">
        <v>-0.10703711</v>
      </c>
      <c r="BH207" s="550">
        <v>97.233402100000006</v>
      </c>
      <c r="BI207" s="550">
        <v>97.337589440000002</v>
      </c>
      <c r="BJ207" s="550">
        <v>-0.15456407999999999</v>
      </c>
      <c r="BK207" s="550">
        <v>-0.26119747999999998</v>
      </c>
      <c r="BL207" s="550">
        <v>8.8103799999999996E-3</v>
      </c>
      <c r="BM207" s="550"/>
      <c r="BN207" s="550"/>
      <c r="BO207" s="550"/>
      <c r="BP207" s="550"/>
      <c r="BQ207" s="550"/>
      <c r="BR207" s="550"/>
      <c r="BS207" s="550"/>
    </row>
    <row r="208" spans="1:71" s="577" customFormat="1" ht="15" customHeight="1" x14ac:dyDescent="0.2">
      <c r="A208" s="404">
        <v>62008031</v>
      </c>
      <c r="B208" s="403" t="s">
        <v>633</v>
      </c>
      <c r="C208" s="403" t="s">
        <v>810</v>
      </c>
      <c r="D208" s="402" t="s">
        <v>724</v>
      </c>
      <c r="E208" s="346" t="s">
        <v>904</v>
      </c>
      <c r="F208" s="346" t="str">
        <f t="shared" si="92"/>
        <v>08/12/20</v>
      </c>
      <c r="G208" s="362" t="s">
        <v>905</v>
      </c>
      <c r="H208" s="362" t="s">
        <v>906</v>
      </c>
      <c r="I208" s="370"/>
      <c r="J208" s="363">
        <v>-6.6519729999999999</v>
      </c>
      <c r="K208" s="363">
        <v>13.201473999999999</v>
      </c>
      <c r="L208" s="363">
        <v>29.392493999999999</v>
      </c>
      <c r="M208" s="363">
        <v>11.630931</v>
      </c>
      <c r="N208" s="347">
        <v>4250</v>
      </c>
      <c r="O208" s="347">
        <v>30.36</v>
      </c>
      <c r="P208" s="347">
        <v>0.3201</v>
      </c>
      <c r="Q208" s="347">
        <v>1.9560000000000001E-2</v>
      </c>
      <c r="R208" s="348">
        <v>1.7677690699999999</v>
      </c>
      <c r="S208" s="348">
        <f>R208+R207</f>
        <v>99.000350690000005</v>
      </c>
      <c r="T208" s="380">
        <v>25.2</v>
      </c>
      <c r="U208" s="380">
        <v>20.100000000000001</v>
      </c>
      <c r="V208" s="352">
        <v>41535</v>
      </c>
      <c r="W208" s="352">
        <v>44380</v>
      </c>
      <c r="X208" s="352">
        <f>W208-V208-X209</f>
        <v>693</v>
      </c>
      <c r="Y208" s="352">
        <f t="shared" si="86"/>
        <v>392.01953001700616</v>
      </c>
      <c r="Z208" s="372">
        <v>4082.19</v>
      </c>
      <c r="AA208" s="352">
        <v>4135.29547</v>
      </c>
      <c r="AB208" s="352">
        <f>AA208-Z208-AB209</f>
        <v>23.785781000000497</v>
      </c>
      <c r="AC208" s="371">
        <f t="shared" si="87"/>
        <v>13.455253519058628</v>
      </c>
      <c r="AD208" s="372">
        <v>-46.87</v>
      </c>
      <c r="AE208" s="352">
        <v>-48.96</v>
      </c>
      <c r="AF208" s="352">
        <f>AE208-AD208-AF209</f>
        <v>-1.1100000000000065</v>
      </c>
      <c r="AG208" s="371">
        <f t="shared" si="88"/>
        <v>-0.6279100697242127</v>
      </c>
      <c r="AH208" s="372">
        <v>10265.700000000001</v>
      </c>
      <c r="AI208" s="352">
        <v>10538.15</v>
      </c>
      <c r="AJ208" s="352">
        <f>AI208-AH208-AJ209</f>
        <v>96.028702999998131</v>
      </c>
      <c r="AK208" s="371">
        <f t="shared" si="89"/>
        <v>54.321972609238003</v>
      </c>
      <c r="AL208" s="372">
        <v>1333.3</v>
      </c>
      <c r="AM208" s="352">
        <v>1363.5</v>
      </c>
      <c r="AN208" s="352">
        <f>AM208-AL208-AN209</f>
        <v>10.350000000000136</v>
      </c>
      <c r="AO208" s="371">
        <f t="shared" si="90"/>
        <v>5.854837136617701</v>
      </c>
      <c r="AP208" s="341">
        <v>25.2</v>
      </c>
      <c r="AQ208" s="341">
        <v>20.100000000000001</v>
      </c>
      <c r="AR208" s="341">
        <f>AQ208-AP208-AR209</f>
        <v>-1.1999999999999993</v>
      </c>
      <c r="AS208" s="372">
        <v>77088.899999999994</v>
      </c>
      <c r="AT208" s="352">
        <v>77089.7</v>
      </c>
      <c r="AU208" s="383">
        <f>AT208-AS208-AU209</f>
        <v>0.19999999999708962</v>
      </c>
      <c r="AV208" s="341"/>
      <c r="AW208" s="341"/>
      <c r="AX208" s="341"/>
      <c r="AY208" s="341"/>
      <c r="AZ208" s="362" t="s">
        <v>686</v>
      </c>
      <c r="BA208" s="550">
        <v>5539.6960577999998</v>
      </c>
      <c r="BB208" s="550">
        <v>-2.11298297</v>
      </c>
      <c r="BC208" s="550">
        <v>2407.6752909400002</v>
      </c>
      <c r="BD208" s="550">
        <v>2459.6472178700001</v>
      </c>
      <c r="BE208" s="550">
        <v>3.1502913100000001</v>
      </c>
      <c r="BF208" s="550">
        <v>3.2084943500000001</v>
      </c>
      <c r="BG208" s="550">
        <v>-0.25264876000000003</v>
      </c>
      <c r="BH208" s="550">
        <v>1.76772178</v>
      </c>
      <c r="BI208" s="550">
        <v>1.7721992200000001</v>
      </c>
      <c r="BJ208" s="550">
        <v>-1.59022843</v>
      </c>
      <c r="BK208" s="550">
        <v>-1.81402997</v>
      </c>
      <c r="BL208" s="550">
        <v>0.81480602000000002</v>
      </c>
      <c r="BM208" s="550"/>
      <c r="BN208" s="550"/>
      <c r="BO208" s="550"/>
      <c r="BP208" s="550"/>
      <c r="BQ208" s="550"/>
      <c r="BR208" s="550"/>
      <c r="BS208" s="550"/>
    </row>
    <row r="209" spans="1:71" s="577" customFormat="1" ht="15" customHeight="1" x14ac:dyDescent="0.2">
      <c r="A209" s="404">
        <f t="shared" ref="A209:A217" si="93">A208</f>
        <v>62008031</v>
      </c>
      <c r="B209" s="403" t="s">
        <v>634</v>
      </c>
      <c r="C209" s="403" t="s">
        <v>774</v>
      </c>
      <c r="D209" s="402" t="s">
        <v>724</v>
      </c>
      <c r="E209" s="346" t="s">
        <v>904</v>
      </c>
      <c r="F209" s="346" t="str">
        <f t="shared" si="92"/>
        <v>08/12/20</v>
      </c>
      <c r="G209" s="362" t="s">
        <v>905</v>
      </c>
      <c r="H209" s="362" t="s">
        <v>906</v>
      </c>
      <c r="I209" s="370"/>
      <c r="J209" s="363">
        <v>-2.3001459999999998</v>
      </c>
      <c r="K209" s="363">
        <v>11.195966</v>
      </c>
      <c r="L209" s="363">
        <v>29.389600999999999</v>
      </c>
      <c r="M209" s="363">
        <v>8.9183199999999996</v>
      </c>
      <c r="N209" s="347">
        <v>4250</v>
      </c>
      <c r="O209" s="347">
        <v>30.36</v>
      </c>
      <c r="P209" s="347">
        <v>0.3201</v>
      </c>
      <c r="Q209" s="347">
        <v>1.9560000000000001E-2</v>
      </c>
      <c r="R209" s="348">
        <v>6.2283515500000002</v>
      </c>
      <c r="S209" s="348">
        <f>R209+R208</f>
        <v>7.9961206200000001</v>
      </c>
      <c r="T209" s="380">
        <v>24.4</v>
      </c>
      <c r="U209" s="380">
        <v>20.5</v>
      </c>
      <c r="V209" s="352">
        <v>42004</v>
      </c>
      <c r="W209" s="352">
        <v>44156</v>
      </c>
      <c r="X209" s="352">
        <f>W209-V209</f>
        <v>2152</v>
      </c>
      <c r="Y209" s="352">
        <f t="shared" si="86"/>
        <v>345.51678445318328</v>
      </c>
      <c r="Z209" s="372">
        <v>4095.0457430000001</v>
      </c>
      <c r="AA209" s="352">
        <v>4124.3654319999996</v>
      </c>
      <c r="AB209" s="352">
        <f>AA209-Z209</f>
        <v>29.319688999999471</v>
      </c>
      <c r="AC209" s="371">
        <f t="shared" si="87"/>
        <v>4.7074556990925585</v>
      </c>
      <c r="AD209" s="372">
        <v>-47.84</v>
      </c>
      <c r="AE209" s="352">
        <v>-48.82</v>
      </c>
      <c r="AF209" s="352">
        <f>AE209-AD209</f>
        <v>-0.97999999999999687</v>
      </c>
      <c r="AG209" s="371">
        <f t="shared" si="88"/>
        <v>-0.15734500407254579</v>
      </c>
      <c r="AH209" s="372">
        <v>10320.828702999999</v>
      </c>
      <c r="AI209" s="352">
        <v>10497.25</v>
      </c>
      <c r="AJ209" s="352">
        <f>AI209-AH209</f>
        <v>176.42129700000078</v>
      </c>
      <c r="AK209" s="371">
        <f t="shared" si="89"/>
        <v>28.325520096886756</v>
      </c>
      <c r="AL209" s="372">
        <v>1339.95</v>
      </c>
      <c r="AM209" s="352">
        <v>1359.8</v>
      </c>
      <c r="AN209" s="352">
        <f>AM209-AL209</f>
        <v>19.849999999999909</v>
      </c>
      <c r="AO209" s="371">
        <f t="shared" si="90"/>
        <v>3.1870391131020708</v>
      </c>
      <c r="AP209" s="341">
        <v>24.4</v>
      </c>
      <c r="AQ209" s="341">
        <v>20.5</v>
      </c>
      <c r="AR209" s="341">
        <f>AQ209-AP209</f>
        <v>-3.8999999999999986</v>
      </c>
      <c r="AS209" s="372">
        <v>77089</v>
      </c>
      <c r="AT209" s="352">
        <v>77089.600000000006</v>
      </c>
      <c r="AU209" s="383">
        <f>AT209-AS209</f>
        <v>0.60000000000582077</v>
      </c>
      <c r="AV209" s="341"/>
      <c r="AW209" s="341"/>
      <c r="AX209" s="341"/>
      <c r="AY209" s="341"/>
      <c r="AZ209" s="362" t="s">
        <v>686</v>
      </c>
      <c r="BA209" s="550">
        <v>11825.91802777</v>
      </c>
      <c r="BB209" s="550">
        <v>-6.8131403400000004</v>
      </c>
      <c r="BC209" s="550">
        <v>1061.5022666899999</v>
      </c>
      <c r="BD209" s="550">
        <v>1139.11153414</v>
      </c>
      <c r="BE209" s="550">
        <v>6.9666246200000002</v>
      </c>
      <c r="BF209" s="550">
        <v>7.0875167899999996</v>
      </c>
      <c r="BG209" s="550">
        <v>-0.11807556</v>
      </c>
      <c r="BH209" s="550">
        <v>6.2283897499999998</v>
      </c>
      <c r="BI209" s="550">
        <v>6.2357526400000003</v>
      </c>
      <c r="BJ209" s="550">
        <v>-1.6151802799999999</v>
      </c>
      <c r="BK209" s="550">
        <v>-1.70570562</v>
      </c>
      <c r="BL209" s="550">
        <v>0.34910933999999999</v>
      </c>
      <c r="BM209" s="550"/>
      <c r="BN209" s="550"/>
      <c r="BO209" s="550"/>
      <c r="BP209" s="550"/>
      <c r="BQ209" s="550"/>
      <c r="BR209" s="550"/>
      <c r="BS209" s="550"/>
    </row>
    <row r="210" spans="1:71" s="577" customFormat="1" ht="15" customHeight="1" x14ac:dyDescent="0.2">
      <c r="A210" s="404">
        <f t="shared" si="93"/>
        <v>62008031</v>
      </c>
      <c r="B210" s="403" t="s">
        <v>635</v>
      </c>
      <c r="C210" s="403" t="s">
        <v>775</v>
      </c>
      <c r="D210" s="402" t="s">
        <v>724</v>
      </c>
      <c r="E210" s="346" t="s">
        <v>904</v>
      </c>
      <c r="F210" s="346" t="str">
        <f t="shared" si="92"/>
        <v>08/12/20</v>
      </c>
      <c r="G210" s="362" t="s">
        <v>905</v>
      </c>
      <c r="H210" s="362" t="s">
        <v>906</v>
      </c>
      <c r="I210" s="370"/>
      <c r="J210" s="364">
        <f>AVERAGE(J208:J209)</f>
        <v>-4.4760594999999999</v>
      </c>
      <c r="K210" s="364">
        <f>AVERAGE(K208:K209)</f>
        <v>12.19872</v>
      </c>
      <c r="L210" s="364">
        <f>AVERAGE(L208:L209)</f>
        <v>29.391047499999999</v>
      </c>
      <c r="M210" s="364">
        <f>AVERAGE(M208:M209)</f>
        <v>10.274625499999999</v>
      </c>
      <c r="N210" s="349"/>
      <c r="O210" s="347"/>
      <c r="P210" s="366"/>
      <c r="Q210" s="365"/>
      <c r="R210" s="350">
        <f>R209+R208</f>
        <v>7.9961206200000001</v>
      </c>
      <c r="S210" s="350">
        <f>S209</f>
        <v>7.9961206200000001</v>
      </c>
      <c r="T210" s="381">
        <f>T208</f>
        <v>25.2</v>
      </c>
      <c r="U210" s="381">
        <f>U209</f>
        <v>20.5</v>
      </c>
      <c r="V210" s="353">
        <f>V208</f>
        <v>41535</v>
      </c>
      <c r="W210" s="353">
        <f>W209</f>
        <v>44156</v>
      </c>
      <c r="X210" s="353">
        <f>SUM(X208:X209)</f>
        <v>2845</v>
      </c>
      <c r="Y210" s="353">
        <f t="shared" si="86"/>
        <v>355.79753422979252</v>
      </c>
      <c r="Z210" s="353">
        <f>Z208</f>
        <v>4082.19</v>
      </c>
      <c r="AA210" s="353">
        <f>AA209</f>
        <v>4124.3654319999996</v>
      </c>
      <c r="AB210" s="353">
        <f>SUM(AB208:AB209)</f>
        <v>53.105469999999968</v>
      </c>
      <c r="AC210" s="351">
        <f t="shared" si="87"/>
        <v>6.6414043163846079</v>
      </c>
      <c r="AD210" s="353">
        <f>AD208</f>
        <v>-46.87</v>
      </c>
      <c r="AE210" s="353">
        <f>AE209</f>
        <v>-48.82</v>
      </c>
      <c r="AF210" s="353">
        <f>SUM(AF208:AF209)</f>
        <v>-2.0900000000000034</v>
      </c>
      <c r="AG210" s="351">
        <f t="shared" si="88"/>
        <v>-0.2613767474658234</v>
      </c>
      <c r="AH210" s="353">
        <f>AH208</f>
        <v>10265.700000000001</v>
      </c>
      <c r="AI210" s="353">
        <f>AI209</f>
        <v>10497.25</v>
      </c>
      <c r="AJ210" s="353">
        <f>SUM(AJ208:AJ209)</f>
        <v>272.44999999999891</v>
      </c>
      <c r="AK210" s="351">
        <f t="shared" si="89"/>
        <v>34.072772654097221</v>
      </c>
      <c r="AL210" s="353">
        <f>AL208</f>
        <v>1333.3</v>
      </c>
      <c r="AM210" s="353">
        <f>AM209</f>
        <v>1359.8</v>
      </c>
      <c r="AN210" s="353">
        <f>SUM(AN208:AN209)</f>
        <v>30.200000000000045</v>
      </c>
      <c r="AO210" s="351">
        <f t="shared" si="90"/>
        <v>3.7768314705587875</v>
      </c>
      <c r="AP210" s="343"/>
      <c r="AQ210" s="343"/>
      <c r="AR210" s="343">
        <f>SUM(AR208:AR209)</f>
        <v>-5.0999999999999979</v>
      </c>
      <c r="AS210" s="353">
        <f>AS208</f>
        <v>77088.899999999994</v>
      </c>
      <c r="AT210" s="353">
        <f>AT209</f>
        <v>77089.600000000006</v>
      </c>
      <c r="AU210" s="384">
        <f>SUM(AU208:AU209)</f>
        <v>0.80000000000291038</v>
      </c>
      <c r="AV210" s="343"/>
      <c r="AW210" s="343"/>
      <c r="AX210" s="343"/>
      <c r="AY210" s="343"/>
      <c r="AZ210" s="362" t="s">
        <v>686</v>
      </c>
      <c r="BA210" s="550"/>
      <c r="BB210" s="550"/>
      <c r="BC210" s="550"/>
      <c r="BD210" s="550"/>
      <c r="BE210" s="550"/>
      <c r="BF210" s="550"/>
      <c r="BG210" s="550"/>
      <c r="BH210" s="550"/>
      <c r="BI210" s="550"/>
      <c r="BJ210" s="550"/>
      <c r="BK210" s="550"/>
      <c r="BL210" s="550"/>
      <c r="BM210" s="550"/>
      <c r="BN210" s="550"/>
      <c r="BO210" s="550"/>
      <c r="BP210" s="550"/>
      <c r="BQ210" s="550"/>
      <c r="BR210" s="550"/>
      <c r="BS210" s="550"/>
    </row>
    <row r="211" spans="1:71" s="577" customFormat="1" ht="15" customHeight="1" x14ac:dyDescent="0.2">
      <c r="A211" s="404">
        <f t="shared" si="93"/>
        <v>62008031</v>
      </c>
      <c r="B211" s="403" t="s">
        <v>627</v>
      </c>
      <c r="C211" s="403" t="s">
        <v>776</v>
      </c>
      <c r="D211" s="402" t="s">
        <v>724</v>
      </c>
      <c r="E211" s="346" t="s">
        <v>904</v>
      </c>
      <c r="F211" s="346" t="str">
        <f t="shared" si="92"/>
        <v>08/12/20</v>
      </c>
      <c r="G211" s="362" t="s">
        <v>905</v>
      </c>
      <c r="H211" s="362" t="s">
        <v>906</v>
      </c>
      <c r="I211" s="370"/>
      <c r="J211" s="363">
        <v>-5.925065</v>
      </c>
      <c r="K211" s="363">
        <v>38.050443999999999</v>
      </c>
      <c r="L211" s="363">
        <v>29.395661</v>
      </c>
      <c r="M211" s="363">
        <v>7.7828429999999997</v>
      </c>
      <c r="N211" s="347">
        <v>4250</v>
      </c>
      <c r="O211" s="347">
        <v>30.36</v>
      </c>
      <c r="P211" s="347">
        <v>0.3201</v>
      </c>
      <c r="Q211" s="347">
        <v>1.9560000000000001E-2</v>
      </c>
      <c r="R211" s="348">
        <v>3.5892993</v>
      </c>
      <c r="S211" s="348">
        <f>R211+R210</f>
        <v>11.58541992</v>
      </c>
      <c r="T211" s="380">
        <v>20.100000000000001</v>
      </c>
      <c r="U211" s="380">
        <v>18</v>
      </c>
      <c r="V211" s="352">
        <v>44386</v>
      </c>
      <c r="W211" s="352">
        <v>45506</v>
      </c>
      <c r="X211" s="352">
        <f>W211-V211</f>
        <v>1120</v>
      </c>
      <c r="Y211" s="352">
        <f t="shared" si="86"/>
        <v>312.03861990556209</v>
      </c>
      <c r="Z211" s="372">
        <v>4139.1752530000003</v>
      </c>
      <c r="AA211" s="352">
        <v>4193.1000050000002</v>
      </c>
      <c r="AB211" s="352">
        <f>AA211-Z211</f>
        <v>53.924751999999899</v>
      </c>
      <c r="AC211" s="371">
        <f t="shared" si="87"/>
        <v>15.02375463645506</v>
      </c>
      <c r="AD211" s="372">
        <v>-46.44</v>
      </c>
      <c r="AE211" s="352">
        <v>-48.51</v>
      </c>
      <c r="AF211" s="352">
        <f>AE211-AD211</f>
        <v>-2.0700000000000003</v>
      </c>
      <c r="AG211" s="371">
        <f t="shared" si="88"/>
        <v>-0.57671423500402996</v>
      </c>
      <c r="AH211" s="372">
        <v>10540.376281999999</v>
      </c>
      <c r="AI211" s="352">
        <v>10784.2</v>
      </c>
      <c r="AJ211" s="352">
        <f>AI211-AH211</f>
        <v>243.82371800000146</v>
      </c>
      <c r="AK211" s="371">
        <f t="shared" si="89"/>
        <v>67.930728986574479</v>
      </c>
      <c r="AL211" s="372">
        <v>1363.7</v>
      </c>
      <c r="AM211" s="352">
        <v>1431.6</v>
      </c>
      <c r="AN211" s="352">
        <f>AM211-AL211</f>
        <v>67.899999999999864</v>
      </c>
      <c r="AO211" s="371">
        <f t="shared" si="90"/>
        <v>18.917341331774661</v>
      </c>
      <c r="AP211" s="341">
        <v>20.100000000000001</v>
      </c>
      <c r="AQ211" s="341">
        <v>18</v>
      </c>
      <c r="AR211" s="341">
        <f>AQ211-AP211</f>
        <v>-2.1000000000000014</v>
      </c>
      <c r="AS211" s="372">
        <v>77090.600000000006</v>
      </c>
      <c r="AT211" s="352">
        <v>77091.3</v>
      </c>
      <c r="AU211" s="383">
        <f>AT211-AS211</f>
        <v>0.69999999999708962</v>
      </c>
      <c r="AV211" s="341"/>
      <c r="AW211" s="341"/>
      <c r="AX211" s="341"/>
      <c r="AY211" s="341"/>
      <c r="AZ211" s="362" t="s">
        <v>686</v>
      </c>
      <c r="BA211" s="550">
        <v>2412.7521300799999</v>
      </c>
      <c r="BB211" s="550">
        <v>-1.03304237</v>
      </c>
      <c r="BC211" s="550">
        <v>2027.5439475799999</v>
      </c>
      <c r="BD211" s="550">
        <v>2048.7079690400001</v>
      </c>
      <c r="BE211" s="550">
        <v>3.2267191899999998</v>
      </c>
      <c r="BF211" s="550">
        <v>3.2583628199999999</v>
      </c>
      <c r="BG211" s="550">
        <v>-4.7384700000000002E-2</v>
      </c>
      <c r="BH211" s="550">
        <v>3.5892779500000001</v>
      </c>
      <c r="BI211" s="550">
        <v>3.5909795199999999</v>
      </c>
      <c r="BJ211" s="550">
        <v>-0.93282580000000004</v>
      </c>
      <c r="BK211" s="550">
        <v>-0.97115134999999997</v>
      </c>
      <c r="BL211" s="550">
        <v>0.59037101999999997</v>
      </c>
      <c r="BM211" s="550"/>
      <c r="BN211" s="550"/>
      <c r="BO211" s="550"/>
      <c r="BP211" s="550"/>
      <c r="BQ211" s="550"/>
      <c r="BR211" s="550"/>
      <c r="BS211" s="550"/>
    </row>
    <row r="212" spans="1:71" s="577" customFormat="1" ht="15" customHeight="1" x14ac:dyDescent="0.2">
      <c r="A212" s="404">
        <f t="shared" si="93"/>
        <v>62008031</v>
      </c>
      <c r="B212" s="403" t="s">
        <v>894</v>
      </c>
      <c r="C212" s="403" t="s">
        <v>777</v>
      </c>
      <c r="D212" s="402" t="s">
        <v>724</v>
      </c>
      <c r="E212" s="346" t="s">
        <v>904</v>
      </c>
      <c r="F212" s="346" t="str">
        <f t="shared" si="92"/>
        <v>08/12/20</v>
      </c>
      <c r="G212" s="362" t="s">
        <v>905</v>
      </c>
      <c r="H212" s="362" t="s">
        <v>906</v>
      </c>
      <c r="I212" s="370"/>
      <c r="J212" s="363">
        <v>-7.2929729999999999</v>
      </c>
      <c r="K212" s="363">
        <v>39.277937999999999</v>
      </c>
      <c r="L212" s="363">
        <v>29.398620000000001</v>
      </c>
      <c r="M212" s="363">
        <v>8.176679</v>
      </c>
      <c r="N212" s="347">
        <v>4250</v>
      </c>
      <c r="O212" s="347">
        <v>30.36</v>
      </c>
      <c r="P212" s="347">
        <v>0.3201</v>
      </c>
      <c r="Q212" s="347">
        <v>1.9560000000000001E-2</v>
      </c>
      <c r="R212" s="348">
        <v>3.8568311199999998</v>
      </c>
      <c r="S212" s="348">
        <f>R212+R211</f>
        <v>7.4461304199999994</v>
      </c>
      <c r="T212" s="380">
        <v>18</v>
      </c>
      <c r="U212" s="380">
        <v>16</v>
      </c>
      <c r="V212" s="352">
        <v>45506</v>
      </c>
      <c r="W212" s="352">
        <v>46623</v>
      </c>
      <c r="X212" s="352">
        <f>W212-V212</f>
        <v>1117</v>
      </c>
      <c r="Y212" s="352">
        <f t="shared" si="86"/>
        <v>289.61599957220841</v>
      </c>
      <c r="Z212" s="372">
        <v>4193.1249959999996</v>
      </c>
      <c r="AA212" s="352">
        <v>4285.76</v>
      </c>
      <c r="AB212" s="352">
        <f>AA212-Z212</f>
        <v>92.635004000000663</v>
      </c>
      <c r="AC212" s="371">
        <f t="shared" si="87"/>
        <v>24.018423705313978</v>
      </c>
      <c r="AD212" s="372">
        <v>-48.51</v>
      </c>
      <c r="AE212" s="352">
        <v>-49.53</v>
      </c>
      <c r="AF212" s="352">
        <f>AE212-AD212</f>
        <v>-1.0200000000000031</v>
      </c>
      <c r="AG212" s="371">
        <f t="shared" si="88"/>
        <v>-0.26446581876781866</v>
      </c>
      <c r="AH212" s="372">
        <v>10784.274966999999</v>
      </c>
      <c r="AI212" s="352">
        <v>11118.9</v>
      </c>
      <c r="AJ212" s="352">
        <f>AI212-AH212</f>
        <v>334.62503300000026</v>
      </c>
      <c r="AK212" s="371">
        <f t="shared" si="89"/>
        <v>86.761650326032495</v>
      </c>
      <c r="AL212" s="372">
        <v>1431.6</v>
      </c>
      <c r="AM212" s="352">
        <v>1447.35</v>
      </c>
      <c r="AN212" s="352">
        <f>AM212-AL212</f>
        <v>15.75</v>
      </c>
      <c r="AO212" s="371">
        <f t="shared" si="90"/>
        <v>4.0836633780324822</v>
      </c>
      <c r="AP212" s="341">
        <v>18</v>
      </c>
      <c r="AQ212" s="341">
        <v>16</v>
      </c>
      <c r="AR212" s="341">
        <f>AQ212-AP212</f>
        <v>-2</v>
      </c>
      <c r="AS212" s="372">
        <v>77091.3</v>
      </c>
      <c r="AT212" s="352">
        <v>77092.600000000006</v>
      </c>
      <c r="AU212" s="383">
        <f>AT212-AS212</f>
        <v>1.3000000000029104</v>
      </c>
      <c r="AV212" s="341"/>
      <c r="AW212" s="341"/>
      <c r="AX212" s="341"/>
      <c r="AY212" s="341"/>
      <c r="AZ212" s="362" t="s">
        <v>686</v>
      </c>
      <c r="BA212" s="550">
        <v>1481.79558851</v>
      </c>
      <c r="BB212" s="550">
        <v>-0.80988066999999997</v>
      </c>
      <c r="BC212" s="550">
        <v>3388.3508005499998</v>
      </c>
      <c r="BD212" s="550">
        <v>3416.01645745</v>
      </c>
      <c r="BE212" s="550">
        <v>2.9734966799999998</v>
      </c>
      <c r="BF212" s="550">
        <v>3.0184664899999998</v>
      </c>
      <c r="BG212" s="550">
        <v>-7.8765539999999995E-2</v>
      </c>
      <c r="BH212" s="550">
        <v>3.8567895499999998</v>
      </c>
      <c r="BI212" s="550">
        <v>3.8598297700000002</v>
      </c>
      <c r="BJ212" s="550">
        <v>-1.4323977400000001</v>
      </c>
      <c r="BK212" s="550">
        <v>-1.48982309</v>
      </c>
      <c r="BL212" s="550">
        <v>0.71451290000000001</v>
      </c>
      <c r="BM212" s="550"/>
      <c r="BN212" s="550"/>
      <c r="BO212" s="550"/>
      <c r="BP212" s="550"/>
      <c r="BQ212" s="550"/>
      <c r="BR212" s="550"/>
      <c r="BS212" s="550"/>
    </row>
    <row r="213" spans="1:71" s="577" customFormat="1" ht="15" customHeight="1" x14ac:dyDescent="0.2">
      <c r="A213" s="404">
        <f t="shared" si="93"/>
        <v>62008031</v>
      </c>
      <c r="B213" s="403" t="s">
        <v>629</v>
      </c>
      <c r="C213" s="403" t="s">
        <v>799</v>
      </c>
      <c r="D213" s="402" t="s">
        <v>724</v>
      </c>
      <c r="E213" s="346" t="s">
        <v>904</v>
      </c>
      <c r="F213" s="346" t="str">
        <f t="shared" si="92"/>
        <v>08/12/20</v>
      </c>
      <c r="G213" s="362" t="s">
        <v>905</v>
      </c>
      <c r="H213" s="362" t="s">
        <v>906</v>
      </c>
      <c r="I213" s="370"/>
      <c r="J213" s="364">
        <f>AVERAGE(J211:J212)</f>
        <v>-6.609019</v>
      </c>
      <c r="K213" s="364">
        <f>AVERAGE(K211:K212)</f>
        <v>38.664191000000002</v>
      </c>
      <c r="L213" s="364">
        <f>AVERAGE(L211:L212)</f>
        <v>29.397140499999999</v>
      </c>
      <c r="M213" s="364">
        <f>AVERAGE(M211:M212)</f>
        <v>7.9797609999999999</v>
      </c>
      <c r="N213" s="349"/>
      <c r="O213" s="347"/>
      <c r="P213" s="366"/>
      <c r="Q213" s="365"/>
      <c r="R213" s="350">
        <f>R212+R211</f>
        <v>7.4461304199999994</v>
      </c>
      <c r="S213" s="350">
        <f>S212</f>
        <v>7.4461304199999994</v>
      </c>
      <c r="T213" s="381">
        <f>T211</f>
        <v>20.100000000000001</v>
      </c>
      <c r="U213" s="381">
        <f>U212</f>
        <v>16</v>
      </c>
      <c r="V213" s="353">
        <f>V211</f>
        <v>44386</v>
      </c>
      <c r="W213" s="353">
        <f>W212</f>
        <v>46623</v>
      </c>
      <c r="X213" s="353">
        <f>SUM(X211:X212)</f>
        <v>2237</v>
      </c>
      <c r="Y213" s="353">
        <f t="shared" si="86"/>
        <v>300.42449887682739</v>
      </c>
      <c r="Z213" s="353">
        <f>Z211</f>
        <v>4139.1752530000003</v>
      </c>
      <c r="AA213" s="353">
        <f>AA212</f>
        <v>4285.76</v>
      </c>
      <c r="AB213" s="353">
        <f>SUM(AB211:AB212)</f>
        <v>146.55975600000056</v>
      </c>
      <c r="AC213" s="351">
        <f t="shared" si="87"/>
        <v>19.682673782659929</v>
      </c>
      <c r="AD213" s="353">
        <f>AD211</f>
        <v>-46.44</v>
      </c>
      <c r="AE213" s="353">
        <f>AE212</f>
        <v>-49.53</v>
      </c>
      <c r="AF213" s="353">
        <f>SUM(AF211:AF212)</f>
        <v>-3.0900000000000034</v>
      </c>
      <c r="AG213" s="351">
        <f t="shared" si="88"/>
        <v>-0.41498064440294929</v>
      </c>
      <c r="AH213" s="353">
        <f>AH211</f>
        <v>10540.376281999999</v>
      </c>
      <c r="AI213" s="353">
        <f>AI212</f>
        <v>11118.9</v>
      </c>
      <c r="AJ213" s="353">
        <f>SUM(AJ211:AJ212)</f>
        <v>578.44875100000172</v>
      </c>
      <c r="AK213" s="351">
        <f t="shared" si="89"/>
        <v>77.684477489987586</v>
      </c>
      <c r="AL213" s="353">
        <f>AL211</f>
        <v>1363.7</v>
      </c>
      <c r="AM213" s="353">
        <f>AM212</f>
        <v>1447.35</v>
      </c>
      <c r="AN213" s="353">
        <f>SUM(AN211:AN212)</f>
        <v>83.649999999999864</v>
      </c>
      <c r="AO213" s="351">
        <f t="shared" si="90"/>
        <v>11.234022946377545</v>
      </c>
      <c r="AP213" s="343"/>
      <c r="AQ213" s="343"/>
      <c r="AR213" s="343">
        <f>SUM(AR211:AR212)</f>
        <v>-4.1000000000000014</v>
      </c>
      <c r="AS213" s="353">
        <f>AS211</f>
        <v>77090.600000000006</v>
      </c>
      <c r="AT213" s="353">
        <f>AT212</f>
        <v>77092.600000000006</v>
      </c>
      <c r="AU213" s="384">
        <f>SUM(AU211:AU212)</f>
        <v>2</v>
      </c>
      <c r="AV213" s="343"/>
      <c r="AW213" s="343"/>
      <c r="AX213" s="343"/>
      <c r="AY213" s="343"/>
      <c r="AZ213" s="362" t="s">
        <v>686</v>
      </c>
      <c r="BA213" s="550"/>
      <c r="BB213" s="550"/>
      <c r="BC213" s="550"/>
      <c r="BD213" s="550"/>
      <c r="BE213" s="550"/>
      <c r="BF213" s="550"/>
      <c r="BG213" s="550"/>
      <c r="BH213" s="550"/>
      <c r="BI213" s="550"/>
      <c r="BJ213" s="550"/>
      <c r="BK213" s="550"/>
      <c r="BL213" s="550"/>
      <c r="BM213" s="550"/>
      <c r="BN213" s="550"/>
      <c r="BO213" s="550"/>
      <c r="BP213" s="550"/>
      <c r="BQ213" s="550"/>
      <c r="BR213" s="550"/>
      <c r="BS213" s="550"/>
    </row>
    <row r="214" spans="1:71" s="577" customFormat="1" ht="15" customHeight="1" x14ac:dyDescent="0.2">
      <c r="A214" s="404">
        <f t="shared" si="93"/>
        <v>62008031</v>
      </c>
      <c r="B214" s="403" t="s">
        <v>630</v>
      </c>
      <c r="C214" s="403" t="s">
        <v>778</v>
      </c>
      <c r="D214" s="402" t="s">
        <v>724</v>
      </c>
      <c r="E214" s="346" t="s">
        <v>904</v>
      </c>
      <c r="F214" s="346" t="str">
        <f t="shared" si="92"/>
        <v>08/12/20</v>
      </c>
      <c r="G214" s="362" t="s">
        <v>905</v>
      </c>
      <c r="H214" s="362" t="s">
        <v>906</v>
      </c>
      <c r="I214" s="370"/>
      <c r="J214" s="363">
        <v>-3.0149620000000001</v>
      </c>
      <c r="K214" s="363">
        <v>24.026738999999999</v>
      </c>
      <c r="L214" s="363">
        <v>29.400860999999999</v>
      </c>
      <c r="M214" s="363">
        <v>8.1717390000000005</v>
      </c>
      <c r="N214" s="347">
        <v>4250</v>
      </c>
      <c r="O214" s="347">
        <v>30.36</v>
      </c>
      <c r="P214" s="347">
        <v>0.3201</v>
      </c>
      <c r="Q214" s="347">
        <v>1.9560000000000001E-2</v>
      </c>
      <c r="R214" s="348">
        <v>10.245732970000001</v>
      </c>
      <c r="S214" s="348">
        <f>R214+R213</f>
        <v>17.691863390000002</v>
      </c>
      <c r="T214" s="380">
        <v>16</v>
      </c>
      <c r="U214" s="380">
        <v>11</v>
      </c>
      <c r="V214" s="352">
        <v>46630</v>
      </c>
      <c r="W214" s="352">
        <v>49388</v>
      </c>
      <c r="X214" s="352">
        <f>W214-V214</f>
        <v>2758</v>
      </c>
      <c r="Y214" s="352">
        <f t="shared" si="86"/>
        <v>269.1852313617344</v>
      </c>
      <c r="Z214" s="372">
        <v>4287.4644980000003</v>
      </c>
      <c r="AA214" s="352">
        <v>4354.1840620000003</v>
      </c>
      <c r="AB214" s="352">
        <f>AA214-Z214</f>
        <v>66.719563999999991</v>
      </c>
      <c r="AC214" s="371">
        <f t="shared" si="87"/>
        <v>6.5119366467346049</v>
      </c>
      <c r="AD214" s="372">
        <v>-49.54</v>
      </c>
      <c r="AE214" s="352">
        <v>-50.05</v>
      </c>
      <c r="AF214" s="352">
        <f>AE214-AD214</f>
        <v>-0.50999999999999801</v>
      </c>
      <c r="AG214" s="371">
        <f t="shared" si="88"/>
        <v>-4.9776819432372735E-2</v>
      </c>
      <c r="AH214" s="372">
        <v>11124.164914999999</v>
      </c>
      <c r="AI214" s="352">
        <v>11407.920303999999</v>
      </c>
      <c r="AJ214" s="352">
        <f>AI214-AH214</f>
        <v>283.75538899999992</v>
      </c>
      <c r="AK214" s="371">
        <f t="shared" si="89"/>
        <v>27.694981884736734</v>
      </c>
      <c r="AL214" s="372">
        <v>1447.85</v>
      </c>
      <c r="AM214" s="352">
        <v>1460.6</v>
      </c>
      <c r="AN214" s="352">
        <f>AM214-AL214</f>
        <v>12.75</v>
      </c>
      <c r="AO214" s="371">
        <f t="shared" si="90"/>
        <v>1.2444204858093231</v>
      </c>
      <c r="AP214" s="341">
        <v>16</v>
      </c>
      <c r="AQ214" s="341">
        <v>11</v>
      </c>
      <c r="AR214" s="341">
        <f>AQ214-AP214</f>
        <v>-5</v>
      </c>
      <c r="AS214" s="372">
        <v>77092.600000000006</v>
      </c>
      <c r="AT214" s="352">
        <v>77093.7</v>
      </c>
      <c r="AU214" s="383">
        <f>AT214-AS214</f>
        <v>1.0999999999912689</v>
      </c>
      <c r="AV214" s="341"/>
      <c r="AW214" s="341"/>
      <c r="AX214" s="341"/>
      <c r="AY214" s="341"/>
      <c r="AZ214" s="362" t="s">
        <v>686</v>
      </c>
      <c r="BA214" s="550">
        <v>1944.9687888599999</v>
      </c>
      <c r="BB214" s="550">
        <v>0.87296158000000001</v>
      </c>
      <c r="BC214" s="550">
        <v>1318.1091014599999</v>
      </c>
      <c r="BD214" s="550">
        <v>1306.7020941999999</v>
      </c>
      <c r="BE214" s="550">
        <v>8.00500334</v>
      </c>
      <c r="BF214" s="550">
        <v>8.0200004400000005</v>
      </c>
      <c r="BG214" s="550">
        <v>-0.10592989</v>
      </c>
      <c r="BH214" s="550">
        <v>10.2458154</v>
      </c>
      <c r="BI214" s="550">
        <v>10.25668029</v>
      </c>
      <c r="BJ214" s="550">
        <v>-8.1218159999999998E-2</v>
      </c>
      <c r="BK214" s="550">
        <v>-0.18699616999999999</v>
      </c>
      <c r="BL214" s="550">
        <v>0.28276332999999998</v>
      </c>
      <c r="BM214" s="550"/>
      <c r="BN214" s="550"/>
      <c r="BO214" s="550"/>
      <c r="BP214" s="550"/>
      <c r="BQ214" s="550"/>
      <c r="BR214" s="550"/>
      <c r="BS214" s="550"/>
    </row>
    <row r="215" spans="1:71" s="577" customFormat="1" ht="15" customHeight="1" x14ac:dyDescent="0.2">
      <c r="A215" s="404">
        <f t="shared" si="93"/>
        <v>62008031</v>
      </c>
      <c r="B215" s="403" t="s">
        <v>631</v>
      </c>
      <c r="C215" s="403" t="s">
        <v>783</v>
      </c>
      <c r="D215" s="402" t="s">
        <v>724</v>
      </c>
      <c r="E215" s="346" t="s">
        <v>904</v>
      </c>
      <c r="F215" s="346" t="str">
        <f t="shared" si="92"/>
        <v>08/12/20</v>
      </c>
      <c r="G215" s="362" t="s">
        <v>905</v>
      </c>
      <c r="H215" s="362" t="s">
        <v>906</v>
      </c>
      <c r="I215" s="370"/>
      <c r="J215" s="363">
        <v>-7.6351230000000001</v>
      </c>
      <c r="K215" s="363">
        <v>20.842258999999999</v>
      </c>
      <c r="L215" s="363">
        <v>29.397898000000001</v>
      </c>
      <c r="M215" s="363">
        <v>7.3260870000000002</v>
      </c>
      <c r="N215" s="347">
        <v>4250</v>
      </c>
      <c r="O215" s="347">
        <v>30.36</v>
      </c>
      <c r="P215" s="347">
        <v>0.3201</v>
      </c>
      <c r="Q215" s="347">
        <v>1.9560000000000001E-2</v>
      </c>
      <c r="R215" s="348">
        <v>3.58903303</v>
      </c>
      <c r="S215" s="348">
        <f>R215+R214</f>
        <v>13.834766</v>
      </c>
      <c r="T215" s="380">
        <v>11</v>
      </c>
      <c r="U215" s="380">
        <v>8.9</v>
      </c>
      <c r="V215" s="352">
        <v>49393</v>
      </c>
      <c r="W215" s="352">
        <v>50503</v>
      </c>
      <c r="X215" s="352">
        <f>W215-V215</f>
        <v>1110</v>
      </c>
      <c r="Y215" s="352">
        <f t="shared" si="86"/>
        <v>309.27550421568566</v>
      </c>
      <c r="Z215" s="372">
        <v>4356.9738459999999</v>
      </c>
      <c r="AA215" s="352">
        <v>4411.1334880000004</v>
      </c>
      <c r="AB215" s="352">
        <f>AA215-Z215</f>
        <v>54.159642000000531</v>
      </c>
      <c r="AC215" s="371">
        <f t="shared" si="87"/>
        <v>15.090315844766836</v>
      </c>
      <c r="AD215" s="372">
        <v>-47.39</v>
      </c>
      <c r="AE215" s="352">
        <v>-49.44</v>
      </c>
      <c r="AF215" s="352">
        <f>AE215-AD215</f>
        <v>-2.0499999999999972</v>
      </c>
      <c r="AG215" s="371">
        <f t="shared" si="88"/>
        <v>-0.57118448976770697</v>
      </c>
      <c r="AH215" s="372">
        <v>11409.7</v>
      </c>
      <c r="AI215" s="352">
        <v>11665.85</v>
      </c>
      <c r="AJ215" s="352">
        <f>AI215-AH215</f>
        <v>256.14999999999964</v>
      </c>
      <c r="AK215" s="371">
        <f t="shared" si="89"/>
        <v>71.370198562925907</v>
      </c>
      <c r="AL215" s="372">
        <v>1460.8</v>
      </c>
      <c r="AM215" s="352">
        <v>1518.65</v>
      </c>
      <c r="AN215" s="352">
        <f>AM215-AL215</f>
        <v>57.850000000000136</v>
      </c>
      <c r="AO215" s="371">
        <f t="shared" si="90"/>
        <v>16.118547674664374</v>
      </c>
      <c r="AP215" s="341">
        <v>11</v>
      </c>
      <c r="AQ215" s="341">
        <v>8.9</v>
      </c>
      <c r="AR215" s="341">
        <f>AQ215-AP215</f>
        <v>-2.0999999999999996</v>
      </c>
      <c r="AS215" s="372">
        <v>77094.5</v>
      </c>
      <c r="AT215" s="352">
        <v>77095.3</v>
      </c>
      <c r="AU215" s="383">
        <f>AT215-AS215</f>
        <v>0.80000000000291038</v>
      </c>
      <c r="AV215" s="341"/>
      <c r="AW215" s="341"/>
      <c r="AX215" s="341"/>
      <c r="AY215" s="341"/>
      <c r="AZ215" s="362" t="s">
        <v>686</v>
      </c>
      <c r="BA215" s="550">
        <v>2410.9387386899998</v>
      </c>
      <c r="BB215" s="550">
        <v>-1.1483178999999999</v>
      </c>
      <c r="BC215" s="550">
        <v>2025.1405217199999</v>
      </c>
      <c r="BD215" s="550">
        <v>2048.6657168000002</v>
      </c>
      <c r="BE215" s="550">
        <v>3.2291516300000001</v>
      </c>
      <c r="BF215" s="550">
        <v>3.2582973000000002</v>
      </c>
      <c r="BG215" s="550">
        <v>-5.5766070000000001E-2</v>
      </c>
      <c r="BH215" s="550">
        <v>3.5889768399999999</v>
      </c>
      <c r="BI215" s="550">
        <v>3.5909793900000002</v>
      </c>
      <c r="BJ215" s="550">
        <v>-0.84631038000000003</v>
      </c>
      <c r="BK215" s="550">
        <v>-0.89450616000000005</v>
      </c>
      <c r="BL215" s="550">
        <v>0.59036500000000003</v>
      </c>
      <c r="BM215" s="550"/>
      <c r="BN215" s="550"/>
      <c r="BO215" s="550"/>
      <c r="BP215" s="550"/>
      <c r="BQ215" s="550"/>
      <c r="BR215" s="550"/>
      <c r="BS215" s="550"/>
    </row>
    <row r="216" spans="1:71" s="577" customFormat="1" ht="15" customHeight="1" x14ac:dyDescent="0.2">
      <c r="A216" s="404">
        <f t="shared" si="93"/>
        <v>62008031</v>
      </c>
      <c r="B216" s="403" t="s">
        <v>895</v>
      </c>
      <c r="C216" s="403" t="s">
        <v>781</v>
      </c>
      <c r="D216" s="402" t="s">
        <v>724</v>
      </c>
      <c r="E216" s="346" t="s">
        <v>904</v>
      </c>
      <c r="F216" s="346" t="str">
        <f t="shared" si="92"/>
        <v>08/12/20</v>
      </c>
      <c r="G216" s="362" t="s">
        <v>905</v>
      </c>
      <c r="H216" s="362" t="s">
        <v>906</v>
      </c>
      <c r="I216" s="370"/>
      <c r="J216" s="363">
        <v>-7.168946</v>
      </c>
      <c r="K216" s="363">
        <v>15.524770999999999</v>
      </c>
      <c r="L216" s="363">
        <v>29.396231</v>
      </c>
      <c r="M216" s="363">
        <v>7.7665600000000001</v>
      </c>
      <c r="N216" s="347">
        <v>4250</v>
      </c>
      <c r="O216" s="347">
        <v>30.36</v>
      </c>
      <c r="P216" s="347">
        <v>0.3201</v>
      </c>
      <c r="Q216" s="347">
        <v>1.9560000000000001E-2</v>
      </c>
      <c r="R216" s="348">
        <v>3.8567235800000002</v>
      </c>
      <c r="S216" s="348">
        <f>R216+R215</f>
        <v>7.4457566100000001</v>
      </c>
      <c r="T216" s="380">
        <v>8.9</v>
      </c>
      <c r="U216" s="380">
        <v>6.8</v>
      </c>
      <c r="V216" s="352">
        <v>50504</v>
      </c>
      <c r="W216" s="352">
        <v>51628</v>
      </c>
      <c r="X216" s="352">
        <f>W216-V216</f>
        <v>1124</v>
      </c>
      <c r="Y216" s="352">
        <f t="shared" si="86"/>
        <v>291.43908726795502</v>
      </c>
      <c r="Z216" s="372">
        <v>4411.1571119999999</v>
      </c>
      <c r="AA216" s="352">
        <v>4503.4330179999997</v>
      </c>
      <c r="AB216" s="352">
        <f>AA216-Z216</f>
        <v>92.27590599999985</v>
      </c>
      <c r="AC216" s="371">
        <f t="shared" si="87"/>
        <v>23.925983826924885</v>
      </c>
      <c r="AD216" s="372">
        <v>-49.44</v>
      </c>
      <c r="AE216" s="352">
        <v>-50.34</v>
      </c>
      <c r="AF216" s="352">
        <f>AE216-AD216</f>
        <v>-0.90000000000000568</v>
      </c>
      <c r="AG216" s="371">
        <f t="shared" si="88"/>
        <v>-0.23335869976971635</v>
      </c>
      <c r="AH216" s="372">
        <v>11665.95</v>
      </c>
      <c r="AI216" s="352">
        <v>12012.6</v>
      </c>
      <c r="AJ216" s="352">
        <f>AI216-AH216</f>
        <v>346.64999999999964</v>
      </c>
      <c r="AK216" s="371">
        <f t="shared" si="89"/>
        <v>89.881992527968421</v>
      </c>
      <c r="AL216" s="372">
        <v>1518.65</v>
      </c>
      <c r="AM216" s="352">
        <v>1537.45</v>
      </c>
      <c r="AN216" s="352">
        <f>AM216-AL216</f>
        <v>18.799999999999955</v>
      </c>
      <c r="AO216" s="371">
        <f t="shared" si="90"/>
        <v>4.8746039507451435</v>
      </c>
      <c r="AP216" s="341">
        <v>8.9</v>
      </c>
      <c r="AQ216" s="341">
        <v>6.8</v>
      </c>
      <c r="AR216" s="341">
        <f>AQ216-AP216</f>
        <v>-2.1000000000000005</v>
      </c>
      <c r="AS216" s="372">
        <v>77095.3</v>
      </c>
      <c r="AT216" s="352">
        <v>77096.5</v>
      </c>
      <c r="AU216" s="383">
        <f>AT216-AS216</f>
        <v>1.1999999999970896</v>
      </c>
      <c r="AV216" s="341"/>
      <c r="AW216" s="341"/>
      <c r="AX216" s="341"/>
      <c r="AY216" s="341"/>
      <c r="AZ216" s="362" t="s">
        <v>686</v>
      </c>
      <c r="BA216" s="550">
        <v>1482.7022024</v>
      </c>
      <c r="BB216" s="550">
        <v>-0.87983891000000003</v>
      </c>
      <c r="BC216" s="550">
        <v>3386.0164593999998</v>
      </c>
      <c r="BD216" s="550">
        <v>3416.0723933899999</v>
      </c>
      <c r="BE216" s="550">
        <v>2.97329468</v>
      </c>
      <c r="BF216" s="550">
        <v>3.0185426199999998</v>
      </c>
      <c r="BG216" s="550">
        <v>-8.2385429999999996E-2</v>
      </c>
      <c r="BH216" s="550">
        <v>3.8566497200000001</v>
      </c>
      <c r="BI216" s="550">
        <v>3.8598296599999999</v>
      </c>
      <c r="BJ216" s="550">
        <v>-1.43817222</v>
      </c>
      <c r="BK216" s="550">
        <v>-1.4989994600000001</v>
      </c>
      <c r="BL216" s="550">
        <v>0.71450950999999996</v>
      </c>
      <c r="BM216" s="550"/>
      <c r="BN216" s="550"/>
      <c r="BO216" s="550"/>
      <c r="BP216" s="550"/>
      <c r="BQ216" s="550"/>
      <c r="BR216" s="550"/>
      <c r="BS216" s="550"/>
    </row>
    <row r="217" spans="1:71" s="577" customFormat="1" ht="15" customHeight="1" x14ac:dyDescent="0.2">
      <c r="A217" s="404">
        <f t="shared" si="93"/>
        <v>62008031</v>
      </c>
      <c r="B217" s="403" t="s">
        <v>632</v>
      </c>
      <c r="C217" s="403" t="s">
        <v>782</v>
      </c>
      <c r="D217" s="402" t="s">
        <v>724</v>
      </c>
      <c r="E217" s="346" t="s">
        <v>904</v>
      </c>
      <c r="F217" s="346" t="str">
        <f t="shared" si="92"/>
        <v>08/12/20</v>
      </c>
      <c r="G217" s="362" t="s">
        <v>905</v>
      </c>
      <c r="H217" s="362" t="s">
        <v>906</v>
      </c>
      <c r="I217" s="370"/>
      <c r="J217" s="364">
        <f>AVERAGE(J215:J216)</f>
        <v>-7.4020345000000001</v>
      </c>
      <c r="K217" s="364">
        <f>AVERAGE(K215:K216)</f>
        <v>18.183515</v>
      </c>
      <c r="L217" s="364">
        <f>AVERAGE(L215:L216)</f>
        <v>29.397064499999999</v>
      </c>
      <c r="M217" s="364">
        <f>AVERAGE(M215:M216)</f>
        <v>7.5463234999999997</v>
      </c>
      <c r="N217" s="349"/>
      <c r="O217" s="347"/>
      <c r="P217" s="366"/>
      <c r="Q217" s="365"/>
      <c r="R217" s="350">
        <f>R216+R215</f>
        <v>7.4457566100000001</v>
      </c>
      <c r="S217" s="350">
        <f>S216</f>
        <v>7.4457566100000001</v>
      </c>
      <c r="T217" s="381">
        <f>T215</f>
        <v>11</v>
      </c>
      <c r="U217" s="381">
        <f>U216</f>
        <v>6.8</v>
      </c>
      <c r="V217" s="353">
        <f>V215</f>
        <v>49393</v>
      </c>
      <c r="W217" s="353">
        <f>W216</f>
        <v>51628</v>
      </c>
      <c r="X217" s="353">
        <f>SUM(X215:X216)</f>
        <v>2234</v>
      </c>
      <c r="Y217" s="353">
        <f t="shared" si="86"/>
        <v>300.0366674623279</v>
      </c>
      <c r="Z217" s="353">
        <f>Z215</f>
        <v>4356.9738459999999</v>
      </c>
      <c r="AA217" s="353">
        <f>AA216</f>
        <v>4503.4330179999997</v>
      </c>
      <c r="AB217" s="353">
        <f>SUM(AB215:AB216)</f>
        <v>146.43554800000038</v>
      </c>
      <c r="AC217" s="351">
        <f t="shared" si="87"/>
        <v>19.666980223786872</v>
      </c>
      <c r="AD217" s="353">
        <f>AD215</f>
        <v>-47.39</v>
      </c>
      <c r="AE217" s="353">
        <f>AE216</f>
        <v>-50.34</v>
      </c>
      <c r="AF217" s="353">
        <f>SUM(AF215:AF216)</f>
        <v>-2.9500000000000028</v>
      </c>
      <c r="AG217" s="351">
        <f t="shared" si="88"/>
        <v>-0.39619882229806097</v>
      </c>
      <c r="AH217" s="353">
        <f>AH215</f>
        <v>11409.7</v>
      </c>
      <c r="AI217" s="353">
        <f>AI216</f>
        <v>12012.6</v>
      </c>
      <c r="AJ217" s="353">
        <f>SUM(AJ215:AJ216)</f>
        <v>602.79999999999927</v>
      </c>
      <c r="AK217" s="351">
        <f t="shared" si="89"/>
        <v>80.95886443432903</v>
      </c>
      <c r="AL217" s="353">
        <f>AL215</f>
        <v>1460.8</v>
      </c>
      <c r="AM217" s="353">
        <f>AM216</f>
        <v>1537.45</v>
      </c>
      <c r="AN217" s="353">
        <f>SUM(AN215:AN216)</f>
        <v>76.650000000000091</v>
      </c>
      <c r="AO217" s="351">
        <f t="shared" si="90"/>
        <v>10.294454145473349</v>
      </c>
      <c r="AP217" s="343"/>
      <c r="AQ217" s="343"/>
      <c r="AR217" s="343">
        <f>SUM(AR215:AR216)</f>
        <v>-4.2</v>
      </c>
      <c r="AS217" s="353">
        <f>AS215</f>
        <v>77094.5</v>
      </c>
      <c r="AT217" s="353">
        <f>AT216</f>
        <v>77096.5</v>
      </c>
      <c r="AU217" s="384">
        <f>SUM(AU215:AU216)</f>
        <v>2</v>
      </c>
      <c r="AV217" s="343"/>
      <c r="AW217" s="343"/>
      <c r="AX217" s="343"/>
      <c r="AY217" s="343"/>
      <c r="AZ217" s="362" t="s">
        <v>686</v>
      </c>
      <c r="BA217" s="550"/>
      <c r="BB217" s="550"/>
      <c r="BC217" s="550"/>
      <c r="BD217" s="550"/>
      <c r="BE217" s="550"/>
      <c r="BF217" s="550"/>
      <c r="BG217" s="550"/>
      <c r="BH217" s="550"/>
      <c r="BI217" s="550"/>
      <c r="BJ217" s="550"/>
      <c r="BK217" s="550"/>
      <c r="BL217" s="550"/>
      <c r="BM217" s="550"/>
      <c r="BN217" s="550"/>
      <c r="BO217" s="550"/>
      <c r="BP217" s="550"/>
      <c r="BQ217" s="550"/>
      <c r="BR217" s="550"/>
      <c r="BS217" s="550"/>
    </row>
    <row r="218" spans="1:71" s="577" customFormat="1" ht="15" customHeight="1" x14ac:dyDescent="0.2">
      <c r="A218" s="404">
        <v>62008032</v>
      </c>
      <c r="B218" s="440" t="s">
        <v>645</v>
      </c>
      <c r="C218" s="403" t="s">
        <v>773</v>
      </c>
      <c r="D218" s="402" t="s">
        <v>731</v>
      </c>
      <c r="E218" s="346" t="s">
        <v>907</v>
      </c>
      <c r="F218" s="346" t="str">
        <f t="shared" si="92"/>
        <v>08/12/20</v>
      </c>
      <c r="G218" s="362" t="s">
        <v>908</v>
      </c>
      <c r="H218" s="362" t="s">
        <v>685</v>
      </c>
      <c r="I218" s="370"/>
      <c r="J218" s="363">
        <v>-343.27087699999998</v>
      </c>
      <c r="K218" s="363">
        <v>311.84922</v>
      </c>
      <c r="L218" s="363">
        <v>1487.7205959999999</v>
      </c>
      <c r="M218" s="363">
        <v>-340.52811200000002</v>
      </c>
      <c r="N218" s="347">
        <v>4250</v>
      </c>
      <c r="O218" s="347">
        <v>30.36</v>
      </c>
      <c r="P218" s="347">
        <v>0.3201</v>
      </c>
      <c r="Q218" s="347">
        <v>1.9560000000000001E-2</v>
      </c>
      <c r="R218" s="348">
        <v>1.0449140000000001E-2</v>
      </c>
      <c r="S218" s="348">
        <f>R218+R217</f>
        <v>7.4562057500000005</v>
      </c>
      <c r="T218" s="380">
        <v>0</v>
      </c>
      <c r="U218" s="380">
        <v>0</v>
      </c>
      <c r="V218" s="352">
        <v>54524</v>
      </c>
      <c r="W218" s="352">
        <v>-5261</v>
      </c>
      <c r="X218" s="352">
        <f>W218-V218</f>
        <v>-59785</v>
      </c>
      <c r="Y218" s="352">
        <f t="shared" si="86"/>
        <v>-5721523.493799489</v>
      </c>
      <c r="Z218" s="372">
        <v>4636.3500000000004</v>
      </c>
      <c r="AA218" s="352">
        <v>5114.08</v>
      </c>
      <c r="AB218" s="352">
        <f>AA218-Z218</f>
        <v>477.72999999999956</v>
      </c>
      <c r="AC218" s="371">
        <f t="shared" si="87"/>
        <v>45719.552039689348</v>
      </c>
      <c r="AD218" s="372">
        <v>-43.97</v>
      </c>
      <c r="AE218" s="352">
        <v>-64.22</v>
      </c>
      <c r="AF218" s="352">
        <f>AE218-AD218</f>
        <v>-20.25</v>
      </c>
      <c r="AG218" s="371">
        <f t="shared" si="88"/>
        <v>-1937.9585305584956</v>
      </c>
      <c r="AH218" s="372">
        <v>12496.55</v>
      </c>
      <c r="AI218" s="352">
        <v>12496.55</v>
      </c>
      <c r="AJ218" s="352">
        <f>AI218-AH218</f>
        <v>0</v>
      </c>
      <c r="AK218" s="371">
        <f t="shared" si="89"/>
        <v>0</v>
      </c>
      <c r="AL218" s="372">
        <v>1689.2</v>
      </c>
      <c r="AM218" s="352">
        <v>1689.2</v>
      </c>
      <c r="AN218" s="352">
        <f>AM218-AL218</f>
        <v>0</v>
      </c>
      <c r="AO218" s="371">
        <f t="shared" si="90"/>
        <v>0</v>
      </c>
      <c r="AP218" s="341">
        <v>0</v>
      </c>
      <c r="AQ218" s="341">
        <v>0</v>
      </c>
      <c r="AR218" s="341">
        <f>AQ218-AP218</f>
        <v>0</v>
      </c>
      <c r="AS218" s="372">
        <v>77100</v>
      </c>
      <c r="AT218" s="352">
        <v>143081</v>
      </c>
      <c r="AU218" s="383">
        <f>AT218-AS218</f>
        <v>65981</v>
      </c>
      <c r="AV218" s="341"/>
      <c r="AW218" s="341"/>
      <c r="AX218" s="341"/>
      <c r="AY218" s="341"/>
      <c r="AZ218" s="362" t="s">
        <v>714</v>
      </c>
      <c r="BA218" s="550">
        <v>0</v>
      </c>
      <c r="BB218" s="550" t="s">
        <v>691</v>
      </c>
      <c r="BC218" s="550">
        <v>0</v>
      </c>
      <c r="BD218" s="550">
        <v>0</v>
      </c>
      <c r="BE218" s="550">
        <v>0</v>
      </c>
      <c r="BF218" s="550">
        <v>0</v>
      </c>
      <c r="BG218" s="550" t="s">
        <v>691</v>
      </c>
      <c r="BH218" s="550">
        <v>0</v>
      </c>
      <c r="BI218" s="550">
        <v>0</v>
      </c>
      <c r="BJ218" s="550" t="s">
        <v>691</v>
      </c>
      <c r="BK218" s="550" t="s">
        <v>691</v>
      </c>
      <c r="BL218" s="550" t="s">
        <v>691</v>
      </c>
      <c r="BM218" s="550"/>
      <c r="BN218" s="550"/>
      <c r="BO218" s="550"/>
      <c r="BP218" s="550"/>
      <c r="BQ218" s="550"/>
      <c r="BR218" s="550"/>
      <c r="BS218" s="550"/>
    </row>
    <row r="219" spans="1:71" s="548" customFormat="1" ht="15" customHeight="1" x14ac:dyDescent="0.2">
      <c r="A219" s="576" t="s">
        <v>893</v>
      </c>
      <c r="B219" s="435"/>
      <c r="C219" s="436"/>
      <c r="D219" s="436"/>
      <c r="E219" s="436"/>
      <c r="F219" s="436"/>
      <c r="G219" s="436"/>
      <c r="H219" s="435"/>
      <c r="I219" s="435"/>
      <c r="J219" s="446"/>
      <c r="K219" s="447"/>
      <c r="L219" s="435"/>
      <c r="M219" s="435"/>
      <c r="N219" s="435"/>
      <c r="O219" s="435"/>
      <c r="P219" s="435"/>
      <c r="Q219" s="435"/>
      <c r="R219" s="435"/>
      <c r="S219" s="435"/>
      <c r="T219" s="435"/>
      <c r="U219" s="435"/>
      <c r="V219" s="435"/>
      <c r="W219" s="435"/>
      <c r="X219" s="435"/>
      <c r="Y219" s="435"/>
      <c r="Z219" s="435"/>
      <c r="AA219" s="435"/>
      <c r="AB219" s="435"/>
      <c r="AC219" s="435"/>
      <c r="AD219" s="435"/>
      <c r="AE219" s="435"/>
      <c r="AF219" s="435"/>
      <c r="AG219" s="435"/>
      <c r="AH219" s="435"/>
      <c r="AI219" s="435"/>
      <c r="AJ219" s="435"/>
      <c r="AK219" s="435"/>
      <c r="AL219" s="435"/>
      <c r="AM219" s="435"/>
      <c r="AN219" s="435"/>
      <c r="AO219" s="435"/>
      <c r="AP219" s="435"/>
      <c r="AQ219" s="435"/>
      <c r="AR219" s="435"/>
      <c r="AS219" s="435"/>
      <c r="AT219" s="435"/>
      <c r="AU219" s="435"/>
      <c r="AV219" s="435"/>
      <c r="AW219" s="435"/>
      <c r="AX219" s="435"/>
      <c r="AY219" s="435"/>
      <c r="AZ219" s="435"/>
      <c r="BA219" s="435"/>
      <c r="BB219" s="435"/>
      <c r="BC219" s="435"/>
      <c r="BD219" s="435"/>
      <c r="BE219" s="435"/>
      <c r="BF219" s="448"/>
      <c r="BG219" s="435"/>
      <c r="BH219" s="435"/>
      <c r="BI219" s="435"/>
      <c r="BJ219" s="435"/>
      <c r="BK219" s="435"/>
      <c r="BL219" s="435"/>
      <c r="BM219" s="435"/>
      <c r="BN219" s="435"/>
      <c r="BO219" s="435"/>
      <c r="BP219" s="435"/>
      <c r="BQ219" s="435"/>
      <c r="BR219" s="439"/>
      <c r="BS219" s="578"/>
    </row>
    <row r="220" spans="1:71" s="577" customFormat="1" ht="15" customHeight="1" x14ac:dyDescent="0.2">
      <c r="A220" s="404">
        <v>62008033</v>
      </c>
      <c r="B220" s="403" t="s">
        <v>627</v>
      </c>
      <c r="C220" s="403" t="s">
        <v>773</v>
      </c>
      <c r="D220" s="402" t="s">
        <v>718</v>
      </c>
      <c r="E220" s="346" t="s">
        <v>909</v>
      </c>
      <c r="F220" s="346" t="str">
        <f t="shared" si="92"/>
        <v>08/13/20</v>
      </c>
      <c r="G220" s="362" t="s">
        <v>910</v>
      </c>
      <c r="H220" s="362" t="s">
        <v>685</v>
      </c>
      <c r="I220" s="370"/>
      <c r="J220" s="363">
        <v>-5.6061059999999996</v>
      </c>
      <c r="K220" s="363">
        <v>13.382251</v>
      </c>
      <c r="L220" s="363">
        <v>29.398845999999999</v>
      </c>
      <c r="M220" s="363">
        <v>3.03464</v>
      </c>
      <c r="N220" s="347">
        <v>4250</v>
      </c>
      <c r="O220" s="347">
        <v>30.36</v>
      </c>
      <c r="P220" s="347">
        <v>0.3201</v>
      </c>
      <c r="Q220" s="347">
        <v>1.9560000000000001E-2</v>
      </c>
      <c r="R220" s="348">
        <v>3.5797915100000002</v>
      </c>
      <c r="S220" s="348">
        <f>R220+R219</f>
        <v>3.5797915100000002</v>
      </c>
      <c r="T220" s="380">
        <v>96.8</v>
      </c>
      <c r="U220" s="380">
        <v>94.6</v>
      </c>
      <c r="V220" s="352">
        <v>1</v>
      </c>
      <c r="W220" s="352">
        <v>1350</v>
      </c>
      <c r="X220" s="352">
        <f>W220-V220</f>
        <v>1349</v>
      </c>
      <c r="Y220" s="352">
        <f t="shared" ref="Y220:Y238" si="94">X220/$R220</f>
        <v>376.83758851084599</v>
      </c>
      <c r="Z220" s="372">
        <v>1.134927</v>
      </c>
      <c r="AA220" s="352">
        <v>61.688890999999998</v>
      </c>
      <c r="AB220" s="352">
        <f>AA220-Z220</f>
        <v>60.553964000000001</v>
      </c>
      <c r="AC220" s="371">
        <f t="shared" ref="AC220:AC238" si="95">AB220/$R220</f>
        <v>16.915500199060475</v>
      </c>
      <c r="AD220" s="372">
        <v>2.4500000000000002</v>
      </c>
      <c r="AE220" s="352">
        <v>0.32</v>
      </c>
      <c r="AF220" s="352">
        <f>AE220-AD220</f>
        <v>-2.1300000000000003</v>
      </c>
      <c r="AG220" s="371">
        <f t="shared" ref="AG220:AG238" si="96">AF220/$R220</f>
        <v>-0.59500671870133581</v>
      </c>
      <c r="AH220" s="372">
        <v>0</v>
      </c>
      <c r="AI220" s="352">
        <v>290.39999999999998</v>
      </c>
      <c r="AJ220" s="352">
        <f>AI220-AH220</f>
        <v>290.39999999999998</v>
      </c>
      <c r="AK220" s="371">
        <f t="shared" ref="AK220:AK238" si="97">AJ220/$R220</f>
        <v>81.122042775055348</v>
      </c>
      <c r="AL220" s="372">
        <v>0</v>
      </c>
      <c r="AM220" s="352">
        <v>319.92312600000002</v>
      </c>
      <c r="AN220" s="352">
        <f>AM220-AL220</f>
        <v>319.92312600000002</v>
      </c>
      <c r="AO220" s="371">
        <f t="shared" ref="AO220:AO238" si="98">AN220/$R220</f>
        <v>89.369206308889204</v>
      </c>
      <c r="AP220" s="341">
        <v>96.8</v>
      </c>
      <c r="AQ220" s="341">
        <v>94.6</v>
      </c>
      <c r="AR220" s="341">
        <f>AQ220-AP220</f>
        <v>-2.2000000000000028</v>
      </c>
      <c r="AS220" s="372">
        <v>1.3</v>
      </c>
      <c r="AT220" s="352">
        <v>2.1</v>
      </c>
      <c r="AU220" s="383">
        <f>AT220-AS220</f>
        <v>0.8</v>
      </c>
      <c r="AV220" s="341"/>
      <c r="AW220" s="341"/>
      <c r="AX220" s="341"/>
      <c r="AY220" s="341"/>
      <c r="AZ220" s="362" t="s">
        <v>686</v>
      </c>
      <c r="BA220" s="550">
        <v>2420.1870213900002</v>
      </c>
      <c r="BB220" s="550">
        <v>-1.6894999399999999</v>
      </c>
      <c r="BC220" s="550">
        <v>2014.24003806</v>
      </c>
      <c r="BD220" s="550">
        <v>2048.8554497300001</v>
      </c>
      <c r="BE220" s="550">
        <v>3.21533392</v>
      </c>
      <c r="BF220" s="550">
        <v>3.2585598199999999</v>
      </c>
      <c r="BG220" s="550">
        <v>-0.31357637999999999</v>
      </c>
      <c r="BH220" s="550">
        <v>3.57971978</v>
      </c>
      <c r="BI220" s="550">
        <v>3.5909802499999999</v>
      </c>
      <c r="BJ220" s="550">
        <v>-1.0265753799999999</v>
      </c>
      <c r="BK220" s="550">
        <v>-1.3265338799999999</v>
      </c>
      <c r="BL220" s="550">
        <v>0.59039788000000004</v>
      </c>
      <c r="BM220" s="550"/>
      <c r="BN220" s="550"/>
      <c r="BO220" s="550"/>
      <c r="BP220" s="550"/>
      <c r="BQ220" s="550"/>
      <c r="BR220" s="550"/>
      <c r="BS220" s="550"/>
    </row>
    <row r="221" spans="1:71" s="577" customFormat="1" ht="15" customHeight="1" x14ac:dyDescent="0.2">
      <c r="A221" s="404">
        <f>A220</f>
        <v>62008033</v>
      </c>
      <c r="B221" s="403" t="s">
        <v>894</v>
      </c>
      <c r="C221" s="403" t="s">
        <v>774</v>
      </c>
      <c r="D221" s="402" t="s">
        <v>718</v>
      </c>
      <c r="E221" s="346" t="s">
        <v>909</v>
      </c>
      <c r="F221" s="346" t="str">
        <f t="shared" si="92"/>
        <v>08/13/20</v>
      </c>
      <c r="G221" s="362" t="s">
        <v>910</v>
      </c>
      <c r="H221" s="362" t="s">
        <v>685</v>
      </c>
      <c r="I221" s="370"/>
      <c r="J221" s="363">
        <v>-7.363035</v>
      </c>
      <c r="K221" s="363">
        <v>14.805674</v>
      </c>
      <c r="L221" s="363">
        <v>29.400092999999998</v>
      </c>
      <c r="M221" s="363">
        <v>6.4986620000000004</v>
      </c>
      <c r="N221" s="347">
        <v>4250</v>
      </c>
      <c r="O221" s="347">
        <v>30.36</v>
      </c>
      <c r="P221" s="347">
        <v>0.3201</v>
      </c>
      <c r="Q221" s="347">
        <v>1.9560000000000001E-2</v>
      </c>
      <c r="R221" s="348">
        <v>3.8407973800000001</v>
      </c>
      <c r="S221" s="348">
        <f>R221+R220</f>
        <v>7.4205888900000003</v>
      </c>
      <c r="T221" s="380">
        <v>94.6</v>
      </c>
      <c r="U221" s="380">
        <v>92.1</v>
      </c>
      <c r="V221" s="352">
        <v>1350</v>
      </c>
      <c r="W221" s="352">
        <v>2651</v>
      </c>
      <c r="X221" s="352">
        <f>W221-V221</f>
        <v>1301</v>
      </c>
      <c r="Y221" s="352">
        <f t="shared" si="94"/>
        <v>338.73174533356922</v>
      </c>
      <c r="Z221" s="372">
        <v>61.718071999999999</v>
      </c>
      <c r="AA221" s="352">
        <v>161.87836300000001</v>
      </c>
      <c r="AB221" s="352">
        <f>AA221-Z221</f>
        <v>100.160291</v>
      </c>
      <c r="AC221" s="371">
        <f t="shared" si="95"/>
        <v>26.077993991966324</v>
      </c>
      <c r="AD221" s="372">
        <v>0.32</v>
      </c>
      <c r="AE221" s="352">
        <v>-0.56999999999999995</v>
      </c>
      <c r="AF221" s="352">
        <f>AE221-AD221</f>
        <v>-0.8899999999999999</v>
      </c>
      <c r="AG221" s="371">
        <f t="shared" si="96"/>
        <v>-0.23172271587000506</v>
      </c>
      <c r="AH221" s="372">
        <v>290.47308700000002</v>
      </c>
      <c r="AI221" s="352">
        <v>744.77093000000002</v>
      </c>
      <c r="AJ221" s="352">
        <f>AI221-AH221</f>
        <v>454.297843</v>
      </c>
      <c r="AK221" s="371">
        <f t="shared" si="97"/>
        <v>118.28216853241031</v>
      </c>
      <c r="AL221" s="372">
        <v>320</v>
      </c>
      <c r="AM221" s="352">
        <v>657.55</v>
      </c>
      <c r="AN221" s="352">
        <f>AM221-AL221</f>
        <v>337.54999999999995</v>
      </c>
      <c r="AO221" s="371">
        <f t="shared" si="98"/>
        <v>87.885396339236195</v>
      </c>
      <c r="AP221" s="341">
        <v>94.6</v>
      </c>
      <c r="AQ221" s="341">
        <v>92.1</v>
      </c>
      <c r="AR221" s="341">
        <f>AQ221-AP221</f>
        <v>-2.5</v>
      </c>
      <c r="AS221" s="372">
        <v>2.1</v>
      </c>
      <c r="AT221" s="352">
        <v>3.4</v>
      </c>
      <c r="AU221" s="383">
        <f>AT221-AS221</f>
        <v>1.2999999999999998</v>
      </c>
      <c r="AV221" s="341"/>
      <c r="AW221" s="341"/>
      <c r="AX221" s="341"/>
      <c r="AY221" s="341"/>
      <c r="AZ221" s="362" t="s">
        <v>686</v>
      </c>
      <c r="BA221" s="550">
        <v>1482.90592728</v>
      </c>
      <c r="BB221" s="550">
        <v>-2.1300346800000001</v>
      </c>
      <c r="BC221" s="550">
        <v>3343.413873</v>
      </c>
      <c r="BD221" s="550">
        <v>3416.1796850800001</v>
      </c>
      <c r="BE221" s="550">
        <v>2.9534916099999999</v>
      </c>
      <c r="BF221" s="550">
        <v>3.01869495</v>
      </c>
      <c r="BG221" s="550">
        <v>-0.49681734999999999</v>
      </c>
      <c r="BH221" s="550">
        <v>3.8406542300000002</v>
      </c>
      <c r="BI221" s="550">
        <v>3.85983053</v>
      </c>
      <c r="BJ221" s="550">
        <v>-1.6998842300000001</v>
      </c>
      <c r="BK221" s="550">
        <v>-2.1599843500000002</v>
      </c>
      <c r="BL221" s="550">
        <v>0.71450601999999996</v>
      </c>
      <c r="BM221" s="550"/>
      <c r="BN221" s="550"/>
      <c r="BO221" s="550"/>
      <c r="BP221" s="550"/>
      <c r="BQ221" s="550"/>
      <c r="BR221" s="550"/>
      <c r="BS221" s="550"/>
    </row>
    <row r="222" spans="1:71" s="577" customFormat="1" ht="15" customHeight="1" x14ac:dyDescent="0.2">
      <c r="A222" s="404">
        <f t="shared" ref="A222:A229" si="99">A221</f>
        <v>62008033</v>
      </c>
      <c r="B222" s="403" t="s">
        <v>629</v>
      </c>
      <c r="C222" s="403" t="s">
        <v>775</v>
      </c>
      <c r="D222" s="402" t="s">
        <v>718</v>
      </c>
      <c r="E222" s="346" t="s">
        <v>909</v>
      </c>
      <c r="F222" s="346" t="str">
        <f t="shared" si="92"/>
        <v>08/13/20</v>
      </c>
      <c r="G222" s="362" t="s">
        <v>910</v>
      </c>
      <c r="H222" s="362" t="s">
        <v>685</v>
      </c>
      <c r="I222" s="370"/>
      <c r="J222" s="364">
        <f>AVERAGE(J220:J221)</f>
        <v>-6.4845705000000002</v>
      </c>
      <c r="K222" s="364">
        <f>AVERAGE(K220:K221)</f>
        <v>14.0939625</v>
      </c>
      <c r="L222" s="364">
        <f>AVERAGE(L220:L221)</f>
        <v>29.399469499999999</v>
      </c>
      <c r="M222" s="364">
        <f>AVERAGE(M220:M221)</f>
        <v>4.7666510000000004</v>
      </c>
      <c r="N222" s="349"/>
      <c r="O222" s="347"/>
      <c r="P222" s="366"/>
      <c r="Q222" s="365"/>
      <c r="R222" s="350">
        <f>R221+R220</f>
        <v>7.4205888900000003</v>
      </c>
      <c r="S222" s="350">
        <f>S221</f>
        <v>7.4205888900000003</v>
      </c>
      <c r="T222" s="381">
        <f>T220</f>
        <v>96.8</v>
      </c>
      <c r="U222" s="381">
        <f>U221</f>
        <v>92.1</v>
      </c>
      <c r="V222" s="353">
        <f>V220</f>
        <v>1</v>
      </c>
      <c r="W222" s="353">
        <f>W221</f>
        <v>2651</v>
      </c>
      <c r="X222" s="353">
        <f>SUM(X220:X221)</f>
        <v>2650</v>
      </c>
      <c r="Y222" s="353">
        <f t="shared" si="94"/>
        <v>357.11451466758183</v>
      </c>
      <c r="Z222" s="353">
        <f>Z220</f>
        <v>1.134927</v>
      </c>
      <c r="AA222" s="353">
        <f>AA221</f>
        <v>161.87836300000001</v>
      </c>
      <c r="AB222" s="353">
        <f>SUM(AB220:AB221)</f>
        <v>160.71425500000001</v>
      </c>
      <c r="AC222" s="351">
        <f t="shared" si="95"/>
        <v>21.657884216787544</v>
      </c>
      <c r="AD222" s="353">
        <f>AD220</f>
        <v>2.4500000000000002</v>
      </c>
      <c r="AE222" s="353">
        <f>AE221</f>
        <v>-0.56999999999999995</v>
      </c>
      <c r="AF222" s="353">
        <f>SUM(AF220:AF221)</f>
        <v>-3.0200000000000005</v>
      </c>
      <c r="AG222" s="351">
        <f t="shared" si="96"/>
        <v>-0.4069757865268292</v>
      </c>
      <c r="AH222" s="353">
        <f>AH220</f>
        <v>0</v>
      </c>
      <c r="AI222" s="353">
        <f>AI221</f>
        <v>744.77093000000002</v>
      </c>
      <c r="AJ222" s="353">
        <f>SUM(AJ220:AJ221)</f>
        <v>744.69784299999992</v>
      </c>
      <c r="AK222" s="351">
        <f t="shared" si="97"/>
        <v>100.35562595356228</v>
      </c>
      <c r="AL222" s="353">
        <f>AL220</f>
        <v>0</v>
      </c>
      <c r="AM222" s="353">
        <f>AM221</f>
        <v>657.55</v>
      </c>
      <c r="AN222" s="353">
        <f>SUM(AN220:AN221)</f>
        <v>657.47312599999998</v>
      </c>
      <c r="AO222" s="351">
        <f t="shared" si="98"/>
        <v>88.601206150365243</v>
      </c>
      <c r="AP222" s="343"/>
      <c r="AQ222" s="343"/>
      <c r="AR222" s="343">
        <f>SUM(AR220:AR221)</f>
        <v>-4.7000000000000028</v>
      </c>
      <c r="AS222" s="353">
        <f>AS220</f>
        <v>1.3</v>
      </c>
      <c r="AT222" s="353">
        <f>AT221</f>
        <v>3.4</v>
      </c>
      <c r="AU222" s="384">
        <f>SUM(AU220:AU221)</f>
        <v>2.0999999999999996</v>
      </c>
      <c r="AV222" s="343"/>
      <c r="AW222" s="343"/>
      <c r="AX222" s="343"/>
      <c r="AY222" s="343"/>
      <c r="AZ222" s="362" t="s">
        <v>686</v>
      </c>
      <c r="BA222" s="550"/>
      <c r="BB222" s="550"/>
      <c r="BC222" s="550"/>
      <c r="BD222" s="550"/>
      <c r="BE222" s="550"/>
      <c r="BF222" s="550"/>
      <c r="BG222" s="550"/>
      <c r="BH222" s="550"/>
      <c r="BI222" s="550"/>
      <c r="BJ222" s="550"/>
      <c r="BK222" s="550"/>
      <c r="BL222" s="550"/>
      <c r="BM222" s="550"/>
      <c r="BN222" s="550"/>
      <c r="BO222" s="550"/>
      <c r="BP222" s="550"/>
      <c r="BQ222" s="550"/>
      <c r="BR222" s="550"/>
      <c r="BS222" s="550"/>
    </row>
    <row r="223" spans="1:71" s="577" customFormat="1" ht="15" customHeight="1" x14ac:dyDescent="0.2">
      <c r="A223" s="404">
        <f t="shared" si="99"/>
        <v>62008033</v>
      </c>
      <c r="B223" s="403" t="s">
        <v>630</v>
      </c>
      <c r="C223" s="403" t="s">
        <v>776</v>
      </c>
      <c r="D223" s="402" t="s">
        <v>718</v>
      </c>
      <c r="E223" s="346" t="s">
        <v>909</v>
      </c>
      <c r="F223" s="346" t="str">
        <f t="shared" si="92"/>
        <v>08/13/20</v>
      </c>
      <c r="G223" s="362" t="s">
        <v>910</v>
      </c>
      <c r="H223" s="362" t="s">
        <v>685</v>
      </c>
      <c r="I223" s="370"/>
      <c r="J223" s="363">
        <v>-3.048651</v>
      </c>
      <c r="K223" s="363">
        <v>10.614535</v>
      </c>
      <c r="L223" s="363">
        <v>29.401240000000001</v>
      </c>
      <c r="M223" s="363">
        <v>7.5487739999999999</v>
      </c>
      <c r="N223" s="347">
        <v>4250</v>
      </c>
      <c r="O223" s="347">
        <v>30.36</v>
      </c>
      <c r="P223" s="347">
        <v>0.3201</v>
      </c>
      <c r="Q223" s="347">
        <v>1.9560000000000001E-2</v>
      </c>
      <c r="R223" s="348">
        <v>10.24428799</v>
      </c>
      <c r="S223" s="348">
        <f>R223+R222</f>
        <v>17.664876880000001</v>
      </c>
      <c r="T223" s="380">
        <v>92.1</v>
      </c>
      <c r="U223" s="380">
        <v>87.4</v>
      </c>
      <c r="V223" s="352">
        <v>2658</v>
      </c>
      <c r="W223" s="352">
        <v>5630</v>
      </c>
      <c r="X223" s="352">
        <f>W223-V223</f>
        <v>2972</v>
      </c>
      <c r="Y223" s="352">
        <f t="shared" si="94"/>
        <v>290.11289051041211</v>
      </c>
      <c r="Z223" s="372">
        <v>163.69422</v>
      </c>
      <c r="AA223" s="352">
        <v>234.48340200000001</v>
      </c>
      <c r="AB223" s="352">
        <f>AA223-Z223</f>
        <v>70.789182000000011</v>
      </c>
      <c r="AC223" s="371">
        <f t="shared" si="95"/>
        <v>6.9101124518464472</v>
      </c>
      <c r="AD223" s="372">
        <v>-0.57999999999999996</v>
      </c>
      <c r="AE223" s="352">
        <v>-1.04</v>
      </c>
      <c r="AF223" s="352">
        <f>AE223-AD223</f>
        <v>-0.46000000000000008</v>
      </c>
      <c r="AG223" s="371">
        <f t="shared" si="96"/>
        <v>-4.4903071882499868E-2</v>
      </c>
      <c r="AH223" s="372">
        <v>749.97112300000003</v>
      </c>
      <c r="AI223" s="352">
        <v>1160.05</v>
      </c>
      <c r="AJ223" s="352">
        <f>AI223-AH223</f>
        <v>410.07887699999992</v>
      </c>
      <c r="AK223" s="371">
        <f t="shared" si="97"/>
        <v>40.030002807447424</v>
      </c>
      <c r="AL223" s="372">
        <v>660.72112300000003</v>
      </c>
      <c r="AM223" s="352">
        <v>792.1</v>
      </c>
      <c r="AN223" s="352">
        <f>AM223-AL223</f>
        <v>131.37887699999999</v>
      </c>
      <c r="AO223" s="371">
        <f t="shared" si="98"/>
        <v>12.824598169071972</v>
      </c>
      <c r="AP223" s="341">
        <v>92.1</v>
      </c>
      <c r="AQ223" s="341">
        <v>87.4</v>
      </c>
      <c r="AR223" s="341">
        <f>AQ223-AP223</f>
        <v>-4.6999999999999886</v>
      </c>
      <c r="AS223" s="372">
        <v>3.4</v>
      </c>
      <c r="AT223" s="352">
        <v>4.5999999999999996</v>
      </c>
      <c r="AU223" s="383">
        <f>AT223-AS223</f>
        <v>1.1999999999999997</v>
      </c>
      <c r="AV223" s="341"/>
      <c r="AW223" s="341"/>
      <c r="AX223" s="341"/>
      <c r="AY223" s="341"/>
      <c r="AZ223" s="362" t="s">
        <v>686</v>
      </c>
      <c r="BA223" s="550">
        <v>1945.5250860900001</v>
      </c>
      <c r="BB223" s="550">
        <v>-0.74879247999999998</v>
      </c>
      <c r="BC223" s="550">
        <v>1296.9462775899999</v>
      </c>
      <c r="BD223" s="550">
        <v>1306.7309808699999</v>
      </c>
      <c r="BE223" s="550">
        <v>7.97534046</v>
      </c>
      <c r="BF223" s="550">
        <v>8.0200702400000008</v>
      </c>
      <c r="BG223" s="550">
        <v>-0.12002017</v>
      </c>
      <c r="BH223" s="550">
        <v>10.24437043</v>
      </c>
      <c r="BI223" s="550">
        <v>10.256680510000001</v>
      </c>
      <c r="BJ223" s="550">
        <v>-0.44015770999999998</v>
      </c>
      <c r="BK223" s="550">
        <v>-0.55772301000000002</v>
      </c>
      <c r="BL223" s="550">
        <v>0.28276799000000002</v>
      </c>
      <c r="BM223" s="550"/>
      <c r="BN223" s="550"/>
      <c r="BO223" s="550"/>
      <c r="BP223" s="550"/>
      <c r="BQ223" s="550"/>
      <c r="BR223" s="550"/>
      <c r="BS223" s="550"/>
    </row>
    <row r="224" spans="1:71" s="577" customFormat="1" ht="15" customHeight="1" x14ac:dyDescent="0.2">
      <c r="A224" s="404">
        <f t="shared" si="99"/>
        <v>62008033</v>
      </c>
      <c r="B224" s="403" t="s">
        <v>631</v>
      </c>
      <c r="C224" s="403" t="s">
        <v>777</v>
      </c>
      <c r="D224" s="402" t="s">
        <v>718</v>
      </c>
      <c r="E224" s="346" t="s">
        <v>909</v>
      </c>
      <c r="F224" s="346" t="str">
        <f t="shared" si="92"/>
        <v>08/13/20</v>
      </c>
      <c r="G224" s="362" t="s">
        <v>910</v>
      </c>
      <c r="H224" s="362" t="s">
        <v>685</v>
      </c>
      <c r="I224" s="370"/>
      <c r="J224" s="363">
        <v>-6.4479689999999996</v>
      </c>
      <c r="K224" s="363">
        <v>12.903516</v>
      </c>
      <c r="L224" s="363">
        <v>29.406255000000002</v>
      </c>
      <c r="M224" s="363">
        <v>6.970726</v>
      </c>
      <c r="N224" s="347">
        <v>4250</v>
      </c>
      <c r="O224" s="347">
        <v>30.36</v>
      </c>
      <c r="P224" s="347">
        <v>0.3201</v>
      </c>
      <c r="Q224" s="347">
        <v>1.9560000000000001E-2</v>
      </c>
      <c r="R224" s="348">
        <v>3.5802852000000001</v>
      </c>
      <c r="S224" s="348">
        <f>R224+R223</f>
        <v>13.824573190000001</v>
      </c>
      <c r="T224" s="380">
        <v>87.4</v>
      </c>
      <c r="U224" s="380">
        <v>85.5</v>
      </c>
      <c r="V224" s="352">
        <v>5635</v>
      </c>
      <c r="W224" s="352">
        <v>6777</v>
      </c>
      <c r="X224" s="352">
        <f>W224-V224</f>
        <v>1142</v>
      </c>
      <c r="Y224" s="352">
        <f t="shared" si="94"/>
        <v>318.96900280458101</v>
      </c>
      <c r="Z224" s="372">
        <v>237.433513</v>
      </c>
      <c r="AA224" s="352">
        <v>292.70321999999999</v>
      </c>
      <c r="AB224" s="352">
        <f>AA224-Z224</f>
        <v>55.269706999999983</v>
      </c>
      <c r="AC224" s="371">
        <f t="shared" si="95"/>
        <v>15.437235838083508</v>
      </c>
      <c r="AD224" s="372">
        <v>1.63</v>
      </c>
      <c r="AE224" s="352">
        <v>-0.39</v>
      </c>
      <c r="AF224" s="352">
        <f>AE224-AD224</f>
        <v>-2.02</v>
      </c>
      <c r="AG224" s="371">
        <f t="shared" si="96"/>
        <v>-0.5642008631044253</v>
      </c>
      <c r="AH224" s="372">
        <v>1161.9000000000001</v>
      </c>
      <c r="AI224" s="352">
        <v>1426.45</v>
      </c>
      <c r="AJ224" s="352">
        <f>AI224-AH224</f>
        <v>264.54999999999995</v>
      </c>
      <c r="AK224" s="371">
        <f t="shared" si="97"/>
        <v>73.890761551621623</v>
      </c>
      <c r="AL224" s="372">
        <v>792.9</v>
      </c>
      <c r="AM224" s="352">
        <v>923.1</v>
      </c>
      <c r="AN224" s="352">
        <f>AM224-AL224</f>
        <v>130.20000000000005</v>
      </c>
      <c r="AO224" s="371">
        <f t="shared" si="98"/>
        <v>36.365818008017918</v>
      </c>
      <c r="AP224" s="341">
        <v>87.4</v>
      </c>
      <c r="AQ224" s="341">
        <v>85.5</v>
      </c>
      <c r="AR224" s="341">
        <f>AQ224-AP224</f>
        <v>-1.9000000000000057</v>
      </c>
      <c r="AS224" s="372">
        <v>5.4</v>
      </c>
      <c r="AT224" s="352">
        <v>6.2</v>
      </c>
      <c r="AU224" s="383">
        <f>AT224-AS224</f>
        <v>0.79999999999999982</v>
      </c>
      <c r="AV224" s="341"/>
      <c r="AW224" s="341"/>
      <c r="AX224" s="341"/>
      <c r="AY224" s="341"/>
      <c r="AZ224" s="362" t="s">
        <v>686</v>
      </c>
      <c r="BA224" s="550">
        <v>2410.67561673</v>
      </c>
      <c r="BB224" s="550">
        <v>-1.99555745</v>
      </c>
      <c r="BC224" s="550">
        <v>2007.7723172000001</v>
      </c>
      <c r="BD224" s="550">
        <v>2048.6543925800001</v>
      </c>
      <c r="BE224" s="550">
        <v>3.2121279700000001</v>
      </c>
      <c r="BF224" s="550">
        <v>3.2582860899999999</v>
      </c>
      <c r="BG224" s="550">
        <v>-0.29921666000000002</v>
      </c>
      <c r="BH224" s="550">
        <v>3.58023457</v>
      </c>
      <c r="BI224" s="550">
        <v>3.5909793799999998</v>
      </c>
      <c r="BJ224" s="550">
        <v>-1.1334784600000001</v>
      </c>
      <c r="BK224" s="550">
        <v>-1.4166378399999999</v>
      </c>
      <c r="BL224" s="550">
        <v>0.59036206999999996</v>
      </c>
      <c r="BM224" s="550"/>
      <c r="BN224" s="550"/>
      <c r="BO224" s="550"/>
      <c r="BP224" s="550"/>
      <c r="BQ224" s="550"/>
      <c r="BR224" s="550"/>
      <c r="BS224" s="550"/>
    </row>
    <row r="225" spans="1:71" s="577" customFormat="1" ht="15" customHeight="1" x14ac:dyDescent="0.2">
      <c r="A225" s="404">
        <f t="shared" si="99"/>
        <v>62008033</v>
      </c>
      <c r="B225" s="403" t="s">
        <v>895</v>
      </c>
      <c r="C225" s="403" t="s">
        <v>778</v>
      </c>
      <c r="D225" s="402" t="s">
        <v>718</v>
      </c>
      <c r="E225" s="346" t="s">
        <v>909</v>
      </c>
      <c r="F225" s="346" t="str">
        <f t="shared" si="92"/>
        <v>08/13/20</v>
      </c>
      <c r="G225" s="362" t="s">
        <v>910</v>
      </c>
      <c r="H225" s="362" t="s">
        <v>685</v>
      </c>
      <c r="I225" s="370"/>
      <c r="J225" s="363">
        <v>-6.9220980000000001</v>
      </c>
      <c r="K225" s="363">
        <v>12.803345999999999</v>
      </c>
      <c r="L225" s="363">
        <v>29.405778000000002</v>
      </c>
      <c r="M225" s="363">
        <v>7.5933099999999998</v>
      </c>
      <c r="N225" s="347">
        <v>4250</v>
      </c>
      <c r="O225" s="347">
        <v>30.36</v>
      </c>
      <c r="P225" s="347">
        <v>0.3201</v>
      </c>
      <c r="Q225" s="347">
        <v>1.9560000000000001E-2</v>
      </c>
      <c r="R225" s="348">
        <v>3.8412088899999999</v>
      </c>
      <c r="S225" s="348">
        <f>R225+R224</f>
        <v>7.4214940899999995</v>
      </c>
      <c r="T225" s="380">
        <v>85.5</v>
      </c>
      <c r="U225" s="380">
        <v>83.5</v>
      </c>
      <c r="V225" s="352">
        <v>6777</v>
      </c>
      <c r="W225" s="352">
        <v>7973</v>
      </c>
      <c r="X225" s="352">
        <f>W225-V225</f>
        <v>1196</v>
      </c>
      <c r="Y225" s="352">
        <f t="shared" si="94"/>
        <v>311.36031240415048</v>
      </c>
      <c r="Z225" s="372">
        <v>292.72322700000001</v>
      </c>
      <c r="AA225" s="352">
        <v>387.03266200000002</v>
      </c>
      <c r="AB225" s="352">
        <f>AA225-Z225</f>
        <v>94.309435000000008</v>
      </c>
      <c r="AC225" s="371">
        <f t="shared" si="95"/>
        <v>24.552019351387059</v>
      </c>
      <c r="AD225" s="372">
        <v>-0.39</v>
      </c>
      <c r="AE225" s="352">
        <v>-1.31</v>
      </c>
      <c r="AF225" s="352">
        <f>AE225-AD225</f>
        <v>-0.92</v>
      </c>
      <c r="AG225" s="371">
        <f t="shared" si="96"/>
        <v>-0.23950793261857728</v>
      </c>
      <c r="AH225" s="372">
        <v>1426.492669</v>
      </c>
      <c r="AI225" s="352">
        <v>1835.826638</v>
      </c>
      <c r="AJ225" s="352">
        <f>AI225-AH225</f>
        <v>409.33396900000002</v>
      </c>
      <c r="AK225" s="371">
        <f t="shared" si="97"/>
        <v>106.56383985407261</v>
      </c>
      <c r="AL225" s="372">
        <v>923.14266899999996</v>
      </c>
      <c r="AM225" s="352">
        <v>1003.15</v>
      </c>
      <c r="AN225" s="352">
        <f>AM225-AL225</f>
        <v>80.007331000000022</v>
      </c>
      <c r="AO225" s="371">
        <f t="shared" si="98"/>
        <v>20.828685263195887</v>
      </c>
      <c r="AP225" s="341">
        <v>85.5</v>
      </c>
      <c r="AQ225" s="341">
        <v>83.5</v>
      </c>
      <c r="AR225" s="341">
        <f>AQ225-AP225</f>
        <v>-2</v>
      </c>
      <c r="AS225" s="372">
        <v>6.2</v>
      </c>
      <c r="AT225" s="352">
        <v>7.5</v>
      </c>
      <c r="AU225" s="383">
        <f>AT225-AS225</f>
        <v>1.2999999999999998</v>
      </c>
      <c r="AV225" s="341"/>
      <c r="AW225" s="341"/>
      <c r="AX225" s="341"/>
      <c r="AY225" s="341"/>
      <c r="AZ225" s="362" t="s">
        <v>686</v>
      </c>
      <c r="BA225" s="550">
        <v>1481.6655025099999</v>
      </c>
      <c r="BB225" s="550">
        <v>-2.0862388200000002</v>
      </c>
      <c r="BC225" s="550">
        <v>3344.73422673</v>
      </c>
      <c r="BD225" s="550">
        <v>3416.00014801</v>
      </c>
      <c r="BE225" s="550">
        <v>2.95334874</v>
      </c>
      <c r="BF225" s="550">
        <v>3.0184200699999999</v>
      </c>
      <c r="BG225" s="550">
        <v>-0.48527677000000002</v>
      </c>
      <c r="BH225" s="550">
        <v>3.84109809</v>
      </c>
      <c r="BI225" s="550">
        <v>3.8598289399999999</v>
      </c>
      <c r="BJ225" s="550">
        <v>-1.7073375900000001</v>
      </c>
      <c r="BK225" s="550">
        <v>-2.1558074500000002</v>
      </c>
      <c r="BL225" s="550">
        <v>0.71451913</v>
      </c>
      <c r="BM225" s="550"/>
      <c r="BN225" s="550"/>
      <c r="BO225" s="550"/>
      <c r="BP225" s="550"/>
      <c r="BQ225" s="550"/>
      <c r="BR225" s="550"/>
      <c r="BS225" s="550"/>
    </row>
    <row r="226" spans="1:71" s="577" customFormat="1" ht="15" customHeight="1" x14ac:dyDescent="0.2">
      <c r="A226" s="404">
        <f t="shared" si="99"/>
        <v>62008033</v>
      </c>
      <c r="B226" s="403" t="s">
        <v>632</v>
      </c>
      <c r="C226" s="403" t="s">
        <v>779</v>
      </c>
      <c r="D226" s="402" t="s">
        <v>718</v>
      </c>
      <c r="E226" s="346" t="s">
        <v>909</v>
      </c>
      <c r="F226" s="346" t="str">
        <f t="shared" si="92"/>
        <v>08/13/20</v>
      </c>
      <c r="G226" s="362" t="s">
        <v>910</v>
      </c>
      <c r="H226" s="362" t="s">
        <v>685</v>
      </c>
      <c r="I226" s="370"/>
      <c r="J226" s="364">
        <f>AVERAGE(J224:J225)</f>
        <v>-6.6850334999999994</v>
      </c>
      <c r="K226" s="364">
        <f>AVERAGE(K224:K225)</f>
        <v>12.853431</v>
      </c>
      <c r="L226" s="364">
        <f>AVERAGE(L224:L225)</f>
        <v>29.4060165</v>
      </c>
      <c r="M226" s="364">
        <f>AVERAGE(M224:M225)</f>
        <v>7.2820179999999999</v>
      </c>
      <c r="N226" s="349"/>
      <c r="O226" s="347"/>
      <c r="P226" s="366"/>
      <c r="Q226" s="365"/>
      <c r="R226" s="350">
        <f>R225+R224</f>
        <v>7.4214940899999995</v>
      </c>
      <c r="S226" s="350">
        <f>S225</f>
        <v>7.4214940899999995</v>
      </c>
      <c r="T226" s="381">
        <f>T224</f>
        <v>87.4</v>
      </c>
      <c r="U226" s="381">
        <f>U225</f>
        <v>83.5</v>
      </c>
      <c r="V226" s="353">
        <f>V224</f>
        <v>5635</v>
      </c>
      <c r="W226" s="353">
        <f>W225</f>
        <v>7973</v>
      </c>
      <c r="X226" s="353">
        <f>SUM(X224:X225)</f>
        <v>2338</v>
      </c>
      <c r="Y226" s="353">
        <f t="shared" si="94"/>
        <v>315.03090505054894</v>
      </c>
      <c r="Z226" s="353">
        <f>Z224</f>
        <v>237.433513</v>
      </c>
      <c r="AA226" s="353">
        <f>AA225</f>
        <v>387.03266200000002</v>
      </c>
      <c r="AB226" s="353">
        <f>SUM(AB224:AB225)</f>
        <v>149.57914199999999</v>
      </c>
      <c r="AC226" s="351">
        <f t="shared" si="95"/>
        <v>20.154855637700845</v>
      </c>
      <c r="AD226" s="353">
        <f>AD224</f>
        <v>1.63</v>
      </c>
      <c r="AE226" s="353">
        <f>AE225</f>
        <v>-1.31</v>
      </c>
      <c r="AF226" s="353">
        <f>SUM(AF224:AF225)</f>
        <v>-2.94</v>
      </c>
      <c r="AG226" s="351">
        <f t="shared" si="96"/>
        <v>-0.39614664706955255</v>
      </c>
      <c r="AH226" s="353">
        <f>AH224</f>
        <v>1161.9000000000001</v>
      </c>
      <c r="AI226" s="353">
        <f>AI225</f>
        <v>1835.826638</v>
      </c>
      <c r="AJ226" s="353">
        <f>SUM(AJ224:AJ225)</f>
        <v>673.88396899999998</v>
      </c>
      <c r="AK226" s="351">
        <f t="shared" si="97"/>
        <v>90.801658106555209</v>
      </c>
      <c r="AL226" s="353">
        <f>AL224</f>
        <v>792.9</v>
      </c>
      <c r="AM226" s="353">
        <f>AM225</f>
        <v>1003.15</v>
      </c>
      <c r="AN226" s="353">
        <f>SUM(AN224:AN225)</f>
        <v>210.20733100000007</v>
      </c>
      <c r="AO226" s="351">
        <f t="shared" si="98"/>
        <v>28.324125634384231</v>
      </c>
      <c r="AP226" s="343"/>
      <c r="AQ226" s="343"/>
      <c r="AR226" s="343">
        <f>SUM(AR224:AR225)</f>
        <v>-3.9000000000000057</v>
      </c>
      <c r="AS226" s="353">
        <f>AS224</f>
        <v>5.4</v>
      </c>
      <c r="AT226" s="353">
        <f>AT225</f>
        <v>7.5</v>
      </c>
      <c r="AU226" s="384">
        <f>SUM(AU224:AU225)</f>
        <v>2.0999999999999996</v>
      </c>
      <c r="AV226" s="343"/>
      <c r="AW226" s="343"/>
      <c r="AX226" s="343"/>
      <c r="AY226" s="343"/>
      <c r="AZ226" s="362" t="s">
        <v>686</v>
      </c>
      <c r="BA226" s="550"/>
      <c r="BB226" s="550"/>
      <c r="BC226" s="550"/>
      <c r="BD226" s="550"/>
      <c r="BE226" s="550"/>
      <c r="BF226" s="550"/>
      <c r="BG226" s="550"/>
      <c r="BH226" s="550"/>
      <c r="BI226" s="550"/>
      <c r="BJ226" s="550"/>
      <c r="BK226" s="550"/>
      <c r="BL226" s="550"/>
      <c r="BM226" s="550"/>
      <c r="BN226" s="550"/>
      <c r="BO226" s="550"/>
      <c r="BP226" s="550"/>
      <c r="BQ226" s="550"/>
      <c r="BR226" s="550"/>
      <c r="BS226" s="550"/>
    </row>
    <row r="227" spans="1:71" s="577" customFormat="1" ht="15" customHeight="1" x14ac:dyDescent="0.2">
      <c r="A227" s="404">
        <f t="shared" si="99"/>
        <v>62008033</v>
      </c>
      <c r="B227" s="403" t="s">
        <v>633</v>
      </c>
      <c r="C227" s="403" t="s">
        <v>780</v>
      </c>
      <c r="D227" s="402" t="s">
        <v>718</v>
      </c>
      <c r="E227" s="346" t="s">
        <v>909</v>
      </c>
      <c r="F227" s="346" t="str">
        <f t="shared" si="92"/>
        <v>08/13/20</v>
      </c>
      <c r="G227" s="362" t="s">
        <v>910</v>
      </c>
      <c r="H227" s="362" t="s">
        <v>685</v>
      </c>
      <c r="I227" s="370"/>
      <c r="J227" s="363">
        <v>-4.880026</v>
      </c>
      <c r="K227" s="363">
        <v>11.310489</v>
      </c>
      <c r="L227" s="363">
        <v>29.405069999999998</v>
      </c>
      <c r="M227" s="363">
        <v>9.2838849999999997</v>
      </c>
      <c r="N227" s="347">
        <v>4250</v>
      </c>
      <c r="O227" s="347">
        <v>30.36</v>
      </c>
      <c r="P227" s="347">
        <v>0.3201</v>
      </c>
      <c r="Q227" s="347">
        <v>1.9560000000000001E-2</v>
      </c>
      <c r="R227" s="348">
        <v>1.7643072</v>
      </c>
      <c r="S227" s="348">
        <f>R227+R226</f>
        <v>9.1858012899999988</v>
      </c>
      <c r="T227" s="380">
        <v>83.4</v>
      </c>
      <c r="U227" s="380">
        <v>78.8</v>
      </c>
      <c r="V227" s="352">
        <v>8014</v>
      </c>
      <c r="W227" s="352">
        <v>10943</v>
      </c>
      <c r="X227" s="352">
        <f>W227-V227-X228</f>
        <v>752</v>
      </c>
      <c r="Y227" s="352">
        <f t="shared" si="94"/>
        <v>426.22962713069472</v>
      </c>
      <c r="Z227" s="372">
        <v>396.96275100000003</v>
      </c>
      <c r="AA227" s="352">
        <v>447.80237199999999</v>
      </c>
      <c r="AB227" s="352">
        <f>AA227-Z227-AB228</f>
        <v>22.89001300000001</v>
      </c>
      <c r="AC227" s="371">
        <f t="shared" si="95"/>
        <v>12.973938438838776</v>
      </c>
      <c r="AD227" s="372">
        <v>-1.38</v>
      </c>
      <c r="AE227" s="352">
        <v>-1.74</v>
      </c>
      <c r="AF227" s="352">
        <f>AE227-AD227-AF228</f>
        <v>-0.15000000000000013</v>
      </c>
      <c r="AG227" s="371">
        <f t="shared" si="96"/>
        <v>-8.501920753936737E-2</v>
      </c>
      <c r="AH227" s="372">
        <v>1865.95</v>
      </c>
      <c r="AI227" s="352">
        <v>2132.25</v>
      </c>
      <c r="AJ227" s="352">
        <f>AI227-AH227-AJ228</f>
        <v>107.06319499999995</v>
      </c>
      <c r="AK227" s="371">
        <f t="shared" si="97"/>
        <v>60.682853303551646</v>
      </c>
      <c r="AL227" s="372">
        <v>1011.45</v>
      </c>
      <c r="AM227" s="352">
        <v>1032.1500000000001</v>
      </c>
      <c r="AN227" s="352">
        <f>AM227-AL227-AN228</f>
        <v>10.600000000000023</v>
      </c>
      <c r="AO227" s="371">
        <f t="shared" si="98"/>
        <v>6.0080239994486355</v>
      </c>
      <c r="AP227" s="341">
        <v>83.4</v>
      </c>
      <c r="AQ227" s="341">
        <v>78.8</v>
      </c>
      <c r="AR227" s="341">
        <f>AQ227-AP227-AR228</f>
        <v>-1.2000000000000171</v>
      </c>
      <c r="AS227" s="372">
        <v>7.6</v>
      </c>
      <c r="AT227" s="352">
        <v>8.5</v>
      </c>
      <c r="AU227" s="383">
        <f>AT227-AS227-AU228</f>
        <v>0.39999999999999947</v>
      </c>
      <c r="AV227" s="341"/>
      <c r="AW227" s="341"/>
      <c r="AX227" s="341"/>
      <c r="AY227" s="341"/>
      <c r="AZ227" s="362" t="s">
        <v>686</v>
      </c>
      <c r="BA227" s="550">
        <v>5559.5378147299998</v>
      </c>
      <c r="BB227" s="550">
        <v>-1.33527938</v>
      </c>
      <c r="BC227" s="550">
        <v>2426.42216074</v>
      </c>
      <c r="BD227" s="550">
        <v>2459.26015456</v>
      </c>
      <c r="BE227" s="550">
        <v>3.1645627900000002</v>
      </c>
      <c r="BF227" s="550">
        <v>3.2076931499999999</v>
      </c>
      <c r="BG227" s="550">
        <v>-0.44018965999999998</v>
      </c>
      <c r="BH227" s="550">
        <v>1.7643039300000001</v>
      </c>
      <c r="BI227" s="550">
        <v>1.7721045499999999</v>
      </c>
      <c r="BJ227" s="550">
        <v>-0.91672781999999997</v>
      </c>
      <c r="BK227" s="550">
        <v>-1.34459124</v>
      </c>
      <c r="BL227" s="550">
        <v>0.81478238000000003</v>
      </c>
      <c r="BM227" s="550"/>
      <c r="BN227" s="550"/>
      <c r="BO227" s="550"/>
      <c r="BP227" s="550"/>
      <c r="BQ227" s="550"/>
      <c r="BR227" s="550"/>
      <c r="BS227" s="550"/>
    </row>
    <row r="228" spans="1:71" s="577" customFormat="1" ht="15" customHeight="1" x14ac:dyDescent="0.2">
      <c r="A228" s="404">
        <f t="shared" si="99"/>
        <v>62008033</v>
      </c>
      <c r="B228" s="403" t="s">
        <v>634</v>
      </c>
      <c r="C228" s="403" t="s">
        <v>781</v>
      </c>
      <c r="D228" s="402" t="s">
        <v>718</v>
      </c>
      <c r="E228" s="346" t="s">
        <v>909</v>
      </c>
      <c r="F228" s="346" t="str">
        <f t="shared" si="92"/>
        <v>08/13/20</v>
      </c>
      <c r="G228" s="362" t="s">
        <v>910</v>
      </c>
      <c r="H228" s="362" t="s">
        <v>685</v>
      </c>
      <c r="I228" s="370"/>
      <c r="J228" s="363">
        <v>0.14812700000000001</v>
      </c>
      <c r="K228" s="363">
        <v>8.3009190000000004</v>
      </c>
      <c r="L228" s="363">
        <v>29.402799000000002</v>
      </c>
      <c r="M228" s="363">
        <v>8.7807340000000007</v>
      </c>
      <c r="N228" s="347">
        <v>4250</v>
      </c>
      <c r="O228" s="347">
        <v>30.36</v>
      </c>
      <c r="P228" s="347">
        <v>0.3201</v>
      </c>
      <c r="Q228" s="347">
        <v>1.9560000000000001E-2</v>
      </c>
      <c r="R228" s="348">
        <v>6.2262166499999996</v>
      </c>
      <c r="S228" s="348">
        <f>R228+R227</f>
        <v>7.9905238499999998</v>
      </c>
      <c r="T228" s="380">
        <v>82.6</v>
      </c>
      <c r="U228" s="380">
        <v>79.2</v>
      </c>
      <c r="V228" s="352">
        <v>8523</v>
      </c>
      <c r="W228" s="352">
        <v>10700</v>
      </c>
      <c r="X228" s="352">
        <f>W228-V228</f>
        <v>2177</v>
      </c>
      <c r="Y228" s="352">
        <f t="shared" si="94"/>
        <v>349.65053777882918</v>
      </c>
      <c r="Z228" s="372">
        <v>409.21264000000002</v>
      </c>
      <c r="AA228" s="352">
        <v>437.16224799999998</v>
      </c>
      <c r="AB228" s="352">
        <f>AA228-Z228</f>
        <v>27.949607999999955</v>
      </c>
      <c r="AC228" s="371">
        <f t="shared" si="95"/>
        <v>4.4890195075367245</v>
      </c>
      <c r="AD228" s="372">
        <v>-1.47</v>
      </c>
      <c r="AE228" s="352">
        <v>-1.68</v>
      </c>
      <c r="AF228" s="352">
        <f>AE228-AD228</f>
        <v>-0.20999999999999996</v>
      </c>
      <c r="AG228" s="371">
        <f t="shared" si="96"/>
        <v>-3.3728347695706991E-2</v>
      </c>
      <c r="AH228" s="372">
        <v>1932.1631950000001</v>
      </c>
      <c r="AI228" s="352">
        <v>2091.4</v>
      </c>
      <c r="AJ228" s="352">
        <f>AI228-AH228</f>
        <v>159.236805</v>
      </c>
      <c r="AK228" s="371">
        <f t="shared" si="97"/>
        <v>25.57521107139759</v>
      </c>
      <c r="AL228" s="372">
        <v>1019.6</v>
      </c>
      <c r="AM228" s="352">
        <v>1029.7</v>
      </c>
      <c r="AN228" s="352">
        <f>AM228-AL228</f>
        <v>10.100000000000023</v>
      </c>
      <c r="AO228" s="371">
        <f t="shared" si="98"/>
        <v>1.6221729129840066</v>
      </c>
      <c r="AP228" s="341">
        <v>82.6</v>
      </c>
      <c r="AQ228" s="341">
        <v>79.2</v>
      </c>
      <c r="AR228" s="341">
        <f>AQ228-AP228</f>
        <v>-3.3999999999999915</v>
      </c>
      <c r="AS228" s="372">
        <v>7.8</v>
      </c>
      <c r="AT228" s="352">
        <v>8.3000000000000007</v>
      </c>
      <c r="AU228" s="383">
        <f>AT228-AS228</f>
        <v>0.50000000000000089</v>
      </c>
      <c r="AV228" s="341"/>
      <c r="AW228" s="341"/>
      <c r="AX228" s="341"/>
      <c r="AY228" s="341"/>
      <c r="AZ228" s="362" t="s">
        <v>686</v>
      </c>
      <c r="BA228" s="550">
        <v>11810.484622280001</v>
      </c>
      <c r="BB228" s="550">
        <v>-9.5643977099999997</v>
      </c>
      <c r="BC228" s="550">
        <v>1029.37190089</v>
      </c>
      <c r="BD228" s="550">
        <v>1138.2374582499999</v>
      </c>
      <c r="BE228" s="550">
        <v>6.92031799</v>
      </c>
      <c r="BF228" s="550">
        <v>7.0840040999999996</v>
      </c>
      <c r="BG228" s="550">
        <v>-0.13774676999999999</v>
      </c>
      <c r="BH228" s="550">
        <v>6.2262698299999997</v>
      </c>
      <c r="BI228" s="550">
        <v>6.23485815</v>
      </c>
      <c r="BJ228" s="550">
        <v>-2.2242925699999998</v>
      </c>
      <c r="BK228" s="550">
        <v>-2.3106438599999999</v>
      </c>
      <c r="BL228" s="550">
        <v>0.34890388</v>
      </c>
      <c r="BM228" s="550"/>
      <c r="BN228" s="550"/>
      <c r="BO228" s="550"/>
      <c r="BP228" s="550"/>
      <c r="BQ228" s="550"/>
      <c r="BR228" s="550"/>
      <c r="BS228" s="550"/>
    </row>
    <row r="229" spans="1:71" s="577" customFormat="1" ht="15" customHeight="1" x14ac:dyDescent="0.2">
      <c r="A229" s="404">
        <f t="shared" si="99"/>
        <v>62008033</v>
      </c>
      <c r="B229" s="403" t="s">
        <v>635</v>
      </c>
      <c r="C229" s="403" t="s">
        <v>782</v>
      </c>
      <c r="D229" s="402" t="s">
        <v>718</v>
      </c>
      <c r="E229" s="346" t="s">
        <v>909</v>
      </c>
      <c r="F229" s="346" t="str">
        <f t="shared" si="92"/>
        <v>08/13/20</v>
      </c>
      <c r="G229" s="362" t="s">
        <v>910</v>
      </c>
      <c r="H229" s="362" t="s">
        <v>685</v>
      </c>
      <c r="I229" s="370"/>
      <c r="J229" s="364">
        <f>AVERAGE(J227:J228)</f>
        <v>-2.3659495000000001</v>
      </c>
      <c r="K229" s="364">
        <f>AVERAGE(K227:K228)</f>
        <v>9.8057040000000004</v>
      </c>
      <c r="L229" s="364">
        <f>AVERAGE(L227:L228)</f>
        <v>29.403934499999998</v>
      </c>
      <c r="M229" s="364">
        <f>AVERAGE(M227:M228)</f>
        <v>9.0323095000000002</v>
      </c>
      <c r="N229" s="349"/>
      <c r="O229" s="347"/>
      <c r="P229" s="366"/>
      <c r="Q229" s="365"/>
      <c r="R229" s="350">
        <f>R228+R227</f>
        <v>7.9905238499999998</v>
      </c>
      <c r="S229" s="350">
        <f>S228</f>
        <v>7.9905238499999998</v>
      </c>
      <c r="T229" s="381">
        <f>T227</f>
        <v>83.4</v>
      </c>
      <c r="U229" s="381">
        <f>U228</f>
        <v>79.2</v>
      </c>
      <c r="V229" s="353">
        <f>V227</f>
        <v>8014</v>
      </c>
      <c r="W229" s="353">
        <f>W228</f>
        <v>10700</v>
      </c>
      <c r="X229" s="353">
        <f>SUM(X227:X228)</f>
        <v>2929</v>
      </c>
      <c r="Y229" s="353">
        <f t="shared" si="94"/>
        <v>366.55919624093235</v>
      </c>
      <c r="Z229" s="353">
        <f>Z227</f>
        <v>396.96275100000003</v>
      </c>
      <c r="AA229" s="353">
        <f>AA228</f>
        <v>437.16224799999998</v>
      </c>
      <c r="AB229" s="353">
        <f>SUM(AB227:AB228)</f>
        <v>50.839620999999966</v>
      </c>
      <c r="AC229" s="351">
        <f t="shared" si="95"/>
        <v>6.3624891126506018</v>
      </c>
      <c r="AD229" s="353">
        <f>AD227</f>
        <v>-1.38</v>
      </c>
      <c r="AE229" s="353">
        <f>AE228</f>
        <v>-1.68</v>
      </c>
      <c r="AF229" s="353">
        <f>SUM(AF227:AF228)</f>
        <v>-0.3600000000000001</v>
      </c>
      <c r="AG229" s="351">
        <f t="shared" si="96"/>
        <v>-4.505336655743792E-2</v>
      </c>
      <c r="AH229" s="353">
        <f>AH227</f>
        <v>1865.95</v>
      </c>
      <c r="AI229" s="353">
        <f>AI228</f>
        <v>2091.4</v>
      </c>
      <c r="AJ229" s="353">
        <f>SUM(AJ227:AJ228)</f>
        <v>266.29999999999995</v>
      </c>
      <c r="AK229" s="351">
        <f t="shared" si="97"/>
        <v>33.326976428460313</v>
      </c>
      <c r="AL229" s="353">
        <f>AL227</f>
        <v>1011.45</v>
      </c>
      <c r="AM229" s="353">
        <f>AM228</f>
        <v>1029.7</v>
      </c>
      <c r="AN229" s="353">
        <f>SUM(AN227:AN228)</f>
        <v>20.700000000000045</v>
      </c>
      <c r="AO229" s="351">
        <f t="shared" si="98"/>
        <v>2.5905685770526854</v>
      </c>
      <c r="AP229" s="343"/>
      <c r="AQ229" s="343"/>
      <c r="AR229" s="343">
        <f>SUM(AR227:AR228)</f>
        <v>-4.6000000000000085</v>
      </c>
      <c r="AS229" s="353">
        <f>AS227</f>
        <v>7.6</v>
      </c>
      <c r="AT229" s="353">
        <f>AT228</f>
        <v>8.3000000000000007</v>
      </c>
      <c r="AU229" s="384">
        <f>SUM(AU227:AU228)</f>
        <v>0.90000000000000036</v>
      </c>
      <c r="AV229" s="343"/>
      <c r="AW229" s="343"/>
      <c r="AX229" s="343"/>
      <c r="AY229" s="343"/>
      <c r="AZ229" s="362" t="s">
        <v>686</v>
      </c>
      <c r="BA229" s="550"/>
      <c r="BB229" s="550"/>
      <c r="BC229" s="550"/>
      <c r="BD229" s="550"/>
      <c r="BE229" s="550"/>
      <c r="BF229" s="550"/>
      <c r="BG229" s="550"/>
      <c r="BH229" s="550"/>
      <c r="BI229" s="550"/>
      <c r="BJ229" s="550"/>
      <c r="BK229" s="550"/>
      <c r="BL229" s="550"/>
      <c r="BM229" s="550"/>
      <c r="BN229" s="550"/>
      <c r="BO229" s="550"/>
      <c r="BP229" s="550"/>
      <c r="BQ229" s="550"/>
      <c r="BR229" s="550"/>
      <c r="BS229" s="550"/>
    </row>
    <row r="230" spans="1:71" s="577" customFormat="1" ht="15" customHeight="1" x14ac:dyDescent="0.2">
      <c r="A230" s="404">
        <v>62008034</v>
      </c>
      <c r="B230" s="403" t="s">
        <v>896</v>
      </c>
      <c r="C230" s="403" t="s">
        <v>773</v>
      </c>
      <c r="D230" s="402" t="s">
        <v>900</v>
      </c>
      <c r="E230" s="346" t="s">
        <v>911</v>
      </c>
      <c r="F230" s="346" t="str">
        <f t="shared" si="92"/>
        <v>08/13/20</v>
      </c>
      <c r="G230" s="362" t="s">
        <v>912</v>
      </c>
      <c r="H230" s="362" t="s">
        <v>685</v>
      </c>
      <c r="I230" s="370"/>
      <c r="J230" s="363">
        <v>-3.2108530000000002</v>
      </c>
      <c r="K230" s="363">
        <v>-36.130716</v>
      </c>
      <c r="L230" s="363">
        <v>-141.780891</v>
      </c>
      <c r="M230" s="363">
        <v>-46.629947999999999</v>
      </c>
      <c r="N230" s="347">
        <v>4250</v>
      </c>
      <c r="O230" s="347">
        <v>30.36</v>
      </c>
      <c r="P230" s="347">
        <v>0.3201</v>
      </c>
      <c r="Q230" s="347">
        <v>1.9560000000000001E-2</v>
      </c>
      <c r="R230" s="348">
        <v>97.230895790000005</v>
      </c>
      <c r="S230" s="348">
        <f>R230+R229</f>
        <v>105.22141964000001</v>
      </c>
      <c r="T230" s="380">
        <v>78.8</v>
      </c>
      <c r="U230" s="380">
        <v>26</v>
      </c>
      <c r="V230" s="352">
        <v>10946</v>
      </c>
      <c r="W230" s="352">
        <v>42209</v>
      </c>
      <c r="X230" s="352">
        <f>W230-V230</f>
        <v>31263</v>
      </c>
      <c r="Y230" s="352">
        <f t="shared" si="94"/>
        <v>321.53360046709901</v>
      </c>
      <c r="Z230" s="372">
        <v>449.41262499999999</v>
      </c>
      <c r="AA230" s="352">
        <v>843.32993799999997</v>
      </c>
      <c r="AB230" s="352">
        <f>AA230-Z230</f>
        <v>393.91731299999998</v>
      </c>
      <c r="AC230" s="371">
        <f t="shared" si="95"/>
        <v>4.051359496376393</v>
      </c>
      <c r="AD230" s="372">
        <v>0.87</v>
      </c>
      <c r="AE230" s="352">
        <v>-3.67</v>
      </c>
      <c r="AF230" s="352">
        <f>AE230-AD230</f>
        <v>-4.54</v>
      </c>
      <c r="AG230" s="371">
        <f t="shared" si="96"/>
        <v>-4.6692977197346046E-2</v>
      </c>
      <c r="AH230" s="372">
        <v>2133.5</v>
      </c>
      <c r="AI230" s="352">
        <v>4333.6000000000004</v>
      </c>
      <c r="AJ230" s="352">
        <f>AI230-AH230</f>
        <v>2200.1000000000004</v>
      </c>
      <c r="AK230" s="371">
        <f t="shared" si="97"/>
        <v>22.627581306581732</v>
      </c>
      <c r="AL230" s="372">
        <v>1032.3499999999999</v>
      </c>
      <c r="AM230" s="352">
        <v>1187.5</v>
      </c>
      <c r="AN230" s="352">
        <f>AM230-AL230</f>
        <v>155.15000000000009</v>
      </c>
      <c r="AO230" s="371">
        <f t="shared" si="98"/>
        <v>1.5956862141339743</v>
      </c>
      <c r="AP230" s="341">
        <v>78.8</v>
      </c>
      <c r="AQ230" s="341">
        <v>26</v>
      </c>
      <c r="AR230" s="341">
        <f>AQ230-AP230</f>
        <v>-52.8</v>
      </c>
      <c r="AS230" s="372">
        <v>9.1999999999999993</v>
      </c>
      <c r="AT230" s="352">
        <v>17</v>
      </c>
      <c r="AU230" s="383">
        <f>AT230-AS230</f>
        <v>7.8000000000000007</v>
      </c>
      <c r="AV230" s="341"/>
      <c r="AW230" s="341"/>
      <c r="AX230" s="341"/>
      <c r="AY230" s="341"/>
      <c r="AZ230" s="362" t="s">
        <v>686</v>
      </c>
      <c r="BA230" s="550">
        <v>24.77809804</v>
      </c>
      <c r="BB230" s="550">
        <v>40.665586159999997</v>
      </c>
      <c r="BC230" s="550">
        <v>817.4808673</v>
      </c>
      <c r="BD230" s="550">
        <v>581.15200000000004</v>
      </c>
      <c r="BE230" s="550">
        <v>93.517345469999995</v>
      </c>
      <c r="BF230" s="550">
        <v>93.761131919999997</v>
      </c>
      <c r="BG230" s="550">
        <v>-0.10876450999999999</v>
      </c>
      <c r="BH230" s="550">
        <v>97.231720730000006</v>
      </c>
      <c r="BI230" s="550">
        <v>97.337589480000005</v>
      </c>
      <c r="BJ230" s="550">
        <v>-0.15163776000000001</v>
      </c>
      <c r="BK230" s="550">
        <v>-0.26000800000000002</v>
      </c>
      <c r="BL230" s="550">
        <v>8.8103799999999996E-3</v>
      </c>
      <c r="BM230" s="550"/>
      <c r="BN230" s="550"/>
      <c r="BO230" s="550"/>
      <c r="BP230" s="550"/>
      <c r="BQ230" s="550"/>
      <c r="BR230" s="550"/>
      <c r="BS230" s="550"/>
    </row>
    <row r="231" spans="1:71" s="577" customFormat="1" ht="15" customHeight="1" x14ac:dyDescent="0.2">
      <c r="A231" s="404">
        <v>62008035</v>
      </c>
      <c r="B231" s="403" t="s">
        <v>633</v>
      </c>
      <c r="C231" s="403" t="s">
        <v>810</v>
      </c>
      <c r="D231" s="402" t="s">
        <v>724</v>
      </c>
      <c r="E231" s="346" t="s">
        <v>913</v>
      </c>
      <c r="F231" s="346" t="str">
        <f t="shared" si="92"/>
        <v>08/13/20</v>
      </c>
      <c r="G231" s="362" t="s">
        <v>914</v>
      </c>
      <c r="H231" s="362" t="s">
        <v>915</v>
      </c>
      <c r="I231" s="370"/>
      <c r="J231" s="363">
        <v>-7.4058960000000003</v>
      </c>
      <c r="K231" s="363">
        <v>13.179040000000001</v>
      </c>
      <c r="L231" s="363">
        <v>29.401897000000002</v>
      </c>
      <c r="M231" s="363">
        <v>10.879896</v>
      </c>
      <c r="N231" s="347">
        <v>4250</v>
      </c>
      <c r="O231" s="347">
        <v>30.36</v>
      </c>
      <c r="P231" s="347">
        <v>0.3201</v>
      </c>
      <c r="Q231" s="347">
        <v>1.9560000000000001E-2</v>
      </c>
      <c r="R231" s="348">
        <v>1.76480949</v>
      </c>
      <c r="S231" s="348">
        <f>R231+R230</f>
        <v>98.99570528000001</v>
      </c>
      <c r="T231" s="380">
        <v>26</v>
      </c>
      <c r="U231" s="380">
        <v>20.8</v>
      </c>
      <c r="V231" s="352">
        <v>42212</v>
      </c>
      <c r="W231" s="352">
        <v>45102.994659999997</v>
      </c>
      <c r="X231" s="352">
        <f>W231-V231-X232</f>
        <v>698.98699799999304</v>
      </c>
      <c r="Y231" s="352">
        <f t="shared" si="94"/>
        <v>396.0693785707108</v>
      </c>
      <c r="Z231" s="372">
        <v>844.88032599999997</v>
      </c>
      <c r="AA231" s="352">
        <v>897.97994700000004</v>
      </c>
      <c r="AB231" s="352">
        <f>AA231-Z231-AB232</f>
        <v>23.959607000000005</v>
      </c>
      <c r="AC231" s="371">
        <f t="shared" si="95"/>
        <v>13.576313554388244</v>
      </c>
      <c r="AD231" s="372">
        <v>-1.22</v>
      </c>
      <c r="AE231" s="352">
        <v>-3.42</v>
      </c>
      <c r="AF231" s="352">
        <f>AE231-AD231-AF232</f>
        <v>-1.1800000000000002</v>
      </c>
      <c r="AG231" s="371">
        <f t="shared" si="96"/>
        <v>-0.66862741088274646</v>
      </c>
      <c r="AH231" s="372">
        <v>4335.1499999999996</v>
      </c>
      <c r="AI231" s="352">
        <v>4647.7</v>
      </c>
      <c r="AJ231" s="352">
        <f>AI231-AH231-AJ232</f>
        <v>102.89962999999989</v>
      </c>
      <c r="AK231" s="371">
        <f t="shared" si="97"/>
        <v>58.306367108213983</v>
      </c>
      <c r="AL231" s="372">
        <v>1187.5</v>
      </c>
      <c r="AM231" s="352">
        <v>1210.55</v>
      </c>
      <c r="AN231" s="352">
        <f>AM231-AL231-AN232</f>
        <v>7.7999999999999545</v>
      </c>
      <c r="AO231" s="371">
        <f t="shared" si="98"/>
        <v>4.4197405126147382</v>
      </c>
      <c r="AP231" s="341">
        <v>26</v>
      </c>
      <c r="AQ231" s="341">
        <v>20.8</v>
      </c>
      <c r="AR231" s="341">
        <f>AQ231-AP231-AR232</f>
        <v>-1.1999999999999993</v>
      </c>
      <c r="AS231" s="372">
        <v>17.5</v>
      </c>
      <c r="AT231" s="352">
        <v>18.3</v>
      </c>
      <c r="AU231" s="383">
        <f>AT231-AS231-AU232</f>
        <v>0.20000000000000284</v>
      </c>
      <c r="AV231" s="341"/>
      <c r="AW231" s="341"/>
      <c r="AX231" s="341"/>
      <c r="AY231" s="341"/>
      <c r="AZ231" s="362" t="s">
        <v>686</v>
      </c>
      <c r="BA231" s="550">
        <v>5547.1511460900001</v>
      </c>
      <c r="BB231" s="550">
        <v>-1.1225665600000001</v>
      </c>
      <c r="BC231" s="550">
        <v>2432.0858170199999</v>
      </c>
      <c r="BD231" s="550">
        <v>2459.6975594199998</v>
      </c>
      <c r="BE231" s="550">
        <v>3.1690020200000002</v>
      </c>
      <c r="BF231" s="550">
        <v>3.20857035</v>
      </c>
      <c r="BG231" s="550">
        <v>-0.4170934</v>
      </c>
      <c r="BH231" s="550">
        <v>1.76480777</v>
      </c>
      <c r="BI231" s="550">
        <v>1.77219949</v>
      </c>
      <c r="BJ231" s="550">
        <v>-0.82630417</v>
      </c>
      <c r="BK231" s="550">
        <v>-1.2332075300000001</v>
      </c>
      <c r="BL231" s="550">
        <v>0.81480858</v>
      </c>
      <c r="BM231" s="550"/>
      <c r="BN231" s="550"/>
      <c r="BO231" s="550"/>
      <c r="BP231" s="550"/>
      <c r="BQ231" s="550"/>
      <c r="BR231" s="550"/>
      <c r="BS231" s="550"/>
    </row>
    <row r="232" spans="1:71" s="577" customFormat="1" ht="15" customHeight="1" x14ac:dyDescent="0.2">
      <c r="A232" s="404">
        <f t="shared" ref="A232:A237" si="100">A231</f>
        <v>62008035</v>
      </c>
      <c r="B232" s="403" t="s">
        <v>634</v>
      </c>
      <c r="C232" s="403" t="s">
        <v>774</v>
      </c>
      <c r="D232" s="402" t="s">
        <v>724</v>
      </c>
      <c r="E232" s="346" t="s">
        <v>913</v>
      </c>
      <c r="F232" s="346" t="str">
        <f t="shared" si="92"/>
        <v>08/13/20</v>
      </c>
      <c r="G232" s="362" t="s">
        <v>914</v>
      </c>
      <c r="H232" s="362" t="s">
        <v>915</v>
      </c>
      <c r="I232" s="370"/>
      <c r="J232" s="363">
        <v>-2.9625759999999999</v>
      </c>
      <c r="K232" s="363">
        <v>10.55721</v>
      </c>
      <c r="L232" s="363">
        <v>29.396232999999999</v>
      </c>
      <c r="M232" s="363">
        <v>8.0086619999999993</v>
      </c>
      <c r="N232" s="347">
        <v>4250</v>
      </c>
      <c r="O232" s="347">
        <v>30.36</v>
      </c>
      <c r="P232" s="347">
        <v>0.3201</v>
      </c>
      <c r="Q232" s="347">
        <v>1.9560000000000001E-2</v>
      </c>
      <c r="R232" s="348">
        <v>6.22778527</v>
      </c>
      <c r="S232" s="348">
        <f>R232+R231</f>
        <v>7.9925947600000002</v>
      </c>
      <c r="T232" s="380">
        <v>25.2</v>
      </c>
      <c r="U232" s="380">
        <v>21.2</v>
      </c>
      <c r="V232" s="352">
        <v>42688</v>
      </c>
      <c r="W232" s="352">
        <v>44880.007662000004</v>
      </c>
      <c r="X232" s="352">
        <f>W232-V232</f>
        <v>2192.0076620000036</v>
      </c>
      <c r="Y232" s="352">
        <f t="shared" si="94"/>
        <v>351.97226091900944</v>
      </c>
      <c r="Z232" s="372">
        <v>857.84006299999999</v>
      </c>
      <c r="AA232" s="352">
        <v>886.98007700000005</v>
      </c>
      <c r="AB232" s="352">
        <f>AA232-Z232</f>
        <v>29.140014000000065</v>
      </c>
      <c r="AC232" s="371">
        <f t="shared" si="95"/>
        <v>4.6790331934485696</v>
      </c>
      <c r="AD232" s="372">
        <v>-2.2599999999999998</v>
      </c>
      <c r="AE232" s="352">
        <v>-3.28</v>
      </c>
      <c r="AF232" s="352">
        <f>AE232-AD232</f>
        <v>-1.02</v>
      </c>
      <c r="AG232" s="371">
        <f t="shared" si="96"/>
        <v>-0.16378214016360909</v>
      </c>
      <c r="AH232" s="372">
        <v>4393.8999999999996</v>
      </c>
      <c r="AI232" s="352">
        <v>4603.5503699999999</v>
      </c>
      <c r="AJ232" s="352">
        <f>AI232-AH232</f>
        <v>209.65037000000029</v>
      </c>
      <c r="AK232" s="371">
        <f t="shared" si="97"/>
        <v>33.663712043816226</v>
      </c>
      <c r="AL232" s="372">
        <v>1195.3</v>
      </c>
      <c r="AM232" s="352">
        <v>1210.55</v>
      </c>
      <c r="AN232" s="352">
        <f>AM232-AL232</f>
        <v>15.25</v>
      </c>
      <c r="AO232" s="371">
        <f t="shared" si="98"/>
        <v>2.4487035661716061</v>
      </c>
      <c r="AP232" s="341">
        <v>25.2</v>
      </c>
      <c r="AQ232" s="341">
        <v>21.2</v>
      </c>
      <c r="AR232" s="341">
        <f>AQ232-AP232</f>
        <v>-4</v>
      </c>
      <c r="AS232" s="372">
        <v>17.600000000000001</v>
      </c>
      <c r="AT232" s="352">
        <v>18.2</v>
      </c>
      <c r="AU232" s="383">
        <f>AT232-AS232</f>
        <v>0.59999999999999787</v>
      </c>
      <c r="AV232" s="341"/>
      <c r="AW232" s="341"/>
      <c r="AX232" s="341"/>
      <c r="AY232" s="341"/>
      <c r="AZ232" s="362" t="s">
        <v>686</v>
      </c>
      <c r="BA232" s="550">
        <v>11826.539598580001</v>
      </c>
      <c r="BB232" s="550">
        <v>-9.6933859800000004</v>
      </c>
      <c r="BC232" s="550">
        <v>1028.8442086800001</v>
      </c>
      <c r="BD232" s="550">
        <v>1139.2789108500001</v>
      </c>
      <c r="BE232" s="550">
        <v>6.9201392899999998</v>
      </c>
      <c r="BF232" s="550">
        <v>7.0877674800000001</v>
      </c>
      <c r="BG232" s="550">
        <v>-0.12703974000000001</v>
      </c>
      <c r="BH232" s="550">
        <v>6.2278304200000001</v>
      </c>
      <c r="BI232" s="550">
        <v>6.2357523099999996</v>
      </c>
      <c r="BJ232" s="550">
        <v>-2.2922068900000001</v>
      </c>
      <c r="BK232" s="550">
        <v>-2.3650351299999999</v>
      </c>
      <c r="BL232" s="550">
        <v>0.34916369000000003</v>
      </c>
      <c r="BM232" s="550"/>
      <c r="BN232" s="550"/>
      <c r="BO232" s="550"/>
      <c r="BP232" s="550"/>
      <c r="BQ232" s="550"/>
      <c r="BR232" s="550"/>
      <c r="BS232" s="550"/>
    </row>
    <row r="233" spans="1:71" s="577" customFormat="1" ht="15" customHeight="1" x14ac:dyDescent="0.2">
      <c r="A233" s="404">
        <f t="shared" si="100"/>
        <v>62008035</v>
      </c>
      <c r="B233" s="403" t="s">
        <v>635</v>
      </c>
      <c r="C233" s="403" t="s">
        <v>775</v>
      </c>
      <c r="D233" s="402" t="s">
        <v>724</v>
      </c>
      <c r="E233" s="346" t="s">
        <v>913</v>
      </c>
      <c r="F233" s="346" t="str">
        <f t="shared" si="92"/>
        <v>08/13/20</v>
      </c>
      <c r="G233" s="362" t="s">
        <v>914</v>
      </c>
      <c r="H233" s="362" t="s">
        <v>915</v>
      </c>
      <c r="I233" s="370"/>
      <c r="J233" s="364">
        <f>AVERAGE(J231:J232)</f>
        <v>-5.1842360000000003</v>
      </c>
      <c r="K233" s="364">
        <f>AVERAGE(K231:K232)</f>
        <v>11.868124999999999</v>
      </c>
      <c r="L233" s="364">
        <f>AVERAGE(L231:L232)</f>
        <v>29.399065</v>
      </c>
      <c r="M233" s="364">
        <f>AVERAGE(M231:M232)</f>
        <v>9.4442789999999999</v>
      </c>
      <c r="N233" s="349"/>
      <c r="O233" s="347"/>
      <c r="P233" s="366"/>
      <c r="Q233" s="365"/>
      <c r="R233" s="350">
        <f>R232+R231</f>
        <v>7.9925947600000002</v>
      </c>
      <c r="S233" s="350">
        <f>S232</f>
        <v>7.9925947600000002</v>
      </c>
      <c r="T233" s="381">
        <f>T231</f>
        <v>26</v>
      </c>
      <c r="U233" s="381">
        <f>U232</f>
        <v>21.2</v>
      </c>
      <c r="V233" s="353">
        <f>V231</f>
        <v>42212</v>
      </c>
      <c r="W233" s="353">
        <f>W232</f>
        <v>44880.007662000004</v>
      </c>
      <c r="X233" s="353">
        <f>SUM(X231:X232)</f>
        <v>2890.9946599999967</v>
      </c>
      <c r="Y233" s="353">
        <f t="shared" si="94"/>
        <v>361.70915038359789</v>
      </c>
      <c r="Z233" s="353">
        <f>Z231</f>
        <v>844.88032599999997</v>
      </c>
      <c r="AA233" s="353">
        <f>AA232</f>
        <v>886.98007700000005</v>
      </c>
      <c r="AB233" s="353">
        <f>SUM(AB231:AB232)</f>
        <v>53.09962100000007</v>
      </c>
      <c r="AC233" s="351">
        <f t="shared" si="95"/>
        <v>6.6436023086950637</v>
      </c>
      <c r="AD233" s="353">
        <f>AD231</f>
        <v>-1.22</v>
      </c>
      <c r="AE233" s="353">
        <f>AE232</f>
        <v>-3.28</v>
      </c>
      <c r="AF233" s="353">
        <f>SUM(AF231:AF232)</f>
        <v>-2.2000000000000002</v>
      </c>
      <c r="AG233" s="351">
        <f t="shared" si="96"/>
        <v>-0.27525479097353861</v>
      </c>
      <c r="AH233" s="353">
        <f>AH231</f>
        <v>4335.1499999999996</v>
      </c>
      <c r="AI233" s="353">
        <f>AI232</f>
        <v>4603.5503699999999</v>
      </c>
      <c r="AJ233" s="353">
        <f>SUM(AJ231:AJ232)</f>
        <v>312.55000000000018</v>
      </c>
      <c r="AK233" s="351">
        <f t="shared" si="97"/>
        <v>39.104947690354336</v>
      </c>
      <c r="AL233" s="353">
        <f>AL231</f>
        <v>1187.5</v>
      </c>
      <c r="AM233" s="353">
        <f>AM232</f>
        <v>1210.55</v>
      </c>
      <c r="AN233" s="353">
        <f>SUM(AN231:AN232)</f>
        <v>23.049999999999955</v>
      </c>
      <c r="AO233" s="351">
        <f t="shared" si="98"/>
        <v>2.8839195145182055</v>
      </c>
      <c r="AP233" s="343"/>
      <c r="AQ233" s="343"/>
      <c r="AR233" s="343">
        <f>SUM(AR231:AR232)</f>
        <v>-5.1999999999999993</v>
      </c>
      <c r="AS233" s="353">
        <f>AS231</f>
        <v>17.5</v>
      </c>
      <c r="AT233" s="353">
        <f>AT232</f>
        <v>18.2</v>
      </c>
      <c r="AU233" s="384">
        <f>SUM(AU231:AU232)</f>
        <v>0.80000000000000071</v>
      </c>
      <c r="AV233" s="343"/>
      <c r="AW233" s="343"/>
      <c r="AX233" s="343"/>
      <c r="AY233" s="343"/>
      <c r="AZ233" s="362" t="s">
        <v>686</v>
      </c>
      <c r="BA233" s="550"/>
      <c r="BB233" s="550"/>
      <c r="BC233" s="550"/>
      <c r="BD233" s="550"/>
      <c r="BE233" s="550"/>
      <c r="BF233" s="550"/>
      <c r="BG233" s="550"/>
      <c r="BH233" s="550"/>
      <c r="BI233" s="550"/>
      <c r="BJ233" s="550"/>
      <c r="BK233" s="550"/>
      <c r="BL233" s="550"/>
      <c r="BM233" s="550"/>
      <c r="BN233" s="550"/>
      <c r="BO233" s="550"/>
      <c r="BP233" s="550"/>
      <c r="BQ233" s="550"/>
      <c r="BR233" s="550"/>
      <c r="BS233" s="550"/>
    </row>
    <row r="234" spans="1:71" s="577" customFormat="1" ht="15" customHeight="1" x14ac:dyDescent="0.2">
      <c r="A234" s="404">
        <f t="shared" si="100"/>
        <v>62008035</v>
      </c>
      <c r="B234" s="403" t="s">
        <v>627</v>
      </c>
      <c r="C234" s="403" t="s">
        <v>776</v>
      </c>
      <c r="D234" s="402" t="s">
        <v>724</v>
      </c>
      <c r="E234" s="346" t="s">
        <v>913</v>
      </c>
      <c r="F234" s="346" t="str">
        <f t="shared" si="92"/>
        <v>08/13/20</v>
      </c>
      <c r="G234" s="362" t="s">
        <v>914</v>
      </c>
      <c r="H234" s="362" t="s">
        <v>915</v>
      </c>
      <c r="I234" s="370"/>
      <c r="J234" s="363">
        <v>1.0121549999999999</v>
      </c>
      <c r="K234" s="363">
        <v>16.948349</v>
      </c>
      <c r="L234" s="363">
        <v>29.394397999999999</v>
      </c>
      <c r="M234" s="363">
        <v>8.6886050000000008</v>
      </c>
      <c r="N234" s="347">
        <v>4250</v>
      </c>
      <c r="O234" s="347">
        <v>30.36</v>
      </c>
      <c r="P234" s="347">
        <v>0.3201</v>
      </c>
      <c r="Q234" s="347">
        <v>1.9560000000000001E-2</v>
      </c>
      <c r="R234" s="348">
        <v>3.5800197100000002</v>
      </c>
      <c r="S234" s="348">
        <f>R234+R233</f>
        <v>11.572614470000001</v>
      </c>
      <c r="T234" s="380">
        <v>20.8</v>
      </c>
      <c r="U234" s="380">
        <v>18.899999999999999</v>
      </c>
      <c r="V234" s="352">
        <v>45106</v>
      </c>
      <c r="W234" s="352">
        <v>46178</v>
      </c>
      <c r="X234" s="352">
        <f>W234-V234</f>
        <v>1072</v>
      </c>
      <c r="Y234" s="352">
        <f t="shared" si="94"/>
        <v>299.4396921909684</v>
      </c>
      <c r="Z234" s="372">
        <v>900.23966199999995</v>
      </c>
      <c r="AA234" s="352">
        <v>953.10936300000003</v>
      </c>
      <c r="AB234" s="352">
        <f>AA234-Z234</f>
        <v>52.869701000000077</v>
      </c>
      <c r="AC234" s="371">
        <f t="shared" si="95"/>
        <v>14.767991598571415</v>
      </c>
      <c r="AD234" s="372">
        <v>-0.89</v>
      </c>
      <c r="AE234" s="352">
        <v>-3.01</v>
      </c>
      <c r="AF234" s="352">
        <f>AE234-AD234</f>
        <v>-2.1199999999999997</v>
      </c>
      <c r="AG234" s="371">
        <f t="shared" si="96"/>
        <v>-0.5921755106761688</v>
      </c>
      <c r="AH234" s="372">
        <v>4648.8500000000004</v>
      </c>
      <c r="AI234" s="352">
        <v>4840.5968329999996</v>
      </c>
      <c r="AJ234" s="352">
        <f>AI234-AH234</f>
        <v>191.74683299999924</v>
      </c>
      <c r="AK234" s="371">
        <f t="shared" si="97"/>
        <v>53.560272996373875</v>
      </c>
      <c r="AL234" s="372">
        <v>1210.55</v>
      </c>
      <c r="AM234" s="352">
        <v>1235.8499999999999</v>
      </c>
      <c r="AN234" s="352">
        <f>AM234-AL234</f>
        <v>25.299999999999955</v>
      </c>
      <c r="AO234" s="371">
        <f t="shared" si="98"/>
        <v>7.0670001981637007</v>
      </c>
      <c r="AP234" s="341">
        <v>20.8</v>
      </c>
      <c r="AQ234" s="341">
        <v>18.899999999999999</v>
      </c>
      <c r="AR234" s="341">
        <f>AQ234-AP234</f>
        <v>-1.9000000000000021</v>
      </c>
      <c r="AS234" s="372">
        <v>19.2</v>
      </c>
      <c r="AT234" s="352">
        <v>19.899999999999999</v>
      </c>
      <c r="AU234" s="383">
        <f>AT234-AS234</f>
        <v>0.69999999999999929</v>
      </c>
      <c r="AV234" s="341"/>
      <c r="AW234" s="341"/>
      <c r="AX234" s="341"/>
      <c r="AY234" s="341"/>
      <c r="AZ234" s="362" t="s">
        <v>686</v>
      </c>
      <c r="BA234" s="550">
        <v>2413.2481666100002</v>
      </c>
      <c r="BB234" s="550">
        <v>-1.52647084</v>
      </c>
      <c r="BC234" s="550">
        <v>2017.4584547899999</v>
      </c>
      <c r="BD234" s="550">
        <v>2048.7317474800002</v>
      </c>
      <c r="BE234" s="550">
        <v>3.2194553400000001</v>
      </c>
      <c r="BF234" s="550">
        <v>3.25838625</v>
      </c>
      <c r="BG234" s="550">
        <v>-0.30497134999999997</v>
      </c>
      <c r="BH234" s="550">
        <v>3.5800281100000002</v>
      </c>
      <c r="BI234" s="550">
        <v>3.5909795600000001</v>
      </c>
      <c r="BJ234" s="550">
        <v>-0.90057978000000005</v>
      </c>
      <c r="BK234" s="550">
        <v>-1.1947910900000001</v>
      </c>
      <c r="BL234" s="550">
        <v>0.59037614999999999</v>
      </c>
      <c r="BM234" s="550"/>
      <c r="BN234" s="550"/>
      <c r="BO234" s="550"/>
      <c r="BP234" s="550"/>
      <c r="BQ234" s="550"/>
      <c r="BR234" s="550"/>
      <c r="BS234" s="550"/>
    </row>
    <row r="235" spans="1:71" s="577" customFormat="1" ht="15" customHeight="1" x14ac:dyDescent="0.2">
      <c r="A235" s="404">
        <f t="shared" si="100"/>
        <v>62008035</v>
      </c>
      <c r="B235" s="403" t="s">
        <v>894</v>
      </c>
      <c r="C235" s="403" t="s">
        <v>777</v>
      </c>
      <c r="D235" s="402" t="s">
        <v>724</v>
      </c>
      <c r="E235" s="346" t="s">
        <v>913</v>
      </c>
      <c r="F235" s="346" t="str">
        <f t="shared" si="92"/>
        <v>08/13/20</v>
      </c>
      <c r="G235" s="362" t="s">
        <v>914</v>
      </c>
      <c r="H235" s="362" t="s">
        <v>915</v>
      </c>
      <c r="I235" s="370"/>
      <c r="J235" s="363">
        <v>4.9419240000000002</v>
      </c>
      <c r="K235" s="363">
        <v>9.1302260000000004</v>
      </c>
      <c r="L235" s="363">
        <v>29.393678999999999</v>
      </c>
      <c r="M235" s="363">
        <v>11.378863000000001</v>
      </c>
      <c r="N235" s="347">
        <v>4250</v>
      </c>
      <c r="O235" s="347">
        <v>30.36</v>
      </c>
      <c r="P235" s="347">
        <v>0.3201</v>
      </c>
      <c r="Q235" s="347">
        <v>1.9560000000000001E-2</v>
      </c>
      <c r="R235" s="348">
        <v>3.84130116</v>
      </c>
      <c r="S235" s="348">
        <f>R235+R234</f>
        <v>7.4213208700000006</v>
      </c>
      <c r="T235" s="380">
        <v>18.899999999999999</v>
      </c>
      <c r="U235" s="380">
        <v>17.2</v>
      </c>
      <c r="V235" s="352">
        <v>46178</v>
      </c>
      <c r="W235" s="352">
        <v>47099</v>
      </c>
      <c r="X235" s="352">
        <f>W235-V235</f>
        <v>921</v>
      </c>
      <c r="Y235" s="352">
        <f t="shared" si="94"/>
        <v>239.76250797268912</v>
      </c>
      <c r="Z235" s="372">
        <v>953.12945400000001</v>
      </c>
      <c r="AA235" s="352">
        <v>1042.2690009999999</v>
      </c>
      <c r="AB235" s="352">
        <f>AA235-Z235</f>
        <v>89.13954699999988</v>
      </c>
      <c r="AC235" s="371">
        <f t="shared" si="95"/>
        <v>23.205560638728954</v>
      </c>
      <c r="AD235" s="372">
        <v>-3.01</v>
      </c>
      <c r="AE235" s="352">
        <v>-4.05</v>
      </c>
      <c r="AF235" s="352">
        <f>AE235-AD235</f>
        <v>-1.04</v>
      </c>
      <c r="AG235" s="371">
        <f t="shared" si="96"/>
        <v>-0.27074159423626137</v>
      </c>
      <c r="AH235" s="372">
        <v>4840.6472919999997</v>
      </c>
      <c r="AI235" s="352">
        <v>5019.45</v>
      </c>
      <c r="AJ235" s="352">
        <f>AI235-AH235</f>
        <v>178.80270800000017</v>
      </c>
      <c r="AK235" s="371">
        <f t="shared" si="97"/>
        <v>46.547432901616119</v>
      </c>
      <c r="AL235" s="372">
        <v>1235.8499999999999</v>
      </c>
      <c r="AM235" s="352">
        <v>1235.8499999999999</v>
      </c>
      <c r="AN235" s="352">
        <f>AM235-AL235</f>
        <v>0</v>
      </c>
      <c r="AO235" s="371">
        <f t="shared" si="98"/>
        <v>0</v>
      </c>
      <c r="AP235" s="341">
        <v>18.899999999999999</v>
      </c>
      <c r="AQ235" s="341">
        <v>17.2</v>
      </c>
      <c r="AR235" s="341">
        <f>AQ235-AP235</f>
        <v>-1.6999999999999993</v>
      </c>
      <c r="AS235" s="372">
        <v>19.899999999999999</v>
      </c>
      <c r="AT235" s="352">
        <v>21.1</v>
      </c>
      <c r="AU235" s="383">
        <f>AT235-AS235</f>
        <v>1.2000000000000028</v>
      </c>
      <c r="AV235" s="341"/>
      <c r="AW235" s="341"/>
      <c r="AX235" s="341"/>
      <c r="AY235" s="341"/>
      <c r="AZ235" s="362" t="s">
        <v>686</v>
      </c>
      <c r="BA235" s="550">
        <v>1482.4599154299999</v>
      </c>
      <c r="BB235" s="550">
        <v>-2.0709335699999998</v>
      </c>
      <c r="BC235" s="550">
        <v>3345.2881551099999</v>
      </c>
      <c r="BD235" s="550">
        <v>3416.0319066100001</v>
      </c>
      <c r="BE235" s="550">
        <v>2.9542985599999998</v>
      </c>
      <c r="BF235" s="550">
        <v>3.0184890000000002</v>
      </c>
      <c r="BG235" s="550">
        <v>-0.48113236999999998</v>
      </c>
      <c r="BH235" s="550">
        <v>3.8412586900000001</v>
      </c>
      <c r="BI235" s="550">
        <v>3.85982958</v>
      </c>
      <c r="BJ235" s="550">
        <v>-1.68119452</v>
      </c>
      <c r="BK235" s="550">
        <v>-2.1265750300000001</v>
      </c>
      <c r="BL235" s="550">
        <v>0.71451164</v>
      </c>
      <c r="BM235" s="550"/>
      <c r="BN235" s="550"/>
      <c r="BO235" s="550"/>
      <c r="BP235" s="550"/>
      <c r="BQ235" s="550"/>
      <c r="BR235" s="550"/>
      <c r="BS235" s="550"/>
    </row>
    <row r="236" spans="1:71" s="577" customFormat="1" ht="15" customHeight="1" x14ac:dyDescent="0.2">
      <c r="A236" s="404">
        <f t="shared" si="100"/>
        <v>62008035</v>
      </c>
      <c r="B236" s="403" t="s">
        <v>629</v>
      </c>
      <c r="C236" s="403" t="s">
        <v>799</v>
      </c>
      <c r="D236" s="402" t="s">
        <v>724</v>
      </c>
      <c r="E236" s="346" t="s">
        <v>913</v>
      </c>
      <c r="F236" s="346" t="str">
        <f t="shared" si="92"/>
        <v>08/13/20</v>
      </c>
      <c r="G236" s="362" t="s">
        <v>914</v>
      </c>
      <c r="H236" s="362" t="s">
        <v>915</v>
      </c>
      <c r="I236" s="370"/>
      <c r="J236" s="364">
        <f>AVERAGE(J234:J235)</f>
        <v>2.9770395000000001</v>
      </c>
      <c r="K236" s="364">
        <f>AVERAGE(K234:K235)</f>
        <v>13.0392875</v>
      </c>
      <c r="L236" s="364">
        <f>AVERAGE(L234:L235)</f>
        <v>29.394038500000001</v>
      </c>
      <c r="M236" s="364">
        <f>AVERAGE(M234:M235)</f>
        <v>10.033734000000001</v>
      </c>
      <c r="N236" s="349"/>
      <c r="O236" s="347"/>
      <c r="P236" s="366"/>
      <c r="Q236" s="365"/>
      <c r="R236" s="350">
        <f>R235+R234</f>
        <v>7.4213208700000006</v>
      </c>
      <c r="S236" s="350">
        <f>S235</f>
        <v>7.4213208700000006</v>
      </c>
      <c r="T236" s="381">
        <f>T234</f>
        <v>20.8</v>
      </c>
      <c r="U236" s="381">
        <f>U235</f>
        <v>17.2</v>
      </c>
      <c r="V236" s="353">
        <f>V234</f>
        <v>45106</v>
      </c>
      <c r="W236" s="353">
        <f>W235</f>
        <v>47099</v>
      </c>
      <c r="X236" s="353">
        <f>SUM(X234:X235)</f>
        <v>1993</v>
      </c>
      <c r="Y236" s="353">
        <f t="shared" si="94"/>
        <v>268.55057676545385</v>
      </c>
      <c r="Z236" s="353">
        <f>Z234</f>
        <v>900.23966199999995</v>
      </c>
      <c r="AA236" s="353">
        <f>AA235</f>
        <v>1042.2690009999999</v>
      </c>
      <c r="AB236" s="353">
        <f>SUM(AB234:AB235)</f>
        <v>142.00924799999996</v>
      </c>
      <c r="AC236" s="351">
        <f t="shared" si="95"/>
        <v>19.13530630026511</v>
      </c>
      <c r="AD236" s="353">
        <f>AD234</f>
        <v>-0.89</v>
      </c>
      <c r="AE236" s="353">
        <f>AE235</f>
        <v>-4.05</v>
      </c>
      <c r="AF236" s="353">
        <f>SUM(AF234:AF235)</f>
        <v>-3.1599999999999997</v>
      </c>
      <c r="AG236" s="351">
        <f t="shared" si="96"/>
        <v>-0.4258002120315274</v>
      </c>
      <c r="AH236" s="353">
        <f>AH234</f>
        <v>4648.8500000000004</v>
      </c>
      <c r="AI236" s="353">
        <f>AI235</f>
        <v>5019.45</v>
      </c>
      <c r="AJ236" s="353">
        <f>SUM(AJ234:AJ235)</f>
        <v>370.54954099999941</v>
      </c>
      <c r="AK236" s="351">
        <f t="shared" si="97"/>
        <v>49.930402887969912</v>
      </c>
      <c r="AL236" s="353">
        <f>AL234</f>
        <v>1210.55</v>
      </c>
      <c r="AM236" s="353">
        <f>AM235</f>
        <v>1235.8499999999999</v>
      </c>
      <c r="AN236" s="353">
        <f>SUM(AN234:AN235)</f>
        <v>25.299999999999955</v>
      </c>
      <c r="AO236" s="351">
        <f t="shared" si="98"/>
        <v>3.409096634303046</v>
      </c>
      <c r="AP236" s="343"/>
      <c r="AQ236" s="343"/>
      <c r="AR236" s="343">
        <f>SUM(AR234:AR235)</f>
        <v>-3.6000000000000014</v>
      </c>
      <c r="AS236" s="353">
        <f>AS234</f>
        <v>19.2</v>
      </c>
      <c r="AT236" s="353">
        <f>AT235</f>
        <v>21.1</v>
      </c>
      <c r="AU236" s="384">
        <f>SUM(AU234:AU235)</f>
        <v>1.9000000000000021</v>
      </c>
      <c r="AV236" s="343"/>
      <c r="AW236" s="343"/>
      <c r="AX236" s="343"/>
      <c r="AY236" s="343"/>
      <c r="AZ236" s="362" t="s">
        <v>686</v>
      </c>
      <c r="BA236" s="550"/>
      <c r="BB236" s="550"/>
      <c r="BC236" s="550"/>
      <c r="BD236" s="550"/>
      <c r="BE236" s="550"/>
      <c r="BF236" s="550"/>
      <c r="BG236" s="550"/>
      <c r="BH236" s="550"/>
      <c r="BI236" s="550"/>
      <c r="BJ236" s="550"/>
      <c r="BK236" s="550"/>
      <c r="BL236" s="550"/>
      <c r="BM236" s="550"/>
      <c r="BN236" s="550"/>
      <c r="BO236" s="550"/>
      <c r="BP236" s="550"/>
      <c r="BQ236" s="550"/>
      <c r="BR236" s="550"/>
      <c r="BS236" s="550"/>
    </row>
    <row r="237" spans="1:71" s="577" customFormat="1" ht="15" customHeight="1" x14ac:dyDescent="0.2">
      <c r="A237" s="404">
        <f t="shared" si="100"/>
        <v>62008035</v>
      </c>
      <c r="B237" s="403" t="s">
        <v>630</v>
      </c>
      <c r="C237" s="403" t="s">
        <v>778</v>
      </c>
      <c r="D237" s="402" t="s">
        <v>724</v>
      </c>
      <c r="E237" s="346" t="s">
        <v>913</v>
      </c>
      <c r="F237" s="346" t="str">
        <f t="shared" si="92"/>
        <v>08/13/20</v>
      </c>
      <c r="G237" s="362" t="s">
        <v>914</v>
      </c>
      <c r="H237" s="362" t="s">
        <v>915</v>
      </c>
      <c r="I237" s="370"/>
      <c r="J237" s="363">
        <v>6.8826910000000003</v>
      </c>
      <c r="K237" s="363">
        <v>8.7691940000000006</v>
      </c>
      <c r="L237" s="363">
        <v>29.392014</v>
      </c>
      <c r="M237" s="363">
        <v>13.433789000000001</v>
      </c>
      <c r="N237" s="347">
        <v>4250</v>
      </c>
      <c r="O237" s="347">
        <v>30.36</v>
      </c>
      <c r="P237" s="347">
        <v>0.3201</v>
      </c>
      <c r="Q237" s="347">
        <v>1.9560000000000001E-2</v>
      </c>
      <c r="R237" s="348">
        <v>10.245492349999999</v>
      </c>
      <c r="S237" s="348">
        <f>R237+R236</f>
        <v>17.666813220000002</v>
      </c>
      <c r="T237" s="380">
        <v>17.2</v>
      </c>
      <c r="U237" s="380">
        <v>12.7</v>
      </c>
      <c r="V237" s="352">
        <v>47103</v>
      </c>
      <c r="W237" s="352">
        <v>49627</v>
      </c>
      <c r="X237" s="352">
        <f>W237-V237</f>
        <v>2524</v>
      </c>
      <c r="Y237" s="352">
        <f t="shared" si="94"/>
        <v>246.35224094428222</v>
      </c>
      <c r="Z237" s="372">
        <v>1043.9087549999999</v>
      </c>
      <c r="AA237" s="352">
        <v>1106.0985109999999</v>
      </c>
      <c r="AB237" s="352">
        <f>AA237-Z237</f>
        <v>62.189755999999988</v>
      </c>
      <c r="AC237" s="371">
        <f t="shared" si="95"/>
        <v>6.0699626602132</v>
      </c>
      <c r="AD237" s="372">
        <v>-4.0599999999999996</v>
      </c>
      <c r="AE237" s="352">
        <v>-4.5999999999999996</v>
      </c>
      <c r="AF237" s="352">
        <f>AE237-AD237</f>
        <v>-0.54</v>
      </c>
      <c r="AG237" s="371">
        <f t="shared" si="96"/>
        <v>-5.2706105431819493E-2</v>
      </c>
      <c r="AH237" s="372">
        <v>5022.05</v>
      </c>
      <c r="AI237" s="352">
        <v>5151.75</v>
      </c>
      <c r="AJ237" s="352">
        <f>AI237-AH237</f>
        <v>129.69999999999982</v>
      </c>
      <c r="AK237" s="371">
        <f t="shared" si="97"/>
        <v>12.659225693531441</v>
      </c>
      <c r="AL237" s="372">
        <v>1235.8499999999999</v>
      </c>
      <c r="AM237" s="352">
        <v>1240.05</v>
      </c>
      <c r="AN237" s="352">
        <f>AM237-AL237</f>
        <v>4.2000000000000455</v>
      </c>
      <c r="AO237" s="371">
        <f t="shared" si="98"/>
        <v>0.40993637558082269</v>
      </c>
      <c r="AP237" s="341">
        <v>17.2</v>
      </c>
      <c r="AQ237" s="341">
        <v>12.7</v>
      </c>
      <c r="AR237" s="341">
        <f>AQ237-AP237</f>
        <v>-4.5</v>
      </c>
      <c r="AS237" s="372">
        <v>21.2</v>
      </c>
      <c r="AT237" s="352">
        <v>22.2</v>
      </c>
      <c r="AU237" s="383">
        <f>AT237-AS237</f>
        <v>1</v>
      </c>
      <c r="AV237" s="341"/>
      <c r="AW237" s="341"/>
      <c r="AX237" s="341"/>
      <c r="AY237" s="341"/>
      <c r="AZ237" s="362" t="s">
        <v>686</v>
      </c>
      <c r="BA237" s="550">
        <v>1945.0855546099999</v>
      </c>
      <c r="BB237" s="550">
        <v>-0.80873110000000004</v>
      </c>
      <c r="BC237" s="550">
        <v>1296.13671776</v>
      </c>
      <c r="BD237" s="550">
        <v>1306.7044429699999</v>
      </c>
      <c r="BE237" s="550">
        <v>7.9725917400000004</v>
      </c>
      <c r="BF237" s="550">
        <v>8.0200068699999996</v>
      </c>
      <c r="BG237" s="550">
        <v>-0.10826489</v>
      </c>
      <c r="BH237" s="550">
        <v>10.245576030000001</v>
      </c>
      <c r="BI237" s="550">
        <v>10.25668041</v>
      </c>
      <c r="BJ237" s="550">
        <v>-0.48581788999999997</v>
      </c>
      <c r="BK237" s="550">
        <v>-0.59121056999999999</v>
      </c>
      <c r="BL237" s="550">
        <v>0.28276378000000002</v>
      </c>
      <c r="BM237" s="550"/>
      <c r="BN237" s="550"/>
      <c r="BO237" s="550"/>
      <c r="BP237" s="550"/>
      <c r="BQ237" s="550"/>
      <c r="BR237" s="550"/>
      <c r="BS237" s="550"/>
    </row>
    <row r="238" spans="1:71" s="577" customFormat="1" ht="15" customHeight="1" x14ac:dyDescent="0.2">
      <c r="A238" s="404">
        <v>62008036</v>
      </c>
      <c r="B238" s="403" t="s">
        <v>896</v>
      </c>
      <c r="C238" s="403" t="s">
        <v>773</v>
      </c>
      <c r="D238" s="402" t="s">
        <v>727</v>
      </c>
      <c r="E238" s="346" t="s">
        <v>916</v>
      </c>
      <c r="F238" s="346" t="str">
        <f t="shared" si="92"/>
        <v>08/13/20</v>
      </c>
      <c r="G238" s="362" t="s">
        <v>917</v>
      </c>
      <c r="H238" s="362" t="s">
        <v>918</v>
      </c>
      <c r="I238" s="370"/>
      <c r="J238" s="363">
        <v>-0.70993799999999996</v>
      </c>
      <c r="K238" s="363">
        <v>7.4219210000000002</v>
      </c>
      <c r="L238" s="363">
        <v>29.368100999999999</v>
      </c>
      <c r="M238" s="363">
        <v>10.352682</v>
      </c>
      <c r="N238" s="347">
        <v>4250</v>
      </c>
      <c r="O238" s="347">
        <v>30.36</v>
      </c>
      <c r="P238" s="347">
        <v>0.3201</v>
      </c>
      <c r="Q238" s="347">
        <v>1.9560000000000001E-2</v>
      </c>
      <c r="R238" s="348">
        <v>18.7990827</v>
      </c>
      <c r="S238" s="348">
        <f>R238+R237</f>
        <v>29.044575049999999</v>
      </c>
      <c r="T238" s="380">
        <v>12.7</v>
      </c>
      <c r="U238" s="380">
        <v>0.9</v>
      </c>
      <c r="V238" s="352">
        <v>49642</v>
      </c>
      <c r="W238" s="352">
        <v>55726</v>
      </c>
      <c r="X238" s="352">
        <f>W238-V238</f>
        <v>6084</v>
      </c>
      <c r="Y238" s="352">
        <f t="shared" si="94"/>
        <v>323.63281214779698</v>
      </c>
      <c r="Z238" s="372">
        <v>1114.2168839999999</v>
      </c>
      <c r="AA238" s="352">
        <v>1194.01</v>
      </c>
      <c r="AB238" s="352">
        <f>AA238-Z238</f>
        <v>79.793116000000055</v>
      </c>
      <c r="AC238" s="371">
        <f t="shared" si="95"/>
        <v>4.2445217819058829</v>
      </c>
      <c r="AD238" s="372">
        <v>-0.69688399999999995</v>
      </c>
      <c r="AE238" s="352">
        <v>-0.45</v>
      </c>
      <c r="AF238" s="352">
        <f>AE238-AD238</f>
        <v>0.24688399999999994</v>
      </c>
      <c r="AG238" s="371">
        <f t="shared" si="96"/>
        <v>1.3132768440877168E-2</v>
      </c>
      <c r="AH238" s="372">
        <v>5157.8999999999996</v>
      </c>
      <c r="AI238" s="352">
        <v>5695.65</v>
      </c>
      <c r="AJ238" s="352">
        <f>AI238-AH238</f>
        <v>537.75</v>
      </c>
      <c r="AK238" s="371">
        <f t="shared" si="97"/>
        <v>28.605119121051583</v>
      </c>
      <c r="AL238" s="372">
        <v>1243.234436</v>
      </c>
      <c r="AM238" s="352">
        <v>1367.95</v>
      </c>
      <c r="AN238" s="352">
        <f>AM238-AL238</f>
        <v>124.71556400000009</v>
      </c>
      <c r="AO238" s="371">
        <f t="shared" si="98"/>
        <v>6.6341302918998322</v>
      </c>
      <c r="AP238" s="341">
        <v>12.7</v>
      </c>
      <c r="AQ238" s="341">
        <v>0.9</v>
      </c>
      <c r="AR238" s="341">
        <f>AQ238-AP238</f>
        <v>-11.799999999999999</v>
      </c>
      <c r="AS238" s="372">
        <v>28.9</v>
      </c>
      <c r="AT238" s="352">
        <v>30.5</v>
      </c>
      <c r="AU238" s="383">
        <f>AT238-AS238</f>
        <v>1.6000000000000014</v>
      </c>
      <c r="AV238" s="341"/>
      <c r="AW238" s="341"/>
      <c r="AX238" s="341"/>
      <c r="AY238" s="341"/>
      <c r="AZ238" s="362" t="s">
        <v>686</v>
      </c>
      <c r="BA238" s="550">
        <v>117.0337335</v>
      </c>
      <c r="BB238" s="550">
        <v>7.6887378499999999</v>
      </c>
      <c r="BC238" s="550">
        <v>625.83525378000002</v>
      </c>
      <c r="BD238" s="550">
        <v>581.15200000000004</v>
      </c>
      <c r="BE238" s="550">
        <v>17.259373109999999</v>
      </c>
      <c r="BF238" s="550">
        <v>20.237916030000001</v>
      </c>
      <c r="BG238" s="550">
        <v>-7.74101514</v>
      </c>
      <c r="BH238" s="550">
        <v>18.799239830000001</v>
      </c>
      <c r="BI238" s="550">
        <v>20.376595139999999</v>
      </c>
      <c r="BJ238" s="550">
        <v>-8.1806144799999991</v>
      </c>
      <c r="BK238" s="550">
        <v>-14.717636519999999</v>
      </c>
      <c r="BL238" s="550">
        <v>4.0818E-2</v>
      </c>
      <c r="BM238" s="550"/>
      <c r="BN238" s="550"/>
      <c r="BO238" s="550"/>
      <c r="BP238" s="550"/>
      <c r="BQ238" s="550"/>
      <c r="BR238" s="550"/>
      <c r="BS238" s="550"/>
    </row>
    <row r="239" spans="1:71" s="577" customFormat="1" ht="15" customHeight="1" x14ac:dyDescent="0.2">
      <c r="A239" s="404">
        <v>62008037</v>
      </c>
      <c r="B239" s="440" t="s">
        <v>645</v>
      </c>
      <c r="C239" s="403" t="s">
        <v>773</v>
      </c>
      <c r="D239" s="402" t="s">
        <v>923</v>
      </c>
      <c r="E239" s="346" t="s">
        <v>924</v>
      </c>
      <c r="F239" s="346" t="str">
        <f t="shared" si="92"/>
        <v>08/13/20</v>
      </c>
      <c r="G239" s="362" t="s">
        <v>925</v>
      </c>
      <c r="H239" s="362" t="s">
        <v>685</v>
      </c>
      <c r="I239" s="370"/>
      <c r="J239" s="363">
        <v>212.01391000000001</v>
      </c>
      <c r="K239" s="363">
        <v>-236.06244899999999</v>
      </c>
      <c r="L239" s="363">
        <v>-921.610592</v>
      </c>
      <c r="M239" s="363">
        <v>221.828644</v>
      </c>
      <c r="N239" s="347">
        <v>4250</v>
      </c>
      <c r="O239" s="347">
        <v>30.36</v>
      </c>
      <c r="P239" s="347">
        <v>0.3201</v>
      </c>
      <c r="Q239" s="347">
        <v>1.9560000000000001E-2</v>
      </c>
      <c r="R239" s="348">
        <v>2.1771990000000001E-2</v>
      </c>
      <c r="S239" s="348">
        <f>R239+R238</f>
        <v>18.820854690000001</v>
      </c>
      <c r="T239" s="380">
        <v>0</v>
      </c>
      <c r="U239" s="380">
        <v>0</v>
      </c>
      <c r="V239" s="352">
        <v>55726</v>
      </c>
      <c r="W239" s="352">
        <v>-4289</v>
      </c>
      <c r="X239" s="352">
        <f>W239-V239</f>
        <v>-60015</v>
      </c>
      <c r="Y239" s="352">
        <f>X239/$R239</f>
        <v>-2756523.404612991</v>
      </c>
      <c r="Z239" s="372">
        <v>1194.74</v>
      </c>
      <c r="AA239" s="352">
        <v>1624.06</v>
      </c>
      <c r="AB239" s="352">
        <f>AA239-Z239</f>
        <v>429.31999999999994</v>
      </c>
      <c r="AC239" s="371">
        <f>AB239/$R239</f>
        <v>19718.914072622665</v>
      </c>
      <c r="AD239" s="372">
        <v>2.33</v>
      </c>
      <c r="AE239" s="352">
        <v>-3.66</v>
      </c>
      <c r="AF239" s="352">
        <f>AE239-AD239</f>
        <v>-5.99</v>
      </c>
      <c r="AG239" s="371">
        <f>AF239/$R239</f>
        <v>-275.12413885914884</v>
      </c>
      <c r="AH239" s="372">
        <v>5695.65</v>
      </c>
      <c r="AI239" s="352">
        <v>5695.65</v>
      </c>
      <c r="AJ239" s="352">
        <f>AI239-AH239</f>
        <v>0</v>
      </c>
      <c r="AK239" s="371">
        <f>AJ239/$R239</f>
        <v>0</v>
      </c>
      <c r="AL239" s="372">
        <v>1367.95</v>
      </c>
      <c r="AM239" s="352">
        <v>1367.95</v>
      </c>
      <c r="AN239" s="352">
        <f>AM239-AL239</f>
        <v>0</v>
      </c>
      <c r="AO239" s="371">
        <f>AN239/$R239</f>
        <v>0</v>
      </c>
      <c r="AP239" s="341">
        <v>0</v>
      </c>
      <c r="AQ239" s="341">
        <v>0</v>
      </c>
      <c r="AR239" s="341">
        <f>AQ239-AP239</f>
        <v>0</v>
      </c>
      <c r="AS239" s="372">
        <v>41.1</v>
      </c>
      <c r="AT239" s="352">
        <v>66245.5</v>
      </c>
      <c r="AU239" s="383">
        <f>AT239-AS239</f>
        <v>66204.399999999994</v>
      </c>
      <c r="AV239" s="341"/>
      <c r="AW239" s="341"/>
      <c r="AX239" s="341"/>
      <c r="AY239" s="341"/>
      <c r="AZ239" s="362" t="s">
        <v>686</v>
      </c>
      <c r="BA239" s="550">
        <v>0</v>
      </c>
      <c r="BB239" s="550" t="s">
        <v>691</v>
      </c>
      <c r="BC239" s="550">
        <v>0</v>
      </c>
      <c r="BD239" s="550">
        <v>0</v>
      </c>
      <c r="BE239" s="550">
        <v>0</v>
      </c>
      <c r="BF239" s="550">
        <v>0</v>
      </c>
      <c r="BG239" s="550" t="s">
        <v>691</v>
      </c>
      <c r="BH239" s="550">
        <v>0</v>
      </c>
      <c r="BI239" s="550">
        <v>0</v>
      </c>
      <c r="BJ239" s="550" t="s">
        <v>691</v>
      </c>
      <c r="BK239" s="550" t="s">
        <v>691</v>
      </c>
      <c r="BL239" s="550" t="s">
        <v>691</v>
      </c>
      <c r="BM239" s="550"/>
      <c r="BN239" s="550"/>
      <c r="BO239" s="550"/>
      <c r="BP239" s="550"/>
      <c r="BQ239" s="550"/>
      <c r="BR239" s="550"/>
      <c r="BS239" s="550"/>
    </row>
    <row r="240" spans="1:71" s="548" customFormat="1" ht="15" customHeight="1" x14ac:dyDescent="0.2">
      <c r="A240" s="576" t="s">
        <v>920</v>
      </c>
      <c r="B240" s="435"/>
      <c r="C240" s="436"/>
      <c r="D240" s="436"/>
      <c r="E240" s="436"/>
      <c r="F240" s="436"/>
      <c r="G240" s="436"/>
      <c r="H240" s="435"/>
      <c r="I240" s="435"/>
      <c r="J240" s="446"/>
      <c r="K240" s="447"/>
      <c r="L240" s="435"/>
      <c r="M240" s="435"/>
      <c r="N240" s="435"/>
      <c r="O240" s="435"/>
      <c r="P240" s="435"/>
      <c r="Q240" s="435"/>
      <c r="R240" s="435"/>
      <c r="S240" s="435"/>
      <c r="T240" s="435"/>
      <c r="U240" s="435"/>
      <c r="V240" s="435"/>
      <c r="W240" s="435"/>
      <c r="X240" s="435"/>
      <c r="Y240" s="435"/>
      <c r="Z240" s="435"/>
      <c r="AA240" s="435"/>
      <c r="AB240" s="435"/>
      <c r="AC240" s="435"/>
      <c r="AD240" s="435"/>
      <c r="AE240" s="435"/>
      <c r="AF240" s="435"/>
      <c r="AG240" s="435"/>
      <c r="AH240" s="435"/>
      <c r="AI240" s="435"/>
      <c r="AJ240" s="435"/>
      <c r="AK240" s="435"/>
      <c r="AL240" s="435"/>
      <c r="AM240" s="435"/>
      <c r="AN240" s="435"/>
      <c r="AO240" s="435"/>
      <c r="AP240" s="435"/>
      <c r="AQ240" s="435"/>
      <c r="AR240" s="435"/>
      <c r="AS240" s="435"/>
      <c r="AT240" s="435"/>
      <c r="AU240" s="435"/>
      <c r="AV240" s="435"/>
      <c r="AW240" s="435"/>
      <c r="AX240" s="435"/>
      <c r="AY240" s="435"/>
      <c r="AZ240" s="435"/>
      <c r="BA240" s="435"/>
      <c r="BB240" s="435"/>
      <c r="BC240" s="435"/>
      <c r="BD240" s="435"/>
      <c r="BE240" s="435"/>
      <c r="BF240" s="448"/>
      <c r="BG240" s="435"/>
      <c r="BH240" s="435"/>
      <c r="BI240" s="435"/>
      <c r="BJ240" s="435"/>
      <c r="BK240" s="435"/>
      <c r="BL240" s="435"/>
      <c r="BM240" s="435"/>
      <c r="BN240" s="435"/>
      <c r="BO240" s="435"/>
      <c r="BP240" s="435"/>
      <c r="BQ240" s="435"/>
      <c r="BR240" s="439"/>
      <c r="BS240" s="578"/>
    </row>
    <row r="241" spans="1:71" s="577" customFormat="1" ht="15" customHeight="1" x14ac:dyDescent="0.2">
      <c r="A241" s="404">
        <v>62008038</v>
      </c>
      <c r="B241" s="403" t="s">
        <v>922</v>
      </c>
      <c r="C241" s="403" t="s">
        <v>784</v>
      </c>
      <c r="D241" s="402" t="s">
        <v>926</v>
      </c>
      <c r="E241" s="346" t="s">
        <v>927</v>
      </c>
      <c r="F241" s="346" t="str">
        <f t="shared" si="92"/>
        <v>08/14/20</v>
      </c>
      <c r="G241" s="362" t="s">
        <v>928</v>
      </c>
      <c r="H241" s="362" t="s">
        <v>929</v>
      </c>
      <c r="I241" s="370"/>
      <c r="J241" s="363">
        <v>7.6321510000000004</v>
      </c>
      <c r="K241" s="363">
        <v>-9.0321929999999995</v>
      </c>
      <c r="L241" s="363">
        <v>-30.277032999999999</v>
      </c>
      <c r="M241" s="363">
        <v>8.6959119999999999</v>
      </c>
      <c r="N241" s="347">
        <v>4250</v>
      </c>
      <c r="O241" s="347">
        <v>30.36</v>
      </c>
      <c r="P241" s="347">
        <v>0.3201</v>
      </c>
      <c r="Q241" s="347">
        <v>1.9560000000000001E-2</v>
      </c>
      <c r="R241" s="348">
        <v>2.64592E-3</v>
      </c>
      <c r="S241" s="348">
        <f>R241+R240</f>
        <v>2.64592E-3</v>
      </c>
      <c r="T241" s="380" t="s">
        <v>1011</v>
      </c>
      <c r="U241" s="380" t="s">
        <v>1012</v>
      </c>
      <c r="V241" s="352">
        <v>-4289</v>
      </c>
      <c r="W241" s="352">
        <v>-4289</v>
      </c>
      <c r="X241" s="352">
        <f>W241-V241</f>
        <v>0</v>
      </c>
      <c r="Y241" s="352">
        <f>X241/$R241</f>
        <v>0</v>
      </c>
      <c r="Z241" s="372">
        <v>1624.28</v>
      </c>
      <c r="AA241" s="352">
        <v>1624.62</v>
      </c>
      <c r="AB241" s="352">
        <f>AA241-Z241</f>
        <v>0.33999999999991815</v>
      </c>
      <c r="AC241" s="371">
        <f>AB241/$R241</f>
        <v>128.49972788289824</v>
      </c>
      <c r="AD241" s="372">
        <v>3.23</v>
      </c>
      <c r="AE241" s="352">
        <v>3.74</v>
      </c>
      <c r="AF241" s="352">
        <f>AE241-AD241</f>
        <v>0.51000000000000023</v>
      </c>
      <c r="AG241" s="371">
        <f>AF241/$R241</f>
        <v>192.74959182439386</v>
      </c>
      <c r="AH241" s="372">
        <v>5695.65</v>
      </c>
      <c r="AI241" s="352">
        <v>5695.65</v>
      </c>
      <c r="AJ241" s="352">
        <f>AI241-AH241</f>
        <v>0</v>
      </c>
      <c r="AK241" s="371">
        <f>AJ241/$R241</f>
        <v>0</v>
      </c>
      <c r="AL241" s="372">
        <v>1367.95</v>
      </c>
      <c r="AM241" s="352">
        <v>1367.95</v>
      </c>
      <c r="AN241" s="352">
        <f>AM241-AL241</f>
        <v>0</v>
      </c>
      <c r="AO241" s="371">
        <f>AN241/$R241</f>
        <v>0</v>
      </c>
      <c r="AP241" s="341" t="s">
        <v>1011</v>
      </c>
      <c r="AQ241" s="341" t="s">
        <v>1013</v>
      </c>
      <c r="AR241" s="341" t="e">
        <f>AQ241-AP241</f>
        <v>#VALUE!</v>
      </c>
      <c r="AS241" s="372">
        <v>66248.600000000006</v>
      </c>
      <c r="AT241" s="352">
        <v>66253.399999999994</v>
      </c>
      <c r="AU241" s="383">
        <f>AT241-AS241</f>
        <v>4.7999999999883585</v>
      </c>
      <c r="AV241" s="341"/>
      <c r="AW241" s="341"/>
      <c r="AX241" s="341"/>
      <c r="AY241" s="341"/>
      <c r="AZ241" s="362" t="s">
        <v>714</v>
      </c>
      <c r="BA241" s="550">
        <v>0</v>
      </c>
      <c r="BB241" s="550" t="s">
        <v>691</v>
      </c>
      <c r="BC241" s="550">
        <v>0</v>
      </c>
      <c r="BD241" s="550">
        <v>0</v>
      </c>
      <c r="BE241" s="550">
        <v>0</v>
      </c>
      <c r="BF241" s="550">
        <v>0</v>
      </c>
      <c r="BG241" s="550" t="s">
        <v>691</v>
      </c>
      <c r="BH241" s="550">
        <v>0</v>
      </c>
      <c r="BI241" s="550">
        <v>0</v>
      </c>
      <c r="BJ241" s="550" t="s">
        <v>691</v>
      </c>
      <c r="BK241" s="550" t="s">
        <v>691</v>
      </c>
      <c r="BL241" s="550" t="s">
        <v>691</v>
      </c>
      <c r="BM241" s="550"/>
      <c r="BN241" s="550"/>
      <c r="BO241" s="550"/>
      <c r="BP241" s="550"/>
      <c r="BQ241" s="550"/>
      <c r="BR241" s="550"/>
      <c r="BS241" s="550"/>
    </row>
    <row r="242" spans="1:71" s="577" customFormat="1" ht="15" customHeight="1" x14ac:dyDescent="0.2">
      <c r="A242" s="404">
        <v>62008039</v>
      </c>
      <c r="B242" s="403" t="s">
        <v>921</v>
      </c>
      <c r="C242" s="403" t="s">
        <v>784</v>
      </c>
      <c r="D242" s="402" t="s">
        <v>930</v>
      </c>
      <c r="E242" s="346" t="s">
        <v>931</v>
      </c>
      <c r="F242" s="346" t="str">
        <f t="shared" si="92"/>
        <v>08/14/20</v>
      </c>
      <c r="G242" s="362" t="s">
        <v>932</v>
      </c>
      <c r="H242" s="362" t="s">
        <v>685</v>
      </c>
      <c r="I242" s="370"/>
      <c r="J242" s="363">
        <v>8.9133490000000002</v>
      </c>
      <c r="K242" s="363">
        <v>-10.591101</v>
      </c>
      <c r="L242" s="363">
        <v>-36.406948</v>
      </c>
      <c r="M242" s="363">
        <v>10.105019</v>
      </c>
      <c r="N242" s="347">
        <v>4250</v>
      </c>
      <c r="O242" s="347">
        <v>30.36</v>
      </c>
      <c r="P242" s="347">
        <v>0.3201</v>
      </c>
      <c r="Q242" s="347">
        <v>1.9560000000000001E-2</v>
      </c>
      <c r="R242" s="348">
        <v>2.2877700000000002E-3</v>
      </c>
      <c r="S242" s="348">
        <f>R242+R241</f>
        <v>4.9336900000000001E-3</v>
      </c>
      <c r="T242" s="380">
        <v>0</v>
      </c>
      <c r="U242" s="380">
        <v>96.1</v>
      </c>
      <c r="V242" s="352">
        <v>-4289</v>
      </c>
      <c r="W242" s="352">
        <v>-7048</v>
      </c>
      <c r="X242" s="352">
        <f>W242-V242</f>
        <v>-2759</v>
      </c>
      <c r="Y242" s="352">
        <f t="shared" ref="Y242:Y252" si="101">X242/$R242</f>
        <v>-1205977.8736498861</v>
      </c>
      <c r="Z242" s="372">
        <v>1624.65</v>
      </c>
      <c r="AA242" s="352">
        <v>1803.595658</v>
      </c>
      <c r="AB242" s="352">
        <f>AA242-Z242</f>
        <v>178.94565799999987</v>
      </c>
      <c r="AC242" s="371">
        <f t="shared" ref="AC242:AC252" si="102">AB242/$R242</f>
        <v>78218.377721536628</v>
      </c>
      <c r="AD242" s="372">
        <v>3.77</v>
      </c>
      <c r="AE242" s="352">
        <v>-4.05</v>
      </c>
      <c r="AF242" s="352">
        <f>AE242-AD242</f>
        <v>-7.82</v>
      </c>
      <c r="AG242" s="371">
        <f t="shared" ref="AG242:AG252" si="103">AF242/$R242</f>
        <v>-3418.1757781595174</v>
      </c>
      <c r="AH242" s="372">
        <v>5695.65</v>
      </c>
      <c r="AI242" s="352">
        <v>5695.65</v>
      </c>
      <c r="AJ242" s="352">
        <f>AI242-AH242</f>
        <v>0</v>
      </c>
      <c r="AK242" s="371">
        <f t="shared" ref="AK242:AK252" si="104">AJ242/$R242</f>
        <v>0</v>
      </c>
      <c r="AL242" s="372">
        <v>1367.95</v>
      </c>
      <c r="AM242" s="352">
        <v>4751</v>
      </c>
      <c r="AN242" s="352">
        <f>AM242-AL242</f>
        <v>3383.05</v>
      </c>
      <c r="AO242" s="371">
        <f t="shared" ref="AO242:AO252" si="105">AN242/$R242</f>
        <v>1478754.4202432937</v>
      </c>
      <c r="AP242" s="341">
        <v>0</v>
      </c>
      <c r="AQ242" s="341">
        <v>96.1</v>
      </c>
      <c r="AR242" s="341">
        <f>AQ242-AP242</f>
        <v>96.1</v>
      </c>
      <c r="AS242" s="372">
        <v>66253.8</v>
      </c>
      <c r="AT242" s="352">
        <v>69448.2</v>
      </c>
      <c r="AU242" s="383">
        <f>AT242-AS242</f>
        <v>3194.3999999999942</v>
      </c>
      <c r="AV242" s="341"/>
      <c r="AW242" s="341"/>
      <c r="AX242" s="341"/>
      <c r="AY242" s="341"/>
      <c r="AZ242" s="362" t="s">
        <v>686</v>
      </c>
      <c r="BA242" s="550">
        <v>0</v>
      </c>
      <c r="BB242" s="550" t="s">
        <v>691</v>
      </c>
      <c r="BC242" s="550">
        <v>0</v>
      </c>
      <c r="BD242" s="550">
        <v>0</v>
      </c>
      <c r="BE242" s="550">
        <v>0</v>
      </c>
      <c r="BF242" s="550">
        <v>0</v>
      </c>
      <c r="BG242" s="550" t="s">
        <v>691</v>
      </c>
      <c r="BH242" s="550">
        <v>0</v>
      </c>
      <c r="BI242" s="550">
        <v>0</v>
      </c>
      <c r="BJ242" s="550" t="s">
        <v>691</v>
      </c>
      <c r="BK242" s="550" t="s">
        <v>691</v>
      </c>
      <c r="BL242" s="550" t="s">
        <v>691</v>
      </c>
      <c r="BM242" s="550"/>
      <c r="BN242" s="550"/>
      <c r="BO242" s="550"/>
      <c r="BP242" s="550"/>
      <c r="BQ242" s="550"/>
      <c r="BR242" s="550"/>
      <c r="BS242" s="550"/>
    </row>
    <row r="243" spans="1:71" s="577" customFormat="1" ht="15" customHeight="1" x14ac:dyDescent="0.2">
      <c r="A243" s="404">
        <v>62008039</v>
      </c>
      <c r="B243" s="403" t="s">
        <v>627</v>
      </c>
      <c r="C243" s="403" t="s">
        <v>773</v>
      </c>
      <c r="D243" s="402" t="s">
        <v>930</v>
      </c>
      <c r="E243" s="346" t="s">
        <v>931</v>
      </c>
      <c r="F243" s="346" t="str">
        <f t="shared" si="92"/>
        <v>08/14/20</v>
      </c>
      <c r="G243" s="362" t="s">
        <v>932</v>
      </c>
      <c r="H243" s="362" t="s">
        <v>685</v>
      </c>
      <c r="I243" s="370"/>
      <c r="J243" s="363">
        <v>-5.5664049999999996</v>
      </c>
      <c r="K243" s="363">
        <v>7.5712169999999999</v>
      </c>
      <c r="L243" s="363">
        <v>29.318673</v>
      </c>
      <c r="M243" s="363">
        <v>2.9262950000000001</v>
      </c>
      <c r="N243" s="347">
        <v>4250</v>
      </c>
      <c r="O243" s="347">
        <v>30.36</v>
      </c>
      <c r="P243" s="347">
        <v>0.3201</v>
      </c>
      <c r="Q243" s="347">
        <v>1.9560000000000001E-2</v>
      </c>
      <c r="R243" s="348">
        <v>3.57965723</v>
      </c>
      <c r="S243" s="348">
        <f>R243+R242</f>
        <v>3.5819450000000002</v>
      </c>
      <c r="T243" s="380">
        <v>96.1</v>
      </c>
      <c r="U243" s="380">
        <v>94</v>
      </c>
      <c r="V243" s="352">
        <v>-7048</v>
      </c>
      <c r="W243" s="352">
        <v>-5765</v>
      </c>
      <c r="X243" s="352">
        <f>W243-V243</f>
        <v>1283</v>
      </c>
      <c r="Y243" s="352">
        <f t="shared" si="101"/>
        <v>358.41420492654265</v>
      </c>
      <c r="Z243" s="372">
        <v>1803.61</v>
      </c>
      <c r="AA243" s="352">
        <v>1857.13</v>
      </c>
      <c r="AB243" s="352">
        <f>AA243-Z243</f>
        <v>53.520000000000209</v>
      </c>
      <c r="AC243" s="371">
        <f t="shared" si="102"/>
        <v>14.951152180567917</v>
      </c>
      <c r="AD243" s="372">
        <v>-4.05</v>
      </c>
      <c r="AE243" s="352">
        <v>-4.72</v>
      </c>
      <c r="AF243" s="352">
        <f>AE243-AD243</f>
        <v>-0.66999999999999993</v>
      </c>
      <c r="AG243" s="371">
        <f t="shared" si="103"/>
        <v>-0.18716875861323737</v>
      </c>
      <c r="AH243" s="372">
        <v>5695.65</v>
      </c>
      <c r="AI243" s="352">
        <v>5940.45</v>
      </c>
      <c r="AJ243" s="352">
        <f>AI243-AH243</f>
        <v>244.80000000000018</v>
      </c>
      <c r="AK243" s="371">
        <f t="shared" si="104"/>
        <v>68.386435982866487</v>
      </c>
      <c r="AL243" s="372">
        <v>4751</v>
      </c>
      <c r="AM243" s="352">
        <v>4861.3500000000004</v>
      </c>
      <c r="AN243" s="352">
        <f>AM243-AL243</f>
        <v>110.35000000000036</v>
      </c>
      <c r="AO243" s="371">
        <f t="shared" si="105"/>
        <v>30.826973899956439</v>
      </c>
      <c r="AP243" s="341">
        <v>96.1</v>
      </c>
      <c r="AQ243" s="341">
        <v>94</v>
      </c>
      <c r="AR243" s="341">
        <f>AQ243-AP243</f>
        <v>-2.0999999999999943</v>
      </c>
      <c r="AS243" s="372">
        <v>69448.2</v>
      </c>
      <c r="AT243" s="352">
        <v>69448.899999999994</v>
      </c>
      <c r="AU243" s="383">
        <f>AT243-AS243</f>
        <v>0.69999999999708962</v>
      </c>
      <c r="AV243" s="341"/>
      <c r="AW243" s="341"/>
      <c r="AX243" s="341"/>
      <c r="AY243" s="341"/>
      <c r="AZ243" s="362" t="s">
        <v>686</v>
      </c>
      <c r="BA243" s="550">
        <v>2414.6647538699999</v>
      </c>
      <c r="BB243" s="550">
        <v>-1.7144003699999999</v>
      </c>
      <c r="BC243" s="550">
        <v>2013.5358674399999</v>
      </c>
      <c r="BD243" s="550">
        <v>2048.6580690300002</v>
      </c>
      <c r="BE243" s="550">
        <v>3.2160773900000001</v>
      </c>
      <c r="BF243" s="550">
        <v>3.25828579</v>
      </c>
      <c r="BG243" s="550">
        <v>-0.31630841999999998</v>
      </c>
      <c r="BH243" s="550">
        <v>3.5796206399999999</v>
      </c>
      <c r="BI243" s="550">
        <v>3.59097921</v>
      </c>
      <c r="BJ243" s="550">
        <v>-0.99195904000000001</v>
      </c>
      <c r="BK243" s="550">
        <v>-1.29541744</v>
      </c>
      <c r="BL243" s="550">
        <v>0.59036409999999995</v>
      </c>
      <c r="BM243" s="550"/>
      <c r="BN243" s="550"/>
      <c r="BO243" s="550"/>
      <c r="BP243" s="550"/>
      <c r="BQ243" s="550"/>
      <c r="BR243" s="550"/>
      <c r="BS243" s="550"/>
    </row>
    <row r="244" spans="1:71" s="577" customFormat="1" ht="15" customHeight="1" x14ac:dyDescent="0.2">
      <c r="A244" s="404">
        <v>62008039</v>
      </c>
      <c r="B244" s="403" t="s">
        <v>894</v>
      </c>
      <c r="C244" s="403" t="s">
        <v>774</v>
      </c>
      <c r="D244" s="402" t="s">
        <v>930</v>
      </c>
      <c r="E244" s="346" t="s">
        <v>931</v>
      </c>
      <c r="F244" s="346" t="str">
        <f t="shared" si="92"/>
        <v>08/14/20</v>
      </c>
      <c r="G244" s="362" t="s">
        <v>932</v>
      </c>
      <c r="H244" s="362" t="s">
        <v>685</v>
      </c>
      <c r="I244" s="370"/>
      <c r="J244" s="363">
        <v>-6.4180339999999996</v>
      </c>
      <c r="K244" s="363">
        <v>7.6074999999999999</v>
      </c>
      <c r="L244" s="363">
        <v>29.318595999999999</v>
      </c>
      <c r="M244" s="363">
        <v>7.014443</v>
      </c>
      <c r="N244" s="347">
        <v>4250</v>
      </c>
      <c r="O244" s="347">
        <v>30.36</v>
      </c>
      <c r="P244" s="347">
        <v>0.3201</v>
      </c>
      <c r="Q244" s="347">
        <v>1.9560000000000001E-2</v>
      </c>
      <c r="R244" s="348">
        <v>3.8406158600000002</v>
      </c>
      <c r="S244" s="348">
        <f>R244+R243</f>
        <v>7.4202730900000002</v>
      </c>
      <c r="T244" s="380">
        <v>94</v>
      </c>
      <c r="U244" s="380">
        <v>92</v>
      </c>
      <c r="V244" s="352">
        <v>-5765</v>
      </c>
      <c r="W244" s="352">
        <v>-4521</v>
      </c>
      <c r="X244" s="352">
        <f>W244-V244</f>
        <v>1244</v>
      </c>
      <c r="Y244" s="352">
        <f t="shared" si="101"/>
        <v>323.90638515980089</v>
      </c>
      <c r="Z244" s="372">
        <v>1857.145491</v>
      </c>
      <c r="AA244" s="352">
        <v>1950.814897</v>
      </c>
      <c r="AB244" s="352">
        <f>AA244-Z244</f>
        <v>93.669405999999981</v>
      </c>
      <c r="AC244" s="371">
        <f t="shared" si="102"/>
        <v>24.389162940133247</v>
      </c>
      <c r="AD244" s="372">
        <v>-4.72</v>
      </c>
      <c r="AE244" s="352">
        <v>-5.28</v>
      </c>
      <c r="AF244" s="352">
        <f>AE244-AD244</f>
        <v>-0.5600000000000005</v>
      </c>
      <c r="AG244" s="371">
        <f t="shared" si="103"/>
        <v>-0.14580994830344748</v>
      </c>
      <c r="AH244" s="372">
        <v>5940.55</v>
      </c>
      <c r="AI244" s="352">
        <v>6344.5244730000004</v>
      </c>
      <c r="AJ244" s="352">
        <f>AI244-AH244</f>
        <v>403.97447300000022</v>
      </c>
      <c r="AK244" s="371">
        <f t="shared" si="104"/>
        <v>105.18481611436145</v>
      </c>
      <c r="AL244" s="372">
        <v>4861.3500000000004</v>
      </c>
      <c r="AM244" s="352">
        <v>4911.05</v>
      </c>
      <c r="AN244" s="352">
        <f>AM244-AL244</f>
        <v>49.699999999999818</v>
      </c>
      <c r="AO244" s="371">
        <f t="shared" si="105"/>
        <v>12.940632911930905</v>
      </c>
      <c r="AP244" s="341">
        <v>94</v>
      </c>
      <c r="AQ244" s="341">
        <v>92</v>
      </c>
      <c r="AR244" s="341">
        <f>AQ244-AP244</f>
        <v>-2</v>
      </c>
      <c r="AS244" s="372">
        <v>69448.899999999994</v>
      </c>
      <c r="AT244" s="352">
        <v>69450.100000000006</v>
      </c>
      <c r="AU244" s="383">
        <f>AT244-AS244</f>
        <v>1.2000000000116415</v>
      </c>
      <c r="AV244" s="341"/>
      <c r="AW244" s="341"/>
      <c r="AX244" s="341"/>
      <c r="AY244" s="341"/>
      <c r="AZ244" s="362" t="s">
        <v>686</v>
      </c>
      <c r="BA244" s="550">
        <v>1482.00673117</v>
      </c>
      <c r="BB244" s="550">
        <v>-2.1166056200000001</v>
      </c>
      <c r="BC244" s="550">
        <v>3343.7422404899999</v>
      </c>
      <c r="BD244" s="550">
        <v>3416.0464719699999</v>
      </c>
      <c r="BE244" s="550">
        <v>2.95309724</v>
      </c>
      <c r="BF244" s="550">
        <v>3.0184904800000001</v>
      </c>
      <c r="BG244" s="550">
        <v>-0.50008487999999995</v>
      </c>
      <c r="BH244" s="550">
        <v>3.8405271000000001</v>
      </c>
      <c r="BI244" s="550">
        <v>3.8598295299999998</v>
      </c>
      <c r="BJ244" s="550">
        <v>-1.7032364600000001</v>
      </c>
      <c r="BK244" s="550">
        <v>-2.1664220599999999</v>
      </c>
      <c r="BL244" s="550">
        <v>0.71451571999999997</v>
      </c>
      <c r="BM244" s="550"/>
      <c r="BN244" s="550"/>
      <c r="BO244" s="550"/>
      <c r="BP244" s="550"/>
      <c r="BQ244" s="550"/>
      <c r="BR244" s="550"/>
      <c r="BS244" s="550"/>
    </row>
    <row r="245" spans="1:71" s="577" customFormat="1" ht="15" customHeight="1" x14ac:dyDescent="0.2">
      <c r="A245" s="404">
        <v>62008039</v>
      </c>
      <c r="B245" s="403" t="s">
        <v>629</v>
      </c>
      <c r="C245" s="403" t="s">
        <v>775</v>
      </c>
      <c r="D245" s="402" t="s">
        <v>930</v>
      </c>
      <c r="E245" s="346" t="s">
        <v>931</v>
      </c>
      <c r="F245" s="346" t="str">
        <f t="shared" si="92"/>
        <v>08/14/20</v>
      </c>
      <c r="G245" s="362" t="s">
        <v>932</v>
      </c>
      <c r="H245" s="362" t="s">
        <v>685</v>
      </c>
      <c r="I245" s="370"/>
      <c r="J245" s="364">
        <f>AVERAGE(J243:J244)</f>
        <v>-5.9922194999999991</v>
      </c>
      <c r="K245" s="364">
        <f>AVERAGE(K243:K244)</f>
        <v>7.5893584999999995</v>
      </c>
      <c r="L245" s="364">
        <f>AVERAGE(L243:L244)</f>
        <v>29.318634500000002</v>
      </c>
      <c r="M245" s="364">
        <f>AVERAGE(M243:M244)</f>
        <v>4.9703689999999998</v>
      </c>
      <c r="N245" s="349"/>
      <c r="O245" s="347"/>
      <c r="P245" s="366"/>
      <c r="Q245" s="365"/>
      <c r="R245" s="350">
        <f>R244+R243</f>
        <v>7.4202730900000002</v>
      </c>
      <c r="S245" s="350">
        <f>S244</f>
        <v>7.4202730900000002</v>
      </c>
      <c r="T245" s="381">
        <f>T243</f>
        <v>96.1</v>
      </c>
      <c r="U245" s="381">
        <f>U244</f>
        <v>92</v>
      </c>
      <c r="V245" s="353">
        <f>V243</f>
        <v>-7048</v>
      </c>
      <c r="W245" s="353">
        <f>W244</f>
        <v>-4521</v>
      </c>
      <c r="X245" s="353">
        <f>SUM(X243:X244)</f>
        <v>2527</v>
      </c>
      <c r="Y245" s="353">
        <f t="shared" si="101"/>
        <v>340.55350380642119</v>
      </c>
      <c r="Z245" s="353">
        <f>Z243</f>
        <v>1803.61</v>
      </c>
      <c r="AA245" s="353">
        <f>AA244</f>
        <v>1950.814897</v>
      </c>
      <c r="AB245" s="353">
        <f>SUM(AB243:AB244)</f>
        <v>147.18940600000019</v>
      </c>
      <c r="AC245" s="351">
        <f t="shared" si="102"/>
        <v>19.836117109808445</v>
      </c>
      <c r="AD245" s="353">
        <f>AD243</f>
        <v>-4.05</v>
      </c>
      <c r="AE245" s="353">
        <f>AE244</f>
        <v>-5.28</v>
      </c>
      <c r="AF245" s="353">
        <f>SUM(AF243:AF244)</f>
        <v>-1.2300000000000004</v>
      </c>
      <c r="AG245" s="351">
        <f t="shared" si="103"/>
        <v>-0.16576209326549199</v>
      </c>
      <c r="AH245" s="353">
        <f>AH243</f>
        <v>5695.65</v>
      </c>
      <c r="AI245" s="353">
        <f>AI244</f>
        <v>6344.5244730000004</v>
      </c>
      <c r="AJ245" s="353">
        <f>SUM(AJ243:AJ244)</f>
        <v>648.7744730000004</v>
      </c>
      <c r="AK245" s="351">
        <f t="shared" si="104"/>
        <v>87.432694879427999</v>
      </c>
      <c r="AL245" s="353">
        <f>AL243</f>
        <v>4751</v>
      </c>
      <c r="AM245" s="353">
        <f>AM244</f>
        <v>4911.05</v>
      </c>
      <c r="AN245" s="353">
        <f>SUM(AN243:AN244)</f>
        <v>160.05000000000018</v>
      </c>
      <c r="AO245" s="351">
        <f t="shared" si="105"/>
        <v>21.569287013936595</v>
      </c>
      <c r="AP245" s="343"/>
      <c r="AQ245" s="343"/>
      <c r="AR245" s="343">
        <f>SUM(AR243:AR244)</f>
        <v>-4.0999999999999943</v>
      </c>
      <c r="AS245" s="353">
        <f>AS243</f>
        <v>69448.2</v>
      </c>
      <c r="AT245" s="353">
        <f>AT244</f>
        <v>69450.100000000006</v>
      </c>
      <c r="AU245" s="384">
        <f>SUM(AU243:AU244)</f>
        <v>1.9000000000087311</v>
      </c>
      <c r="AV245" s="343"/>
      <c r="AW245" s="343"/>
      <c r="AX245" s="343"/>
      <c r="AY245" s="343"/>
      <c r="AZ245" s="362" t="s">
        <v>686</v>
      </c>
      <c r="BA245" s="550"/>
      <c r="BB245" s="550"/>
      <c r="BC245" s="550"/>
      <c r="BD245" s="550"/>
      <c r="BE245" s="550"/>
      <c r="BF245" s="550"/>
      <c r="BG245" s="550"/>
      <c r="BH245" s="550"/>
      <c r="BI245" s="550"/>
      <c r="BJ245" s="550"/>
      <c r="BK245" s="550"/>
      <c r="BL245" s="550"/>
      <c r="BM245" s="550"/>
      <c r="BN245" s="550"/>
      <c r="BO245" s="550"/>
      <c r="BP245" s="550"/>
      <c r="BQ245" s="550"/>
      <c r="BR245" s="550"/>
      <c r="BS245" s="550"/>
    </row>
    <row r="246" spans="1:71" s="577" customFormat="1" ht="15" customHeight="1" x14ac:dyDescent="0.2">
      <c r="A246" s="404">
        <v>62008039</v>
      </c>
      <c r="B246" s="403" t="s">
        <v>630</v>
      </c>
      <c r="C246" s="403" t="s">
        <v>776</v>
      </c>
      <c r="D246" s="402" t="s">
        <v>930</v>
      </c>
      <c r="E246" s="346" t="s">
        <v>931</v>
      </c>
      <c r="F246" s="346" t="str">
        <f t="shared" si="92"/>
        <v>08/14/20</v>
      </c>
      <c r="G246" s="362" t="s">
        <v>932</v>
      </c>
      <c r="H246" s="362" t="s">
        <v>685</v>
      </c>
      <c r="I246" s="370"/>
      <c r="J246" s="363">
        <v>-3.3024640000000001</v>
      </c>
      <c r="K246" s="363">
        <v>6.5551969999999997</v>
      </c>
      <c r="L246" s="363">
        <v>29.314696999999999</v>
      </c>
      <c r="M246" s="363">
        <v>7.8332170000000003</v>
      </c>
      <c r="N246" s="347">
        <v>4250</v>
      </c>
      <c r="O246" s="347">
        <v>30.36</v>
      </c>
      <c r="P246" s="347">
        <v>0.3201</v>
      </c>
      <c r="Q246" s="347">
        <v>1.9560000000000001E-2</v>
      </c>
      <c r="R246" s="348">
        <v>10.245198540000001</v>
      </c>
      <c r="S246" s="348">
        <f>R246+R245</f>
        <v>17.665471629999999</v>
      </c>
      <c r="T246" s="380">
        <v>92</v>
      </c>
      <c r="U246" s="380">
        <v>87.6</v>
      </c>
      <c r="V246" s="352">
        <v>-4514</v>
      </c>
      <c r="W246" s="352">
        <v>-1592</v>
      </c>
      <c r="X246" s="352">
        <f>W246-V246</f>
        <v>2922</v>
      </c>
      <c r="Y246" s="352">
        <f t="shared" si="101"/>
        <v>285.20677160054333</v>
      </c>
      <c r="Z246" s="372">
        <v>1952.5648739999999</v>
      </c>
      <c r="AA246" s="352">
        <v>2020.5345749999999</v>
      </c>
      <c r="AB246" s="352">
        <f>AA246-Z246</f>
        <v>67.969700999999986</v>
      </c>
      <c r="AC246" s="371">
        <f t="shared" si="102"/>
        <v>6.6342980796934352</v>
      </c>
      <c r="AD246" s="372">
        <v>-5.29</v>
      </c>
      <c r="AE246" s="352">
        <v>-5.72</v>
      </c>
      <c r="AF246" s="352">
        <f>AE246-AD246</f>
        <v>-0.42999999999999972</v>
      </c>
      <c r="AG246" s="371">
        <f t="shared" si="103"/>
        <v>-4.1970880146554944E-2</v>
      </c>
      <c r="AH246" s="372">
        <v>6349.9197100000001</v>
      </c>
      <c r="AI246" s="352">
        <v>6714.1949860000004</v>
      </c>
      <c r="AJ246" s="352">
        <f>AI246-AH246</f>
        <v>364.2752760000003</v>
      </c>
      <c r="AK246" s="371">
        <f t="shared" si="104"/>
        <v>35.55570685895173</v>
      </c>
      <c r="AL246" s="372">
        <v>4911.8</v>
      </c>
      <c r="AM246" s="352">
        <v>4929.9449860000004</v>
      </c>
      <c r="AN246" s="352">
        <f>AM246-AL246</f>
        <v>18.144986000000245</v>
      </c>
      <c r="AO246" s="371">
        <f t="shared" si="105"/>
        <v>1.7710721689928561</v>
      </c>
      <c r="AP246" s="341">
        <v>92</v>
      </c>
      <c r="AQ246" s="341">
        <v>87.6</v>
      </c>
      <c r="AR246" s="341">
        <f>AQ246-AP246</f>
        <v>-4.4000000000000057</v>
      </c>
      <c r="AS246" s="372">
        <v>69450.2</v>
      </c>
      <c r="AT246" s="352">
        <v>69451.3</v>
      </c>
      <c r="AU246" s="383">
        <f>AT246-AS246</f>
        <v>1.1000000000058208</v>
      </c>
      <c r="AV246" s="341"/>
      <c r="AW246" s="341"/>
      <c r="AX246" s="341"/>
      <c r="AY246" s="341"/>
      <c r="AZ246" s="362" t="s">
        <v>686</v>
      </c>
      <c r="BA246" s="550">
        <v>1946.6240771099999</v>
      </c>
      <c r="BB246" s="550">
        <v>-0.72277577999999998</v>
      </c>
      <c r="BC246" s="550">
        <v>1297.2994114000001</v>
      </c>
      <c r="BD246" s="550">
        <v>1306.7442423</v>
      </c>
      <c r="BE246" s="550">
        <v>7.9759681799999997</v>
      </c>
      <c r="BF246" s="550">
        <v>8.0200950199999994</v>
      </c>
      <c r="BG246" s="550">
        <v>-0.11100231000000001</v>
      </c>
      <c r="BH246" s="550">
        <v>10.245295199999999</v>
      </c>
      <c r="BI246" s="550">
        <v>10.25668035</v>
      </c>
      <c r="BJ246" s="550">
        <v>-0.441631</v>
      </c>
      <c r="BK246" s="550">
        <v>-0.55020345000000004</v>
      </c>
      <c r="BL246" s="550">
        <v>0.28277094000000003</v>
      </c>
      <c r="BM246" s="550"/>
      <c r="BN246" s="550"/>
      <c r="BO246" s="550"/>
      <c r="BP246" s="550"/>
      <c r="BQ246" s="550"/>
      <c r="BR246" s="550"/>
      <c r="BS246" s="550"/>
    </row>
    <row r="247" spans="1:71" s="577" customFormat="1" ht="15" customHeight="1" x14ac:dyDescent="0.2">
      <c r="A247" s="404">
        <v>62008039</v>
      </c>
      <c r="B247" s="403" t="s">
        <v>631</v>
      </c>
      <c r="C247" s="403" t="s">
        <v>777</v>
      </c>
      <c r="D247" s="402" t="s">
        <v>930</v>
      </c>
      <c r="E247" s="346" t="s">
        <v>931</v>
      </c>
      <c r="F247" s="346" t="str">
        <f t="shared" si="92"/>
        <v>08/14/20</v>
      </c>
      <c r="G247" s="362" t="s">
        <v>932</v>
      </c>
      <c r="H247" s="362" t="s">
        <v>685</v>
      </c>
      <c r="I247" s="370"/>
      <c r="J247" s="363">
        <v>-6.2699569999999998</v>
      </c>
      <c r="K247" s="363">
        <v>8.1522140000000007</v>
      </c>
      <c r="L247" s="363">
        <v>29.317913000000001</v>
      </c>
      <c r="M247" s="363">
        <v>7.1477969999999997</v>
      </c>
      <c r="N247" s="347">
        <v>4250</v>
      </c>
      <c r="O247" s="347">
        <v>30.36</v>
      </c>
      <c r="P247" s="347">
        <v>0.3201</v>
      </c>
      <c r="Q247" s="347">
        <v>1.9560000000000001E-2</v>
      </c>
      <c r="R247" s="348">
        <v>3.5795645999999999</v>
      </c>
      <c r="S247" s="348">
        <f>R247+R246</f>
        <v>13.82476314</v>
      </c>
      <c r="T247" s="380">
        <v>87.6</v>
      </c>
      <c r="U247" s="380">
        <v>85.7</v>
      </c>
      <c r="V247" s="352">
        <v>-1587</v>
      </c>
      <c r="W247" s="352">
        <v>-414</v>
      </c>
      <c r="X247" s="352">
        <f>W247-V247</f>
        <v>1173</v>
      </c>
      <c r="Y247" s="352">
        <f t="shared" si="101"/>
        <v>327.69348540322477</v>
      </c>
      <c r="Z247" s="372">
        <v>2023.3042680000001</v>
      </c>
      <c r="AA247" s="352">
        <v>2078.1540500000001</v>
      </c>
      <c r="AB247" s="352">
        <f>AA247-Z247</f>
        <v>54.849782000000005</v>
      </c>
      <c r="AC247" s="371">
        <f t="shared" si="102"/>
        <v>15.323031745257511</v>
      </c>
      <c r="AD247" s="372">
        <v>-1.76</v>
      </c>
      <c r="AE247" s="352">
        <v>-4.34</v>
      </c>
      <c r="AF247" s="352">
        <f>AE247-AD247</f>
        <v>-2.58</v>
      </c>
      <c r="AG247" s="371">
        <f t="shared" si="103"/>
        <v>-0.72075804973599311</v>
      </c>
      <c r="AH247" s="372">
        <v>6716.4567790000001</v>
      </c>
      <c r="AI247" s="352">
        <v>6971.5</v>
      </c>
      <c r="AJ247" s="352">
        <f>AI247-AH247</f>
        <v>255.0432209999999</v>
      </c>
      <c r="AK247" s="371">
        <f t="shared" si="104"/>
        <v>71.249788591606901</v>
      </c>
      <c r="AL247" s="372">
        <v>4930.6067789999997</v>
      </c>
      <c r="AM247" s="352">
        <v>5004.6000000000004</v>
      </c>
      <c r="AN247" s="352">
        <f>AM247-AL247</f>
        <v>73.993221000000631</v>
      </c>
      <c r="AO247" s="371">
        <f t="shared" si="105"/>
        <v>20.671011496761544</v>
      </c>
      <c r="AP247" s="341">
        <v>87.6</v>
      </c>
      <c r="AQ247" s="341">
        <v>85.7</v>
      </c>
      <c r="AR247" s="341">
        <f>AQ247-AP247</f>
        <v>-1.8999999999999915</v>
      </c>
      <c r="AS247" s="372">
        <v>69452.100000000006</v>
      </c>
      <c r="AT247" s="352">
        <v>69452.899999999994</v>
      </c>
      <c r="AU247" s="383">
        <f>AT247-AS247</f>
        <v>0.79999999998835847</v>
      </c>
      <c r="AV247" s="341"/>
      <c r="AW247" s="341"/>
      <c r="AX247" s="341"/>
      <c r="AY247" s="341"/>
      <c r="AZ247" s="362" t="s">
        <v>686</v>
      </c>
      <c r="BA247" s="550">
        <v>2415.7797676199998</v>
      </c>
      <c r="BB247" s="550">
        <v>-1.67434802</v>
      </c>
      <c r="BC247" s="550">
        <v>2014.5895864399999</v>
      </c>
      <c r="BD247" s="550">
        <v>2048.8952231200001</v>
      </c>
      <c r="BE247" s="550">
        <v>3.2175423599999999</v>
      </c>
      <c r="BF247" s="550">
        <v>3.2585875500000001</v>
      </c>
      <c r="BG247" s="550">
        <v>-0.31902850999999999</v>
      </c>
      <c r="BH247" s="550">
        <v>3.57952454</v>
      </c>
      <c r="BI247" s="550">
        <v>3.5909808000000001</v>
      </c>
      <c r="BJ247" s="550">
        <v>-0.95257084000000003</v>
      </c>
      <c r="BK247" s="550">
        <v>-1.25960077</v>
      </c>
      <c r="BL247" s="550">
        <v>0.59041279999999996</v>
      </c>
      <c r="BM247" s="550"/>
      <c r="BN247" s="550"/>
      <c r="BO247" s="550"/>
      <c r="BP247" s="550"/>
      <c r="BQ247" s="550"/>
      <c r="BR247" s="550"/>
      <c r="BS247" s="550"/>
    </row>
    <row r="248" spans="1:71" s="577" customFormat="1" ht="15" customHeight="1" x14ac:dyDescent="0.2">
      <c r="A248" s="404">
        <v>62008039</v>
      </c>
      <c r="B248" s="403" t="s">
        <v>895</v>
      </c>
      <c r="C248" s="403" t="s">
        <v>778</v>
      </c>
      <c r="D248" s="402" t="s">
        <v>930</v>
      </c>
      <c r="E248" s="346" t="s">
        <v>931</v>
      </c>
      <c r="F248" s="346" t="str">
        <f t="shared" si="92"/>
        <v>08/14/20</v>
      </c>
      <c r="G248" s="362" t="s">
        <v>932</v>
      </c>
      <c r="H248" s="362" t="s">
        <v>685</v>
      </c>
      <c r="I248" s="370"/>
      <c r="J248" s="363">
        <v>-7.5059310000000004</v>
      </c>
      <c r="K248" s="363">
        <v>8.0031049999999997</v>
      </c>
      <c r="L248" s="363">
        <v>29.316680000000002</v>
      </c>
      <c r="M248" s="363">
        <v>7.5193529999999997</v>
      </c>
      <c r="N248" s="347">
        <v>4250</v>
      </c>
      <c r="O248" s="347">
        <v>30.36</v>
      </c>
      <c r="P248" s="347">
        <v>0.3201</v>
      </c>
      <c r="Q248" s="347">
        <v>1.9560000000000001E-2</v>
      </c>
      <c r="R248" s="348">
        <v>3.8405285400000002</v>
      </c>
      <c r="S248" s="348">
        <f>R248+R247</f>
        <v>7.4200931400000005</v>
      </c>
      <c r="T248" s="380">
        <v>85.7</v>
      </c>
      <c r="U248" s="380">
        <v>83.8</v>
      </c>
      <c r="V248" s="352">
        <v>-414</v>
      </c>
      <c r="W248" s="352">
        <v>782</v>
      </c>
      <c r="X248" s="352">
        <f>W248-V248</f>
        <v>1196</v>
      </c>
      <c r="Y248" s="352">
        <f t="shared" si="101"/>
        <v>311.41546991341977</v>
      </c>
      <c r="Z248" s="372">
        <v>2078.173996</v>
      </c>
      <c r="AA248" s="352">
        <v>2172.0535909999999</v>
      </c>
      <c r="AB248" s="352">
        <f>AA248-Z248</f>
        <v>93.879594999999881</v>
      </c>
      <c r="AC248" s="371">
        <f t="shared" si="102"/>
        <v>24.444446649002085</v>
      </c>
      <c r="AD248" s="372">
        <v>-4.34</v>
      </c>
      <c r="AE248" s="352">
        <v>-5.64</v>
      </c>
      <c r="AF248" s="352">
        <f>AE248-AD248</f>
        <v>-1.2999999999999998</v>
      </c>
      <c r="AG248" s="371">
        <f t="shared" si="103"/>
        <v>-0.33849507599284751</v>
      </c>
      <c r="AH248" s="372">
        <v>6971.5699590000004</v>
      </c>
      <c r="AI248" s="352">
        <v>7376</v>
      </c>
      <c r="AJ248" s="352">
        <f>AI248-AH248</f>
        <v>404.43004099999962</v>
      </c>
      <c r="AK248" s="371">
        <f t="shared" si="104"/>
        <v>105.30582881698872</v>
      </c>
      <c r="AL248" s="372">
        <v>5004.6199589999997</v>
      </c>
      <c r="AM248" s="352">
        <v>5033.8500000000004</v>
      </c>
      <c r="AN248" s="352">
        <f>AM248-AL248</f>
        <v>29.23004100000071</v>
      </c>
      <c r="AO248" s="371">
        <f t="shared" si="105"/>
        <v>7.6109422688994544</v>
      </c>
      <c r="AP248" s="341">
        <v>85.7</v>
      </c>
      <c r="AQ248" s="341">
        <v>83.8</v>
      </c>
      <c r="AR248" s="341">
        <f>AQ248-AP248</f>
        <v>-1.9000000000000057</v>
      </c>
      <c r="AS248" s="372">
        <v>69452.899999999994</v>
      </c>
      <c r="AT248" s="352">
        <v>69454.100000000006</v>
      </c>
      <c r="AU248" s="383">
        <f>AT248-AS248</f>
        <v>1.2000000000116415</v>
      </c>
      <c r="AV248" s="341"/>
      <c r="AW248" s="341"/>
      <c r="AX248" s="341"/>
      <c r="AY248" s="341"/>
      <c r="AZ248" s="362" t="s">
        <v>686</v>
      </c>
      <c r="BA248" s="550">
        <v>1487.5875977400001</v>
      </c>
      <c r="BB248" s="550">
        <v>-2.0788142000000001</v>
      </c>
      <c r="BC248" s="550">
        <v>3345.48526322</v>
      </c>
      <c r="BD248" s="550">
        <v>3416.5081190300002</v>
      </c>
      <c r="BE248" s="550">
        <v>2.95365528</v>
      </c>
      <c r="BF248" s="550">
        <v>3.0191006300000001</v>
      </c>
      <c r="BG248" s="550">
        <v>-0.50275369999999997</v>
      </c>
      <c r="BH248" s="550">
        <v>3.8404273400000002</v>
      </c>
      <c r="BI248" s="550">
        <v>3.85983279</v>
      </c>
      <c r="BJ248" s="550">
        <v>-1.70184775</v>
      </c>
      <c r="BK248" s="550">
        <v>-2.1677103199999999</v>
      </c>
      <c r="BL248" s="550">
        <v>0.71450184000000005</v>
      </c>
      <c r="BM248" s="550"/>
      <c r="BN248" s="550"/>
      <c r="BO248" s="550"/>
      <c r="BP248" s="550"/>
      <c r="BQ248" s="550"/>
      <c r="BR248" s="550"/>
      <c r="BS248" s="550"/>
    </row>
    <row r="249" spans="1:71" s="577" customFormat="1" ht="15" customHeight="1" x14ac:dyDescent="0.2">
      <c r="A249" s="404">
        <v>62008039</v>
      </c>
      <c r="B249" s="403" t="s">
        <v>632</v>
      </c>
      <c r="C249" s="403" t="s">
        <v>779</v>
      </c>
      <c r="D249" s="402" t="s">
        <v>930</v>
      </c>
      <c r="E249" s="346" t="s">
        <v>931</v>
      </c>
      <c r="F249" s="346" t="str">
        <f t="shared" si="92"/>
        <v>08/14/20</v>
      </c>
      <c r="G249" s="362" t="s">
        <v>932</v>
      </c>
      <c r="H249" s="362" t="s">
        <v>685</v>
      </c>
      <c r="I249" s="370"/>
      <c r="J249" s="364">
        <f>AVERAGE(J247:J248)</f>
        <v>-6.8879440000000001</v>
      </c>
      <c r="K249" s="364">
        <f>AVERAGE(K247:K248)</f>
        <v>8.0776594999999993</v>
      </c>
      <c r="L249" s="364">
        <f>AVERAGE(L247:L248)</f>
        <v>29.317296500000001</v>
      </c>
      <c r="M249" s="364">
        <f>AVERAGE(M247:M248)</f>
        <v>7.3335749999999997</v>
      </c>
      <c r="N249" s="349"/>
      <c r="O249" s="347"/>
      <c r="P249" s="366"/>
      <c r="Q249" s="365"/>
      <c r="R249" s="350">
        <f>R248+R247</f>
        <v>7.4200931400000005</v>
      </c>
      <c r="S249" s="350">
        <f>S248</f>
        <v>7.4200931400000005</v>
      </c>
      <c r="T249" s="381">
        <f>T247</f>
        <v>87.6</v>
      </c>
      <c r="U249" s="381">
        <f>U248</f>
        <v>83.8</v>
      </c>
      <c r="V249" s="353">
        <f>V247</f>
        <v>-1587</v>
      </c>
      <c r="W249" s="353">
        <f>W248</f>
        <v>782</v>
      </c>
      <c r="X249" s="353">
        <f>SUM(X247:X248)</f>
        <v>2369</v>
      </c>
      <c r="Y249" s="353">
        <f t="shared" si="101"/>
        <v>319.26822956295126</v>
      </c>
      <c r="Z249" s="353">
        <f>Z247</f>
        <v>2023.3042680000001</v>
      </c>
      <c r="AA249" s="353">
        <f>AA248</f>
        <v>2172.0535909999999</v>
      </c>
      <c r="AB249" s="353">
        <f>SUM(AB247:AB248)</f>
        <v>148.72937699999989</v>
      </c>
      <c r="AC249" s="351">
        <f t="shared" si="102"/>
        <v>20.044138825998601</v>
      </c>
      <c r="AD249" s="353">
        <f>AD247</f>
        <v>-1.76</v>
      </c>
      <c r="AE249" s="353">
        <f>AE248</f>
        <v>-5.64</v>
      </c>
      <c r="AF249" s="353">
        <f>SUM(AF247:AF248)</f>
        <v>-3.88</v>
      </c>
      <c r="AG249" s="351">
        <f t="shared" si="103"/>
        <v>-0.52290448742264706</v>
      </c>
      <c r="AH249" s="353">
        <f>AH247</f>
        <v>6716.4567790000001</v>
      </c>
      <c r="AI249" s="353">
        <f>AI248</f>
        <v>7376</v>
      </c>
      <c r="AJ249" s="353">
        <f>SUM(AJ247:AJ248)</f>
        <v>659.47326199999952</v>
      </c>
      <c r="AK249" s="351">
        <f t="shared" si="104"/>
        <v>88.87668248326051</v>
      </c>
      <c r="AL249" s="353">
        <f>AL247</f>
        <v>4930.6067789999997</v>
      </c>
      <c r="AM249" s="353">
        <f>AM248</f>
        <v>5033.8500000000004</v>
      </c>
      <c r="AN249" s="353">
        <f>SUM(AN247:AN248)</f>
        <v>103.22326200000134</v>
      </c>
      <c r="AO249" s="351">
        <f t="shared" si="105"/>
        <v>13.911316212939253</v>
      </c>
      <c r="AP249" s="343"/>
      <c r="AQ249" s="343"/>
      <c r="AR249" s="343">
        <f>SUM(AR247:AR248)</f>
        <v>-3.7999999999999972</v>
      </c>
      <c r="AS249" s="353">
        <f>AS247</f>
        <v>69452.100000000006</v>
      </c>
      <c r="AT249" s="353">
        <f>AT248</f>
        <v>69454.100000000006</v>
      </c>
      <c r="AU249" s="384">
        <f>SUM(AU247:AU248)</f>
        <v>2</v>
      </c>
      <c r="AV249" s="343"/>
      <c r="AW249" s="343"/>
      <c r="AX249" s="343"/>
      <c r="AY249" s="343"/>
      <c r="AZ249" s="362" t="s">
        <v>686</v>
      </c>
      <c r="BA249" s="550"/>
      <c r="BB249" s="550"/>
      <c r="BC249" s="550"/>
      <c r="BD249" s="550"/>
      <c r="BE249" s="550"/>
      <c r="BF249" s="550"/>
      <c r="BG249" s="550"/>
      <c r="BH249" s="550"/>
      <c r="BI249" s="550"/>
      <c r="BJ249" s="550"/>
      <c r="BK249" s="550"/>
      <c r="BL249" s="550"/>
      <c r="BM249" s="550"/>
      <c r="BN249" s="550"/>
      <c r="BO249" s="550"/>
      <c r="BP249" s="550"/>
      <c r="BQ249" s="550"/>
      <c r="BR249" s="550"/>
      <c r="BS249" s="550"/>
    </row>
    <row r="250" spans="1:71" s="577" customFormat="1" ht="15" customHeight="1" x14ac:dyDescent="0.2">
      <c r="A250" s="404">
        <v>62008039</v>
      </c>
      <c r="B250" s="403" t="s">
        <v>633</v>
      </c>
      <c r="C250" s="403" t="s">
        <v>780</v>
      </c>
      <c r="D250" s="402" t="s">
        <v>930</v>
      </c>
      <c r="E250" s="346" t="s">
        <v>931</v>
      </c>
      <c r="F250" s="346" t="str">
        <f t="shared" si="92"/>
        <v>08/14/20</v>
      </c>
      <c r="G250" s="362" t="s">
        <v>932</v>
      </c>
      <c r="H250" s="362" t="s">
        <v>685</v>
      </c>
      <c r="I250" s="370"/>
      <c r="J250" s="363">
        <v>-5.1717500000000003</v>
      </c>
      <c r="K250" s="363">
        <v>7.0868120000000001</v>
      </c>
      <c r="L250" s="363">
        <v>29.314926</v>
      </c>
      <c r="M250" s="363">
        <v>9.2586460000000006</v>
      </c>
      <c r="N250" s="347">
        <v>4250</v>
      </c>
      <c r="O250" s="347">
        <v>30.36</v>
      </c>
      <c r="P250" s="347">
        <v>0.3201</v>
      </c>
      <c r="Q250" s="347">
        <v>1.9560000000000001E-2</v>
      </c>
      <c r="R250" s="348">
        <v>1.76518745</v>
      </c>
      <c r="S250" s="348">
        <f>R250+R249</f>
        <v>9.1852805900000014</v>
      </c>
      <c r="T250" s="380">
        <v>83.7</v>
      </c>
      <c r="U250" s="380">
        <v>79.099999999999994</v>
      </c>
      <c r="V250" s="352">
        <v>824</v>
      </c>
      <c r="W250" s="352">
        <v>3728</v>
      </c>
      <c r="X250" s="352">
        <f>W250-V250-X251</f>
        <v>748</v>
      </c>
      <c r="Y250" s="352">
        <f t="shared" si="101"/>
        <v>423.75102995435412</v>
      </c>
      <c r="Z250" s="372">
        <v>2182.0234650000002</v>
      </c>
      <c r="AA250" s="352">
        <v>2232.367362</v>
      </c>
      <c r="AB250" s="352">
        <f>AA250-Z250-AB251</f>
        <v>22.717274999999972</v>
      </c>
      <c r="AC250" s="371">
        <f t="shared" si="102"/>
        <v>12.869610533430867</v>
      </c>
      <c r="AD250" s="372">
        <v>-5.73</v>
      </c>
      <c r="AE250" s="352">
        <v>-6.21</v>
      </c>
      <c r="AF250" s="352">
        <f>AE250-AD250-AF251</f>
        <v>-0.1899999999999995</v>
      </c>
      <c r="AG250" s="371">
        <f t="shared" si="103"/>
        <v>-0.10763729370498272</v>
      </c>
      <c r="AH250" s="372">
        <v>7406.2</v>
      </c>
      <c r="AI250" s="352">
        <v>7637.9</v>
      </c>
      <c r="AJ250" s="352">
        <f>AI250-AH250-AJ251</f>
        <v>94.5</v>
      </c>
      <c r="AK250" s="371">
        <f t="shared" si="104"/>
        <v>53.53539081642576</v>
      </c>
      <c r="AL250" s="372">
        <v>5037.6000000000004</v>
      </c>
      <c r="AM250" s="352">
        <v>5048.95</v>
      </c>
      <c r="AN250" s="352">
        <f>AM250-AL250-AN251</f>
        <v>3.9499999999998181</v>
      </c>
      <c r="AO250" s="371">
        <f t="shared" si="105"/>
        <v>2.2377226849192806</v>
      </c>
      <c r="AP250" s="341">
        <v>83.7</v>
      </c>
      <c r="AQ250" s="341">
        <v>79.099999999999994</v>
      </c>
      <c r="AR250" s="341">
        <f>AQ250-AP250-AR251</f>
        <v>-1.2000000000000028</v>
      </c>
      <c r="AS250" s="372">
        <v>69454.3</v>
      </c>
      <c r="AT250" s="352">
        <v>69455.100000000006</v>
      </c>
      <c r="AU250" s="383">
        <f>AT250-AS250-AU251</f>
        <v>0.19999999999708962</v>
      </c>
      <c r="AV250" s="341"/>
      <c r="AW250" s="341"/>
      <c r="AX250" s="341"/>
      <c r="AY250" s="341"/>
      <c r="AZ250" s="362" t="s">
        <v>686</v>
      </c>
      <c r="BA250" s="550">
        <v>5585.97591259</v>
      </c>
      <c r="BB250" s="550">
        <v>-1.1939536500000001</v>
      </c>
      <c r="BC250" s="550">
        <v>2430.5065146299999</v>
      </c>
      <c r="BD250" s="550">
        <v>2459.8762974199999</v>
      </c>
      <c r="BE250" s="550">
        <v>3.1652375099999999</v>
      </c>
      <c r="BF250" s="550">
        <v>3.2083695799999998</v>
      </c>
      <c r="BG250" s="550">
        <v>-0.39135165999999999</v>
      </c>
      <c r="BH250" s="550">
        <v>1.76517177</v>
      </c>
      <c r="BI250" s="550">
        <v>1.77210694</v>
      </c>
      <c r="BJ250" s="550">
        <v>-0.96599586999999998</v>
      </c>
      <c r="BK250" s="550">
        <v>-1.34436106</v>
      </c>
      <c r="BL250" s="550">
        <v>0.81483320000000004</v>
      </c>
      <c r="BM250" s="550"/>
      <c r="BN250" s="550"/>
      <c r="BO250" s="550"/>
      <c r="BP250" s="550"/>
      <c r="BQ250" s="550"/>
      <c r="BR250" s="550"/>
      <c r="BS250" s="550"/>
    </row>
    <row r="251" spans="1:71" s="577" customFormat="1" ht="15" customHeight="1" x14ac:dyDescent="0.2">
      <c r="A251" s="404">
        <v>62008039</v>
      </c>
      <c r="B251" s="403" t="s">
        <v>634</v>
      </c>
      <c r="C251" s="403" t="s">
        <v>781</v>
      </c>
      <c r="D251" s="402" t="s">
        <v>930</v>
      </c>
      <c r="E251" s="346" t="s">
        <v>931</v>
      </c>
      <c r="F251" s="346" t="str">
        <f t="shared" si="92"/>
        <v>08/14/20</v>
      </c>
      <c r="G251" s="362" t="s">
        <v>932</v>
      </c>
      <c r="H251" s="362" t="s">
        <v>685</v>
      </c>
      <c r="I251" s="370"/>
      <c r="J251" s="363">
        <v>-0.13264400000000001</v>
      </c>
      <c r="K251" s="363">
        <v>5.1918049999999996</v>
      </c>
      <c r="L251" s="363">
        <v>29.312816000000002</v>
      </c>
      <c r="M251" s="363">
        <v>8.8791849999999997</v>
      </c>
      <c r="N251" s="347">
        <v>4250</v>
      </c>
      <c r="O251" s="347">
        <v>30.36</v>
      </c>
      <c r="P251" s="347">
        <v>0.3201</v>
      </c>
      <c r="Q251" s="347">
        <v>1.9560000000000001E-2</v>
      </c>
      <c r="R251" s="348">
        <v>6.2264044299999997</v>
      </c>
      <c r="S251" s="348">
        <f>R251+R250</f>
        <v>7.9915918799999996</v>
      </c>
      <c r="T251" s="380">
        <v>82.9</v>
      </c>
      <c r="U251" s="380">
        <v>79.5</v>
      </c>
      <c r="V251" s="352">
        <v>1326</v>
      </c>
      <c r="W251" s="352">
        <v>3482</v>
      </c>
      <c r="X251" s="352">
        <f>W251-V251</f>
        <v>2156</v>
      </c>
      <c r="Y251" s="352">
        <f t="shared" si="101"/>
        <v>346.26725973853905</v>
      </c>
      <c r="Z251" s="372">
        <v>2194.19</v>
      </c>
      <c r="AA251" s="352">
        <v>2221.8166219999998</v>
      </c>
      <c r="AB251" s="352">
        <f>AA251-Z251</f>
        <v>27.62662199999977</v>
      </c>
      <c r="AC251" s="371">
        <f t="shared" si="102"/>
        <v>4.437010526796084</v>
      </c>
      <c r="AD251" s="372">
        <v>-5.85</v>
      </c>
      <c r="AE251" s="352">
        <v>-6.14</v>
      </c>
      <c r="AF251" s="352">
        <f>AE251-AD251</f>
        <v>-0.29000000000000004</v>
      </c>
      <c r="AG251" s="371">
        <f t="shared" si="103"/>
        <v>-4.6575837348875854E-2</v>
      </c>
      <c r="AH251" s="372">
        <v>7463.05</v>
      </c>
      <c r="AI251" s="352">
        <v>7600.25</v>
      </c>
      <c r="AJ251" s="352">
        <f>AI251-AH251</f>
        <v>137.19999999999982</v>
      </c>
      <c r="AK251" s="371">
        <f t="shared" si="104"/>
        <v>22.03518925608882</v>
      </c>
      <c r="AL251" s="372">
        <v>5041.25</v>
      </c>
      <c r="AM251" s="352">
        <v>5048.6499999999996</v>
      </c>
      <c r="AN251" s="352">
        <f>AM251-AL251</f>
        <v>7.3999999999996362</v>
      </c>
      <c r="AO251" s="371">
        <f t="shared" si="105"/>
        <v>1.1884868840747045</v>
      </c>
      <c r="AP251" s="341">
        <v>82.9</v>
      </c>
      <c r="AQ251" s="341">
        <v>79.5</v>
      </c>
      <c r="AR251" s="341">
        <f>AQ251-AP251</f>
        <v>-3.4000000000000057</v>
      </c>
      <c r="AS251" s="372">
        <v>69454.399999999994</v>
      </c>
      <c r="AT251" s="352">
        <v>69455</v>
      </c>
      <c r="AU251" s="383">
        <f>AT251-AS251</f>
        <v>0.60000000000582077</v>
      </c>
      <c r="AV251" s="341"/>
      <c r="AW251" s="341"/>
      <c r="AX251" s="341"/>
      <c r="AY251" s="341"/>
      <c r="AZ251" s="362" t="s">
        <v>686</v>
      </c>
      <c r="BA251" s="550">
        <v>11906.705715669999</v>
      </c>
      <c r="BB251" s="550">
        <v>-9.7214611800000004</v>
      </c>
      <c r="BC251" s="550">
        <v>1029.6577831499999</v>
      </c>
      <c r="BD251" s="550">
        <v>1140.53439121</v>
      </c>
      <c r="BE251" s="550">
        <v>6.9206008199999998</v>
      </c>
      <c r="BF251" s="550">
        <v>7.0873160000000004</v>
      </c>
      <c r="BG251" s="550">
        <v>-0.13463766999999999</v>
      </c>
      <c r="BH251" s="550">
        <v>6.2264644799999997</v>
      </c>
      <c r="BI251" s="550">
        <v>6.2348589499999996</v>
      </c>
      <c r="BJ251" s="550">
        <v>-2.2710887899999999</v>
      </c>
      <c r="BK251" s="550">
        <v>-2.3523035600000002</v>
      </c>
      <c r="BL251" s="550">
        <v>0.34966642999999997</v>
      </c>
      <c r="BM251" s="550"/>
      <c r="BN251" s="550"/>
      <c r="BO251" s="550"/>
      <c r="BP251" s="550"/>
      <c r="BQ251" s="550"/>
      <c r="BR251" s="550"/>
      <c r="BS251" s="550"/>
    </row>
    <row r="252" spans="1:71" s="577" customFormat="1" ht="15" customHeight="1" x14ac:dyDescent="0.2">
      <c r="A252" s="404">
        <v>62008039</v>
      </c>
      <c r="B252" s="403" t="s">
        <v>635</v>
      </c>
      <c r="C252" s="403" t="s">
        <v>782</v>
      </c>
      <c r="D252" s="402" t="s">
        <v>930</v>
      </c>
      <c r="E252" s="346" t="s">
        <v>931</v>
      </c>
      <c r="F252" s="346" t="str">
        <f t="shared" si="92"/>
        <v>08/14/20</v>
      </c>
      <c r="G252" s="362" t="s">
        <v>932</v>
      </c>
      <c r="H252" s="362" t="s">
        <v>685</v>
      </c>
      <c r="I252" s="370"/>
      <c r="J252" s="364">
        <f>AVERAGE(J250:J251)</f>
        <v>-2.6521970000000001</v>
      </c>
      <c r="K252" s="364">
        <f>AVERAGE(K250:K251)</f>
        <v>6.1393085000000003</v>
      </c>
      <c r="L252" s="364">
        <f>AVERAGE(L250:L251)</f>
        <v>29.313870999999999</v>
      </c>
      <c r="M252" s="364">
        <f>AVERAGE(M250:M251)</f>
        <v>9.0689154999999992</v>
      </c>
      <c r="N252" s="349"/>
      <c r="O252" s="347"/>
      <c r="P252" s="366"/>
      <c r="Q252" s="365"/>
      <c r="R252" s="350">
        <f>R251+R250</f>
        <v>7.9915918799999996</v>
      </c>
      <c r="S252" s="350">
        <f>S251</f>
        <v>7.9915918799999996</v>
      </c>
      <c r="T252" s="381">
        <f>T250</f>
        <v>83.7</v>
      </c>
      <c r="U252" s="381">
        <f>U251</f>
        <v>79.5</v>
      </c>
      <c r="V252" s="353">
        <f>V250</f>
        <v>824</v>
      </c>
      <c r="W252" s="353">
        <f>W251</f>
        <v>3482</v>
      </c>
      <c r="X252" s="353">
        <f>SUM(X250:X251)</f>
        <v>2904</v>
      </c>
      <c r="Y252" s="353">
        <f t="shared" si="101"/>
        <v>363.38191984848959</v>
      </c>
      <c r="Z252" s="353">
        <f>Z250</f>
        <v>2182.0234650000002</v>
      </c>
      <c r="AA252" s="353">
        <f>AA251</f>
        <v>2221.8166219999998</v>
      </c>
      <c r="AB252" s="353">
        <f>SUM(AB250:AB251)</f>
        <v>50.343896999999743</v>
      </c>
      <c r="AC252" s="351">
        <f t="shared" si="102"/>
        <v>6.2996081076151933</v>
      </c>
      <c r="AD252" s="353">
        <f>AD250</f>
        <v>-5.73</v>
      </c>
      <c r="AE252" s="353">
        <f>AE251</f>
        <v>-6.14</v>
      </c>
      <c r="AF252" s="353">
        <f>SUM(AF250:AF251)</f>
        <v>-0.47999999999999954</v>
      </c>
      <c r="AG252" s="351">
        <f t="shared" si="103"/>
        <v>-6.0063127247684173E-2</v>
      </c>
      <c r="AH252" s="353">
        <f>AH250</f>
        <v>7406.2</v>
      </c>
      <c r="AI252" s="353">
        <f>AI251</f>
        <v>7600.25</v>
      </c>
      <c r="AJ252" s="353">
        <f>SUM(AJ250:AJ251)</f>
        <v>231.69999999999982</v>
      </c>
      <c r="AK252" s="351">
        <f t="shared" si="104"/>
        <v>28.992972048517551</v>
      </c>
      <c r="AL252" s="353">
        <f>AL250</f>
        <v>5037.6000000000004</v>
      </c>
      <c r="AM252" s="353">
        <f>AM251</f>
        <v>5048.6499999999996</v>
      </c>
      <c r="AN252" s="353">
        <f>SUM(AN250:AN251)</f>
        <v>11.349999999999454</v>
      </c>
      <c r="AO252" s="351">
        <f t="shared" si="105"/>
        <v>1.420242696377465</v>
      </c>
      <c r="AP252" s="343"/>
      <c r="AQ252" s="343"/>
      <c r="AR252" s="343">
        <f>SUM(AR250:AR251)</f>
        <v>-4.6000000000000085</v>
      </c>
      <c r="AS252" s="353">
        <f>AS250</f>
        <v>69454.3</v>
      </c>
      <c r="AT252" s="353">
        <f>AT251</f>
        <v>69455</v>
      </c>
      <c r="AU252" s="384">
        <f>SUM(AU250:AU251)</f>
        <v>0.80000000000291038</v>
      </c>
      <c r="AV252" s="343"/>
      <c r="AW252" s="343"/>
      <c r="AX252" s="343"/>
      <c r="AY252" s="343"/>
      <c r="AZ252" s="362" t="s">
        <v>686</v>
      </c>
      <c r="BA252" s="550"/>
      <c r="BB252" s="550"/>
      <c r="BC252" s="550"/>
      <c r="BD252" s="550"/>
      <c r="BE252" s="550"/>
      <c r="BF252" s="550"/>
      <c r="BG252" s="550"/>
      <c r="BH252" s="550"/>
      <c r="BI252" s="550"/>
      <c r="BJ252" s="550"/>
      <c r="BK252" s="550"/>
      <c r="BL252" s="550"/>
      <c r="BM252" s="550"/>
      <c r="BN252" s="550"/>
      <c r="BO252" s="550"/>
      <c r="BP252" s="550"/>
      <c r="BQ252" s="550"/>
      <c r="BR252" s="550"/>
      <c r="BS252" s="550"/>
    </row>
    <row r="253" spans="1:71" s="548" customFormat="1" ht="15" customHeight="1" x14ac:dyDescent="0.2">
      <c r="A253" s="576" t="s">
        <v>933</v>
      </c>
      <c r="B253" s="435"/>
      <c r="C253" s="436"/>
      <c r="D253" s="436"/>
      <c r="E253" s="436"/>
      <c r="F253" s="436"/>
      <c r="G253" s="436"/>
      <c r="H253" s="435"/>
      <c r="I253" s="435"/>
      <c r="J253" s="446"/>
      <c r="K253" s="447"/>
      <c r="L253" s="435"/>
      <c r="M253" s="435"/>
      <c r="N253" s="435"/>
      <c r="O253" s="435"/>
      <c r="P253" s="435"/>
      <c r="Q253" s="435"/>
      <c r="R253" s="435"/>
      <c r="S253" s="435"/>
      <c r="T253" s="435"/>
      <c r="U253" s="435"/>
      <c r="V253" s="435"/>
      <c r="W253" s="435"/>
      <c r="X253" s="435"/>
      <c r="Y253" s="435"/>
      <c r="Z253" s="435"/>
      <c r="AA253" s="435"/>
      <c r="AB253" s="435"/>
      <c r="AC253" s="435"/>
      <c r="AD253" s="435"/>
      <c r="AE253" s="435"/>
      <c r="AF253" s="435"/>
      <c r="AG253" s="435"/>
      <c r="AH253" s="435"/>
      <c r="AI253" s="435"/>
      <c r="AJ253" s="435"/>
      <c r="AK253" s="435"/>
      <c r="AL253" s="435"/>
      <c r="AM253" s="435"/>
      <c r="AN253" s="435"/>
      <c r="AO253" s="435"/>
      <c r="AP253" s="435"/>
      <c r="AQ253" s="435"/>
      <c r="AR253" s="435"/>
      <c r="AS253" s="435"/>
      <c r="AT253" s="435"/>
      <c r="AU253" s="435"/>
      <c r="AV253" s="435"/>
      <c r="AW253" s="435"/>
      <c r="AX253" s="435"/>
      <c r="AY253" s="435"/>
      <c r="AZ253" s="435"/>
      <c r="BA253" s="435"/>
      <c r="BB253" s="435"/>
      <c r="BC253" s="435"/>
      <c r="BD253" s="435"/>
      <c r="BE253" s="435"/>
      <c r="BF253" s="448"/>
      <c r="BG253" s="435"/>
      <c r="BH253" s="435"/>
      <c r="BI253" s="435"/>
      <c r="BJ253" s="435"/>
      <c r="BK253" s="435"/>
      <c r="BL253" s="435"/>
      <c r="BM253" s="435"/>
      <c r="BN253" s="435"/>
      <c r="BO253" s="435"/>
      <c r="BP253" s="435"/>
      <c r="BQ253" s="435"/>
      <c r="BR253" s="439"/>
      <c r="BS253" s="578"/>
    </row>
    <row r="254" spans="1:71" s="577" customFormat="1" ht="15" customHeight="1" x14ac:dyDescent="0.2">
      <c r="A254" s="404">
        <v>62008040</v>
      </c>
      <c r="B254" s="403" t="s">
        <v>627</v>
      </c>
      <c r="C254" s="403" t="s">
        <v>773</v>
      </c>
      <c r="D254" s="402" t="s">
        <v>718</v>
      </c>
      <c r="E254" s="346" t="s">
        <v>934</v>
      </c>
      <c r="F254" s="346" t="str">
        <f t="shared" si="92"/>
        <v>08/17/20</v>
      </c>
      <c r="G254" s="362" t="s">
        <v>935</v>
      </c>
      <c r="H254" s="362" t="s">
        <v>685</v>
      </c>
      <c r="I254" s="370"/>
      <c r="J254" s="363">
        <v>-16.588533999999999</v>
      </c>
      <c r="K254" s="363">
        <v>16.020683999999999</v>
      </c>
      <c r="L254" s="363">
        <v>29.303481999999999</v>
      </c>
      <c r="M254" s="363">
        <v>-7.0191720000000002</v>
      </c>
      <c r="N254" s="347">
        <v>4250</v>
      </c>
      <c r="O254" s="347">
        <v>30.36</v>
      </c>
      <c r="P254" s="347">
        <v>0.3201</v>
      </c>
      <c r="Q254" s="347">
        <v>1.9560000000000001E-2</v>
      </c>
      <c r="R254" s="348">
        <v>3.5818136800000002</v>
      </c>
      <c r="S254" s="348">
        <f>R254+R253</f>
        <v>3.5818136800000002</v>
      </c>
      <c r="T254" s="380">
        <v>95.8</v>
      </c>
      <c r="U254" s="380">
        <v>93</v>
      </c>
      <c r="V254" s="352">
        <v>-7576</v>
      </c>
      <c r="W254" s="352">
        <v>-6308</v>
      </c>
      <c r="X254" s="352">
        <f>W254-V254</f>
        <v>1268</v>
      </c>
      <c r="Y254" s="352">
        <f t="shared" ref="Y254:Y276" si="106">X254/$R254</f>
        <v>354.01059722347139</v>
      </c>
      <c r="Z254" s="372">
        <v>2401.234551</v>
      </c>
      <c r="AA254" s="352">
        <v>2450.4867789999998</v>
      </c>
      <c r="AB254" s="352">
        <f>AA254-Z254</f>
        <v>49.252227999999832</v>
      </c>
      <c r="AC254" s="371">
        <f t="shared" ref="AC254:AC276" si="107">AB254/$R254</f>
        <v>13.750639312986216</v>
      </c>
      <c r="AD254" s="372">
        <v>17.96</v>
      </c>
      <c r="AE254" s="352">
        <v>15.8</v>
      </c>
      <c r="AF254" s="352">
        <f>AE254-AD254</f>
        <v>-2.16</v>
      </c>
      <c r="AG254" s="371">
        <f t="shared" ref="AG254:AG276" si="108">AF254/$R254</f>
        <v>-0.60304644321979362</v>
      </c>
      <c r="AH254" s="372">
        <v>7640.75</v>
      </c>
      <c r="AI254" s="352">
        <v>7640.75</v>
      </c>
      <c r="AJ254" s="352">
        <f>AI254-AH254</f>
        <v>0</v>
      </c>
      <c r="AK254" s="371">
        <f t="shared" ref="AK254:AK276" si="109">AJ254/$R254</f>
        <v>0</v>
      </c>
      <c r="AL254" s="372">
        <v>5048.95</v>
      </c>
      <c r="AM254" s="352">
        <v>5638.3516639999998</v>
      </c>
      <c r="AN254" s="352">
        <f>AM254-AL254</f>
        <v>589.40166399999998</v>
      </c>
      <c r="AO254" s="371">
        <f t="shared" ref="AO254:AO276" si="110">AN254/$R254</f>
        <v>164.5539708810314</v>
      </c>
      <c r="AP254" s="341">
        <v>95.8</v>
      </c>
      <c r="AQ254" s="341">
        <v>93</v>
      </c>
      <c r="AR254" s="341">
        <f>AQ254-AP254</f>
        <v>-2.7999999999999972</v>
      </c>
      <c r="AS254" s="372">
        <v>82342.5</v>
      </c>
      <c r="AT254" s="352">
        <v>82343.199999999997</v>
      </c>
      <c r="AU254" s="383">
        <f>AT254-AS254</f>
        <v>0.69999999999708962</v>
      </c>
      <c r="AV254" s="341"/>
      <c r="AW254" s="341"/>
      <c r="AX254" s="341"/>
      <c r="AY254" s="341"/>
      <c r="AZ254" s="362" t="s">
        <v>686</v>
      </c>
      <c r="BA254" s="550">
        <v>2420.1727995800002</v>
      </c>
      <c r="BB254" s="550">
        <v>-1.6600588300000001</v>
      </c>
      <c r="BC254" s="550">
        <v>2014.84293404</v>
      </c>
      <c r="BD254" s="550">
        <v>2048.85513455</v>
      </c>
      <c r="BE254" s="550">
        <v>3.2145564499999999</v>
      </c>
      <c r="BF254" s="550">
        <v>3.2585607300000001</v>
      </c>
      <c r="BG254" s="550">
        <v>-0.25763353</v>
      </c>
      <c r="BH254" s="550">
        <v>3.5817287800000002</v>
      </c>
      <c r="BI254" s="550">
        <v>3.5909803500000002</v>
      </c>
      <c r="BJ254" s="550">
        <v>-1.1077463999999999</v>
      </c>
      <c r="BK254" s="550">
        <v>-1.3504206999999999</v>
      </c>
      <c r="BL254" s="550">
        <v>0.59039827</v>
      </c>
      <c r="BM254" s="550"/>
      <c r="BN254" s="550"/>
      <c r="BO254" s="550"/>
      <c r="BP254" s="550"/>
      <c r="BQ254" s="550"/>
      <c r="BR254" s="550"/>
      <c r="BS254" s="550"/>
    </row>
    <row r="255" spans="1:71" s="577" customFormat="1" ht="15" customHeight="1" x14ac:dyDescent="0.2">
      <c r="A255" s="404">
        <v>62008040</v>
      </c>
      <c r="B255" s="403" t="s">
        <v>894</v>
      </c>
      <c r="C255" s="403" t="s">
        <v>774</v>
      </c>
      <c r="D255" s="402" t="s">
        <v>718</v>
      </c>
      <c r="E255" s="346" t="s">
        <v>934</v>
      </c>
      <c r="F255" s="346" t="str">
        <f t="shared" si="92"/>
        <v>08/17/20</v>
      </c>
      <c r="G255" s="362" t="s">
        <v>935</v>
      </c>
      <c r="H255" s="362" t="s">
        <v>685</v>
      </c>
      <c r="I255" s="370"/>
      <c r="J255" s="363">
        <v>-18.027470999999998</v>
      </c>
      <c r="K255" s="363">
        <v>16.220385</v>
      </c>
      <c r="L255" s="363">
        <v>29.302495</v>
      </c>
      <c r="M255" s="363">
        <v>-2.4246989999999999</v>
      </c>
      <c r="N255" s="347">
        <v>4250</v>
      </c>
      <c r="O255" s="347">
        <v>30.36</v>
      </c>
      <c r="P255" s="347">
        <v>0.3201</v>
      </c>
      <c r="Q255" s="347">
        <v>1.9560000000000001E-2</v>
      </c>
      <c r="R255" s="348">
        <v>3.8393937400000002</v>
      </c>
      <c r="S255" s="348">
        <f>R255+R254</f>
        <v>7.42120742</v>
      </c>
      <c r="T255" s="380">
        <v>93</v>
      </c>
      <c r="U255" s="380">
        <v>89.6</v>
      </c>
      <c r="V255" s="352">
        <v>-6308</v>
      </c>
      <c r="W255" s="352">
        <v>-5239</v>
      </c>
      <c r="X255" s="352">
        <f>W255-V255</f>
        <v>1069</v>
      </c>
      <c r="Y255" s="352">
        <f t="shared" si="106"/>
        <v>278.42937515442213</v>
      </c>
      <c r="Z255" s="372">
        <v>2450.5</v>
      </c>
      <c r="AA255" s="352">
        <v>2534.2163169999999</v>
      </c>
      <c r="AB255" s="352">
        <f>AA255-Z255</f>
        <v>83.71631699999989</v>
      </c>
      <c r="AC255" s="371">
        <f t="shared" si="107"/>
        <v>21.80456672828765</v>
      </c>
      <c r="AD255" s="372">
        <v>15.8</v>
      </c>
      <c r="AE255" s="352">
        <v>14.14</v>
      </c>
      <c r="AF255" s="352">
        <f>AE255-AD255</f>
        <v>-1.6600000000000001</v>
      </c>
      <c r="AG255" s="371">
        <f t="shared" si="108"/>
        <v>-0.43235992774213361</v>
      </c>
      <c r="AH255" s="372">
        <v>7640.75</v>
      </c>
      <c r="AI255" s="352">
        <v>7640.75</v>
      </c>
      <c r="AJ255" s="352">
        <f>AI255-AH255</f>
        <v>0</v>
      </c>
      <c r="AK255" s="371">
        <f t="shared" si="109"/>
        <v>0</v>
      </c>
      <c r="AL255" s="372">
        <v>5638.5832179999998</v>
      </c>
      <c r="AM255" s="352">
        <v>6716.4446980000002</v>
      </c>
      <c r="AN255" s="352">
        <f>AM255-AL255</f>
        <v>1077.8614800000005</v>
      </c>
      <c r="AO255" s="371">
        <f t="shared" si="110"/>
        <v>280.73741663182489</v>
      </c>
      <c r="AP255" s="341">
        <v>93</v>
      </c>
      <c r="AQ255" s="341">
        <v>89.6</v>
      </c>
      <c r="AR255" s="341">
        <f>AQ255-AP255</f>
        <v>-3.4000000000000057</v>
      </c>
      <c r="AS255" s="372">
        <v>82343.199999999997</v>
      </c>
      <c r="AT255" s="352">
        <v>82344.5</v>
      </c>
      <c r="AU255" s="383">
        <f>AT255-AS255</f>
        <v>1.3000000000029104</v>
      </c>
      <c r="AV255" s="341"/>
      <c r="AW255" s="341"/>
      <c r="AX255" s="341"/>
      <c r="AY255" s="341"/>
      <c r="AZ255" s="362" t="s">
        <v>686</v>
      </c>
      <c r="BA255" s="550">
        <v>1482.8553650700001</v>
      </c>
      <c r="BB255" s="550">
        <v>-2.09262799</v>
      </c>
      <c r="BC255" s="550">
        <v>3344.6815076500002</v>
      </c>
      <c r="BD255" s="550">
        <v>3416.1692211</v>
      </c>
      <c r="BE255" s="550">
        <v>2.95435582</v>
      </c>
      <c r="BF255" s="550">
        <v>3.0186862300000001</v>
      </c>
      <c r="BG255" s="550">
        <v>-0.53492339</v>
      </c>
      <c r="BH255" s="550">
        <v>3.8391833100000001</v>
      </c>
      <c r="BI255" s="550">
        <v>3.85983045</v>
      </c>
      <c r="BJ255" s="550">
        <v>-1.6309055100000001</v>
      </c>
      <c r="BK255" s="550">
        <v>-2.13107311</v>
      </c>
      <c r="BL255" s="550">
        <v>0.71450546000000004</v>
      </c>
      <c r="BM255" s="550"/>
      <c r="BN255" s="550"/>
      <c r="BO255" s="550"/>
      <c r="BP255" s="550"/>
      <c r="BQ255" s="550"/>
      <c r="BR255" s="550"/>
      <c r="BS255" s="550"/>
    </row>
    <row r="256" spans="1:71" s="577" customFormat="1" ht="15" customHeight="1" x14ac:dyDescent="0.2">
      <c r="A256" s="404">
        <v>62008040</v>
      </c>
      <c r="B256" s="403" t="s">
        <v>629</v>
      </c>
      <c r="C256" s="403" t="s">
        <v>775</v>
      </c>
      <c r="D256" s="402" t="s">
        <v>718</v>
      </c>
      <c r="E256" s="346" t="s">
        <v>934</v>
      </c>
      <c r="F256" s="346" t="str">
        <f t="shared" si="92"/>
        <v>08/17/20</v>
      </c>
      <c r="G256" s="362" t="s">
        <v>935</v>
      </c>
      <c r="H256" s="362" t="s">
        <v>685</v>
      </c>
      <c r="I256" s="370"/>
      <c r="J256" s="364">
        <f>AVERAGE(J254:J255)</f>
        <v>-17.308002500000001</v>
      </c>
      <c r="K256" s="364">
        <f>AVERAGE(K254:K255)</f>
        <v>16.120534499999998</v>
      </c>
      <c r="L256" s="364">
        <f>AVERAGE(L254:L255)</f>
        <v>29.302988499999998</v>
      </c>
      <c r="M256" s="364">
        <f>AVERAGE(M254:M255)</f>
        <v>-4.7219354999999998</v>
      </c>
      <c r="N256" s="349"/>
      <c r="O256" s="347"/>
      <c r="P256" s="366"/>
      <c r="Q256" s="365"/>
      <c r="R256" s="350">
        <f>R255+R254</f>
        <v>7.42120742</v>
      </c>
      <c r="S256" s="350">
        <f>S255</f>
        <v>7.42120742</v>
      </c>
      <c r="T256" s="381">
        <f>T254</f>
        <v>95.8</v>
      </c>
      <c r="U256" s="381">
        <f>U255</f>
        <v>89.6</v>
      </c>
      <c r="V256" s="353">
        <f>V254</f>
        <v>-7576</v>
      </c>
      <c r="W256" s="353">
        <f>W255</f>
        <v>-5239</v>
      </c>
      <c r="X256" s="353">
        <f>SUM(X254:X255)</f>
        <v>2337</v>
      </c>
      <c r="Y256" s="353">
        <f t="shared" si="106"/>
        <v>314.90832525470631</v>
      </c>
      <c r="Z256" s="353">
        <f>Z254</f>
        <v>2401.234551</v>
      </c>
      <c r="AA256" s="353">
        <f>AA255</f>
        <v>2534.2163169999999</v>
      </c>
      <c r="AB256" s="353">
        <f>SUM(AB254:AB255)</f>
        <v>132.96854499999972</v>
      </c>
      <c r="AC256" s="351">
        <f t="shared" si="107"/>
        <v>17.917373477751376</v>
      </c>
      <c r="AD256" s="353">
        <f>AD254</f>
        <v>17.96</v>
      </c>
      <c r="AE256" s="353">
        <f>AE255</f>
        <v>14.14</v>
      </c>
      <c r="AF256" s="353">
        <f>SUM(AF254:AF255)</f>
        <v>-3.8200000000000003</v>
      </c>
      <c r="AG256" s="351">
        <f t="shared" si="108"/>
        <v>-0.51474103657380332</v>
      </c>
      <c r="AH256" s="353">
        <f>AH254</f>
        <v>7640.75</v>
      </c>
      <c r="AI256" s="353">
        <f>AI255</f>
        <v>7640.75</v>
      </c>
      <c r="AJ256" s="353">
        <f>SUM(AJ254:AJ255)</f>
        <v>0</v>
      </c>
      <c r="AK256" s="351">
        <f t="shared" si="109"/>
        <v>0</v>
      </c>
      <c r="AL256" s="353">
        <f>AL254</f>
        <v>5048.95</v>
      </c>
      <c r="AM256" s="353">
        <f>AM255</f>
        <v>6716.4446980000002</v>
      </c>
      <c r="AN256" s="353">
        <f>SUM(AN254:AN255)</f>
        <v>1667.2631440000005</v>
      </c>
      <c r="AO256" s="351">
        <f t="shared" si="110"/>
        <v>224.66197879158597</v>
      </c>
      <c r="AP256" s="343"/>
      <c r="AQ256" s="343"/>
      <c r="AR256" s="343">
        <f>SUM(AR254:AR255)</f>
        <v>-6.2000000000000028</v>
      </c>
      <c r="AS256" s="353">
        <f>AS254</f>
        <v>82342.5</v>
      </c>
      <c r="AT256" s="353">
        <f>AT255</f>
        <v>82344.5</v>
      </c>
      <c r="AU256" s="384">
        <f>SUM(AU254:AU255)</f>
        <v>2</v>
      </c>
      <c r="AV256" s="343"/>
      <c r="AW256" s="343"/>
      <c r="AX256" s="343"/>
      <c r="AY256" s="343"/>
      <c r="AZ256" s="362" t="s">
        <v>686</v>
      </c>
      <c r="BA256" s="550"/>
      <c r="BB256" s="550"/>
      <c r="BC256" s="550"/>
      <c r="BD256" s="550"/>
      <c r="BE256" s="550"/>
      <c r="BF256" s="550"/>
      <c r="BG256" s="550"/>
      <c r="BH256" s="550"/>
      <c r="BI256" s="550"/>
      <c r="BJ256" s="550"/>
      <c r="BK256" s="550"/>
      <c r="BL256" s="550"/>
      <c r="BM256" s="550"/>
      <c r="BN256" s="550"/>
      <c r="BO256" s="550"/>
      <c r="BP256" s="550"/>
      <c r="BQ256" s="550"/>
      <c r="BR256" s="550"/>
      <c r="BS256" s="550"/>
    </row>
    <row r="257" spans="1:71" s="577" customFormat="1" ht="15" customHeight="1" x14ac:dyDescent="0.2">
      <c r="A257" s="404">
        <v>62008040</v>
      </c>
      <c r="B257" s="403" t="s">
        <v>630</v>
      </c>
      <c r="C257" s="403" t="s">
        <v>776</v>
      </c>
      <c r="D257" s="402" t="s">
        <v>718</v>
      </c>
      <c r="E257" s="346" t="s">
        <v>934</v>
      </c>
      <c r="F257" s="346" t="str">
        <f t="shared" si="92"/>
        <v>08/17/20</v>
      </c>
      <c r="G257" s="362" t="s">
        <v>935</v>
      </c>
      <c r="H257" s="362" t="s">
        <v>685</v>
      </c>
      <c r="I257" s="370"/>
      <c r="J257" s="363">
        <v>-13.954682</v>
      </c>
      <c r="K257" s="363">
        <v>12.681964000000001</v>
      </c>
      <c r="L257" s="363">
        <v>29.300577000000001</v>
      </c>
      <c r="M257" s="363">
        <v>-1.3106</v>
      </c>
      <c r="N257" s="347">
        <v>4250</v>
      </c>
      <c r="O257" s="347">
        <v>30.36</v>
      </c>
      <c r="P257" s="347">
        <v>0.3201</v>
      </c>
      <c r="Q257" s="347">
        <v>1.9560000000000001E-2</v>
      </c>
      <c r="R257" s="348">
        <v>10.243577520000001</v>
      </c>
      <c r="S257" s="348">
        <f>R257+R256</f>
        <v>17.664784940000001</v>
      </c>
      <c r="T257" s="380">
        <v>89.6</v>
      </c>
      <c r="U257" s="380">
        <v>83.8</v>
      </c>
      <c r="V257" s="352">
        <v>-5238</v>
      </c>
      <c r="W257" s="352">
        <v>-2492</v>
      </c>
      <c r="X257" s="352">
        <f>W257-V257</f>
        <v>2746</v>
      </c>
      <c r="Y257" s="352">
        <f t="shared" si="106"/>
        <v>268.07040749568125</v>
      </c>
      <c r="Z257" s="372">
        <v>2535.7863040000002</v>
      </c>
      <c r="AA257" s="352">
        <v>2607.6357929999999</v>
      </c>
      <c r="AB257" s="352">
        <f>AA257-Z257</f>
        <v>71.849488999999721</v>
      </c>
      <c r="AC257" s="371">
        <f t="shared" si="107"/>
        <v>7.0141011633599391</v>
      </c>
      <c r="AD257" s="372">
        <v>14.12</v>
      </c>
      <c r="AE257" s="352">
        <v>13.19</v>
      </c>
      <c r="AF257" s="352">
        <f>AE257-AD257</f>
        <v>-0.92999999999999972</v>
      </c>
      <c r="AG257" s="371">
        <f t="shared" si="108"/>
        <v>-9.0788593944276574E-2</v>
      </c>
      <c r="AH257" s="372">
        <v>7640.75</v>
      </c>
      <c r="AI257" s="352">
        <v>7640.75</v>
      </c>
      <c r="AJ257" s="352">
        <f>AI257-AH257</f>
        <v>0</v>
      </c>
      <c r="AK257" s="371">
        <f t="shared" si="109"/>
        <v>0</v>
      </c>
      <c r="AL257" s="372">
        <v>6736.463006</v>
      </c>
      <c r="AM257" s="352">
        <v>7668.8398630000002</v>
      </c>
      <c r="AN257" s="352">
        <f>AM257-AL257</f>
        <v>932.3768570000002</v>
      </c>
      <c r="AO257" s="371">
        <f t="shared" si="110"/>
        <v>91.020627820660081</v>
      </c>
      <c r="AP257" s="341">
        <v>89.6</v>
      </c>
      <c r="AQ257" s="341">
        <v>83.8</v>
      </c>
      <c r="AR257" s="341">
        <f>AQ257-AP257</f>
        <v>-5.7999999999999972</v>
      </c>
      <c r="AS257" s="372">
        <v>82344.5</v>
      </c>
      <c r="AT257" s="352">
        <v>82345.7</v>
      </c>
      <c r="AU257" s="383">
        <f>AT257-AS257</f>
        <v>1.1999999999970896</v>
      </c>
      <c r="AV257" s="341"/>
      <c r="AW257" s="341"/>
      <c r="AX257" s="341"/>
      <c r="AY257" s="341"/>
      <c r="AZ257" s="362" t="s">
        <v>686</v>
      </c>
      <c r="BA257" s="550">
        <v>1945.4918813700001</v>
      </c>
      <c r="BB257" s="550">
        <v>-0.58223986000000005</v>
      </c>
      <c r="BC257" s="550">
        <v>1299.12118261</v>
      </c>
      <c r="BD257" s="550">
        <v>1306.72948247</v>
      </c>
      <c r="BE257" s="550">
        <v>7.9823628500000003</v>
      </c>
      <c r="BF257" s="550">
        <v>8.0200758499999996</v>
      </c>
      <c r="BG257" s="550">
        <v>-0.12695666</v>
      </c>
      <c r="BH257" s="550">
        <v>10.2436589</v>
      </c>
      <c r="BI257" s="550">
        <v>10.25668044</v>
      </c>
      <c r="BJ257" s="550">
        <v>-0.34489756999999999</v>
      </c>
      <c r="BK257" s="550">
        <v>-0.47023240999999999</v>
      </c>
      <c r="BL257" s="550">
        <v>0.28276744999999998</v>
      </c>
      <c r="BM257" s="550"/>
      <c r="BN257" s="550"/>
      <c r="BO257" s="550"/>
      <c r="BP257" s="550"/>
      <c r="BQ257" s="550"/>
      <c r="BR257" s="550"/>
      <c r="BS257" s="550"/>
    </row>
    <row r="258" spans="1:71" s="577" customFormat="1" ht="15" customHeight="1" x14ac:dyDescent="0.2">
      <c r="A258" s="404">
        <v>62008040</v>
      </c>
      <c r="B258" s="403" t="s">
        <v>631</v>
      </c>
      <c r="C258" s="403" t="s">
        <v>777</v>
      </c>
      <c r="D258" s="402" t="s">
        <v>718</v>
      </c>
      <c r="E258" s="346" t="s">
        <v>934</v>
      </c>
      <c r="F258" s="346" t="str">
        <f t="shared" si="92"/>
        <v>08/17/20</v>
      </c>
      <c r="G258" s="362" t="s">
        <v>935</v>
      </c>
      <c r="H258" s="362" t="s">
        <v>685</v>
      </c>
      <c r="I258" s="370"/>
      <c r="J258" s="363">
        <v>-18.154309999999999</v>
      </c>
      <c r="K258" s="363">
        <v>17.689893999999999</v>
      </c>
      <c r="L258" s="363">
        <v>29.302256</v>
      </c>
      <c r="M258" s="363">
        <v>-1.471409</v>
      </c>
      <c r="N258" s="347">
        <v>4250</v>
      </c>
      <c r="O258" s="347">
        <v>30.36</v>
      </c>
      <c r="P258" s="347">
        <v>0.3201</v>
      </c>
      <c r="Q258" s="347">
        <v>1.9560000000000001E-2</v>
      </c>
      <c r="R258" s="348">
        <v>3.57990575</v>
      </c>
      <c r="S258" s="348">
        <f>R258+R257</f>
        <v>13.823483270000001</v>
      </c>
      <c r="T258" s="380">
        <v>83.8</v>
      </c>
      <c r="U258" s="380">
        <v>81.2</v>
      </c>
      <c r="V258" s="352">
        <v>-2489</v>
      </c>
      <c r="W258" s="352">
        <v>-1468</v>
      </c>
      <c r="X258" s="352">
        <f>W258-V258</f>
        <v>1021</v>
      </c>
      <c r="Y258" s="352">
        <f t="shared" si="106"/>
        <v>285.20303921409106</v>
      </c>
      <c r="Z258" s="372">
        <v>2610.4956299999999</v>
      </c>
      <c r="AA258" s="352">
        <v>2658.5653769999999</v>
      </c>
      <c r="AB258" s="352">
        <f>AA258-Z258</f>
        <v>48.069747000000007</v>
      </c>
      <c r="AC258" s="371">
        <f t="shared" si="107"/>
        <v>13.427657138738919</v>
      </c>
      <c r="AD258" s="372">
        <v>15.96</v>
      </c>
      <c r="AE258" s="352">
        <v>14.1</v>
      </c>
      <c r="AF258" s="352">
        <f>AE258-AD258</f>
        <v>-1.8600000000000012</v>
      </c>
      <c r="AG258" s="371">
        <f t="shared" si="108"/>
        <v>-0.51956675116377049</v>
      </c>
      <c r="AH258" s="372">
        <v>7640.75</v>
      </c>
      <c r="AI258" s="352">
        <v>7640.75</v>
      </c>
      <c r="AJ258" s="352">
        <f>AI258-AH258</f>
        <v>0</v>
      </c>
      <c r="AK258" s="371">
        <f t="shared" si="109"/>
        <v>0</v>
      </c>
      <c r="AL258" s="372">
        <v>7675.25</v>
      </c>
      <c r="AM258" s="352">
        <v>8246.2537410000004</v>
      </c>
      <c r="AN258" s="352">
        <f>AM258-AL258</f>
        <v>571.00374100000045</v>
      </c>
      <c r="AO258" s="371">
        <f t="shared" si="110"/>
        <v>159.50245086759628</v>
      </c>
      <c r="AP258" s="341">
        <v>83.8</v>
      </c>
      <c r="AQ258" s="341">
        <v>81.2</v>
      </c>
      <c r="AR258" s="341">
        <f>AQ258-AP258</f>
        <v>-2.5999999999999943</v>
      </c>
      <c r="AS258" s="372">
        <v>82346.600000000006</v>
      </c>
      <c r="AT258" s="352">
        <v>82347.3</v>
      </c>
      <c r="AU258" s="383">
        <f>AT258-AS258</f>
        <v>0.69999999999708962</v>
      </c>
      <c r="AV258" s="341"/>
      <c r="AW258" s="341"/>
      <c r="AX258" s="341"/>
      <c r="AY258" s="341"/>
      <c r="AZ258" s="362" t="s">
        <v>686</v>
      </c>
      <c r="BA258" s="550">
        <v>2410.7179217100002</v>
      </c>
      <c r="BB258" s="550">
        <v>-1.6078346299999999</v>
      </c>
      <c r="BC258" s="550">
        <v>2015.7141574899999</v>
      </c>
      <c r="BD258" s="550">
        <v>2048.6531117</v>
      </c>
      <c r="BE258" s="550">
        <v>3.2180210800000002</v>
      </c>
      <c r="BF258" s="550">
        <v>3.2582852299999998</v>
      </c>
      <c r="BG258" s="550">
        <v>-0.31049395000000002</v>
      </c>
      <c r="BH258" s="550">
        <v>3.5798295800000002</v>
      </c>
      <c r="BI258" s="550">
        <v>3.59097935</v>
      </c>
      <c r="BJ258" s="550">
        <v>-0.93682957</v>
      </c>
      <c r="BK258" s="550">
        <v>-1.2357466800000001</v>
      </c>
      <c r="BL258" s="550">
        <v>0.59036202000000004</v>
      </c>
      <c r="BM258" s="550"/>
      <c r="BN258" s="550"/>
      <c r="BO258" s="550"/>
      <c r="BP258" s="550"/>
      <c r="BQ258" s="550"/>
      <c r="BR258" s="550"/>
      <c r="BS258" s="550"/>
    </row>
    <row r="259" spans="1:71" s="577" customFormat="1" ht="15" customHeight="1" x14ac:dyDescent="0.2">
      <c r="A259" s="404">
        <v>62008040</v>
      </c>
      <c r="B259" s="403" t="s">
        <v>895</v>
      </c>
      <c r="C259" s="403" t="s">
        <v>778</v>
      </c>
      <c r="D259" s="402" t="s">
        <v>718</v>
      </c>
      <c r="E259" s="346" t="s">
        <v>934</v>
      </c>
      <c r="F259" s="346" t="str">
        <f t="shared" si="92"/>
        <v>08/17/20</v>
      </c>
      <c r="G259" s="362" t="s">
        <v>935</v>
      </c>
      <c r="H259" s="362" t="s">
        <v>685</v>
      </c>
      <c r="I259" s="370"/>
      <c r="J259" s="363">
        <v>-17.855539</v>
      </c>
      <c r="K259" s="363">
        <v>16.242653000000001</v>
      </c>
      <c r="L259" s="363">
        <v>29.302734999999998</v>
      </c>
      <c r="M259" s="363">
        <v>-1.2369410000000001</v>
      </c>
      <c r="N259" s="347">
        <v>4250</v>
      </c>
      <c r="O259" s="347">
        <v>30.36</v>
      </c>
      <c r="P259" s="347">
        <v>0.3201</v>
      </c>
      <c r="Q259" s="347">
        <v>1.9560000000000001E-2</v>
      </c>
      <c r="R259" s="348">
        <v>3.84024477</v>
      </c>
      <c r="S259" s="348">
        <f>R259+R258</f>
        <v>7.42015052</v>
      </c>
      <c r="T259" s="380">
        <v>81.2</v>
      </c>
      <c r="U259" s="380">
        <v>78.2</v>
      </c>
      <c r="V259" s="352">
        <v>-1468</v>
      </c>
      <c r="W259" s="352">
        <v>-592</v>
      </c>
      <c r="X259" s="352">
        <f>W259-V259</f>
        <v>876</v>
      </c>
      <c r="Y259" s="352">
        <f t="shared" si="106"/>
        <v>228.11045974030452</v>
      </c>
      <c r="Z259" s="372">
        <v>2658.5854319999999</v>
      </c>
      <c r="AA259" s="352">
        <v>2735.4349379999999</v>
      </c>
      <c r="AB259" s="352">
        <f>AA259-Z259</f>
        <v>76.849506000000019</v>
      </c>
      <c r="AC259" s="371">
        <f t="shared" si="107"/>
        <v>20.011616603282302</v>
      </c>
      <c r="AD259" s="372">
        <v>14.1</v>
      </c>
      <c r="AE259" s="352">
        <v>12.66</v>
      </c>
      <c r="AF259" s="352">
        <f>AE259-AD259</f>
        <v>-1.4399999999999995</v>
      </c>
      <c r="AG259" s="371">
        <f t="shared" si="108"/>
        <v>-0.37497609820324018</v>
      </c>
      <c r="AH259" s="372">
        <v>7640.75</v>
      </c>
      <c r="AI259" s="352">
        <v>7640.75</v>
      </c>
      <c r="AJ259" s="352">
        <f>AI259-AH259</f>
        <v>0</v>
      </c>
      <c r="AK259" s="371">
        <f t="shared" si="109"/>
        <v>0</v>
      </c>
      <c r="AL259" s="372">
        <v>8246.531438</v>
      </c>
      <c r="AM259" s="352">
        <v>9256.9057190000003</v>
      </c>
      <c r="AN259" s="352">
        <f>AM259-AL259</f>
        <v>1010.3742810000003</v>
      </c>
      <c r="AO259" s="371">
        <f t="shared" si="110"/>
        <v>263.10153167658643</v>
      </c>
      <c r="AP259" s="341">
        <v>81.2</v>
      </c>
      <c r="AQ259" s="341">
        <v>78.2</v>
      </c>
      <c r="AR259" s="341">
        <f>AQ259-AP259</f>
        <v>-3</v>
      </c>
      <c r="AS259" s="372">
        <v>82347.3</v>
      </c>
      <c r="AT259" s="352">
        <v>82348.600000000006</v>
      </c>
      <c r="AU259" s="383">
        <f>AT259-AS259</f>
        <v>1.3000000000029104</v>
      </c>
      <c r="AV259" s="341"/>
      <c r="AW259" s="341"/>
      <c r="AX259" s="341"/>
      <c r="AY259" s="341"/>
      <c r="AZ259" s="362" t="s">
        <v>686</v>
      </c>
      <c r="BA259" s="550">
        <v>1481.6550478700001</v>
      </c>
      <c r="BB259" s="550">
        <v>-2.0750633299999999</v>
      </c>
      <c r="BC259" s="550">
        <v>3345.1039273800002</v>
      </c>
      <c r="BD259" s="550">
        <v>3415.9878383099999</v>
      </c>
      <c r="BE259" s="550">
        <v>2.9513960799999999</v>
      </c>
      <c r="BF259" s="550">
        <v>3.01841866</v>
      </c>
      <c r="BG259" s="550">
        <v>-0.51240079000000005</v>
      </c>
      <c r="BH259" s="550">
        <v>3.84005163</v>
      </c>
      <c r="BI259" s="550">
        <v>3.8598294200000001</v>
      </c>
      <c r="BJ259" s="550">
        <v>-1.7468403699999999</v>
      </c>
      <c r="BK259" s="550">
        <v>-2.2204533799999999</v>
      </c>
      <c r="BL259" s="550">
        <v>0.71451684000000004</v>
      </c>
      <c r="BM259" s="550"/>
      <c r="BN259" s="550"/>
      <c r="BO259" s="550"/>
      <c r="BP259" s="550"/>
      <c r="BQ259" s="550"/>
      <c r="BR259" s="550"/>
      <c r="BS259" s="550"/>
    </row>
    <row r="260" spans="1:71" s="577" customFormat="1" ht="15" customHeight="1" x14ac:dyDescent="0.2">
      <c r="A260" s="404">
        <v>62008040</v>
      </c>
      <c r="B260" s="403" t="s">
        <v>632</v>
      </c>
      <c r="C260" s="403" t="s">
        <v>779</v>
      </c>
      <c r="D260" s="402" t="s">
        <v>718</v>
      </c>
      <c r="E260" s="346" t="s">
        <v>934</v>
      </c>
      <c r="F260" s="346" t="str">
        <f t="shared" si="92"/>
        <v>08/17/20</v>
      </c>
      <c r="G260" s="362" t="s">
        <v>935</v>
      </c>
      <c r="H260" s="362" t="s">
        <v>685</v>
      </c>
      <c r="I260" s="370"/>
      <c r="J260" s="364">
        <f>AVERAGE(J258:J259)</f>
        <v>-18.004924500000001</v>
      </c>
      <c r="K260" s="364">
        <f>AVERAGE(K258:K259)</f>
        <v>16.9662735</v>
      </c>
      <c r="L260" s="364">
        <f>AVERAGE(L258:L259)</f>
        <v>29.302495499999999</v>
      </c>
      <c r="M260" s="364">
        <f>AVERAGE(M258:M259)</f>
        <v>-1.3541750000000001</v>
      </c>
      <c r="N260" s="349"/>
      <c r="O260" s="347"/>
      <c r="P260" s="366"/>
      <c r="Q260" s="365"/>
      <c r="R260" s="350">
        <f>R259+R258</f>
        <v>7.42015052</v>
      </c>
      <c r="S260" s="350">
        <f>S259</f>
        <v>7.42015052</v>
      </c>
      <c r="T260" s="381">
        <f>T258</f>
        <v>83.8</v>
      </c>
      <c r="U260" s="381">
        <f>U259</f>
        <v>78.2</v>
      </c>
      <c r="V260" s="353">
        <f>V258</f>
        <v>-2489</v>
      </c>
      <c r="W260" s="353">
        <f>W259</f>
        <v>-592</v>
      </c>
      <c r="X260" s="353">
        <f>SUM(X258:X259)</f>
        <v>1897</v>
      </c>
      <c r="Y260" s="353">
        <f t="shared" si="106"/>
        <v>255.65519121032602</v>
      </c>
      <c r="Z260" s="353">
        <f>Z258</f>
        <v>2610.4956299999999</v>
      </c>
      <c r="AA260" s="353">
        <f>AA259</f>
        <v>2735.4349379999999</v>
      </c>
      <c r="AB260" s="353">
        <f>SUM(AB258:AB259)</f>
        <v>124.91925300000003</v>
      </c>
      <c r="AC260" s="351">
        <f t="shared" si="107"/>
        <v>16.835137328184555</v>
      </c>
      <c r="AD260" s="353">
        <f>AD258</f>
        <v>15.96</v>
      </c>
      <c r="AE260" s="353">
        <f>AE259</f>
        <v>12.66</v>
      </c>
      <c r="AF260" s="353">
        <f>SUM(AF258:AF259)</f>
        <v>-3.3000000000000007</v>
      </c>
      <c r="AG260" s="351">
        <f t="shared" si="108"/>
        <v>-0.44473491354458411</v>
      </c>
      <c r="AH260" s="353">
        <f>AH258</f>
        <v>7640.75</v>
      </c>
      <c r="AI260" s="353">
        <f>AI259</f>
        <v>7640.75</v>
      </c>
      <c r="AJ260" s="353">
        <f>SUM(AJ258:AJ259)</f>
        <v>0</v>
      </c>
      <c r="AK260" s="351">
        <f t="shared" si="109"/>
        <v>0</v>
      </c>
      <c r="AL260" s="353">
        <f>AL258</f>
        <v>7675.25</v>
      </c>
      <c r="AM260" s="353">
        <f>AM259</f>
        <v>9256.9057190000003</v>
      </c>
      <c r="AN260" s="353">
        <f>SUM(AN258:AN259)</f>
        <v>1581.3780220000008</v>
      </c>
      <c r="AO260" s="351">
        <f t="shared" si="110"/>
        <v>213.11939936226534</v>
      </c>
      <c r="AP260" s="343"/>
      <c r="AQ260" s="343"/>
      <c r="AR260" s="343">
        <f>SUM(AR258:AR259)</f>
        <v>-5.5999999999999943</v>
      </c>
      <c r="AS260" s="353">
        <f>AS258</f>
        <v>82346.600000000006</v>
      </c>
      <c r="AT260" s="353">
        <f>AT259</f>
        <v>82348.600000000006</v>
      </c>
      <c r="AU260" s="384">
        <f>SUM(AU258:AU259)</f>
        <v>2</v>
      </c>
      <c r="AV260" s="343"/>
      <c r="AW260" s="343"/>
      <c r="AX260" s="343"/>
      <c r="AY260" s="343"/>
      <c r="AZ260" s="362" t="s">
        <v>686</v>
      </c>
      <c r="BA260" s="550"/>
      <c r="BB260" s="550"/>
      <c r="BC260" s="550"/>
      <c r="BD260" s="550"/>
      <c r="BE260" s="550"/>
      <c r="BF260" s="550"/>
      <c r="BG260" s="550"/>
      <c r="BH260" s="550"/>
      <c r="BI260" s="550"/>
      <c r="BJ260" s="550"/>
      <c r="BK260" s="550"/>
      <c r="BL260" s="550"/>
      <c r="BM260" s="550"/>
      <c r="BN260" s="550"/>
      <c r="BO260" s="550"/>
      <c r="BP260" s="550"/>
      <c r="BQ260" s="550"/>
      <c r="BR260" s="550"/>
      <c r="BS260" s="550"/>
    </row>
    <row r="261" spans="1:71" s="577" customFormat="1" ht="15" customHeight="1" x14ac:dyDescent="0.2">
      <c r="A261" s="404">
        <v>62008040</v>
      </c>
      <c r="B261" s="403" t="s">
        <v>633</v>
      </c>
      <c r="C261" s="403" t="s">
        <v>780</v>
      </c>
      <c r="D261" s="402" t="s">
        <v>718</v>
      </c>
      <c r="E261" s="346" t="s">
        <v>934</v>
      </c>
      <c r="F261" s="346" t="str">
        <f t="shared" si="92"/>
        <v>08/17/20</v>
      </c>
      <c r="G261" s="362" t="s">
        <v>935</v>
      </c>
      <c r="H261" s="362" t="s">
        <v>685</v>
      </c>
      <c r="I261" s="370"/>
      <c r="J261" s="363">
        <v>-14.89645</v>
      </c>
      <c r="K261" s="363">
        <v>13.392377</v>
      </c>
      <c r="L261" s="363">
        <v>29.300875000000001</v>
      </c>
      <c r="M261" s="363">
        <v>0.90036400000000005</v>
      </c>
      <c r="N261" s="347">
        <v>4250</v>
      </c>
      <c r="O261" s="347">
        <v>30.36</v>
      </c>
      <c r="P261" s="347">
        <v>0.3201</v>
      </c>
      <c r="Q261" s="347">
        <v>1.9560000000000001E-2</v>
      </c>
      <c r="R261" s="348">
        <v>1.76597023</v>
      </c>
      <c r="S261" s="348">
        <f>R261+R260</f>
        <v>9.1861207500000006</v>
      </c>
      <c r="T261" s="380">
        <v>78.099999999999994</v>
      </c>
      <c r="U261" s="380">
        <v>72</v>
      </c>
      <c r="V261" s="352">
        <v>-584</v>
      </c>
      <c r="W261" s="352">
        <v>2371</v>
      </c>
      <c r="X261" s="352">
        <f>W261-V261-X262</f>
        <v>790.53339800000003</v>
      </c>
      <c r="Y261" s="352">
        <f t="shared" si="106"/>
        <v>447.6482018612511</v>
      </c>
      <c r="Z261" s="372">
        <v>2743.2548900000002</v>
      </c>
      <c r="AA261" s="352">
        <v>2793.24</v>
      </c>
      <c r="AB261" s="352">
        <f>AA261-Z261-AB262</f>
        <v>19.655188999999609</v>
      </c>
      <c r="AC261" s="371">
        <f t="shared" si="107"/>
        <v>11.129966216927457</v>
      </c>
      <c r="AD261" s="372">
        <v>12.55</v>
      </c>
      <c r="AE261" s="352">
        <v>11.92</v>
      </c>
      <c r="AF261" s="352">
        <f>AE261-AD261-AF262</f>
        <v>-0.25</v>
      </c>
      <c r="AG261" s="371">
        <f t="shared" si="108"/>
        <v>-0.14156524031551768</v>
      </c>
      <c r="AH261" s="372">
        <v>7640.75</v>
      </c>
      <c r="AI261" s="352">
        <v>7640.75</v>
      </c>
      <c r="AJ261" s="352">
        <f>AI261-AH261-AJ262</f>
        <v>0</v>
      </c>
      <c r="AK261" s="371">
        <f t="shared" si="109"/>
        <v>0</v>
      </c>
      <c r="AL261" s="372">
        <v>9357.2989300000008</v>
      </c>
      <c r="AM261" s="352">
        <v>9990.5954330000004</v>
      </c>
      <c r="AN261" s="352">
        <f>AM261-AL261-AN262</f>
        <v>242.54722299999958</v>
      </c>
      <c r="AO261" s="371">
        <f t="shared" si="110"/>
        <v>137.34502364742556</v>
      </c>
      <c r="AP261" s="341">
        <v>78.099999999999994</v>
      </c>
      <c r="AQ261" s="341">
        <v>72</v>
      </c>
      <c r="AR261" s="341">
        <f>AQ261-AP261-AR262</f>
        <v>-1.7999999999999829</v>
      </c>
      <c r="AS261" s="372">
        <v>82348.7</v>
      </c>
      <c r="AT261" s="352">
        <v>82349.600000000006</v>
      </c>
      <c r="AU261" s="383">
        <f>AT261-AS261-AU262</f>
        <v>0.30000000000291038</v>
      </c>
      <c r="AV261" s="341"/>
      <c r="AW261" s="341"/>
      <c r="AX261" s="341"/>
      <c r="AY261" s="341"/>
      <c r="AZ261" s="362" t="s">
        <v>686</v>
      </c>
      <c r="BA261" s="550">
        <v>5559.7814631000001</v>
      </c>
      <c r="BB261" s="550">
        <v>-0.73949571000000003</v>
      </c>
      <c r="BC261" s="550">
        <v>2441.0813932299998</v>
      </c>
      <c r="BD261" s="550">
        <v>2459.2675713399999</v>
      </c>
      <c r="BE261" s="550">
        <v>3.16470531</v>
      </c>
      <c r="BF261" s="550">
        <v>3.20769766</v>
      </c>
      <c r="BG261" s="550">
        <v>-0.34862393000000003</v>
      </c>
      <c r="BH261" s="550">
        <v>1.76592675</v>
      </c>
      <c r="BI261" s="550">
        <v>1.7721047299999999</v>
      </c>
      <c r="BJ261" s="550">
        <v>-1.00513477</v>
      </c>
      <c r="BK261" s="550">
        <v>-1.3402870099999999</v>
      </c>
      <c r="BL261" s="550">
        <v>0.81478196000000003</v>
      </c>
      <c r="BM261" s="550"/>
      <c r="BN261" s="550"/>
      <c r="BO261" s="550"/>
      <c r="BP261" s="550"/>
      <c r="BQ261" s="550"/>
      <c r="BR261" s="550"/>
      <c r="BS261" s="550"/>
    </row>
    <row r="262" spans="1:71" s="577" customFormat="1" ht="15" customHeight="1" x14ac:dyDescent="0.2">
      <c r="A262" s="404">
        <v>62008040</v>
      </c>
      <c r="B262" s="403" t="s">
        <v>634</v>
      </c>
      <c r="C262" s="403" t="s">
        <v>781</v>
      </c>
      <c r="D262" s="402" t="s">
        <v>718</v>
      </c>
      <c r="E262" s="346" t="s">
        <v>934</v>
      </c>
      <c r="F262" s="346" t="str">
        <f t="shared" si="92"/>
        <v>08/17/20</v>
      </c>
      <c r="G262" s="362" t="s">
        <v>935</v>
      </c>
      <c r="H262" s="362" t="s">
        <v>685</v>
      </c>
      <c r="I262" s="370"/>
      <c r="J262" s="363">
        <v>-10.600028</v>
      </c>
      <c r="K262" s="363">
        <v>9.9088960000000004</v>
      </c>
      <c r="L262" s="363">
        <v>29.299716</v>
      </c>
      <c r="M262" s="363">
        <v>0.21839600000000001</v>
      </c>
      <c r="N262" s="347">
        <v>4250</v>
      </c>
      <c r="O262" s="347">
        <v>30.36</v>
      </c>
      <c r="P262" s="347">
        <v>0.3201</v>
      </c>
      <c r="Q262" s="347">
        <v>1.9560000000000001E-2</v>
      </c>
      <c r="R262" s="348">
        <v>6.2253455600000001</v>
      </c>
      <c r="S262" s="348">
        <f>R262+R261</f>
        <v>7.9913157899999998</v>
      </c>
      <c r="T262" s="380">
        <v>76.900000000000006</v>
      </c>
      <c r="U262" s="380">
        <v>72.599999999999994</v>
      </c>
      <c r="V262" s="352">
        <v>-43</v>
      </c>
      <c r="W262" s="352">
        <v>2121.466602</v>
      </c>
      <c r="X262" s="352">
        <f>W262-V262</f>
        <v>2164.466602</v>
      </c>
      <c r="Y262" s="352">
        <f t="shared" si="106"/>
        <v>347.68617760071777</v>
      </c>
      <c r="Z262" s="372">
        <v>2754.2947450000001</v>
      </c>
      <c r="AA262" s="352">
        <v>2784.6246660000002</v>
      </c>
      <c r="AB262" s="352">
        <f>AA262-Z262</f>
        <v>30.329921000000013</v>
      </c>
      <c r="AC262" s="371">
        <f t="shared" si="107"/>
        <v>4.8720060127875078</v>
      </c>
      <c r="AD262" s="372">
        <v>12.4</v>
      </c>
      <c r="AE262" s="352">
        <v>12.02</v>
      </c>
      <c r="AF262" s="352">
        <f>AE262-AD262</f>
        <v>-0.38000000000000078</v>
      </c>
      <c r="AG262" s="371">
        <f t="shared" si="108"/>
        <v>-6.1040788232163738E-2</v>
      </c>
      <c r="AH262" s="372">
        <v>7640.75</v>
      </c>
      <c r="AI262" s="352">
        <v>7640.75</v>
      </c>
      <c r="AJ262" s="352">
        <f>AI262-AH262</f>
        <v>0</v>
      </c>
      <c r="AK262" s="371">
        <f t="shared" si="109"/>
        <v>0</v>
      </c>
      <c r="AL262" s="372">
        <v>9497.3973970000006</v>
      </c>
      <c r="AM262" s="352">
        <v>9888.1466770000006</v>
      </c>
      <c r="AN262" s="352">
        <f>AM262-AL262</f>
        <v>390.74928</v>
      </c>
      <c r="AO262" s="371">
        <f t="shared" si="110"/>
        <v>62.767484348290537</v>
      </c>
      <c r="AP262" s="341">
        <v>76.900000000000006</v>
      </c>
      <c r="AQ262" s="341">
        <v>72.599999999999994</v>
      </c>
      <c r="AR262" s="341">
        <f>AQ262-AP262</f>
        <v>-4.3000000000000114</v>
      </c>
      <c r="AS262" s="372">
        <v>82348.899999999994</v>
      </c>
      <c r="AT262" s="352">
        <v>82349.5</v>
      </c>
      <c r="AU262" s="383">
        <f>AT262-AS262</f>
        <v>0.60000000000582077</v>
      </c>
      <c r="AV262" s="341"/>
      <c r="AW262" s="341"/>
      <c r="AX262" s="341"/>
      <c r="AY262" s="341"/>
      <c r="AZ262" s="362" t="s">
        <v>686</v>
      </c>
      <c r="BA262" s="550">
        <v>11810.521744670001</v>
      </c>
      <c r="BB262" s="550">
        <v>-9.4684796299999991</v>
      </c>
      <c r="BC262" s="550">
        <v>1030.4833642200001</v>
      </c>
      <c r="BD262" s="550">
        <v>1138.2592051500001</v>
      </c>
      <c r="BE262" s="550">
        <v>6.9260816299999997</v>
      </c>
      <c r="BF262" s="550">
        <v>7.08404554</v>
      </c>
      <c r="BG262" s="550">
        <v>-0.15168998</v>
      </c>
      <c r="BH262" s="550">
        <v>6.2254004099999998</v>
      </c>
      <c r="BI262" s="550">
        <v>6.2348580599999996</v>
      </c>
      <c r="BJ262" s="550">
        <v>-2.1255614500000002</v>
      </c>
      <c r="BK262" s="550">
        <v>-2.2298545000000001</v>
      </c>
      <c r="BL262" s="550">
        <v>0.34891080000000002</v>
      </c>
      <c r="BM262" s="550"/>
      <c r="BN262" s="550"/>
      <c r="BO262" s="550"/>
      <c r="BP262" s="550"/>
      <c r="BQ262" s="550"/>
      <c r="BR262" s="550"/>
      <c r="BS262" s="550"/>
    </row>
    <row r="263" spans="1:71" s="577" customFormat="1" ht="15" customHeight="1" x14ac:dyDescent="0.2">
      <c r="A263" s="404">
        <v>62008040</v>
      </c>
      <c r="B263" s="403" t="s">
        <v>635</v>
      </c>
      <c r="C263" s="403" t="s">
        <v>782</v>
      </c>
      <c r="D263" s="402" t="s">
        <v>718</v>
      </c>
      <c r="E263" s="346" t="s">
        <v>934</v>
      </c>
      <c r="F263" s="346" t="str">
        <f t="shared" si="92"/>
        <v>08/17/20</v>
      </c>
      <c r="G263" s="362" t="s">
        <v>935</v>
      </c>
      <c r="H263" s="362" t="s">
        <v>685</v>
      </c>
      <c r="I263" s="370"/>
      <c r="J263" s="364">
        <f>AVERAGE(J261:J262)</f>
        <v>-12.748239</v>
      </c>
      <c r="K263" s="364">
        <f>AVERAGE(K261:K262)</f>
        <v>11.650636500000001</v>
      </c>
      <c r="L263" s="364">
        <f>AVERAGE(L261:L262)</f>
        <v>29.300295500000001</v>
      </c>
      <c r="M263" s="364">
        <f>AVERAGE(M261:M262)</f>
        <v>0.55937999999999999</v>
      </c>
      <c r="N263" s="349"/>
      <c r="O263" s="347"/>
      <c r="P263" s="366"/>
      <c r="Q263" s="365"/>
      <c r="R263" s="350">
        <f>R262+R261</f>
        <v>7.9913157899999998</v>
      </c>
      <c r="S263" s="350">
        <f>S262</f>
        <v>7.9913157899999998</v>
      </c>
      <c r="T263" s="381">
        <f>T261</f>
        <v>78.099999999999994</v>
      </c>
      <c r="U263" s="381">
        <f>U262</f>
        <v>72.599999999999994</v>
      </c>
      <c r="V263" s="353">
        <f>V261</f>
        <v>-584</v>
      </c>
      <c r="W263" s="353">
        <f>W262</f>
        <v>2121.466602</v>
      </c>
      <c r="X263" s="353">
        <f>SUM(X261:X262)</f>
        <v>2955</v>
      </c>
      <c r="Y263" s="353">
        <f t="shared" si="106"/>
        <v>369.77640199099176</v>
      </c>
      <c r="Z263" s="353">
        <f>Z261</f>
        <v>2743.2548900000002</v>
      </c>
      <c r="AA263" s="353">
        <f>AA262</f>
        <v>2784.6246660000002</v>
      </c>
      <c r="AB263" s="353">
        <f>SUM(AB261:AB262)</f>
        <v>49.985109999999622</v>
      </c>
      <c r="AC263" s="351">
        <f t="shared" si="107"/>
        <v>6.2549286392297132</v>
      </c>
      <c r="AD263" s="353">
        <f>AD261</f>
        <v>12.55</v>
      </c>
      <c r="AE263" s="353">
        <f>AE262</f>
        <v>12.02</v>
      </c>
      <c r="AF263" s="353">
        <f>SUM(AF261:AF262)</f>
        <v>-0.63000000000000078</v>
      </c>
      <c r="AG263" s="351">
        <f t="shared" si="108"/>
        <v>-7.8835578089450117E-2</v>
      </c>
      <c r="AH263" s="353">
        <f>AH261</f>
        <v>7640.75</v>
      </c>
      <c r="AI263" s="353">
        <f>AI262</f>
        <v>7640.75</v>
      </c>
      <c r="AJ263" s="353">
        <f>SUM(AJ261:AJ262)</f>
        <v>0</v>
      </c>
      <c r="AK263" s="351">
        <f t="shared" si="109"/>
        <v>0</v>
      </c>
      <c r="AL263" s="353">
        <f>AL261</f>
        <v>9357.2989300000008</v>
      </c>
      <c r="AM263" s="353">
        <f>AM262</f>
        <v>9888.1466770000006</v>
      </c>
      <c r="AN263" s="353">
        <f>SUM(AN261:AN262)</f>
        <v>633.29650299999957</v>
      </c>
      <c r="AO263" s="351">
        <f t="shared" si="110"/>
        <v>79.248088755606489</v>
      </c>
      <c r="AP263" s="343"/>
      <c r="AQ263" s="343"/>
      <c r="AR263" s="343">
        <f>SUM(AR261:AR262)</f>
        <v>-6.0999999999999943</v>
      </c>
      <c r="AS263" s="353">
        <f>AS261</f>
        <v>82348.7</v>
      </c>
      <c r="AT263" s="353">
        <f>AT262</f>
        <v>82349.5</v>
      </c>
      <c r="AU263" s="384">
        <f>SUM(AU261:AU262)</f>
        <v>0.90000000000873115</v>
      </c>
      <c r="AV263" s="343"/>
      <c r="AW263" s="343"/>
      <c r="AX263" s="343"/>
      <c r="AY263" s="343"/>
      <c r="AZ263" s="362" t="s">
        <v>686</v>
      </c>
      <c r="BA263" s="550"/>
      <c r="BB263" s="550"/>
      <c r="BC263" s="550"/>
      <c r="BD263" s="550"/>
      <c r="BE263" s="550"/>
      <c r="BF263" s="550"/>
      <c r="BG263" s="550"/>
      <c r="BH263" s="550"/>
      <c r="BI263" s="550"/>
      <c r="BJ263" s="550"/>
      <c r="BK263" s="550"/>
      <c r="BL263" s="550"/>
      <c r="BM263" s="550"/>
      <c r="BN263" s="550"/>
      <c r="BO263" s="550"/>
      <c r="BP263" s="550"/>
      <c r="BQ263" s="550"/>
      <c r="BR263" s="550"/>
      <c r="BS263" s="550"/>
    </row>
    <row r="264" spans="1:71" s="577" customFormat="1" ht="15" customHeight="1" x14ac:dyDescent="0.2">
      <c r="A264" s="404">
        <v>62008041</v>
      </c>
      <c r="B264" s="403" t="s">
        <v>896</v>
      </c>
      <c r="C264" s="403" t="s">
        <v>773</v>
      </c>
      <c r="D264" s="402" t="s">
        <v>936</v>
      </c>
      <c r="E264" s="346" t="s">
        <v>937</v>
      </c>
      <c r="F264" s="346" t="str">
        <f t="shared" si="92"/>
        <v>08/17/20</v>
      </c>
      <c r="G264" s="362" t="s">
        <v>938</v>
      </c>
      <c r="H264" s="362" t="s">
        <v>685</v>
      </c>
      <c r="I264" s="370"/>
      <c r="J264" s="363">
        <v>9.0445879999999992</v>
      </c>
      <c r="K264" s="363">
        <v>-13.507462</v>
      </c>
      <c r="L264" s="363">
        <v>-41.156331999999999</v>
      </c>
      <c r="M264" s="363">
        <v>-4.7377310000000001</v>
      </c>
      <c r="N264" s="347">
        <v>4250</v>
      </c>
      <c r="O264" s="347">
        <v>30.36</v>
      </c>
      <c r="P264" s="347">
        <v>0.3201</v>
      </c>
      <c r="Q264" s="347">
        <v>1.9560000000000001E-2</v>
      </c>
      <c r="R264" s="348">
        <v>68.371234180000002</v>
      </c>
      <c r="S264" s="348">
        <f>R264+R263</f>
        <v>76.362549970000003</v>
      </c>
      <c r="T264" s="380">
        <v>72</v>
      </c>
      <c r="U264" s="380">
        <v>29.7</v>
      </c>
      <c r="V264" s="352">
        <v>2372</v>
      </c>
      <c r="W264" s="352">
        <v>25335</v>
      </c>
      <c r="X264" s="352">
        <f>W264-V264</f>
        <v>22963</v>
      </c>
      <c r="Y264" s="352">
        <f t="shared" si="106"/>
        <v>335.85762017320951</v>
      </c>
      <c r="Z264" s="372">
        <v>2794.2044470000001</v>
      </c>
      <c r="AA264" s="352">
        <v>3100.95</v>
      </c>
      <c r="AB264" s="352">
        <f>AA264-Z264</f>
        <v>306.74555299999975</v>
      </c>
      <c r="AC264" s="371">
        <f t="shared" si="107"/>
        <v>4.4864709066452564</v>
      </c>
      <c r="AD264" s="372">
        <v>14.7</v>
      </c>
      <c r="AE264" s="352">
        <v>9.08</v>
      </c>
      <c r="AF264" s="352">
        <f>AE264-AD264</f>
        <v>-5.6199999999999992</v>
      </c>
      <c r="AG264" s="371">
        <f t="shared" si="108"/>
        <v>-8.2198311430276408E-2</v>
      </c>
      <c r="AH264" s="372">
        <v>7640.75</v>
      </c>
      <c r="AI264" s="352">
        <v>9540.7145390000005</v>
      </c>
      <c r="AJ264" s="352">
        <f>AI264-AH264</f>
        <v>1899.9645390000005</v>
      </c>
      <c r="AK264" s="371">
        <f t="shared" si="109"/>
        <v>27.788946064626977</v>
      </c>
      <c r="AL264" s="372">
        <v>9994.25</v>
      </c>
      <c r="AM264" s="352">
        <v>11634.35</v>
      </c>
      <c r="AN264" s="352">
        <f>AM264-AL264</f>
        <v>1640.1000000000004</v>
      </c>
      <c r="AO264" s="371">
        <f t="shared" si="110"/>
        <v>23.988158465622131</v>
      </c>
      <c r="AP264" s="341">
        <v>72</v>
      </c>
      <c r="AQ264" s="341">
        <v>29.7</v>
      </c>
      <c r="AR264" s="341">
        <f>AQ264-AP264</f>
        <v>-42.3</v>
      </c>
      <c r="AS264" s="372">
        <v>82350.5</v>
      </c>
      <c r="AT264" s="352">
        <v>82356.2</v>
      </c>
      <c r="AU264" s="383">
        <f>AT264-AS264</f>
        <v>5.6999999999970896</v>
      </c>
      <c r="AV264" s="341"/>
      <c r="AW264" s="341"/>
      <c r="AX264" s="341"/>
      <c r="AY264" s="341"/>
      <c r="AZ264" s="362" t="s">
        <v>686</v>
      </c>
      <c r="BA264" s="550">
        <v>35.127637180000001</v>
      </c>
      <c r="BB264" s="550">
        <v>30.506714039999999</v>
      </c>
      <c r="BC264" s="550">
        <v>758.44237876</v>
      </c>
      <c r="BD264" s="550">
        <v>581.15200000000004</v>
      </c>
      <c r="BE264" s="550">
        <v>65.909559029999997</v>
      </c>
      <c r="BF264" s="550">
        <v>66.086198199999998</v>
      </c>
      <c r="BG264" s="550">
        <v>-0.11230717</v>
      </c>
      <c r="BH264" s="550">
        <v>68.371800289999996</v>
      </c>
      <c r="BI264" s="550">
        <v>68.448673060000004</v>
      </c>
      <c r="BJ264" s="550">
        <v>-0.15539421</v>
      </c>
      <c r="BK264" s="550">
        <v>-0.26728603000000001</v>
      </c>
      <c r="BL264" s="550">
        <v>1.2499909999999999E-2</v>
      </c>
      <c r="BM264" s="550"/>
      <c r="BN264" s="550"/>
      <c r="BO264" s="550"/>
      <c r="BP264" s="550"/>
      <c r="BQ264" s="550"/>
      <c r="BR264" s="550"/>
      <c r="BS264" s="550"/>
    </row>
    <row r="265" spans="1:71" ht="15" customHeight="1" x14ac:dyDescent="0.2">
      <c r="A265" s="404">
        <v>62008042</v>
      </c>
      <c r="B265" s="403" t="s">
        <v>633</v>
      </c>
      <c r="C265" s="403" t="s">
        <v>810</v>
      </c>
      <c r="D265" s="402" t="s">
        <v>724</v>
      </c>
      <c r="E265" s="346" t="s">
        <v>939</v>
      </c>
      <c r="F265" s="346" t="str">
        <f t="shared" si="92"/>
        <v>08/17/20</v>
      </c>
      <c r="G265" s="362" t="s">
        <v>940</v>
      </c>
      <c r="H265" s="362" t="s">
        <v>685</v>
      </c>
      <c r="I265" s="370"/>
      <c r="J265" s="363">
        <v>-11.063801</v>
      </c>
      <c r="K265" s="363">
        <v>12.420619</v>
      </c>
      <c r="L265" s="363">
        <v>29.311591</v>
      </c>
      <c r="M265" s="363">
        <v>6.0944940000000001</v>
      </c>
      <c r="N265" s="347">
        <v>4250</v>
      </c>
      <c r="O265" s="347">
        <v>30.36</v>
      </c>
      <c r="P265" s="347">
        <v>0.3201</v>
      </c>
      <c r="Q265" s="347">
        <v>1.9560000000000001E-2</v>
      </c>
      <c r="R265" s="348">
        <v>1.7644522600000001</v>
      </c>
      <c r="S265" s="348">
        <f>R265+R264</f>
        <v>70.135686440000001</v>
      </c>
      <c r="T265" s="380">
        <v>29.6</v>
      </c>
      <c r="U265" s="380">
        <v>24</v>
      </c>
      <c r="V265" s="352">
        <v>25353</v>
      </c>
      <c r="W265" s="352">
        <v>28298</v>
      </c>
      <c r="X265" s="352">
        <f>W265-V265-X266</f>
        <v>717</v>
      </c>
      <c r="Y265" s="352">
        <f t="shared" si="106"/>
        <v>406.35840155856636</v>
      </c>
      <c r="Z265" s="372">
        <v>3116.63</v>
      </c>
      <c r="AA265" s="352">
        <v>3171.4428240000002</v>
      </c>
      <c r="AB265" s="352">
        <f>AA265-Z265-AB266</f>
        <v>24.420247000000018</v>
      </c>
      <c r="AC265" s="371">
        <f t="shared" si="107"/>
        <v>13.84012906078854</v>
      </c>
      <c r="AD265" s="372">
        <v>9.2200000000000006</v>
      </c>
      <c r="AE265" s="352">
        <v>8.44</v>
      </c>
      <c r="AF265" s="352">
        <f>AE265-AD265-AF266</f>
        <v>-0.39000000000000057</v>
      </c>
      <c r="AG265" s="371">
        <f t="shared" si="108"/>
        <v>-0.22103176653813267</v>
      </c>
      <c r="AH265" s="372">
        <v>9541.15</v>
      </c>
      <c r="AI265" s="352">
        <v>9848.8141410000007</v>
      </c>
      <c r="AJ265" s="352">
        <f>AI265-AH265-AJ266</f>
        <v>112.129637</v>
      </c>
      <c r="AK265" s="371">
        <f t="shared" si="109"/>
        <v>63.549260890742374</v>
      </c>
      <c r="AL265" s="372">
        <v>11634.4</v>
      </c>
      <c r="AM265" s="352">
        <v>11785.064141000001</v>
      </c>
      <c r="AN265" s="352">
        <f>AM265-AL265-AN266</f>
        <v>50.399919000001319</v>
      </c>
      <c r="AO265" s="371">
        <f t="shared" si="110"/>
        <v>28.56405930756172</v>
      </c>
      <c r="AP265" s="341">
        <v>29.6</v>
      </c>
      <c r="AQ265" s="341">
        <v>24</v>
      </c>
      <c r="AR265" s="341">
        <f>AQ265-AP265-AR266</f>
        <v>-1.4000000000000021</v>
      </c>
      <c r="AS265" s="372">
        <v>82356.800000000003</v>
      </c>
      <c r="AT265" s="352">
        <v>82357.7</v>
      </c>
      <c r="AU265" s="383">
        <f>AT265-AS265-AU266</f>
        <v>0.29999999998835847</v>
      </c>
      <c r="AV265" s="341"/>
      <c r="AW265" s="341"/>
      <c r="AX265" s="341"/>
      <c r="AY265" s="341"/>
      <c r="AZ265" s="362" t="s">
        <v>686</v>
      </c>
      <c r="BA265" s="550">
        <v>5548.04631832</v>
      </c>
      <c r="BB265" s="550">
        <v>-1.1639662799999999</v>
      </c>
      <c r="BC265" s="550">
        <v>2431.1011419199999</v>
      </c>
      <c r="BD265" s="550">
        <v>2459.7315882600001</v>
      </c>
      <c r="BE265" s="550">
        <v>3.1677266300000002</v>
      </c>
      <c r="BF265" s="550">
        <v>3.20859191</v>
      </c>
      <c r="BG265" s="550">
        <v>-0.43891780000000002</v>
      </c>
      <c r="BH265" s="550">
        <v>1.76442118</v>
      </c>
      <c r="BI265" s="550">
        <v>1.7721996799999999</v>
      </c>
      <c r="BJ265" s="550">
        <v>-0.84547079999999997</v>
      </c>
      <c r="BK265" s="550">
        <v>-1.2736205199999999</v>
      </c>
      <c r="BL265" s="550">
        <v>0.81481439</v>
      </c>
    </row>
    <row r="266" spans="1:71" ht="15" customHeight="1" x14ac:dyDescent="0.2">
      <c r="A266" s="404">
        <f t="shared" ref="A266:A274" si="111">A265</f>
        <v>62008042</v>
      </c>
      <c r="B266" s="403" t="s">
        <v>634</v>
      </c>
      <c r="C266" s="403" t="s">
        <v>774</v>
      </c>
      <c r="D266" s="402" t="s">
        <v>724</v>
      </c>
      <c r="E266" s="346" t="s">
        <v>939</v>
      </c>
      <c r="F266" s="346" t="str">
        <f t="shared" si="92"/>
        <v>08/17/20</v>
      </c>
      <c r="G266" s="362" t="s">
        <v>940</v>
      </c>
      <c r="H266" s="362" t="s">
        <v>685</v>
      </c>
      <c r="I266" s="370"/>
      <c r="J266" s="363">
        <v>-7.3533559999999998</v>
      </c>
      <c r="K266" s="363">
        <v>10.302571</v>
      </c>
      <c r="L266" s="363">
        <v>29.309716000000002</v>
      </c>
      <c r="M266" s="363">
        <v>3.5194009999999998</v>
      </c>
      <c r="N266" s="347">
        <v>4250</v>
      </c>
      <c r="O266" s="347">
        <v>30.36</v>
      </c>
      <c r="P266" s="347">
        <v>0.3201</v>
      </c>
      <c r="Q266" s="347">
        <v>1.9560000000000001E-2</v>
      </c>
      <c r="R266" s="348">
        <v>6.2289323999999997</v>
      </c>
      <c r="S266" s="348">
        <f>R266+R265</f>
        <v>7.9933846600000003</v>
      </c>
      <c r="T266" s="380">
        <v>28.7</v>
      </c>
      <c r="U266" s="380">
        <v>24.5</v>
      </c>
      <c r="V266" s="352">
        <v>25842</v>
      </c>
      <c r="W266" s="352">
        <v>28070</v>
      </c>
      <c r="X266" s="352">
        <f>W266-V266</f>
        <v>2228</v>
      </c>
      <c r="Y266" s="352">
        <f t="shared" si="106"/>
        <v>357.6856926557752</v>
      </c>
      <c r="Z266" s="372">
        <v>3129.603102</v>
      </c>
      <c r="AA266" s="352">
        <v>3159.9956790000001</v>
      </c>
      <c r="AB266" s="352">
        <f>AA266-Z266</f>
        <v>30.392577000000074</v>
      </c>
      <c r="AC266" s="371">
        <f t="shared" si="107"/>
        <v>4.879259405672804</v>
      </c>
      <c r="AD266" s="372">
        <v>8.92</v>
      </c>
      <c r="AE266" s="352">
        <v>8.5299999999999994</v>
      </c>
      <c r="AF266" s="352">
        <f>AE266-AD266</f>
        <v>-0.39000000000000057</v>
      </c>
      <c r="AG266" s="371">
        <f t="shared" si="108"/>
        <v>-6.2611050330230039E-2</v>
      </c>
      <c r="AH266" s="372">
        <v>9604.5654959999993</v>
      </c>
      <c r="AI266" s="352">
        <v>9800.1</v>
      </c>
      <c r="AJ266" s="352">
        <f>AI266-AH266</f>
        <v>195.53450400000111</v>
      </c>
      <c r="AK266" s="371">
        <f t="shared" si="109"/>
        <v>31.391335054463124</v>
      </c>
      <c r="AL266" s="372">
        <v>11661.9</v>
      </c>
      <c r="AM266" s="352">
        <v>11762.164221999999</v>
      </c>
      <c r="AN266" s="352">
        <f>AM266-AL266</f>
        <v>100.26422199999979</v>
      </c>
      <c r="AO266" s="371">
        <f t="shared" si="110"/>
        <v>16.096533974264965</v>
      </c>
      <c r="AP266" s="341">
        <v>28.7</v>
      </c>
      <c r="AQ266" s="341">
        <v>24.5</v>
      </c>
      <c r="AR266" s="341">
        <f>AQ266-AP266</f>
        <v>-4.1999999999999993</v>
      </c>
      <c r="AS266" s="372">
        <v>82356.899999999994</v>
      </c>
      <c r="AT266" s="352">
        <v>82357.5</v>
      </c>
      <c r="AU266" s="383">
        <f>AT266-AS266</f>
        <v>0.60000000000582077</v>
      </c>
      <c r="AV266" s="341"/>
      <c r="AW266" s="341"/>
      <c r="AX266" s="341"/>
      <c r="AY266" s="341"/>
      <c r="AZ266" s="362" t="s">
        <v>686</v>
      </c>
      <c r="BA266" s="550">
        <v>11829.15045005</v>
      </c>
      <c r="BB266" s="550">
        <v>-9.7007690499999999</v>
      </c>
      <c r="BC266" s="550">
        <v>1028.81922022</v>
      </c>
      <c r="BD266" s="550">
        <v>1139.3443879900001</v>
      </c>
      <c r="BE266" s="550">
        <v>6.9213134099999998</v>
      </c>
      <c r="BF266" s="550">
        <v>7.0879527099999997</v>
      </c>
      <c r="BG266" s="550">
        <v>-0.10854088000000001</v>
      </c>
      <c r="BH266" s="550">
        <v>6.2289853900000001</v>
      </c>
      <c r="BI266" s="550">
        <v>6.2357537299999999</v>
      </c>
      <c r="BJ266" s="550">
        <v>-2.29647128</v>
      </c>
      <c r="BK266" s="550">
        <v>-2.35102163</v>
      </c>
      <c r="BL266" s="550">
        <v>0.34918183000000003</v>
      </c>
    </row>
    <row r="267" spans="1:71" ht="15" customHeight="1" x14ac:dyDescent="0.2">
      <c r="A267" s="404">
        <f t="shared" si="111"/>
        <v>62008042</v>
      </c>
      <c r="B267" s="403" t="s">
        <v>635</v>
      </c>
      <c r="C267" s="403" t="s">
        <v>775</v>
      </c>
      <c r="D267" s="402" t="s">
        <v>724</v>
      </c>
      <c r="E267" s="346" t="s">
        <v>939</v>
      </c>
      <c r="F267" s="346" t="str">
        <f t="shared" si="92"/>
        <v>08/17/20</v>
      </c>
      <c r="G267" s="362" t="s">
        <v>940</v>
      </c>
      <c r="H267" s="362" t="s">
        <v>685</v>
      </c>
      <c r="I267" s="370"/>
      <c r="J267" s="364">
        <f>AVERAGE(J265:J266)</f>
        <v>-9.2085784999999998</v>
      </c>
      <c r="K267" s="364">
        <f>AVERAGE(K265:K266)</f>
        <v>11.361595000000001</v>
      </c>
      <c r="L267" s="364">
        <f>AVERAGE(L265:L266)</f>
        <v>29.310653500000001</v>
      </c>
      <c r="M267" s="364">
        <f>AVERAGE(M265:M266)</f>
        <v>4.8069474999999997</v>
      </c>
      <c r="N267" s="349"/>
      <c r="O267" s="347"/>
      <c r="P267" s="366"/>
      <c r="Q267" s="365"/>
      <c r="R267" s="350">
        <f>R266+R265</f>
        <v>7.9933846600000003</v>
      </c>
      <c r="S267" s="350">
        <f>S266</f>
        <v>7.9933846600000003</v>
      </c>
      <c r="T267" s="381">
        <f>T265</f>
        <v>29.6</v>
      </c>
      <c r="U267" s="381">
        <f>U266</f>
        <v>24.5</v>
      </c>
      <c r="V267" s="353">
        <f>V265</f>
        <v>25353</v>
      </c>
      <c r="W267" s="353">
        <f>W266</f>
        <v>28070</v>
      </c>
      <c r="X267" s="353">
        <f>SUM(X265:X266)</f>
        <v>2945</v>
      </c>
      <c r="Y267" s="353">
        <f t="shared" si="106"/>
        <v>368.42966093414549</v>
      </c>
      <c r="Z267" s="353">
        <f>Z265</f>
        <v>3116.63</v>
      </c>
      <c r="AA267" s="353">
        <f>AA266</f>
        <v>3159.9956790000001</v>
      </c>
      <c r="AB267" s="353">
        <f>SUM(AB265:AB266)</f>
        <v>54.812824000000091</v>
      </c>
      <c r="AC267" s="351">
        <f t="shared" si="107"/>
        <v>6.8572733993762398</v>
      </c>
      <c r="AD267" s="353">
        <f>AD265</f>
        <v>9.2200000000000006</v>
      </c>
      <c r="AE267" s="353">
        <f>AE266</f>
        <v>8.5299999999999994</v>
      </c>
      <c r="AF267" s="353">
        <f>SUM(AF265:AF266)</f>
        <v>-0.78000000000000114</v>
      </c>
      <c r="AG267" s="351">
        <f t="shared" si="108"/>
        <v>-9.7580691181199969E-2</v>
      </c>
      <c r="AH267" s="353">
        <f>AH265</f>
        <v>9541.15</v>
      </c>
      <c r="AI267" s="353">
        <f>AI266</f>
        <v>9800.1</v>
      </c>
      <c r="AJ267" s="353">
        <f>SUM(AJ265:AJ266)</f>
        <v>307.66414100000111</v>
      </c>
      <c r="AK267" s="351">
        <f t="shared" si="109"/>
        <v>38.489845551859268</v>
      </c>
      <c r="AL267" s="353">
        <f>AL265</f>
        <v>11634.4</v>
      </c>
      <c r="AM267" s="353">
        <f>AM266</f>
        <v>11762.164221999999</v>
      </c>
      <c r="AN267" s="353">
        <f>SUM(AN265:AN266)</f>
        <v>150.66414100000111</v>
      </c>
      <c r="AO267" s="351">
        <f t="shared" si="110"/>
        <v>18.848603865386995</v>
      </c>
      <c r="AP267" s="343"/>
      <c r="AQ267" s="343"/>
      <c r="AR267" s="343">
        <f>SUM(AR265:AR266)</f>
        <v>-5.6000000000000014</v>
      </c>
      <c r="AS267" s="353">
        <f>AS265</f>
        <v>82356.800000000003</v>
      </c>
      <c r="AT267" s="353">
        <f>AT266</f>
        <v>82357.5</v>
      </c>
      <c r="AU267" s="384">
        <f>SUM(AU265:AU266)</f>
        <v>0.89999999999417923</v>
      </c>
      <c r="AV267" s="343"/>
      <c r="AW267" s="343"/>
      <c r="AX267" s="343"/>
      <c r="AY267" s="343"/>
      <c r="AZ267" s="362" t="s">
        <v>686</v>
      </c>
    </row>
    <row r="268" spans="1:71" ht="15" customHeight="1" x14ac:dyDescent="0.2">
      <c r="A268" s="404">
        <f t="shared" si="111"/>
        <v>62008042</v>
      </c>
      <c r="B268" s="403" t="s">
        <v>627</v>
      </c>
      <c r="C268" s="403" t="s">
        <v>776</v>
      </c>
      <c r="D268" s="402" t="s">
        <v>724</v>
      </c>
      <c r="E268" s="346" t="s">
        <v>939</v>
      </c>
      <c r="F268" s="346" t="str">
        <f t="shared" si="92"/>
        <v>08/17/20</v>
      </c>
      <c r="G268" s="362" t="s">
        <v>940</v>
      </c>
      <c r="H268" s="362" t="s">
        <v>685</v>
      </c>
      <c r="I268" s="370"/>
      <c r="J268" s="363">
        <v>-15.687590999999999</v>
      </c>
      <c r="K268" s="363">
        <v>16.051801999999999</v>
      </c>
      <c r="L268" s="363">
        <v>29.308347999999999</v>
      </c>
      <c r="M268" s="363">
        <v>1.2716130000000001</v>
      </c>
      <c r="N268" s="347">
        <v>4250</v>
      </c>
      <c r="O268" s="347">
        <v>30.36</v>
      </c>
      <c r="P268" s="347">
        <v>0.3201</v>
      </c>
      <c r="Q268" s="347">
        <v>1.9560000000000001E-2</v>
      </c>
      <c r="R268" s="348">
        <v>3.5806278900000001</v>
      </c>
      <c r="S268" s="348">
        <f>R268+R267</f>
        <v>11.574012550000001</v>
      </c>
      <c r="T268" s="380">
        <v>24</v>
      </c>
      <c r="U268" s="380">
        <v>21.7</v>
      </c>
      <c r="V268" s="352">
        <v>28301</v>
      </c>
      <c r="W268" s="352">
        <v>29384</v>
      </c>
      <c r="X268" s="352">
        <f>W268-V268</f>
        <v>1083</v>
      </c>
      <c r="Y268" s="352">
        <f t="shared" si="106"/>
        <v>302.46091838378658</v>
      </c>
      <c r="Z268" s="372">
        <v>3173.49</v>
      </c>
      <c r="AA268" s="352">
        <v>3230.1547169999999</v>
      </c>
      <c r="AB268" s="352">
        <f>AA268-Z268</f>
        <v>56.66471700000011</v>
      </c>
      <c r="AC268" s="371">
        <f t="shared" si="107"/>
        <v>15.825357658150875</v>
      </c>
      <c r="AD268" s="372">
        <v>11.097367999999999</v>
      </c>
      <c r="AE268" s="352">
        <v>9.15</v>
      </c>
      <c r="AF268" s="352">
        <f>AE268-AD268</f>
        <v>-1.9473679999999991</v>
      </c>
      <c r="AG268" s="371">
        <f t="shared" si="108"/>
        <v>-0.54386215485798473</v>
      </c>
      <c r="AH268" s="372">
        <v>9849.6</v>
      </c>
      <c r="AI268" s="352">
        <v>10047.261805</v>
      </c>
      <c r="AJ268" s="352">
        <f>AI268-AH268</f>
        <v>197.66180499999973</v>
      </c>
      <c r="AK268" s="371">
        <f t="shared" si="109"/>
        <v>55.203112714401527</v>
      </c>
      <c r="AL268" s="372">
        <v>11785.65</v>
      </c>
      <c r="AM268" s="352">
        <v>12010.05</v>
      </c>
      <c r="AN268" s="352">
        <f>AM268-AL268</f>
        <v>224.39999999999964</v>
      </c>
      <c r="AO268" s="371">
        <f t="shared" si="110"/>
        <v>62.670572562623825</v>
      </c>
      <c r="AP268" s="341">
        <v>24</v>
      </c>
      <c r="AQ268" s="341">
        <v>21.7</v>
      </c>
      <c r="AR268" s="341">
        <f>AQ268-AP268</f>
        <v>-2.3000000000000007</v>
      </c>
      <c r="AS268" s="372">
        <v>82358.600000000006</v>
      </c>
      <c r="AT268" s="352">
        <v>82359.3</v>
      </c>
      <c r="AU268" s="383">
        <f>AT268-AS268</f>
        <v>0.69999999999708962</v>
      </c>
      <c r="AV268" s="341"/>
      <c r="AW268" s="341"/>
      <c r="AX268" s="341"/>
      <c r="AY268" s="341"/>
      <c r="AZ268" s="362" t="s">
        <v>686</v>
      </c>
      <c r="BA268" s="550">
        <v>2413.6837764500001</v>
      </c>
      <c r="BB268" s="550">
        <v>-1.9818527800000001</v>
      </c>
      <c r="BC268" s="550">
        <v>2008.13395541</v>
      </c>
      <c r="BD268" s="550">
        <v>2048.7369047100001</v>
      </c>
      <c r="BE268" s="550">
        <v>3.2120837799999999</v>
      </c>
      <c r="BF268" s="550">
        <v>3.25840467</v>
      </c>
      <c r="BG268" s="550">
        <v>-0.28992733999999998</v>
      </c>
      <c r="BH268" s="550">
        <v>3.58056872</v>
      </c>
      <c r="BI268" s="550">
        <v>3.5909799499999999</v>
      </c>
      <c r="BJ268" s="550">
        <v>-1.14797386</v>
      </c>
      <c r="BK268" s="550">
        <v>-1.4215818099999999</v>
      </c>
      <c r="BL268" s="550">
        <v>0.59037618999999997</v>
      </c>
    </row>
    <row r="269" spans="1:71" ht="15" customHeight="1" x14ac:dyDescent="0.2">
      <c r="A269" s="404">
        <f t="shared" si="111"/>
        <v>62008042</v>
      </c>
      <c r="B269" s="403" t="s">
        <v>894</v>
      </c>
      <c r="C269" s="403" t="s">
        <v>777</v>
      </c>
      <c r="D269" s="402" t="s">
        <v>724</v>
      </c>
      <c r="E269" s="346" t="s">
        <v>939</v>
      </c>
      <c r="F269" s="346" t="str">
        <f t="shared" si="92"/>
        <v>08/17/20</v>
      </c>
      <c r="G269" s="362" t="s">
        <v>940</v>
      </c>
      <c r="H269" s="362" t="s">
        <v>685</v>
      </c>
      <c r="I269" s="370"/>
      <c r="J269" s="363">
        <v>-17.823533000000001</v>
      </c>
      <c r="K269" s="363">
        <v>17.086516</v>
      </c>
      <c r="L269" s="363">
        <v>29.307880000000001</v>
      </c>
      <c r="M269" s="363">
        <v>0.35101100000000002</v>
      </c>
      <c r="N269" s="347">
        <v>4250</v>
      </c>
      <c r="O269" s="347">
        <v>30.36</v>
      </c>
      <c r="P269" s="347">
        <v>0.3201</v>
      </c>
      <c r="Q269" s="347">
        <v>1.9560000000000001E-2</v>
      </c>
      <c r="R269" s="348">
        <v>3.8405202300000001</v>
      </c>
      <c r="S269" s="348">
        <f>R269+R268</f>
        <v>7.4211481199999998</v>
      </c>
      <c r="T269" s="380">
        <v>21.7</v>
      </c>
      <c r="U269" s="380">
        <v>19.100000000000001</v>
      </c>
      <c r="V269" s="352">
        <v>29384</v>
      </c>
      <c r="W269" s="352">
        <v>30431</v>
      </c>
      <c r="X269" s="352">
        <f>W269-V269</f>
        <v>1047</v>
      </c>
      <c r="Y269" s="352">
        <f t="shared" si="106"/>
        <v>272.61931647213322</v>
      </c>
      <c r="Z269" s="372">
        <v>3230.18</v>
      </c>
      <c r="AA269" s="352">
        <v>3321.9318629999998</v>
      </c>
      <c r="AB269" s="352">
        <f>AA269-Z269</f>
        <v>91.751862999999958</v>
      </c>
      <c r="AC269" s="371">
        <f t="shared" si="107"/>
        <v>23.890477723118245</v>
      </c>
      <c r="AD269" s="372">
        <v>9.15</v>
      </c>
      <c r="AE269" s="352">
        <v>7.91</v>
      </c>
      <c r="AF269" s="352">
        <f>AE269-AD269</f>
        <v>-1.2400000000000002</v>
      </c>
      <c r="AG269" s="371">
        <f t="shared" si="108"/>
        <v>-0.32287292495266978</v>
      </c>
      <c r="AH269" s="372">
        <v>10047.35</v>
      </c>
      <c r="AI269" s="352">
        <v>10281.049999999999</v>
      </c>
      <c r="AJ269" s="352">
        <f>AI269-AH269</f>
        <v>233.69999999999891</v>
      </c>
      <c r="AK269" s="371">
        <f t="shared" si="109"/>
        <v>60.851131097934328</v>
      </c>
      <c r="AL269" s="372">
        <v>12010.15</v>
      </c>
      <c r="AM269" s="352">
        <v>12467.109297000001</v>
      </c>
      <c r="AN269" s="352">
        <f>AM269-AL269</f>
        <v>456.95929700000124</v>
      </c>
      <c r="AO269" s="371">
        <f t="shared" si="110"/>
        <v>118.98369742476301</v>
      </c>
      <c r="AP269" s="341">
        <v>21.7</v>
      </c>
      <c r="AQ269" s="341">
        <v>19.100000000000001</v>
      </c>
      <c r="AR269" s="341">
        <f>AQ269-AP269</f>
        <v>-2.5999999999999979</v>
      </c>
      <c r="AS269" s="372">
        <v>82359.3</v>
      </c>
      <c r="AT269" s="352">
        <v>82360.7</v>
      </c>
      <c r="AU269" s="383">
        <f>AT269-AS269</f>
        <v>1.3999999999941792</v>
      </c>
      <c r="AV269" s="341"/>
      <c r="AW269" s="341"/>
      <c r="AX269" s="341"/>
      <c r="AY269" s="341"/>
      <c r="AZ269" s="362" t="s">
        <v>686</v>
      </c>
      <c r="BA269" s="550">
        <v>1482.2737169</v>
      </c>
      <c r="BB269" s="550">
        <v>-2.0986183</v>
      </c>
      <c r="BC269" s="550">
        <v>3344.3592009499998</v>
      </c>
      <c r="BD269" s="550">
        <v>3416.0490311899998</v>
      </c>
      <c r="BE269" s="550">
        <v>2.9514123799999998</v>
      </c>
      <c r="BF269" s="550">
        <v>3.0185072700000002</v>
      </c>
      <c r="BG269" s="550">
        <v>-0.50382075000000004</v>
      </c>
      <c r="BH269" s="550">
        <v>3.8403832000000002</v>
      </c>
      <c r="BI269" s="550">
        <v>3.8598298199999999</v>
      </c>
      <c r="BJ269" s="550">
        <v>-1.75804026</v>
      </c>
      <c r="BK269" s="550">
        <v>-2.2227835699999998</v>
      </c>
      <c r="BL269" s="550">
        <v>0.71451218999999999</v>
      </c>
    </row>
    <row r="270" spans="1:71" ht="15" customHeight="1" x14ac:dyDescent="0.2">
      <c r="A270" s="404">
        <f t="shared" si="111"/>
        <v>62008042</v>
      </c>
      <c r="B270" s="403" t="s">
        <v>629</v>
      </c>
      <c r="C270" s="403" t="s">
        <v>799</v>
      </c>
      <c r="D270" s="402" t="s">
        <v>724</v>
      </c>
      <c r="E270" s="346" t="s">
        <v>939</v>
      </c>
      <c r="F270" s="346" t="str">
        <f t="shared" ref="F270:F290" si="112">LEFT(E270,8)</f>
        <v>08/17/20</v>
      </c>
      <c r="G270" s="362" t="s">
        <v>940</v>
      </c>
      <c r="H270" s="362" t="s">
        <v>685</v>
      </c>
      <c r="I270" s="370"/>
      <c r="J270" s="364">
        <f>AVERAGE(J268:J269)</f>
        <v>-16.755562000000001</v>
      </c>
      <c r="K270" s="364">
        <f>AVERAGE(K268:K269)</f>
        <v>16.569158999999999</v>
      </c>
      <c r="L270" s="364">
        <f>AVERAGE(L268:L269)</f>
        <v>29.308114</v>
      </c>
      <c r="M270" s="364">
        <f>AVERAGE(M268:M269)</f>
        <v>0.81131200000000003</v>
      </c>
      <c r="N270" s="349"/>
      <c r="O270" s="347"/>
      <c r="P270" s="366"/>
      <c r="Q270" s="365"/>
      <c r="R270" s="350">
        <f>R269+R268</f>
        <v>7.4211481199999998</v>
      </c>
      <c r="S270" s="350">
        <f>S269</f>
        <v>7.4211481199999998</v>
      </c>
      <c r="T270" s="381">
        <f>T268</f>
        <v>24</v>
      </c>
      <c r="U270" s="381">
        <f>U269</f>
        <v>19.100000000000001</v>
      </c>
      <c r="V270" s="353">
        <f>V268</f>
        <v>28301</v>
      </c>
      <c r="W270" s="353">
        <f>W269</f>
        <v>30431</v>
      </c>
      <c r="X270" s="353">
        <f>SUM(X268:X269)</f>
        <v>2130</v>
      </c>
      <c r="Y270" s="353">
        <f t="shared" si="106"/>
        <v>287.01758347332378</v>
      </c>
      <c r="Z270" s="353">
        <f>Z268</f>
        <v>3173.49</v>
      </c>
      <c r="AA270" s="353">
        <f>AA269</f>
        <v>3321.9318629999998</v>
      </c>
      <c r="AB270" s="353">
        <f>SUM(AB268:AB269)</f>
        <v>148.41658000000007</v>
      </c>
      <c r="AC270" s="351">
        <f t="shared" si="107"/>
        <v>19.999139971349887</v>
      </c>
      <c r="AD270" s="353">
        <f>AD268</f>
        <v>11.097367999999999</v>
      </c>
      <c r="AE270" s="353">
        <f>AE269</f>
        <v>7.91</v>
      </c>
      <c r="AF270" s="353">
        <f>SUM(AF268:AF269)</f>
        <v>-3.1873679999999993</v>
      </c>
      <c r="AG270" s="351">
        <f t="shared" si="108"/>
        <v>-0.42949796291089248</v>
      </c>
      <c r="AH270" s="353">
        <f>AH268</f>
        <v>9849.6</v>
      </c>
      <c r="AI270" s="353">
        <f>AI269</f>
        <v>10281.049999999999</v>
      </c>
      <c r="AJ270" s="353">
        <f>SUM(AJ268:AJ269)</f>
        <v>431.36180499999864</v>
      </c>
      <c r="AK270" s="351">
        <f t="shared" si="109"/>
        <v>58.126020128540254</v>
      </c>
      <c r="AL270" s="353">
        <f>AL268</f>
        <v>11785.65</v>
      </c>
      <c r="AM270" s="353">
        <f>AM269</f>
        <v>12467.109297000001</v>
      </c>
      <c r="AN270" s="353">
        <f>SUM(AN268:AN269)</f>
        <v>681.35929700000088</v>
      </c>
      <c r="AO270" s="351">
        <f t="shared" si="110"/>
        <v>91.813191972780743</v>
      </c>
      <c r="AP270" s="343"/>
      <c r="AQ270" s="343"/>
      <c r="AR270" s="343">
        <f>SUM(AR268:AR269)</f>
        <v>-4.8999999999999986</v>
      </c>
      <c r="AS270" s="353">
        <f>AS268</f>
        <v>82358.600000000006</v>
      </c>
      <c r="AT270" s="353">
        <f>AT269</f>
        <v>82360.7</v>
      </c>
      <c r="AU270" s="384">
        <f>SUM(AU268:AU269)</f>
        <v>2.0999999999912689</v>
      </c>
      <c r="AV270" s="343"/>
      <c r="AW270" s="343"/>
      <c r="AX270" s="343"/>
      <c r="AY270" s="343"/>
      <c r="AZ270" s="362" t="s">
        <v>686</v>
      </c>
    </row>
    <row r="271" spans="1:71" ht="15" customHeight="1" x14ac:dyDescent="0.2">
      <c r="A271" s="404">
        <f t="shared" si="111"/>
        <v>62008042</v>
      </c>
      <c r="B271" s="403" t="s">
        <v>630</v>
      </c>
      <c r="C271" s="403" t="s">
        <v>778</v>
      </c>
      <c r="D271" s="402" t="s">
        <v>724</v>
      </c>
      <c r="E271" s="346" t="s">
        <v>939</v>
      </c>
      <c r="F271" s="346" t="str">
        <f t="shared" si="112"/>
        <v>08/17/20</v>
      </c>
      <c r="G271" s="362" t="s">
        <v>940</v>
      </c>
      <c r="H271" s="362" t="s">
        <v>685</v>
      </c>
      <c r="I271" s="370"/>
      <c r="J271" s="363">
        <v>-14.083828</v>
      </c>
      <c r="K271" s="363">
        <v>13.547307</v>
      </c>
      <c r="L271" s="363">
        <v>29.306058</v>
      </c>
      <c r="M271" s="363">
        <v>-0.117003</v>
      </c>
      <c r="N271" s="347">
        <v>4250</v>
      </c>
      <c r="O271" s="347">
        <v>30.36</v>
      </c>
      <c r="P271" s="347">
        <v>0.3201</v>
      </c>
      <c r="Q271" s="347">
        <v>1.9560000000000001E-2</v>
      </c>
      <c r="R271" s="348">
        <v>10.24519667</v>
      </c>
      <c r="S271" s="348">
        <f>R271+R270</f>
        <v>17.66634479</v>
      </c>
      <c r="T271" s="380">
        <v>19</v>
      </c>
      <c r="U271" s="380">
        <v>13.1</v>
      </c>
      <c r="V271" s="352">
        <v>30432</v>
      </c>
      <c r="W271" s="352">
        <v>33034</v>
      </c>
      <c r="X271" s="352">
        <f>W271-V271</f>
        <v>2602</v>
      </c>
      <c r="Y271" s="352">
        <f t="shared" si="106"/>
        <v>253.97267459190707</v>
      </c>
      <c r="Z271" s="372">
        <v>3323.2817409999998</v>
      </c>
      <c r="AA271" s="352">
        <v>3384.7114649999999</v>
      </c>
      <c r="AB271" s="352">
        <f>AA271-Z271</f>
        <v>61.429724000000078</v>
      </c>
      <c r="AC271" s="371">
        <f t="shared" si="107"/>
        <v>5.9959536140363889</v>
      </c>
      <c r="AD271" s="372">
        <v>7.89</v>
      </c>
      <c r="AE271" s="352">
        <v>7.22</v>
      </c>
      <c r="AF271" s="352">
        <f>AE271-AD271</f>
        <v>-0.66999999999999993</v>
      </c>
      <c r="AG271" s="371">
        <f t="shared" si="108"/>
        <v>-6.5396499606678607E-2</v>
      </c>
      <c r="AH271" s="372">
        <v>10281.049999999999</v>
      </c>
      <c r="AI271" s="352">
        <v>10281.049999999999</v>
      </c>
      <c r="AJ271" s="352">
        <f>AI271-AH271</f>
        <v>0</v>
      </c>
      <c r="AK271" s="371">
        <f t="shared" si="109"/>
        <v>0</v>
      </c>
      <c r="AL271" s="372">
        <v>12481.567440999999</v>
      </c>
      <c r="AM271" s="352">
        <v>13188.907309</v>
      </c>
      <c r="AN271" s="352">
        <f>AM271-AL271</f>
        <v>707.33986800000093</v>
      </c>
      <c r="AO271" s="371">
        <f t="shared" si="110"/>
        <v>69.041121491716652</v>
      </c>
      <c r="AP271" s="341">
        <v>19</v>
      </c>
      <c r="AQ271" s="341">
        <v>13.1</v>
      </c>
      <c r="AR271" s="341">
        <f>AQ271-AP271</f>
        <v>-5.9</v>
      </c>
      <c r="AS271" s="372">
        <v>82360.7</v>
      </c>
      <c r="AT271" s="352">
        <v>82361.8</v>
      </c>
      <c r="AU271" s="383">
        <f>AT271-AS271</f>
        <v>1.1000000000058208</v>
      </c>
      <c r="AV271" s="341"/>
      <c r="AW271" s="341"/>
      <c r="AX271" s="341"/>
      <c r="AY271" s="341"/>
      <c r="AZ271" s="362" t="s">
        <v>686</v>
      </c>
      <c r="BA271" s="550">
        <v>1945.1597076200001</v>
      </c>
      <c r="BB271" s="550">
        <v>-0.83459154000000002</v>
      </c>
      <c r="BC271" s="550">
        <v>1295.80049362</v>
      </c>
      <c r="BD271" s="550">
        <v>1306.70615264</v>
      </c>
      <c r="BE271" s="550">
        <v>7.9702685000000004</v>
      </c>
      <c r="BF271" s="550">
        <v>8.0200118099999997</v>
      </c>
      <c r="BG271" s="550">
        <v>-0.11105458</v>
      </c>
      <c r="BH271" s="550">
        <v>10.245289809999999</v>
      </c>
      <c r="BI271" s="550">
        <v>10.25668033</v>
      </c>
      <c r="BJ271" s="550">
        <v>-0.51236316999999998</v>
      </c>
      <c r="BK271" s="550">
        <v>-0.62023987000000003</v>
      </c>
      <c r="BL271" s="550">
        <v>0.28276399000000002</v>
      </c>
    </row>
    <row r="272" spans="1:71" ht="15" customHeight="1" x14ac:dyDescent="0.2">
      <c r="A272" s="404">
        <f t="shared" si="111"/>
        <v>62008042</v>
      </c>
      <c r="B272" s="403" t="s">
        <v>631</v>
      </c>
      <c r="C272" s="403" t="s">
        <v>783</v>
      </c>
      <c r="D272" s="402" t="s">
        <v>724</v>
      </c>
      <c r="E272" s="346" t="s">
        <v>939</v>
      </c>
      <c r="F272" s="346" t="str">
        <f t="shared" si="112"/>
        <v>08/17/20</v>
      </c>
      <c r="G272" s="362" t="s">
        <v>940</v>
      </c>
      <c r="H272" s="362" t="s">
        <v>685</v>
      </c>
      <c r="I272" s="370"/>
      <c r="J272" s="363">
        <v>-17.071024000000001</v>
      </c>
      <c r="K272" s="363">
        <v>17.459275999999999</v>
      </c>
      <c r="L272" s="363">
        <v>29.305804999999999</v>
      </c>
      <c r="M272" s="363">
        <v>3.5438999999999998E-2</v>
      </c>
      <c r="N272" s="347">
        <v>4250</v>
      </c>
      <c r="O272" s="347">
        <v>30.36</v>
      </c>
      <c r="P272" s="347">
        <v>0.3201</v>
      </c>
      <c r="Q272" s="347">
        <v>1.9560000000000001E-2</v>
      </c>
      <c r="R272" s="348">
        <v>3.5794215</v>
      </c>
      <c r="S272" s="348">
        <f>R272+R271</f>
        <v>13.824618170000001</v>
      </c>
      <c r="T272" s="380">
        <v>13.1</v>
      </c>
      <c r="U272" s="380">
        <v>10.6</v>
      </c>
      <c r="V272" s="352">
        <v>33037</v>
      </c>
      <c r="W272" s="352">
        <v>33962</v>
      </c>
      <c r="X272" s="352">
        <f>W272-V272</f>
        <v>925</v>
      </c>
      <c r="Y272" s="352">
        <f t="shared" si="106"/>
        <v>258.42164718516665</v>
      </c>
      <c r="Z272" s="372">
        <v>3387.4112580000001</v>
      </c>
      <c r="AA272" s="352">
        <v>3431.790919</v>
      </c>
      <c r="AB272" s="352">
        <f>AA272-Z272</f>
        <v>44.379660999999942</v>
      </c>
      <c r="AC272" s="371">
        <f t="shared" si="107"/>
        <v>12.3985568617722</v>
      </c>
      <c r="AD272" s="372">
        <v>9.92</v>
      </c>
      <c r="AE272" s="352">
        <v>8.01</v>
      </c>
      <c r="AF272" s="352">
        <f>AE272-AD272</f>
        <v>-1.9100000000000001</v>
      </c>
      <c r="AG272" s="371">
        <f t="shared" si="108"/>
        <v>-0.53360577959315492</v>
      </c>
      <c r="AH272" s="372">
        <v>10281.049999999999</v>
      </c>
      <c r="AI272" s="352">
        <v>10281.049999999999</v>
      </c>
      <c r="AJ272" s="352">
        <f>AI272-AH272</f>
        <v>0</v>
      </c>
      <c r="AK272" s="371">
        <f t="shared" si="109"/>
        <v>0</v>
      </c>
      <c r="AL272" s="372">
        <v>13195.4</v>
      </c>
      <c r="AM272" s="352">
        <v>13682.359162000001</v>
      </c>
      <c r="AN272" s="352">
        <f>AM272-AL272</f>
        <v>486.95916200000102</v>
      </c>
      <c r="AO272" s="371">
        <f t="shared" si="110"/>
        <v>136.04409595237695</v>
      </c>
      <c r="AP272" s="341">
        <v>13.1</v>
      </c>
      <c r="AQ272" s="341">
        <v>10.6</v>
      </c>
      <c r="AR272" s="341">
        <f>AQ272-AP272</f>
        <v>-2.5</v>
      </c>
      <c r="AS272" s="372">
        <v>82362.7</v>
      </c>
      <c r="AT272" s="352">
        <v>82363.5</v>
      </c>
      <c r="AU272" s="383">
        <f>AT272-AS272</f>
        <v>0.80000000000291038</v>
      </c>
      <c r="AV272" s="341"/>
      <c r="AW272" s="341"/>
      <c r="AX272" s="341"/>
      <c r="AY272" s="341"/>
      <c r="AZ272" s="362" t="s">
        <v>686</v>
      </c>
      <c r="BA272" s="550">
        <v>2410.6093567600001</v>
      </c>
      <c r="BB272" s="550">
        <v>-1.5798887100000001</v>
      </c>
      <c r="BC272" s="550">
        <v>2016.28949556</v>
      </c>
      <c r="BD272" s="550">
        <v>2048.65598009</v>
      </c>
      <c r="BE272" s="550">
        <v>3.21780198</v>
      </c>
      <c r="BF272" s="550">
        <v>3.2582830600000001</v>
      </c>
      <c r="BG272" s="550">
        <v>-0.32193079000000002</v>
      </c>
      <c r="BH272" s="550">
        <v>3.5794187599999998</v>
      </c>
      <c r="BI272" s="550">
        <v>3.5909792299999999</v>
      </c>
      <c r="BJ272" s="550">
        <v>-0.93205420999999999</v>
      </c>
      <c r="BK272" s="550">
        <v>-1.24240511</v>
      </c>
      <c r="BL272" s="550">
        <v>0.59036316</v>
      </c>
    </row>
    <row r="273" spans="1:16384" ht="15" customHeight="1" x14ac:dyDescent="0.2">
      <c r="A273" s="404">
        <f t="shared" si="111"/>
        <v>62008042</v>
      </c>
      <c r="B273" s="403" t="s">
        <v>895</v>
      </c>
      <c r="C273" s="403" t="s">
        <v>781</v>
      </c>
      <c r="D273" s="402" t="s">
        <v>724</v>
      </c>
      <c r="E273" s="346" t="s">
        <v>939</v>
      </c>
      <c r="F273" s="346" t="str">
        <f t="shared" si="112"/>
        <v>08/17/20</v>
      </c>
      <c r="G273" s="362" t="s">
        <v>940</v>
      </c>
      <c r="H273" s="362" t="s">
        <v>685</v>
      </c>
      <c r="I273" s="370"/>
      <c r="J273" s="363">
        <v>-18.091270000000002</v>
      </c>
      <c r="K273" s="363">
        <v>17.000330000000002</v>
      </c>
      <c r="L273" s="363">
        <v>29.304780999999998</v>
      </c>
      <c r="M273" s="363">
        <v>0.31132799999999999</v>
      </c>
      <c r="N273" s="347">
        <v>4250</v>
      </c>
      <c r="O273" s="347">
        <v>30.36</v>
      </c>
      <c r="P273" s="347">
        <v>0.3201</v>
      </c>
      <c r="Q273" s="347">
        <v>1.9560000000000001E-2</v>
      </c>
      <c r="R273" s="348">
        <v>3.84205898</v>
      </c>
      <c r="S273" s="348">
        <f>R273+R272</f>
        <v>7.4214804799999996</v>
      </c>
      <c r="T273" s="380">
        <v>10.6</v>
      </c>
      <c r="U273" s="380">
        <v>7.7</v>
      </c>
      <c r="V273" s="352">
        <v>33962</v>
      </c>
      <c r="W273" s="352">
        <v>34749</v>
      </c>
      <c r="X273" s="352">
        <f>W273-V273</f>
        <v>787</v>
      </c>
      <c r="Y273" s="352">
        <f t="shared" si="106"/>
        <v>204.83808397964782</v>
      </c>
      <c r="Z273" s="372">
        <v>3431.8110069999998</v>
      </c>
      <c r="AA273" s="352">
        <v>3502.9205780000002</v>
      </c>
      <c r="AB273" s="352">
        <f>AA273-Z273</f>
        <v>71.109571000000415</v>
      </c>
      <c r="AC273" s="371">
        <f t="shared" si="107"/>
        <v>18.508193489523268</v>
      </c>
      <c r="AD273" s="372">
        <v>8.01</v>
      </c>
      <c r="AE273" s="352">
        <v>6.8</v>
      </c>
      <c r="AF273" s="352">
        <f>AE273-AD273</f>
        <v>-1.21</v>
      </c>
      <c r="AG273" s="371">
        <f t="shared" si="108"/>
        <v>-0.31493530065485875</v>
      </c>
      <c r="AH273" s="372">
        <v>10281.049999999999</v>
      </c>
      <c r="AI273" s="352">
        <v>10281.049999999999</v>
      </c>
      <c r="AJ273" s="352">
        <f>AI273-AH273</f>
        <v>0</v>
      </c>
      <c r="AK273" s="371">
        <f t="shared" si="109"/>
        <v>0</v>
      </c>
      <c r="AL273" s="372">
        <v>13682.565063</v>
      </c>
      <c r="AM273" s="352">
        <v>14500.149444000001</v>
      </c>
      <c r="AN273" s="352">
        <f>AM273-AL273</f>
        <v>817.58438100000058</v>
      </c>
      <c r="AO273" s="371">
        <f t="shared" si="110"/>
        <v>212.79849821566262</v>
      </c>
      <c r="AP273" s="341">
        <v>10.6</v>
      </c>
      <c r="AQ273" s="341">
        <v>7.7</v>
      </c>
      <c r="AR273" s="341">
        <f>AQ273-AP273</f>
        <v>-2.8999999999999995</v>
      </c>
      <c r="AS273" s="372">
        <v>82363.5</v>
      </c>
      <c r="AT273" s="352">
        <v>82364.800000000003</v>
      </c>
      <c r="AU273" s="383">
        <f>AT273-AS273</f>
        <v>1.3000000000029104</v>
      </c>
      <c r="AV273" s="341"/>
      <c r="AW273" s="341"/>
      <c r="AX273" s="341"/>
      <c r="AY273" s="341"/>
      <c r="AZ273" s="362" t="s">
        <v>686</v>
      </c>
      <c r="BA273" s="550">
        <v>1482.1146814900001</v>
      </c>
      <c r="BB273" s="550">
        <v>-2.2822300200000001</v>
      </c>
      <c r="BC273" s="550">
        <v>3338.0676212499998</v>
      </c>
      <c r="BD273" s="550">
        <v>3416.0292666099999</v>
      </c>
      <c r="BE273" s="550">
        <v>2.9511710299999998</v>
      </c>
      <c r="BF273" s="550">
        <v>3.0184684499999999</v>
      </c>
      <c r="BG273" s="550">
        <v>-0.46360711999999998</v>
      </c>
      <c r="BH273" s="550">
        <v>3.84193491</v>
      </c>
      <c r="BI273" s="550">
        <v>3.85982936</v>
      </c>
      <c r="BJ273" s="550">
        <v>-1.80618411</v>
      </c>
      <c r="BK273" s="550">
        <v>-2.22952196</v>
      </c>
      <c r="BL273" s="550">
        <v>0.71451708000000003</v>
      </c>
    </row>
    <row r="274" spans="1:16384" ht="15" customHeight="1" x14ac:dyDescent="0.2">
      <c r="A274" s="404">
        <f t="shared" si="111"/>
        <v>62008042</v>
      </c>
      <c r="B274" s="403" t="s">
        <v>632</v>
      </c>
      <c r="C274" s="403" t="s">
        <v>782</v>
      </c>
      <c r="D274" s="402" t="s">
        <v>724</v>
      </c>
      <c r="E274" s="346" t="s">
        <v>939</v>
      </c>
      <c r="F274" s="346" t="str">
        <f t="shared" si="112"/>
        <v>08/17/20</v>
      </c>
      <c r="G274" s="362" t="s">
        <v>940</v>
      </c>
      <c r="H274" s="362" t="s">
        <v>685</v>
      </c>
      <c r="I274" s="370"/>
      <c r="J274" s="364">
        <f>AVERAGE(J272:J273)</f>
        <v>-17.581147000000001</v>
      </c>
      <c r="K274" s="364">
        <f>AVERAGE(K272:K273)</f>
        <v>17.229803</v>
      </c>
      <c r="L274" s="364">
        <f>AVERAGE(L272:L273)</f>
        <v>29.305292999999999</v>
      </c>
      <c r="M274" s="364">
        <f>AVERAGE(M272:M273)</f>
        <v>0.1733835</v>
      </c>
      <c r="N274" s="349"/>
      <c r="O274" s="347"/>
      <c r="P274" s="366"/>
      <c r="Q274" s="365"/>
      <c r="R274" s="350">
        <f>R273+R272</f>
        <v>7.4214804799999996</v>
      </c>
      <c r="S274" s="350">
        <f>S273</f>
        <v>7.4214804799999996</v>
      </c>
      <c r="T274" s="381">
        <f>T272</f>
        <v>13.1</v>
      </c>
      <c r="U274" s="381">
        <f>U273</f>
        <v>7.7</v>
      </c>
      <c r="V274" s="353">
        <f>V272</f>
        <v>33037</v>
      </c>
      <c r="W274" s="353">
        <f>W273</f>
        <v>34749</v>
      </c>
      <c r="X274" s="353">
        <f>SUM(X272:X273)</f>
        <v>1712</v>
      </c>
      <c r="Y274" s="353">
        <f t="shared" si="106"/>
        <v>230.68173588997973</v>
      </c>
      <c r="Z274" s="353">
        <f>Z272</f>
        <v>3387.4112580000001</v>
      </c>
      <c r="AA274" s="353">
        <f>AA273</f>
        <v>3502.9205780000002</v>
      </c>
      <c r="AB274" s="353">
        <f>SUM(AB272:AB273)</f>
        <v>115.48923200000036</v>
      </c>
      <c r="AC274" s="351">
        <f t="shared" si="107"/>
        <v>15.561481608855537</v>
      </c>
      <c r="AD274" s="353">
        <f>AD272</f>
        <v>9.92</v>
      </c>
      <c r="AE274" s="353">
        <f>AE273</f>
        <v>6.8</v>
      </c>
      <c r="AF274" s="353">
        <f>SUM(AF272:AF273)</f>
        <v>-3.12</v>
      </c>
      <c r="AG274" s="351">
        <f t="shared" si="108"/>
        <v>-0.42040129437893509</v>
      </c>
      <c r="AH274" s="353">
        <f>AH272</f>
        <v>10281.049999999999</v>
      </c>
      <c r="AI274" s="353">
        <f>AI273</f>
        <v>10281.049999999999</v>
      </c>
      <c r="AJ274" s="353">
        <f>SUM(AJ272:AJ273)</f>
        <v>0</v>
      </c>
      <c r="AK274" s="351">
        <f t="shared" si="109"/>
        <v>0</v>
      </c>
      <c r="AL274" s="353">
        <f>AL272</f>
        <v>13195.4</v>
      </c>
      <c r="AM274" s="353">
        <f>AM273</f>
        <v>14500.149444000001</v>
      </c>
      <c r="AN274" s="353">
        <f>SUM(AN272:AN273)</f>
        <v>1304.5435430000016</v>
      </c>
      <c r="AO274" s="351">
        <f t="shared" si="110"/>
        <v>175.77942117015468</v>
      </c>
      <c r="AP274" s="343"/>
      <c r="AQ274" s="343"/>
      <c r="AR274" s="343">
        <f>SUM(AR272:AR273)</f>
        <v>-5.3999999999999995</v>
      </c>
      <c r="AS274" s="353">
        <f>AS272</f>
        <v>82362.7</v>
      </c>
      <c r="AT274" s="353">
        <f>AT273</f>
        <v>82364.800000000003</v>
      </c>
      <c r="AU274" s="384">
        <f>SUM(AU272:AU273)</f>
        <v>2.1000000000058208</v>
      </c>
      <c r="AV274" s="343"/>
      <c r="AW274" s="343"/>
      <c r="AX274" s="343"/>
      <c r="AY274" s="343"/>
      <c r="AZ274" s="362" t="s">
        <v>686</v>
      </c>
    </row>
    <row r="275" spans="1:16384" ht="15" customHeight="1" x14ac:dyDescent="0.2">
      <c r="A275" s="404">
        <v>62008043</v>
      </c>
      <c r="B275" s="403" t="s">
        <v>896</v>
      </c>
      <c r="C275" s="403" t="s">
        <v>773</v>
      </c>
      <c r="D275" s="402" t="s">
        <v>727</v>
      </c>
      <c r="E275" s="346" t="s">
        <v>941</v>
      </c>
      <c r="F275" s="346" t="str">
        <f t="shared" si="112"/>
        <v>08/17/20</v>
      </c>
      <c r="G275" s="362" t="s">
        <v>942</v>
      </c>
      <c r="H275" s="362" t="s">
        <v>943</v>
      </c>
      <c r="I275" s="370"/>
      <c r="J275" s="363">
        <v>-12.960372</v>
      </c>
      <c r="K275" s="363">
        <v>12.551071</v>
      </c>
      <c r="L275" s="363">
        <v>29.299752999999999</v>
      </c>
      <c r="M275" s="363">
        <v>0.79562600000000006</v>
      </c>
      <c r="N275" s="347">
        <v>4250</v>
      </c>
      <c r="O275" s="347">
        <v>30.36</v>
      </c>
      <c r="P275" s="347">
        <v>0.3201</v>
      </c>
      <c r="Q275" s="347">
        <v>1.9560000000000001E-2</v>
      </c>
      <c r="R275" s="348">
        <v>7.843439</v>
      </c>
      <c r="S275" s="348">
        <f>R275+R274</f>
        <v>15.26491948</v>
      </c>
      <c r="T275" s="380">
        <v>7.6</v>
      </c>
      <c r="U275" s="380">
        <v>2.2000000000000002</v>
      </c>
      <c r="V275" s="352">
        <v>34750</v>
      </c>
      <c r="W275" s="352">
        <v>37001</v>
      </c>
      <c r="X275" s="352">
        <f>W275-V275</f>
        <v>2251</v>
      </c>
      <c r="Y275" s="352">
        <f t="shared" si="106"/>
        <v>286.99145872110432</v>
      </c>
      <c r="Z275" s="372">
        <v>3503.940967</v>
      </c>
      <c r="AA275" s="352">
        <v>3548.34</v>
      </c>
      <c r="AB275" s="352">
        <f>AA275-Z275</f>
        <v>44.399033000000145</v>
      </c>
      <c r="AC275" s="371">
        <f t="shared" si="107"/>
        <v>5.6606589277994184</v>
      </c>
      <c r="AD275" s="372">
        <v>9.1</v>
      </c>
      <c r="AE275" s="352">
        <v>8.35</v>
      </c>
      <c r="AF275" s="352">
        <f>AE275-AD275</f>
        <v>-0.75</v>
      </c>
      <c r="AG275" s="371">
        <f t="shared" si="108"/>
        <v>-9.5621321208719801E-2</v>
      </c>
      <c r="AH275" s="372">
        <v>10281.049999999999</v>
      </c>
      <c r="AI275" s="352">
        <v>10281.049999999999</v>
      </c>
      <c r="AJ275" s="352">
        <f>AI275-AH275</f>
        <v>0</v>
      </c>
      <c r="AK275" s="371">
        <f t="shared" si="109"/>
        <v>0</v>
      </c>
      <c r="AL275" s="372">
        <v>14502.2</v>
      </c>
      <c r="AM275" s="352">
        <v>14966.05</v>
      </c>
      <c r="AN275" s="352">
        <f>AM275-AL275</f>
        <v>463.84999999999854</v>
      </c>
      <c r="AO275" s="371">
        <f t="shared" si="110"/>
        <v>59.138599790219388</v>
      </c>
      <c r="AP275" s="341">
        <v>7.6</v>
      </c>
      <c r="AQ275" s="341">
        <v>2.2000000000000002</v>
      </c>
      <c r="AR275" s="341">
        <f>AQ275-AP275</f>
        <v>-5.3999999999999995</v>
      </c>
      <c r="AS275" s="372">
        <v>82365.2</v>
      </c>
      <c r="AT275" s="352">
        <v>82366</v>
      </c>
      <c r="AU275" s="383">
        <f>AT275-AS275</f>
        <v>0.80000000000291038</v>
      </c>
      <c r="AV275" s="341"/>
      <c r="AW275" s="341"/>
      <c r="AX275" s="341"/>
      <c r="AY275" s="341"/>
      <c r="AZ275" s="362" t="s">
        <v>686</v>
      </c>
      <c r="BA275" s="550">
        <v>239.59066648999999</v>
      </c>
      <c r="BB275" s="550">
        <v>2.2215612600000001</v>
      </c>
      <c r="BC275" s="550">
        <v>594.06264770999996</v>
      </c>
      <c r="BD275" s="550">
        <v>581.15200000000004</v>
      </c>
      <c r="BE275" s="550">
        <v>6.4830099199999998</v>
      </c>
      <c r="BF275" s="550">
        <v>10.0691211</v>
      </c>
      <c r="BG275" s="550">
        <v>-19.36459292</v>
      </c>
      <c r="BH275" s="550">
        <v>7.8714139300000001</v>
      </c>
      <c r="BI275" s="550">
        <v>9.7617339800000007</v>
      </c>
      <c r="BJ275" s="550">
        <v>-25.239308380000001</v>
      </c>
      <c r="BK275" s="550">
        <v>-35.614937419999997</v>
      </c>
      <c r="BL275" s="550">
        <v>8.2040050000000003E-2</v>
      </c>
    </row>
    <row r="276" spans="1:16384" ht="15" customHeight="1" x14ac:dyDescent="0.2">
      <c r="A276" s="404">
        <v>62008044</v>
      </c>
      <c r="B276" s="440" t="s">
        <v>645</v>
      </c>
      <c r="C276" s="549" t="s">
        <v>773</v>
      </c>
      <c r="D276" s="402" t="s">
        <v>923</v>
      </c>
      <c r="E276" s="346" t="s">
        <v>945</v>
      </c>
      <c r="F276" s="346" t="str">
        <f t="shared" si="112"/>
        <v>08/17/20</v>
      </c>
      <c r="G276" s="362" t="s">
        <v>946</v>
      </c>
      <c r="H276" s="362" t="s">
        <v>685</v>
      </c>
      <c r="I276" s="370"/>
      <c r="J276" s="363">
        <v>1566.1384869999999</v>
      </c>
      <c r="K276" s="363">
        <v>-1283.2289780000001</v>
      </c>
      <c r="L276" s="363">
        <v>-2573.5553650000002</v>
      </c>
      <c r="M276" s="363">
        <v>1550.590502</v>
      </c>
      <c r="N276" s="347">
        <v>4250</v>
      </c>
      <c r="O276" s="347">
        <v>30.36</v>
      </c>
      <c r="P276" s="347">
        <v>0.3201</v>
      </c>
      <c r="Q276" s="347">
        <v>1.9560000000000001E-2</v>
      </c>
      <c r="R276" s="348">
        <v>3.7488519999999997E-2</v>
      </c>
      <c r="S276" s="348">
        <f>R276+R275</f>
        <v>7.8809275200000002</v>
      </c>
      <c r="T276" s="380">
        <v>0</v>
      </c>
      <c r="U276" s="380">
        <v>0</v>
      </c>
      <c r="V276" s="352">
        <v>0</v>
      </c>
      <c r="W276" s="352">
        <v>-58270</v>
      </c>
      <c r="X276" s="352">
        <f>W276-V276</f>
        <v>-58270</v>
      </c>
      <c r="Y276" s="352">
        <f t="shared" si="106"/>
        <v>-1554342.5027181655</v>
      </c>
      <c r="Z276" s="372">
        <v>0.01</v>
      </c>
      <c r="AA276" s="352">
        <v>493.91</v>
      </c>
      <c r="AB276" s="352">
        <f>AA276-Z276</f>
        <v>493.90000000000003</v>
      </c>
      <c r="AC276" s="371">
        <f t="shared" si="107"/>
        <v>13174.699881457045</v>
      </c>
      <c r="AD276" s="372">
        <v>0.04</v>
      </c>
      <c r="AE276" s="352">
        <v>-18.98</v>
      </c>
      <c r="AF276" s="352">
        <f>AE276-AD276</f>
        <v>-19.02</v>
      </c>
      <c r="AG276" s="371">
        <f t="shared" si="108"/>
        <v>-507.35531837479851</v>
      </c>
      <c r="AH276" s="372">
        <v>0</v>
      </c>
      <c r="AI276" s="352">
        <v>0</v>
      </c>
      <c r="AJ276" s="352">
        <f>AI276-AH276</f>
        <v>0</v>
      </c>
      <c r="AK276" s="371">
        <f t="shared" si="109"/>
        <v>0</v>
      </c>
      <c r="AL276" s="372">
        <v>0</v>
      </c>
      <c r="AM276" s="352">
        <v>0</v>
      </c>
      <c r="AN276" s="352">
        <f>AM276-AL276</f>
        <v>0</v>
      </c>
      <c r="AO276" s="371">
        <f t="shared" si="110"/>
        <v>0</v>
      </c>
      <c r="AP276" s="341">
        <v>0</v>
      </c>
      <c r="AQ276" s="341">
        <v>0</v>
      </c>
      <c r="AR276" s="341">
        <f>AQ276-AP276</f>
        <v>0</v>
      </c>
      <c r="AS276" s="372">
        <v>0.1</v>
      </c>
      <c r="AT276" s="352">
        <v>64309.7</v>
      </c>
      <c r="AU276" s="383">
        <f>AT276-AS276</f>
        <v>64309.599999999999</v>
      </c>
      <c r="AV276" s="341"/>
      <c r="AW276" s="341"/>
      <c r="AX276" s="341"/>
      <c r="AY276" s="341"/>
      <c r="AZ276" s="362" t="s">
        <v>888</v>
      </c>
      <c r="BA276" s="550">
        <v>0</v>
      </c>
      <c r="BB276" s="550" t="s">
        <v>691</v>
      </c>
      <c r="BC276" s="550">
        <v>0</v>
      </c>
      <c r="BD276" s="550">
        <v>0</v>
      </c>
      <c r="BE276" s="550">
        <v>0</v>
      </c>
      <c r="BF276" s="550">
        <v>0</v>
      </c>
      <c r="BG276" s="550" t="s">
        <v>691</v>
      </c>
      <c r="BH276" s="550">
        <v>0</v>
      </c>
      <c r="BI276" s="550">
        <v>0</v>
      </c>
      <c r="BJ276" s="550" t="s">
        <v>691</v>
      </c>
      <c r="BK276" s="550" t="s">
        <v>691</v>
      </c>
      <c r="BL276" s="550" t="s">
        <v>691</v>
      </c>
    </row>
    <row r="277" spans="1:16384" s="593" customFormat="1" ht="15" customHeight="1" x14ac:dyDescent="0.2">
      <c r="A277" s="594" t="s">
        <v>954</v>
      </c>
      <c r="B277" s="595"/>
      <c r="C277" s="596"/>
      <c r="D277" s="596"/>
      <c r="E277" s="596"/>
      <c r="F277" s="596"/>
      <c r="G277" s="596"/>
      <c r="H277" s="595"/>
      <c r="I277" s="595"/>
      <c r="J277" s="624"/>
      <c r="K277" s="625"/>
      <c r="L277" s="595"/>
      <c r="M277" s="595"/>
      <c r="N277" s="595"/>
      <c r="O277" s="595"/>
      <c r="P277" s="595"/>
      <c r="Q277" s="595"/>
      <c r="R277" s="595"/>
      <c r="S277" s="595"/>
      <c r="T277" s="595"/>
      <c r="U277" s="595"/>
      <c r="V277" s="595"/>
      <c r="W277" s="595"/>
      <c r="X277" s="595"/>
      <c r="Y277" s="595"/>
      <c r="Z277" s="595"/>
      <c r="AA277" s="595"/>
      <c r="AB277" s="595"/>
      <c r="AC277" s="595"/>
      <c r="AD277" s="595"/>
      <c r="AE277" s="595"/>
      <c r="AF277" s="595"/>
      <c r="AG277" s="595"/>
      <c r="AH277" s="595"/>
      <c r="AI277" s="595"/>
      <c r="AJ277" s="595"/>
      <c r="AK277" s="595"/>
      <c r="AL277" s="595"/>
      <c r="AM277" s="595"/>
      <c r="AN277" s="595"/>
      <c r="AO277" s="595"/>
      <c r="AP277" s="595"/>
      <c r="AQ277" s="595"/>
      <c r="AR277" s="595"/>
      <c r="AS277" s="595"/>
      <c r="AT277" s="595"/>
      <c r="AU277" s="595"/>
      <c r="AV277" s="595"/>
      <c r="AW277" s="595"/>
      <c r="AX277" s="595"/>
      <c r="AY277" s="595"/>
      <c r="AZ277" s="595"/>
      <c r="BA277" s="595"/>
      <c r="BB277" s="595"/>
      <c r="BC277" s="595"/>
      <c r="BD277" s="595"/>
      <c r="BE277" s="595"/>
      <c r="BF277" s="626"/>
      <c r="BG277" s="595"/>
      <c r="BH277" s="595"/>
      <c r="BI277" s="595"/>
      <c r="BJ277" s="595"/>
      <c r="BK277" s="595"/>
      <c r="BL277" s="595"/>
      <c r="BM277" s="595"/>
      <c r="BN277" s="595"/>
      <c r="BO277" s="595"/>
      <c r="BP277" s="595"/>
      <c r="BQ277" s="595"/>
      <c r="BR277" s="597"/>
      <c r="BS277" s="613"/>
      <c r="BT277" s="592"/>
      <c r="BU277" s="592"/>
      <c r="BV277" s="592"/>
      <c r="BW277" s="592"/>
      <c r="BX277" s="592"/>
      <c r="BY277" s="592"/>
      <c r="BZ277" s="592"/>
      <c r="CA277" s="592"/>
      <c r="CB277" s="592"/>
      <c r="CC277" s="592"/>
      <c r="CD277" s="592"/>
      <c r="CE277" s="592"/>
      <c r="CF277" s="592"/>
      <c r="CG277" s="592"/>
      <c r="CH277" s="592"/>
      <c r="CI277" s="592"/>
      <c r="CJ277" s="592"/>
      <c r="CK277" s="592"/>
      <c r="CL277" s="592"/>
      <c r="CM277" s="592"/>
      <c r="CN277" s="592"/>
      <c r="CO277" s="592"/>
      <c r="CP277" s="592"/>
      <c r="CQ277" s="592"/>
      <c r="CR277" s="592"/>
      <c r="CS277" s="592"/>
      <c r="CT277" s="592"/>
      <c r="CU277" s="592"/>
      <c r="CV277" s="592"/>
      <c r="CW277" s="592"/>
      <c r="CX277" s="592"/>
      <c r="CY277" s="592"/>
      <c r="CZ277" s="592"/>
      <c r="DA277" s="592"/>
      <c r="DB277" s="592"/>
      <c r="DC277" s="592"/>
      <c r="DD277" s="592"/>
      <c r="DE277" s="592"/>
      <c r="DF277" s="592"/>
      <c r="DG277" s="592"/>
      <c r="DH277" s="592"/>
      <c r="DI277" s="592"/>
      <c r="DJ277" s="592"/>
      <c r="DK277" s="592"/>
      <c r="DL277" s="592"/>
      <c r="DM277" s="592"/>
      <c r="DN277" s="592"/>
      <c r="DO277" s="592"/>
      <c r="DP277" s="592"/>
      <c r="DQ277" s="592"/>
      <c r="DR277" s="592"/>
      <c r="DS277" s="592"/>
      <c r="DT277" s="592"/>
      <c r="DU277" s="592"/>
      <c r="DV277" s="592"/>
      <c r="DW277" s="592"/>
      <c r="DX277" s="592"/>
      <c r="DY277" s="592"/>
      <c r="DZ277" s="592"/>
      <c r="EA277" s="592"/>
      <c r="EB277" s="592"/>
      <c r="EC277" s="592"/>
      <c r="ED277" s="592"/>
      <c r="EE277" s="592"/>
      <c r="EF277" s="592"/>
      <c r="EG277" s="592"/>
      <c r="EH277" s="592"/>
      <c r="EI277" s="592"/>
      <c r="EJ277" s="592"/>
      <c r="EK277" s="592"/>
      <c r="EL277" s="592"/>
      <c r="EM277" s="592"/>
      <c r="EN277" s="592"/>
      <c r="EO277" s="592"/>
      <c r="EP277" s="592"/>
      <c r="EQ277" s="592"/>
      <c r="ER277" s="592"/>
      <c r="ES277" s="592"/>
      <c r="ET277" s="592"/>
      <c r="EU277" s="592"/>
      <c r="EV277" s="592"/>
      <c r="EW277" s="592"/>
      <c r="EX277" s="592"/>
      <c r="EY277" s="592"/>
      <c r="EZ277" s="592"/>
      <c r="FA277" s="592"/>
      <c r="FB277" s="592"/>
      <c r="FC277" s="592"/>
      <c r="FD277" s="592"/>
      <c r="FE277" s="592"/>
      <c r="FF277" s="592"/>
      <c r="FG277" s="592"/>
      <c r="FH277" s="592"/>
      <c r="FI277" s="592"/>
      <c r="FJ277" s="592"/>
      <c r="FK277" s="592"/>
      <c r="FL277" s="592"/>
      <c r="FM277" s="592"/>
      <c r="FN277" s="592"/>
      <c r="FO277" s="592"/>
      <c r="FP277" s="592"/>
      <c r="FQ277" s="592"/>
      <c r="FR277" s="592"/>
      <c r="FS277" s="592"/>
      <c r="FT277" s="592"/>
      <c r="FU277" s="592"/>
      <c r="FV277" s="592"/>
      <c r="FW277" s="592"/>
      <c r="FX277" s="592"/>
      <c r="FY277" s="592"/>
      <c r="FZ277" s="592"/>
      <c r="GA277" s="592"/>
      <c r="GB277" s="592"/>
      <c r="GC277" s="592"/>
      <c r="GD277" s="592"/>
      <c r="GE277" s="592"/>
      <c r="GF277" s="592"/>
      <c r="GG277" s="592"/>
      <c r="GH277" s="592"/>
      <c r="GI277" s="592"/>
      <c r="GJ277" s="592"/>
      <c r="GK277" s="592"/>
      <c r="GL277" s="592"/>
      <c r="GM277" s="592"/>
      <c r="GN277" s="592"/>
      <c r="GO277" s="592"/>
      <c r="GP277" s="592"/>
      <c r="GQ277" s="592"/>
      <c r="GR277" s="592"/>
      <c r="GS277" s="592"/>
      <c r="GT277" s="592"/>
      <c r="GU277" s="592"/>
      <c r="GV277" s="592"/>
      <c r="GW277" s="592"/>
      <c r="GX277" s="592"/>
      <c r="GY277" s="592"/>
      <c r="GZ277" s="592"/>
      <c r="HA277" s="592"/>
      <c r="HB277" s="592"/>
      <c r="HC277" s="592"/>
      <c r="HD277" s="592"/>
      <c r="HE277" s="592"/>
      <c r="HF277" s="592"/>
      <c r="HG277" s="592"/>
      <c r="HH277" s="592"/>
      <c r="HI277" s="592"/>
      <c r="HJ277" s="592"/>
      <c r="HK277" s="592"/>
      <c r="HL277" s="592"/>
      <c r="HM277" s="592"/>
      <c r="HN277" s="592"/>
      <c r="HO277" s="592"/>
      <c r="HP277" s="592"/>
      <c r="HQ277" s="592"/>
      <c r="HR277" s="592"/>
      <c r="HS277" s="592"/>
      <c r="HT277" s="592"/>
      <c r="HU277" s="592"/>
      <c r="HV277" s="592"/>
      <c r="HW277" s="592"/>
      <c r="HX277" s="592"/>
      <c r="HY277" s="592"/>
      <c r="HZ277" s="592"/>
      <c r="IA277" s="592"/>
      <c r="IB277" s="592"/>
      <c r="IC277" s="592"/>
      <c r="ID277" s="592"/>
      <c r="IE277" s="592"/>
      <c r="IF277" s="592"/>
      <c r="IG277" s="592"/>
      <c r="IH277" s="592"/>
      <c r="II277" s="592"/>
      <c r="IJ277" s="592"/>
      <c r="IK277" s="592"/>
      <c r="IL277" s="592"/>
      <c r="IM277" s="592"/>
      <c r="IN277" s="592"/>
      <c r="IO277" s="592"/>
      <c r="IP277" s="592"/>
      <c r="IQ277" s="592"/>
      <c r="IR277" s="592"/>
      <c r="IS277" s="592"/>
      <c r="IT277" s="592"/>
      <c r="IU277" s="592"/>
      <c r="IV277" s="592"/>
      <c r="IW277" s="592"/>
      <c r="IX277" s="592"/>
      <c r="IY277" s="592"/>
      <c r="IZ277" s="592"/>
      <c r="JA277" s="592"/>
      <c r="JB277" s="592"/>
      <c r="JC277" s="592"/>
      <c r="JD277" s="592"/>
      <c r="JE277" s="592"/>
      <c r="JF277" s="592"/>
      <c r="JG277" s="592"/>
      <c r="JH277" s="592"/>
      <c r="JI277" s="592"/>
      <c r="JJ277" s="592"/>
      <c r="JK277" s="592"/>
      <c r="JL277" s="592"/>
      <c r="JM277" s="592"/>
      <c r="JN277" s="592"/>
      <c r="JO277" s="592"/>
      <c r="JP277" s="592"/>
      <c r="JQ277" s="592"/>
      <c r="JR277" s="592"/>
      <c r="JS277" s="592"/>
      <c r="JT277" s="592"/>
      <c r="JU277" s="592"/>
      <c r="JV277" s="592"/>
      <c r="JW277" s="592"/>
      <c r="JX277" s="592"/>
      <c r="JY277" s="592"/>
      <c r="JZ277" s="592"/>
      <c r="KA277" s="592"/>
      <c r="KB277" s="592"/>
      <c r="KC277" s="592"/>
      <c r="KD277" s="592"/>
      <c r="KE277" s="592"/>
      <c r="KF277" s="592"/>
      <c r="KG277" s="592"/>
      <c r="KH277" s="592"/>
      <c r="KI277" s="592"/>
      <c r="KJ277" s="592"/>
      <c r="KK277" s="592"/>
      <c r="KL277" s="592"/>
      <c r="KM277" s="592"/>
      <c r="KN277" s="592"/>
      <c r="KO277" s="592"/>
      <c r="KP277" s="592"/>
      <c r="KQ277" s="592"/>
      <c r="KR277" s="592"/>
      <c r="KS277" s="592"/>
      <c r="KT277" s="592"/>
      <c r="KU277" s="592"/>
      <c r="KV277" s="592"/>
      <c r="KW277" s="592"/>
      <c r="KX277" s="592"/>
      <c r="KY277" s="592"/>
      <c r="KZ277" s="592"/>
      <c r="LA277" s="592"/>
      <c r="LB277" s="592"/>
      <c r="LC277" s="592"/>
      <c r="LD277" s="592"/>
      <c r="LE277" s="592"/>
      <c r="LF277" s="592"/>
      <c r="LG277" s="592"/>
      <c r="LH277" s="592"/>
      <c r="LI277" s="592"/>
      <c r="LJ277" s="592"/>
      <c r="LK277" s="592"/>
      <c r="LL277" s="592"/>
      <c r="LM277" s="592"/>
      <c r="LN277" s="592"/>
      <c r="LO277" s="592"/>
      <c r="LP277" s="592"/>
      <c r="LQ277" s="592"/>
      <c r="LR277" s="592"/>
      <c r="LS277" s="592"/>
      <c r="LT277" s="592"/>
      <c r="LU277" s="592"/>
      <c r="LV277" s="592"/>
      <c r="LW277" s="592"/>
      <c r="LX277" s="592"/>
      <c r="LY277" s="592"/>
      <c r="LZ277" s="592"/>
      <c r="MA277" s="592"/>
      <c r="MB277" s="592"/>
      <c r="MC277" s="592"/>
      <c r="MD277" s="592"/>
      <c r="ME277" s="592"/>
      <c r="MF277" s="592"/>
      <c r="MG277" s="592"/>
      <c r="MH277" s="592"/>
      <c r="MI277" s="592"/>
      <c r="MJ277" s="592"/>
      <c r="MK277" s="592"/>
      <c r="ML277" s="592"/>
      <c r="MM277" s="592"/>
      <c r="MN277" s="592"/>
      <c r="MO277" s="592"/>
      <c r="MP277" s="592"/>
      <c r="MQ277" s="592"/>
      <c r="MR277" s="592"/>
      <c r="MS277" s="592"/>
      <c r="MT277" s="592"/>
      <c r="MU277" s="592"/>
      <c r="MV277" s="592"/>
      <c r="MW277" s="592"/>
      <c r="MX277" s="592"/>
      <c r="MY277" s="592"/>
      <c r="MZ277" s="592"/>
      <c r="NA277" s="592"/>
      <c r="NB277" s="592"/>
      <c r="NC277" s="592"/>
      <c r="ND277" s="592"/>
      <c r="NE277" s="592"/>
      <c r="NF277" s="592"/>
      <c r="NG277" s="592"/>
      <c r="NH277" s="592"/>
      <c r="NI277" s="592"/>
      <c r="NJ277" s="592"/>
      <c r="NK277" s="592"/>
      <c r="NL277" s="592"/>
      <c r="NM277" s="592"/>
      <c r="NN277" s="592"/>
      <c r="NO277" s="592"/>
      <c r="NP277" s="592"/>
      <c r="NQ277" s="592"/>
      <c r="NR277" s="592"/>
      <c r="NS277" s="592"/>
      <c r="NT277" s="592"/>
      <c r="NU277" s="592"/>
      <c r="NV277" s="592"/>
      <c r="NW277" s="592"/>
      <c r="NX277" s="592"/>
      <c r="NY277" s="592"/>
      <c r="NZ277" s="592"/>
      <c r="OA277" s="592"/>
      <c r="OB277" s="592"/>
      <c r="OC277" s="592"/>
      <c r="OD277" s="592"/>
      <c r="OE277" s="592"/>
      <c r="OF277" s="592"/>
      <c r="OG277" s="592"/>
      <c r="OH277" s="592"/>
      <c r="OI277" s="592"/>
      <c r="OJ277" s="592"/>
      <c r="OK277" s="592"/>
      <c r="OL277" s="592"/>
      <c r="OM277" s="592"/>
      <c r="ON277" s="592"/>
      <c r="OO277" s="592"/>
      <c r="OP277" s="592"/>
      <c r="OQ277" s="592"/>
      <c r="OR277" s="592"/>
      <c r="OS277" s="592"/>
      <c r="OT277" s="592"/>
      <c r="OU277" s="592"/>
      <c r="OV277" s="592"/>
      <c r="OW277" s="592"/>
      <c r="OX277" s="592"/>
      <c r="OY277" s="592"/>
      <c r="OZ277" s="592"/>
      <c r="PA277" s="592"/>
      <c r="PB277" s="592"/>
      <c r="PC277" s="592"/>
      <c r="PD277" s="592"/>
      <c r="PE277" s="592"/>
      <c r="PF277" s="592"/>
      <c r="PG277" s="592"/>
      <c r="PH277" s="592"/>
      <c r="PI277" s="592"/>
      <c r="PJ277" s="592"/>
      <c r="PK277" s="592"/>
      <c r="PL277" s="592"/>
      <c r="PM277" s="592"/>
      <c r="PN277" s="592"/>
      <c r="PO277" s="592"/>
      <c r="PP277" s="592"/>
      <c r="PQ277" s="592"/>
      <c r="PR277" s="592"/>
      <c r="PS277" s="592"/>
      <c r="PT277" s="592"/>
      <c r="PU277" s="592"/>
      <c r="PV277" s="592"/>
      <c r="PW277" s="592"/>
      <c r="PX277" s="592"/>
      <c r="PY277" s="592"/>
      <c r="PZ277" s="592"/>
      <c r="QA277" s="592"/>
      <c r="QB277" s="592"/>
      <c r="QC277" s="592"/>
      <c r="QD277" s="592"/>
      <c r="QE277" s="592"/>
      <c r="QF277" s="592"/>
      <c r="QG277" s="592"/>
      <c r="QH277" s="592"/>
      <c r="QI277" s="592"/>
      <c r="QJ277" s="592"/>
      <c r="QK277" s="592"/>
      <c r="QL277" s="592"/>
      <c r="QM277" s="592"/>
      <c r="QN277" s="592"/>
      <c r="QO277" s="592"/>
      <c r="QP277" s="592"/>
      <c r="QQ277" s="592"/>
      <c r="QR277" s="592"/>
      <c r="QS277" s="592"/>
      <c r="QT277" s="592"/>
      <c r="QU277" s="592"/>
      <c r="QV277" s="592"/>
      <c r="QW277" s="592"/>
      <c r="QX277" s="592"/>
      <c r="QY277" s="592"/>
      <c r="QZ277" s="592"/>
      <c r="RA277" s="592"/>
      <c r="RB277" s="592"/>
      <c r="RC277" s="592"/>
      <c r="RD277" s="592"/>
      <c r="RE277" s="592"/>
      <c r="RF277" s="592"/>
      <c r="RG277" s="592"/>
      <c r="RH277" s="592"/>
      <c r="RI277" s="592"/>
      <c r="RJ277" s="592"/>
      <c r="RK277" s="592"/>
      <c r="RL277" s="592"/>
      <c r="RM277" s="592"/>
      <c r="RN277" s="592"/>
      <c r="RO277" s="592"/>
      <c r="RP277" s="592"/>
      <c r="RQ277" s="592"/>
      <c r="RR277" s="592"/>
      <c r="RS277" s="592"/>
      <c r="RT277" s="592"/>
      <c r="RU277" s="592"/>
      <c r="RV277" s="592"/>
      <c r="RW277" s="592"/>
      <c r="RX277" s="592"/>
      <c r="RY277" s="592"/>
      <c r="RZ277" s="592"/>
      <c r="SA277" s="592"/>
      <c r="SB277" s="592"/>
      <c r="SC277" s="592"/>
      <c r="SD277" s="592"/>
      <c r="SE277" s="592"/>
      <c r="SF277" s="592"/>
      <c r="SG277" s="592"/>
      <c r="SH277" s="592"/>
      <c r="SI277" s="592"/>
      <c r="SJ277" s="592"/>
      <c r="SK277" s="592"/>
      <c r="SL277" s="592"/>
      <c r="SM277" s="592"/>
      <c r="SN277" s="592"/>
      <c r="SO277" s="592"/>
      <c r="SP277" s="592"/>
      <c r="SQ277" s="592"/>
      <c r="SR277" s="592"/>
      <c r="SS277" s="592"/>
      <c r="ST277" s="592"/>
      <c r="SU277" s="592"/>
      <c r="SV277" s="592"/>
      <c r="SW277" s="592"/>
      <c r="SX277" s="592"/>
      <c r="SY277" s="592"/>
      <c r="SZ277" s="592"/>
      <c r="TA277" s="592"/>
      <c r="TB277" s="592"/>
      <c r="TC277" s="592"/>
      <c r="TD277" s="592"/>
      <c r="TE277" s="592"/>
      <c r="TF277" s="592"/>
      <c r="TG277" s="592"/>
      <c r="TH277" s="592"/>
      <c r="TI277" s="592"/>
      <c r="TJ277" s="592"/>
      <c r="TK277" s="592"/>
      <c r="TL277" s="592"/>
      <c r="TM277" s="592"/>
      <c r="TN277" s="592"/>
      <c r="TO277" s="592"/>
      <c r="TP277" s="592"/>
      <c r="TQ277" s="592"/>
      <c r="TR277" s="592"/>
      <c r="TS277" s="592"/>
      <c r="TT277" s="592"/>
      <c r="TU277" s="592"/>
      <c r="TV277" s="592"/>
      <c r="TW277" s="592"/>
      <c r="TX277" s="592"/>
      <c r="TY277" s="592"/>
      <c r="TZ277" s="592"/>
      <c r="UA277" s="592"/>
      <c r="UB277" s="592"/>
      <c r="UC277" s="592"/>
      <c r="UD277" s="592"/>
      <c r="UE277" s="592"/>
      <c r="UF277" s="592"/>
      <c r="UG277" s="592"/>
      <c r="UH277" s="592"/>
      <c r="UI277" s="592"/>
      <c r="UJ277" s="592"/>
      <c r="UK277" s="592"/>
      <c r="UL277" s="592"/>
      <c r="UM277" s="592"/>
      <c r="UN277" s="592"/>
      <c r="UO277" s="592"/>
      <c r="UP277" s="592"/>
      <c r="UQ277" s="592"/>
      <c r="UR277" s="592"/>
      <c r="US277" s="592"/>
      <c r="UT277" s="592"/>
      <c r="UU277" s="592"/>
      <c r="UV277" s="592"/>
      <c r="UW277" s="592"/>
      <c r="UX277" s="592"/>
      <c r="UY277" s="592"/>
      <c r="UZ277" s="592"/>
      <c r="VA277" s="592"/>
      <c r="VB277" s="592"/>
      <c r="VC277" s="592"/>
      <c r="VD277" s="592"/>
      <c r="VE277" s="592"/>
      <c r="VF277" s="592"/>
      <c r="VG277" s="592"/>
      <c r="VH277" s="592"/>
      <c r="VI277" s="592"/>
      <c r="VJ277" s="592"/>
      <c r="VK277" s="592"/>
      <c r="VL277" s="592"/>
      <c r="VM277" s="592"/>
      <c r="VN277" s="592"/>
      <c r="VO277" s="592"/>
      <c r="VP277" s="592"/>
      <c r="VQ277" s="592"/>
      <c r="VR277" s="592"/>
      <c r="VS277" s="592"/>
      <c r="VT277" s="592"/>
      <c r="VU277" s="592"/>
      <c r="VV277" s="592"/>
      <c r="VW277" s="592"/>
      <c r="VX277" s="592"/>
      <c r="VY277" s="592"/>
      <c r="VZ277" s="592"/>
      <c r="WA277" s="592"/>
      <c r="WB277" s="592"/>
      <c r="WC277" s="592"/>
      <c r="WD277" s="592"/>
      <c r="WE277" s="592"/>
      <c r="WF277" s="592"/>
      <c r="WG277" s="592"/>
      <c r="WH277" s="592"/>
      <c r="WI277" s="592"/>
      <c r="WJ277" s="592"/>
      <c r="WK277" s="592"/>
      <c r="WL277" s="592"/>
      <c r="WM277" s="592"/>
      <c r="WN277" s="592"/>
      <c r="WO277" s="592"/>
      <c r="WP277" s="592"/>
      <c r="WQ277" s="592"/>
      <c r="WR277" s="592"/>
      <c r="WS277" s="592"/>
      <c r="WT277" s="592"/>
      <c r="WU277" s="592"/>
      <c r="WV277" s="592"/>
      <c r="WW277" s="592"/>
      <c r="WX277" s="592"/>
      <c r="WY277" s="592"/>
      <c r="WZ277" s="592"/>
      <c r="XA277" s="592"/>
      <c r="XB277" s="592"/>
      <c r="XC277" s="592"/>
      <c r="XD277" s="592"/>
      <c r="XE277" s="592"/>
      <c r="XF277" s="592"/>
      <c r="XG277" s="592"/>
      <c r="XH277" s="592"/>
      <c r="XI277" s="592"/>
      <c r="XJ277" s="592"/>
      <c r="XK277" s="592"/>
      <c r="XL277" s="592"/>
      <c r="XM277" s="592"/>
      <c r="XN277" s="592"/>
      <c r="XO277" s="592"/>
      <c r="XP277" s="592"/>
      <c r="XQ277" s="592"/>
      <c r="XR277" s="592"/>
      <c r="XS277" s="592"/>
      <c r="XT277" s="592"/>
      <c r="XU277" s="592"/>
      <c r="XV277" s="592"/>
      <c r="XW277" s="592"/>
      <c r="XX277" s="592"/>
      <c r="XY277" s="592"/>
      <c r="XZ277" s="592"/>
      <c r="YA277" s="592"/>
      <c r="YB277" s="592"/>
      <c r="YC277" s="592"/>
      <c r="YD277" s="592"/>
      <c r="YE277" s="592"/>
      <c r="YF277" s="592"/>
      <c r="YG277" s="592"/>
      <c r="YH277" s="592"/>
      <c r="YI277" s="592"/>
      <c r="YJ277" s="592"/>
      <c r="YK277" s="592"/>
      <c r="YL277" s="592"/>
      <c r="YM277" s="592"/>
      <c r="YN277" s="592"/>
      <c r="YO277" s="592"/>
      <c r="YP277" s="592"/>
      <c r="YQ277" s="592"/>
      <c r="YR277" s="592"/>
      <c r="YS277" s="592"/>
      <c r="YT277" s="592"/>
      <c r="YU277" s="592"/>
      <c r="YV277" s="592"/>
      <c r="YW277" s="592"/>
      <c r="YX277" s="592"/>
      <c r="YY277" s="592"/>
      <c r="YZ277" s="592"/>
      <c r="ZA277" s="592"/>
      <c r="ZB277" s="592"/>
      <c r="ZC277" s="592"/>
      <c r="ZD277" s="592"/>
      <c r="ZE277" s="592"/>
      <c r="ZF277" s="592"/>
      <c r="ZG277" s="592"/>
      <c r="ZH277" s="592"/>
      <c r="ZI277" s="592"/>
      <c r="ZJ277" s="592"/>
      <c r="ZK277" s="592"/>
      <c r="ZL277" s="592"/>
      <c r="ZM277" s="592"/>
      <c r="ZN277" s="592"/>
      <c r="ZO277" s="592"/>
      <c r="ZP277" s="592"/>
      <c r="ZQ277" s="592"/>
      <c r="ZR277" s="592"/>
      <c r="ZS277" s="592"/>
      <c r="ZT277" s="592"/>
      <c r="ZU277" s="592"/>
      <c r="ZV277" s="592"/>
      <c r="ZW277" s="592"/>
      <c r="ZX277" s="592"/>
      <c r="ZY277" s="592"/>
      <c r="ZZ277" s="592"/>
      <c r="AAA277" s="592"/>
      <c r="AAB277" s="592"/>
      <c r="AAC277" s="592"/>
      <c r="AAD277" s="592"/>
      <c r="AAE277" s="592"/>
      <c r="AAF277" s="592"/>
      <c r="AAG277" s="592"/>
      <c r="AAH277" s="592"/>
      <c r="AAI277" s="592"/>
      <c r="AAJ277" s="592"/>
      <c r="AAK277" s="592"/>
      <c r="AAL277" s="592"/>
      <c r="AAM277" s="592"/>
      <c r="AAN277" s="592"/>
      <c r="AAO277" s="592"/>
      <c r="AAP277" s="592"/>
      <c r="AAQ277" s="592"/>
      <c r="AAR277" s="592"/>
      <c r="AAS277" s="592"/>
      <c r="AAT277" s="592"/>
      <c r="AAU277" s="592"/>
      <c r="AAV277" s="592"/>
      <c r="AAW277" s="592"/>
      <c r="AAX277" s="592"/>
      <c r="AAY277" s="592"/>
      <c r="AAZ277" s="592"/>
      <c r="ABA277" s="592"/>
      <c r="ABB277" s="592"/>
      <c r="ABC277" s="592"/>
      <c r="ABD277" s="592"/>
      <c r="ABE277" s="592"/>
      <c r="ABF277" s="592"/>
      <c r="ABG277" s="592"/>
      <c r="ABH277" s="592"/>
      <c r="ABI277" s="592"/>
      <c r="ABJ277" s="592"/>
      <c r="ABK277" s="592"/>
      <c r="ABL277" s="592"/>
      <c r="ABM277" s="592"/>
      <c r="ABN277" s="592"/>
      <c r="ABO277" s="592"/>
      <c r="ABP277" s="592"/>
      <c r="ABQ277" s="592"/>
      <c r="ABR277" s="592"/>
      <c r="ABS277" s="592"/>
      <c r="ABT277" s="592"/>
      <c r="ABU277" s="592"/>
      <c r="ABV277" s="592"/>
      <c r="ABW277" s="592"/>
      <c r="ABX277" s="592"/>
      <c r="ABY277" s="592"/>
      <c r="ABZ277" s="592"/>
      <c r="ACA277" s="592"/>
      <c r="ACB277" s="592"/>
      <c r="ACC277" s="592"/>
      <c r="ACD277" s="592"/>
      <c r="ACE277" s="592"/>
      <c r="ACF277" s="592"/>
      <c r="ACG277" s="592"/>
      <c r="ACH277" s="592"/>
      <c r="ACI277" s="592"/>
      <c r="ACJ277" s="592"/>
      <c r="ACK277" s="592"/>
      <c r="ACL277" s="592"/>
      <c r="ACM277" s="592"/>
      <c r="ACN277" s="592"/>
      <c r="ACO277" s="592"/>
      <c r="ACP277" s="592"/>
      <c r="ACQ277" s="592"/>
      <c r="ACR277" s="592"/>
      <c r="ACS277" s="592"/>
      <c r="ACT277" s="592"/>
      <c r="ACU277" s="592"/>
      <c r="ACV277" s="592"/>
      <c r="ACW277" s="592"/>
      <c r="ACX277" s="592"/>
      <c r="ACY277" s="592"/>
      <c r="ACZ277" s="592"/>
      <c r="ADA277" s="592"/>
      <c r="ADB277" s="592"/>
      <c r="ADC277" s="592"/>
      <c r="ADD277" s="592"/>
      <c r="ADE277" s="592"/>
      <c r="ADF277" s="592"/>
      <c r="ADG277" s="592"/>
      <c r="ADH277" s="592"/>
      <c r="ADI277" s="592"/>
      <c r="ADJ277" s="592"/>
      <c r="ADK277" s="592"/>
      <c r="ADL277" s="592"/>
      <c r="ADM277" s="592"/>
      <c r="ADN277" s="592"/>
      <c r="ADO277" s="592"/>
      <c r="ADP277" s="592"/>
      <c r="ADQ277" s="592"/>
      <c r="ADR277" s="592"/>
      <c r="ADS277" s="592"/>
      <c r="ADT277" s="592"/>
      <c r="ADU277" s="592"/>
      <c r="ADV277" s="592"/>
      <c r="ADW277" s="592"/>
      <c r="ADX277" s="592"/>
      <c r="ADY277" s="592"/>
      <c r="ADZ277" s="592"/>
      <c r="AEA277" s="592"/>
      <c r="AEB277" s="592"/>
      <c r="AEC277" s="592"/>
      <c r="AED277" s="592"/>
      <c r="AEE277" s="592"/>
      <c r="AEF277" s="592"/>
      <c r="AEG277" s="592"/>
      <c r="AEH277" s="592"/>
      <c r="AEI277" s="592"/>
      <c r="AEJ277" s="592"/>
      <c r="AEK277" s="592"/>
      <c r="AEL277" s="592"/>
      <c r="AEM277" s="592"/>
      <c r="AEN277" s="592"/>
      <c r="AEO277" s="592"/>
      <c r="AEP277" s="592"/>
      <c r="AEQ277" s="592"/>
      <c r="AER277" s="592"/>
      <c r="AES277" s="592"/>
      <c r="AET277" s="592"/>
      <c r="AEU277" s="592"/>
      <c r="AEV277" s="592"/>
      <c r="AEW277" s="592"/>
      <c r="AEX277" s="592"/>
      <c r="AEY277" s="592"/>
      <c r="AEZ277" s="592"/>
      <c r="AFA277" s="592"/>
      <c r="AFB277" s="592"/>
      <c r="AFC277" s="592"/>
      <c r="AFD277" s="592"/>
      <c r="AFE277" s="592"/>
      <c r="AFF277" s="592"/>
      <c r="AFG277" s="592"/>
      <c r="AFH277" s="592"/>
      <c r="AFI277" s="592"/>
      <c r="AFJ277" s="592"/>
      <c r="AFK277" s="592"/>
      <c r="AFL277" s="592"/>
      <c r="AFM277" s="592"/>
      <c r="AFN277" s="592"/>
      <c r="AFO277" s="592"/>
      <c r="AFP277" s="592"/>
      <c r="AFQ277" s="592"/>
      <c r="AFR277" s="592"/>
      <c r="AFS277" s="592"/>
      <c r="AFT277" s="592"/>
      <c r="AFU277" s="592"/>
      <c r="AFV277" s="592"/>
      <c r="AFW277" s="592"/>
      <c r="AFX277" s="592"/>
      <c r="AFY277" s="592"/>
      <c r="AFZ277" s="592"/>
      <c r="AGA277" s="592"/>
      <c r="AGB277" s="592"/>
      <c r="AGC277" s="592"/>
      <c r="AGD277" s="592"/>
      <c r="AGE277" s="592"/>
      <c r="AGF277" s="592"/>
      <c r="AGG277" s="592"/>
      <c r="AGH277" s="592"/>
      <c r="AGI277" s="592"/>
      <c r="AGJ277" s="592"/>
      <c r="AGK277" s="592"/>
      <c r="AGL277" s="592"/>
      <c r="AGM277" s="592"/>
      <c r="AGN277" s="592"/>
      <c r="AGO277" s="592"/>
      <c r="AGP277" s="592"/>
      <c r="AGQ277" s="592"/>
      <c r="AGR277" s="592"/>
      <c r="AGS277" s="592"/>
      <c r="AGT277" s="592"/>
      <c r="AGU277" s="592"/>
      <c r="AGV277" s="592"/>
      <c r="AGW277" s="592"/>
      <c r="AGX277" s="592"/>
      <c r="AGY277" s="592"/>
      <c r="AGZ277" s="592"/>
      <c r="AHA277" s="592"/>
      <c r="AHB277" s="592"/>
      <c r="AHC277" s="592"/>
      <c r="AHD277" s="592"/>
      <c r="AHE277" s="592"/>
      <c r="AHF277" s="592"/>
      <c r="AHG277" s="592"/>
      <c r="AHH277" s="592"/>
      <c r="AHI277" s="592"/>
      <c r="AHJ277" s="592"/>
      <c r="AHK277" s="592"/>
      <c r="AHL277" s="592"/>
      <c r="AHM277" s="592"/>
      <c r="AHN277" s="592"/>
      <c r="AHO277" s="592"/>
      <c r="AHP277" s="592"/>
      <c r="AHQ277" s="592"/>
      <c r="AHR277" s="592"/>
      <c r="AHS277" s="592"/>
      <c r="AHT277" s="592"/>
      <c r="AHU277" s="592"/>
      <c r="AHV277" s="592"/>
      <c r="AHW277" s="592"/>
      <c r="AHX277" s="592"/>
      <c r="AHY277" s="592"/>
      <c r="AHZ277" s="592"/>
      <c r="AIA277" s="592"/>
      <c r="AIB277" s="592"/>
      <c r="AIC277" s="592"/>
      <c r="AID277" s="592"/>
      <c r="AIE277" s="592"/>
      <c r="AIF277" s="592"/>
      <c r="AIG277" s="592"/>
      <c r="AIH277" s="592"/>
      <c r="AII277" s="592"/>
      <c r="AIJ277" s="592"/>
      <c r="AIK277" s="592"/>
      <c r="AIL277" s="592"/>
      <c r="AIM277" s="592"/>
      <c r="AIN277" s="592"/>
      <c r="AIO277" s="592"/>
      <c r="AIP277" s="592"/>
      <c r="AIQ277" s="592"/>
      <c r="AIR277" s="592"/>
      <c r="AIS277" s="592"/>
      <c r="AIT277" s="592"/>
      <c r="AIU277" s="592"/>
      <c r="AIV277" s="592"/>
      <c r="AIW277" s="592"/>
      <c r="AIX277" s="592"/>
      <c r="AIY277" s="592"/>
      <c r="AIZ277" s="592"/>
      <c r="AJA277" s="592"/>
      <c r="AJB277" s="592"/>
      <c r="AJC277" s="592"/>
      <c r="AJD277" s="592"/>
      <c r="AJE277" s="592"/>
      <c r="AJF277" s="592"/>
      <c r="AJG277" s="592"/>
      <c r="AJH277" s="592"/>
      <c r="AJI277" s="592"/>
      <c r="AJJ277" s="592"/>
      <c r="AJK277" s="592"/>
      <c r="AJL277" s="592"/>
      <c r="AJM277" s="592"/>
      <c r="AJN277" s="592"/>
      <c r="AJO277" s="592"/>
      <c r="AJP277" s="592"/>
      <c r="AJQ277" s="592"/>
      <c r="AJR277" s="592"/>
      <c r="AJS277" s="592"/>
      <c r="AJT277" s="592"/>
      <c r="AJU277" s="592"/>
      <c r="AJV277" s="592"/>
      <c r="AJW277" s="592"/>
      <c r="AJX277" s="592"/>
      <c r="AJY277" s="592"/>
      <c r="AJZ277" s="592"/>
      <c r="AKA277" s="592"/>
      <c r="AKB277" s="592"/>
      <c r="AKC277" s="592"/>
      <c r="AKD277" s="592"/>
      <c r="AKE277" s="592"/>
      <c r="AKF277" s="592"/>
      <c r="AKG277" s="592"/>
      <c r="AKH277" s="592"/>
      <c r="AKI277" s="592"/>
      <c r="AKJ277" s="592"/>
      <c r="AKK277" s="592"/>
      <c r="AKL277" s="592"/>
      <c r="AKM277" s="592"/>
      <c r="AKN277" s="592"/>
      <c r="AKO277" s="592"/>
      <c r="AKP277" s="592"/>
      <c r="AKQ277" s="592"/>
      <c r="AKR277" s="592"/>
      <c r="AKS277" s="592"/>
      <c r="AKT277" s="592"/>
      <c r="AKU277" s="592"/>
      <c r="AKV277" s="592"/>
      <c r="AKW277" s="592"/>
      <c r="AKX277" s="592"/>
      <c r="AKY277" s="592"/>
      <c r="AKZ277" s="592"/>
      <c r="ALA277" s="592"/>
      <c r="ALB277" s="592"/>
      <c r="ALC277" s="592"/>
      <c r="ALD277" s="592"/>
      <c r="ALE277" s="592"/>
      <c r="ALF277" s="592"/>
      <c r="ALG277" s="592"/>
      <c r="ALH277" s="592"/>
      <c r="ALI277" s="592"/>
      <c r="ALJ277" s="592"/>
      <c r="ALK277" s="592"/>
      <c r="ALL277" s="592"/>
      <c r="ALM277" s="592"/>
      <c r="ALN277" s="592"/>
      <c r="ALO277" s="592"/>
      <c r="ALP277" s="592"/>
      <c r="ALQ277" s="592"/>
      <c r="ALR277" s="592"/>
      <c r="ALS277" s="592"/>
      <c r="ALT277" s="592"/>
      <c r="ALU277" s="592"/>
      <c r="ALV277" s="592"/>
      <c r="ALW277" s="592"/>
      <c r="ALX277" s="592"/>
      <c r="ALY277" s="592"/>
      <c r="ALZ277" s="592"/>
      <c r="AMA277" s="592"/>
      <c r="AMB277" s="592"/>
      <c r="AMC277" s="592"/>
      <c r="AMD277" s="592"/>
      <c r="AME277" s="592"/>
      <c r="AMF277" s="592"/>
      <c r="AMG277" s="592"/>
      <c r="AMH277" s="592"/>
      <c r="AMI277" s="592"/>
      <c r="AMJ277" s="592"/>
      <c r="AMK277" s="592"/>
      <c r="AML277" s="592"/>
      <c r="AMM277" s="592"/>
      <c r="AMN277" s="592"/>
      <c r="AMO277" s="592"/>
      <c r="AMP277" s="592"/>
      <c r="AMQ277" s="592"/>
      <c r="AMR277" s="592"/>
      <c r="AMS277" s="592"/>
      <c r="AMT277" s="592"/>
      <c r="AMU277" s="592"/>
      <c r="AMV277" s="592"/>
      <c r="AMW277" s="592"/>
      <c r="AMX277" s="592"/>
      <c r="AMY277" s="592"/>
      <c r="AMZ277" s="592"/>
      <c r="ANA277" s="592"/>
      <c r="ANB277" s="592"/>
      <c r="ANC277" s="592"/>
      <c r="AND277" s="592"/>
      <c r="ANE277" s="592"/>
      <c r="ANF277" s="592"/>
      <c r="ANG277" s="592"/>
      <c r="ANH277" s="592"/>
      <c r="ANI277" s="592"/>
      <c r="ANJ277" s="592"/>
      <c r="ANK277" s="592"/>
      <c r="ANL277" s="592"/>
      <c r="ANM277" s="592"/>
      <c r="ANN277" s="592"/>
      <c r="ANO277" s="592"/>
      <c r="ANP277" s="592"/>
      <c r="ANQ277" s="592"/>
      <c r="ANR277" s="592"/>
      <c r="ANS277" s="592"/>
      <c r="ANT277" s="592"/>
      <c r="ANU277" s="592"/>
      <c r="ANV277" s="592"/>
      <c r="ANW277" s="592"/>
      <c r="ANX277" s="592"/>
      <c r="ANY277" s="592"/>
      <c r="ANZ277" s="592"/>
      <c r="AOA277" s="592"/>
      <c r="AOB277" s="592"/>
      <c r="AOC277" s="592"/>
      <c r="AOD277" s="592"/>
      <c r="AOE277" s="592"/>
      <c r="AOF277" s="592"/>
      <c r="AOG277" s="592"/>
      <c r="AOH277" s="592"/>
      <c r="AOI277" s="592"/>
      <c r="AOJ277" s="592"/>
      <c r="AOK277" s="592"/>
      <c r="AOL277" s="592"/>
      <c r="AOM277" s="592"/>
      <c r="AON277" s="592"/>
      <c r="AOO277" s="592"/>
      <c r="AOP277" s="592"/>
      <c r="AOQ277" s="592"/>
      <c r="AOR277" s="592"/>
      <c r="AOS277" s="592"/>
      <c r="AOT277" s="592"/>
      <c r="AOU277" s="592"/>
      <c r="AOV277" s="592"/>
      <c r="AOW277" s="592"/>
      <c r="AOX277" s="592"/>
      <c r="AOY277" s="592"/>
      <c r="AOZ277" s="592"/>
      <c r="APA277" s="592"/>
      <c r="APB277" s="592"/>
      <c r="APC277" s="592"/>
      <c r="APD277" s="592"/>
      <c r="APE277" s="592"/>
      <c r="APF277" s="592"/>
      <c r="APG277" s="592"/>
      <c r="APH277" s="592"/>
      <c r="API277" s="592"/>
      <c r="APJ277" s="592"/>
      <c r="APK277" s="592"/>
      <c r="APL277" s="592"/>
      <c r="APM277" s="592"/>
      <c r="APN277" s="592"/>
      <c r="APO277" s="592"/>
      <c r="APP277" s="592"/>
      <c r="APQ277" s="592"/>
      <c r="APR277" s="592"/>
      <c r="APS277" s="592"/>
      <c r="APT277" s="592"/>
      <c r="APU277" s="592"/>
      <c r="APV277" s="592"/>
      <c r="APW277" s="592"/>
      <c r="APX277" s="592"/>
      <c r="APY277" s="592"/>
      <c r="APZ277" s="592"/>
      <c r="AQA277" s="592"/>
      <c r="AQB277" s="592"/>
      <c r="AQC277" s="592"/>
      <c r="AQD277" s="592"/>
      <c r="AQE277" s="592"/>
      <c r="AQF277" s="592"/>
      <c r="AQG277" s="592"/>
      <c r="AQH277" s="592"/>
      <c r="AQI277" s="592"/>
      <c r="AQJ277" s="592"/>
      <c r="AQK277" s="592"/>
      <c r="AQL277" s="592"/>
      <c r="AQM277" s="592"/>
      <c r="AQN277" s="592"/>
      <c r="AQO277" s="592"/>
      <c r="AQP277" s="592"/>
      <c r="AQQ277" s="592"/>
      <c r="AQR277" s="592"/>
      <c r="AQS277" s="592"/>
      <c r="AQT277" s="592"/>
      <c r="AQU277" s="592"/>
      <c r="AQV277" s="592"/>
      <c r="AQW277" s="592"/>
      <c r="AQX277" s="592"/>
      <c r="AQY277" s="592"/>
      <c r="AQZ277" s="592"/>
      <c r="ARA277" s="592"/>
      <c r="ARB277" s="592"/>
      <c r="ARC277" s="592"/>
      <c r="ARD277" s="592"/>
      <c r="ARE277" s="592"/>
      <c r="ARF277" s="592"/>
      <c r="ARG277" s="592"/>
      <c r="ARH277" s="592"/>
      <c r="ARI277" s="592"/>
      <c r="ARJ277" s="592"/>
      <c r="ARK277" s="592"/>
      <c r="ARL277" s="592"/>
      <c r="ARM277" s="592"/>
      <c r="ARN277" s="592"/>
      <c r="ARO277" s="592"/>
      <c r="ARP277" s="592"/>
      <c r="ARQ277" s="592"/>
      <c r="ARR277" s="592"/>
      <c r="ARS277" s="592"/>
      <c r="ART277" s="592"/>
      <c r="ARU277" s="592"/>
      <c r="ARV277" s="592"/>
      <c r="ARW277" s="592"/>
      <c r="ARX277" s="592"/>
      <c r="ARY277" s="592"/>
      <c r="ARZ277" s="592"/>
      <c r="ASA277" s="592"/>
      <c r="ASB277" s="592"/>
      <c r="ASC277" s="592"/>
      <c r="ASD277" s="592"/>
      <c r="ASE277" s="592"/>
      <c r="ASF277" s="592"/>
      <c r="ASG277" s="592"/>
      <c r="ASH277" s="592"/>
      <c r="ASI277" s="592"/>
      <c r="ASJ277" s="592"/>
      <c r="ASK277" s="592"/>
      <c r="ASL277" s="592"/>
      <c r="ASM277" s="592"/>
      <c r="ASN277" s="592"/>
      <c r="ASO277" s="592"/>
      <c r="ASP277" s="592"/>
      <c r="ASQ277" s="592"/>
      <c r="ASR277" s="592"/>
      <c r="ASS277" s="592"/>
      <c r="AST277" s="592"/>
      <c r="ASU277" s="592"/>
      <c r="ASV277" s="592"/>
      <c r="ASW277" s="592"/>
      <c r="ASX277" s="592"/>
      <c r="ASY277" s="592"/>
      <c r="ASZ277" s="592"/>
      <c r="ATA277" s="592"/>
      <c r="ATB277" s="592"/>
      <c r="ATC277" s="592"/>
      <c r="ATD277" s="592"/>
      <c r="ATE277" s="592"/>
      <c r="ATF277" s="592"/>
      <c r="ATG277" s="592"/>
      <c r="ATH277" s="592"/>
      <c r="ATI277" s="592"/>
      <c r="ATJ277" s="592"/>
      <c r="ATK277" s="592"/>
      <c r="ATL277" s="592"/>
      <c r="ATM277" s="592"/>
      <c r="ATN277" s="592"/>
      <c r="ATO277" s="592"/>
      <c r="ATP277" s="592"/>
      <c r="ATQ277" s="592"/>
      <c r="ATR277" s="592"/>
      <c r="ATS277" s="592"/>
      <c r="ATT277" s="592"/>
      <c r="ATU277" s="592"/>
      <c r="ATV277" s="592"/>
      <c r="ATW277" s="592"/>
      <c r="ATX277" s="592"/>
      <c r="ATY277" s="592"/>
      <c r="ATZ277" s="592"/>
      <c r="AUA277" s="592"/>
      <c r="AUB277" s="592"/>
      <c r="AUC277" s="592"/>
      <c r="AUD277" s="592"/>
      <c r="AUE277" s="592"/>
      <c r="AUF277" s="592"/>
      <c r="AUG277" s="592"/>
      <c r="AUH277" s="592"/>
      <c r="AUI277" s="592"/>
      <c r="AUJ277" s="592"/>
      <c r="AUK277" s="592"/>
      <c r="AUL277" s="592"/>
      <c r="AUM277" s="592"/>
      <c r="AUN277" s="592"/>
      <c r="AUO277" s="592"/>
      <c r="AUP277" s="592"/>
      <c r="AUQ277" s="592"/>
      <c r="AUR277" s="592"/>
      <c r="AUS277" s="592"/>
      <c r="AUT277" s="592"/>
      <c r="AUU277" s="592"/>
      <c r="AUV277" s="592"/>
      <c r="AUW277" s="592"/>
      <c r="AUX277" s="592"/>
      <c r="AUY277" s="592"/>
      <c r="AUZ277" s="592"/>
      <c r="AVA277" s="592"/>
      <c r="AVB277" s="592"/>
      <c r="AVC277" s="592"/>
      <c r="AVD277" s="592"/>
      <c r="AVE277" s="592"/>
      <c r="AVF277" s="592"/>
      <c r="AVG277" s="592"/>
      <c r="AVH277" s="592"/>
      <c r="AVI277" s="592"/>
      <c r="AVJ277" s="592"/>
      <c r="AVK277" s="592"/>
      <c r="AVL277" s="592"/>
      <c r="AVM277" s="592"/>
      <c r="AVN277" s="592"/>
      <c r="AVO277" s="592"/>
      <c r="AVP277" s="592"/>
      <c r="AVQ277" s="592"/>
      <c r="AVR277" s="592"/>
      <c r="AVS277" s="592"/>
      <c r="AVT277" s="592"/>
      <c r="AVU277" s="592"/>
      <c r="AVV277" s="592"/>
      <c r="AVW277" s="592"/>
      <c r="AVX277" s="592"/>
      <c r="AVY277" s="592"/>
      <c r="AVZ277" s="592"/>
      <c r="AWA277" s="592"/>
      <c r="AWB277" s="592"/>
      <c r="AWC277" s="592"/>
      <c r="AWD277" s="592"/>
      <c r="AWE277" s="592"/>
      <c r="AWF277" s="592"/>
      <c r="AWG277" s="592"/>
      <c r="AWH277" s="592"/>
      <c r="AWI277" s="592"/>
      <c r="AWJ277" s="592"/>
      <c r="AWK277" s="592"/>
      <c r="AWL277" s="592"/>
      <c r="AWM277" s="592"/>
      <c r="AWN277" s="592"/>
      <c r="AWO277" s="592"/>
      <c r="AWP277" s="592"/>
      <c r="AWQ277" s="592"/>
      <c r="AWR277" s="592"/>
      <c r="AWS277" s="592"/>
      <c r="AWT277" s="592"/>
      <c r="AWU277" s="592"/>
      <c r="AWV277" s="592"/>
      <c r="AWW277" s="592"/>
      <c r="AWX277" s="592"/>
      <c r="AWY277" s="592"/>
      <c r="AWZ277" s="592"/>
      <c r="AXA277" s="592"/>
      <c r="AXB277" s="592"/>
      <c r="AXC277" s="592"/>
      <c r="AXD277" s="592"/>
      <c r="AXE277" s="592"/>
      <c r="AXF277" s="592"/>
      <c r="AXG277" s="592"/>
      <c r="AXH277" s="592"/>
      <c r="AXI277" s="592"/>
      <c r="AXJ277" s="592"/>
      <c r="AXK277" s="592"/>
      <c r="AXL277" s="592"/>
      <c r="AXM277" s="592"/>
      <c r="AXN277" s="592"/>
      <c r="AXO277" s="592"/>
      <c r="AXP277" s="592"/>
      <c r="AXQ277" s="592"/>
      <c r="AXR277" s="592"/>
      <c r="AXS277" s="592"/>
      <c r="AXT277" s="592"/>
      <c r="AXU277" s="592"/>
      <c r="AXV277" s="592"/>
      <c r="AXW277" s="592"/>
      <c r="AXX277" s="592"/>
      <c r="AXY277" s="592"/>
      <c r="AXZ277" s="592"/>
      <c r="AYA277" s="592"/>
      <c r="AYB277" s="592"/>
      <c r="AYC277" s="592"/>
      <c r="AYD277" s="592"/>
      <c r="AYE277" s="592"/>
      <c r="AYF277" s="592"/>
      <c r="AYG277" s="592"/>
      <c r="AYH277" s="592"/>
      <c r="AYI277" s="592"/>
      <c r="AYJ277" s="592"/>
      <c r="AYK277" s="592"/>
      <c r="AYL277" s="592"/>
      <c r="AYM277" s="592"/>
      <c r="AYN277" s="592"/>
      <c r="AYO277" s="592"/>
      <c r="AYP277" s="592"/>
      <c r="AYQ277" s="592"/>
      <c r="AYR277" s="592"/>
      <c r="AYS277" s="592"/>
      <c r="AYT277" s="592"/>
      <c r="AYU277" s="592"/>
      <c r="AYV277" s="592"/>
      <c r="AYW277" s="592"/>
      <c r="AYX277" s="592"/>
      <c r="AYY277" s="592"/>
      <c r="AYZ277" s="592"/>
      <c r="AZA277" s="592"/>
      <c r="AZB277" s="592"/>
      <c r="AZC277" s="592"/>
      <c r="AZD277" s="592"/>
      <c r="AZE277" s="592"/>
      <c r="AZF277" s="592"/>
      <c r="AZG277" s="592"/>
      <c r="AZH277" s="592"/>
      <c r="AZI277" s="592"/>
      <c r="AZJ277" s="592"/>
      <c r="AZK277" s="592"/>
      <c r="AZL277" s="592"/>
      <c r="AZM277" s="592"/>
      <c r="AZN277" s="592"/>
      <c r="AZO277" s="592"/>
      <c r="AZP277" s="592"/>
      <c r="AZQ277" s="592"/>
      <c r="AZR277" s="592"/>
      <c r="AZS277" s="592"/>
      <c r="AZT277" s="592"/>
      <c r="AZU277" s="592"/>
      <c r="AZV277" s="592"/>
      <c r="AZW277" s="592"/>
      <c r="AZX277" s="592"/>
      <c r="AZY277" s="592"/>
      <c r="AZZ277" s="592"/>
      <c r="BAA277" s="592"/>
      <c r="BAB277" s="592"/>
      <c r="BAC277" s="592"/>
      <c r="BAD277" s="592"/>
      <c r="BAE277" s="592"/>
      <c r="BAF277" s="592"/>
      <c r="BAG277" s="592"/>
      <c r="BAH277" s="592"/>
      <c r="BAI277" s="592"/>
      <c r="BAJ277" s="592"/>
      <c r="BAK277" s="592"/>
      <c r="BAL277" s="592"/>
      <c r="BAM277" s="592"/>
      <c r="BAN277" s="592"/>
      <c r="BAO277" s="592"/>
      <c r="BAP277" s="592"/>
      <c r="BAQ277" s="592"/>
      <c r="BAR277" s="592"/>
      <c r="BAS277" s="592"/>
      <c r="BAT277" s="592"/>
      <c r="BAU277" s="592"/>
      <c r="BAV277" s="592"/>
      <c r="BAW277" s="592"/>
      <c r="BAX277" s="592"/>
      <c r="BAY277" s="592"/>
      <c r="BAZ277" s="592"/>
      <c r="BBA277" s="592"/>
      <c r="BBB277" s="592"/>
      <c r="BBC277" s="592"/>
      <c r="BBD277" s="592"/>
      <c r="BBE277" s="592"/>
      <c r="BBF277" s="592"/>
      <c r="BBG277" s="592"/>
      <c r="BBH277" s="592"/>
      <c r="BBI277" s="592"/>
      <c r="BBJ277" s="592"/>
      <c r="BBK277" s="592"/>
      <c r="BBL277" s="592"/>
      <c r="BBM277" s="592"/>
      <c r="BBN277" s="592"/>
      <c r="BBO277" s="592"/>
      <c r="BBP277" s="592"/>
      <c r="BBQ277" s="592"/>
      <c r="BBR277" s="592"/>
      <c r="BBS277" s="592"/>
      <c r="BBT277" s="592"/>
      <c r="BBU277" s="592"/>
      <c r="BBV277" s="592"/>
      <c r="BBW277" s="592"/>
      <c r="BBX277" s="592"/>
      <c r="BBY277" s="592"/>
      <c r="BBZ277" s="592"/>
      <c r="BCA277" s="592"/>
      <c r="BCB277" s="592"/>
      <c r="BCC277" s="592"/>
      <c r="BCD277" s="592"/>
      <c r="BCE277" s="592"/>
      <c r="BCF277" s="592"/>
      <c r="BCG277" s="592"/>
      <c r="BCH277" s="592"/>
      <c r="BCI277" s="592"/>
      <c r="BCJ277" s="592"/>
      <c r="BCK277" s="592"/>
      <c r="BCL277" s="592"/>
      <c r="BCM277" s="592"/>
      <c r="BCN277" s="592"/>
      <c r="BCO277" s="592"/>
      <c r="BCP277" s="592"/>
      <c r="BCQ277" s="592"/>
      <c r="BCR277" s="592"/>
      <c r="BCS277" s="592"/>
      <c r="BCT277" s="592"/>
      <c r="BCU277" s="592"/>
      <c r="BCV277" s="592"/>
      <c r="BCW277" s="592"/>
      <c r="BCX277" s="592"/>
      <c r="BCY277" s="592"/>
      <c r="BCZ277" s="592"/>
      <c r="BDA277" s="592"/>
      <c r="BDB277" s="592"/>
      <c r="BDC277" s="592"/>
      <c r="BDD277" s="592"/>
      <c r="BDE277" s="592"/>
      <c r="BDF277" s="592"/>
      <c r="BDG277" s="592"/>
      <c r="BDH277" s="592"/>
      <c r="BDI277" s="592"/>
      <c r="BDJ277" s="592"/>
      <c r="BDK277" s="592"/>
      <c r="BDL277" s="592"/>
      <c r="BDM277" s="592"/>
      <c r="BDN277" s="592"/>
      <c r="BDO277" s="592"/>
      <c r="BDP277" s="592"/>
      <c r="BDQ277" s="592"/>
      <c r="BDR277" s="592"/>
      <c r="BDS277" s="592"/>
      <c r="BDT277" s="592"/>
      <c r="BDU277" s="592"/>
      <c r="BDV277" s="592"/>
      <c r="BDW277" s="592"/>
      <c r="BDX277" s="592"/>
      <c r="BDY277" s="592"/>
      <c r="BDZ277" s="592"/>
      <c r="BEA277" s="592"/>
      <c r="BEB277" s="592"/>
      <c r="BEC277" s="592"/>
      <c r="BED277" s="592"/>
      <c r="BEE277" s="592"/>
      <c r="BEF277" s="592"/>
      <c r="BEG277" s="592"/>
      <c r="BEH277" s="592"/>
      <c r="BEI277" s="592"/>
      <c r="BEJ277" s="592"/>
      <c r="BEK277" s="592"/>
      <c r="BEL277" s="592"/>
      <c r="BEM277" s="592"/>
      <c r="BEN277" s="592"/>
      <c r="BEO277" s="592"/>
      <c r="BEP277" s="592"/>
      <c r="BEQ277" s="592"/>
      <c r="BER277" s="592"/>
      <c r="BES277" s="592"/>
      <c r="BET277" s="592"/>
      <c r="BEU277" s="592"/>
      <c r="BEV277" s="592"/>
      <c r="BEW277" s="592"/>
      <c r="BEX277" s="592"/>
      <c r="BEY277" s="592"/>
      <c r="BEZ277" s="592"/>
      <c r="BFA277" s="592"/>
      <c r="BFB277" s="592"/>
      <c r="BFC277" s="592"/>
      <c r="BFD277" s="592"/>
      <c r="BFE277" s="592"/>
      <c r="BFF277" s="592"/>
      <c r="BFG277" s="592"/>
      <c r="BFH277" s="592"/>
      <c r="BFI277" s="592"/>
      <c r="BFJ277" s="592"/>
      <c r="BFK277" s="592"/>
      <c r="BFL277" s="592"/>
      <c r="BFM277" s="592"/>
      <c r="BFN277" s="592"/>
      <c r="BFO277" s="592"/>
      <c r="BFP277" s="592"/>
      <c r="BFQ277" s="592"/>
      <c r="BFR277" s="592"/>
      <c r="BFS277" s="592"/>
      <c r="BFT277" s="592"/>
      <c r="BFU277" s="592"/>
      <c r="BFV277" s="592"/>
      <c r="BFW277" s="592"/>
      <c r="BFX277" s="592"/>
      <c r="BFY277" s="592"/>
      <c r="BFZ277" s="592"/>
      <c r="BGA277" s="592"/>
      <c r="BGB277" s="592"/>
      <c r="BGC277" s="592"/>
      <c r="BGD277" s="592"/>
      <c r="BGE277" s="592"/>
      <c r="BGF277" s="592"/>
      <c r="BGG277" s="592"/>
      <c r="BGH277" s="592"/>
      <c r="BGI277" s="592"/>
      <c r="BGJ277" s="592"/>
      <c r="BGK277" s="592"/>
      <c r="BGL277" s="592"/>
      <c r="BGM277" s="592"/>
      <c r="BGN277" s="592"/>
      <c r="BGO277" s="592"/>
      <c r="BGP277" s="592"/>
      <c r="BGQ277" s="592"/>
      <c r="BGR277" s="592"/>
      <c r="BGS277" s="592"/>
      <c r="BGT277" s="592"/>
      <c r="BGU277" s="592"/>
      <c r="BGV277" s="592"/>
      <c r="BGW277" s="592"/>
      <c r="BGX277" s="592"/>
      <c r="BGY277" s="592"/>
      <c r="BGZ277" s="592"/>
      <c r="BHA277" s="592"/>
      <c r="BHB277" s="592"/>
      <c r="BHC277" s="592"/>
      <c r="BHD277" s="592"/>
      <c r="BHE277" s="592"/>
      <c r="BHF277" s="592"/>
      <c r="BHG277" s="592"/>
      <c r="BHH277" s="592"/>
      <c r="BHI277" s="592"/>
      <c r="BHJ277" s="592"/>
      <c r="BHK277" s="592"/>
      <c r="BHL277" s="592"/>
      <c r="BHM277" s="592"/>
      <c r="BHN277" s="592"/>
      <c r="BHO277" s="592"/>
      <c r="BHP277" s="592"/>
      <c r="BHQ277" s="592"/>
      <c r="BHR277" s="592"/>
      <c r="BHS277" s="592"/>
      <c r="BHT277" s="592"/>
      <c r="BHU277" s="592"/>
      <c r="BHV277" s="592"/>
      <c r="BHW277" s="592"/>
      <c r="BHX277" s="592"/>
      <c r="BHY277" s="592"/>
      <c r="BHZ277" s="592"/>
      <c r="BIA277" s="592"/>
      <c r="BIB277" s="592"/>
      <c r="BIC277" s="592"/>
      <c r="BID277" s="592"/>
      <c r="BIE277" s="592"/>
      <c r="BIF277" s="592"/>
      <c r="BIG277" s="592"/>
      <c r="BIH277" s="592"/>
      <c r="BII277" s="592"/>
      <c r="BIJ277" s="592"/>
      <c r="BIK277" s="592"/>
      <c r="BIL277" s="592"/>
      <c r="BIM277" s="592"/>
      <c r="BIN277" s="592"/>
      <c r="BIO277" s="592"/>
      <c r="BIP277" s="592"/>
      <c r="BIQ277" s="592"/>
      <c r="BIR277" s="592"/>
      <c r="BIS277" s="592"/>
      <c r="BIT277" s="592"/>
      <c r="BIU277" s="592"/>
      <c r="BIV277" s="592"/>
      <c r="BIW277" s="592"/>
      <c r="BIX277" s="592"/>
      <c r="BIY277" s="592"/>
      <c r="BIZ277" s="592"/>
      <c r="BJA277" s="592"/>
      <c r="BJB277" s="592"/>
      <c r="BJC277" s="592"/>
      <c r="BJD277" s="592"/>
      <c r="BJE277" s="592"/>
      <c r="BJF277" s="592"/>
      <c r="BJG277" s="592"/>
      <c r="BJH277" s="592"/>
      <c r="BJI277" s="592"/>
      <c r="BJJ277" s="592"/>
      <c r="BJK277" s="592"/>
      <c r="BJL277" s="592"/>
      <c r="BJM277" s="592"/>
      <c r="BJN277" s="592"/>
      <c r="BJO277" s="592"/>
      <c r="BJP277" s="592"/>
      <c r="BJQ277" s="592"/>
      <c r="BJR277" s="592"/>
      <c r="BJS277" s="592"/>
      <c r="BJT277" s="592"/>
      <c r="BJU277" s="592"/>
      <c r="BJV277" s="592"/>
      <c r="BJW277" s="592"/>
      <c r="BJX277" s="592"/>
      <c r="BJY277" s="592"/>
      <c r="BJZ277" s="592"/>
      <c r="BKA277" s="592"/>
      <c r="BKB277" s="592"/>
      <c r="BKC277" s="592"/>
      <c r="BKD277" s="592"/>
      <c r="BKE277" s="592"/>
      <c r="BKF277" s="592"/>
      <c r="BKG277" s="592"/>
      <c r="BKH277" s="592"/>
      <c r="BKI277" s="592"/>
      <c r="BKJ277" s="592"/>
      <c r="BKK277" s="592"/>
      <c r="BKL277" s="592"/>
      <c r="BKM277" s="592"/>
      <c r="BKN277" s="592"/>
      <c r="BKO277" s="592"/>
      <c r="BKP277" s="592"/>
      <c r="BKQ277" s="592"/>
      <c r="BKR277" s="592"/>
      <c r="BKS277" s="592"/>
      <c r="BKT277" s="592"/>
      <c r="BKU277" s="592"/>
      <c r="BKV277" s="592"/>
      <c r="BKW277" s="592"/>
      <c r="BKX277" s="592"/>
      <c r="BKY277" s="592"/>
      <c r="BKZ277" s="592"/>
      <c r="BLA277" s="592"/>
      <c r="BLB277" s="592"/>
      <c r="BLC277" s="592"/>
      <c r="BLD277" s="592"/>
      <c r="BLE277" s="592"/>
      <c r="BLF277" s="592"/>
      <c r="BLG277" s="592"/>
      <c r="BLH277" s="592"/>
      <c r="BLI277" s="592"/>
      <c r="BLJ277" s="592"/>
      <c r="BLK277" s="592"/>
      <c r="BLL277" s="592"/>
      <c r="BLM277" s="592"/>
      <c r="BLN277" s="592"/>
      <c r="BLO277" s="592"/>
      <c r="BLP277" s="592"/>
      <c r="BLQ277" s="592"/>
      <c r="BLR277" s="592"/>
      <c r="BLS277" s="592"/>
      <c r="BLT277" s="592"/>
      <c r="BLU277" s="592"/>
      <c r="BLV277" s="592"/>
      <c r="BLW277" s="592"/>
      <c r="BLX277" s="592"/>
      <c r="BLY277" s="592"/>
      <c r="BLZ277" s="592"/>
      <c r="BMA277" s="592"/>
      <c r="BMB277" s="592"/>
      <c r="BMC277" s="592"/>
      <c r="BMD277" s="592"/>
      <c r="BME277" s="592"/>
      <c r="BMF277" s="592"/>
      <c r="BMG277" s="592"/>
      <c r="BMH277" s="592"/>
      <c r="BMI277" s="592"/>
      <c r="BMJ277" s="592"/>
      <c r="BMK277" s="592"/>
      <c r="BML277" s="592"/>
      <c r="BMM277" s="592"/>
      <c r="BMN277" s="592"/>
      <c r="BMO277" s="592"/>
      <c r="BMP277" s="592"/>
      <c r="BMQ277" s="592"/>
      <c r="BMR277" s="592"/>
      <c r="BMS277" s="592"/>
      <c r="BMT277" s="592"/>
      <c r="BMU277" s="592"/>
      <c r="BMV277" s="592"/>
      <c r="BMW277" s="592"/>
      <c r="BMX277" s="592"/>
      <c r="BMY277" s="592"/>
      <c r="BMZ277" s="592"/>
      <c r="BNA277" s="592"/>
      <c r="BNB277" s="592"/>
      <c r="BNC277" s="592"/>
      <c r="BND277" s="592"/>
      <c r="BNE277" s="592"/>
      <c r="BNF277" s="592"/>
      <c r="BNG277" s="592"/>
      <c r="BNH277" s="592"/>
      <c r="BNI277" s="592"/>
      <c r="BNJ277" s="592"/>
      <c r="BNK277" s="592"/>
      <c r="BNL277" s="592"/>
      <c r="BNM277" s="592"/>
      <c r="BNN277" s="592"/>
      <c r="BNO277" s="592"/>
      <c r="BNP277" s="592"/>
      <c r="BNQ277" s="592"/>
      <c r="BNR277" s="592"/>
      <c r="BNS277" s="592"/>
      <c r="BNT277" s="592"/>
      <c r="BNU277" s="592"/>
      <c r="BNV277" s="592"/>
      <c r="BNW277" s="592"/>
      <c r="BNX277" s="592"/>
      <c r="BNY277" s="592"/>
      <c r="BNZ277" s="592"/>
      <c r="BOA277" s="592"/>
      <c r="BOB277" s="592"/>
      <c r="BOC277" s="592"/>
      <c r="BOD277" s="592"/>
      <c r="BOE277" s="592"/>
      <c r="BOF277" s="592"/>
      <c r="BOG277" s="592"/>
      <c r="BOH277" s="592"/>
      <c r="BOI277" s="592"/>
      <c r="BOJ277" s="592"/>
      <c r="BOK277" s="592"/>
      <c r="BOL277" s="592"/>
      <c r="BOM277" s="592"/>
      <c r="BON277" s="592"/>
      <c r="BOO277" s="592"/>
      <c r="BOP277" s="592"/>
      <c r="BOQ277" s="592"/>
      <c r="BOR277" s="592"/>
      <c r="BOS277" s="592"/>
      <c r="BOT277" s="592"/>
      <c r="BOU277" s="592"/>
      <c r="BOV277" s="592"/>
      <c r="BOW277" s="592"/>
      <c r="BOX277" s="592"/>
      <c r="BOY277" s="592"/>
      <c r="BOZ277" s="592"/>
      <c r="BPA277" s="592"/>
      <c r="BPB277" s="592"/>
      <c r="BPC277" s="592"/>
      <c r="BPD277" s="592"/>
      <c r="BPE277" s="592"/>
      <c r="BPF277" s="592"/>
      <c r="BPG277" s="592"/>
      <c r="BPH277" s="592"/>
      <c r="BPI277" s="592"/>
      <c r="BPJ277" s="592"/>
      <c r="BPK277" s="592"/>
      <c r="BPL277" s="592"/>
      <c r="BPM277" s="592"/>
      <c r="BPN277" s="592"/>
      <c r="BPO277" s="592"/>
      <c r="BPP277" s="592"/>
      <c r="BPQ277" s="592"/>
      <c r="BPR277" s="592"/>
      <c r="BPS277" s="592"/>
      <c r="BPT277" s="592"/>
      <c r="BPU277" s="592"/>
      <c r="BPV277" s="592"/>
      <c r="BPW277" s="592"/>
      <c r="BPX277" s="592"/>
      <c r="BPY277" s="592"/>
      <c r="BPZ277" s="592"/>
      <c r="BQA277" s="592"/>
      <c r="BQB277" s="592"/>
      <c r="BQC277" s="592"/>
      <c r="BQD277" s="592"/>
      <c r="BQE277" s="592"/>
      <c r="BQF277" s="592"/>
      <c r="BQG277" s="592"/>
      <c r="BQH277" s="592"/>
      <c r="BQI277" s="592"/>
      <c r="BQJ277" s="592"/>
      <c r="BQK277" s="592"/>
      <c r="BQL277" s="592"/>
      <c r="BQM277" s="592"/>
      <c r="BQN277" s="592"/>
      <c r="BQO277" s="592"/>
      <c r="BQP277" s="592"/>
      <c r="BQQ277" s="592"/>
      <c r="BQR277" s="592"/>
      <c r="BQS277" s="592"/>
      <c r="BQT277" s="592"/>
      <c r="BQU277" s="592"/>
      <c r="BQV277" s="592"/>
      <c r="BQW277" s="592"/>
      <c r="BQX277" s="592"/>
      <c r="BQY277" s="592"/>
      <c r="BQZ277" s="592"/>
      <c r="BRA277" s="592"/>
      <c r="BRB277" s="592"/>
      <c r="BRC277" s="592"/>
      <c r="BRD277" s="592"/>
      <c r="BRE277" s="592"/>
      <c r="BRF277" s="592"/>
      <c r="BRG277" s="592"/>
      <c r="BRH277" s="592"/>
      <c r="BRI277" s="592"/>
      <c r="BRJ277" s="592"/>
      <c r="BRK277" s="592"/>
      <c r="BRL277" s="592"/>
      <c r="BRM277" s="592"/>
      <c r="BRN277" s="592"/>
      <c r="BRO277" s="592"/>
      <c r="BRP277" s="592"/>
      <c r="BRQ277" s="592"/>
      <c r="BRR277" s="592"/>
      <c r="BRS277" s="592"/>
      <c r="BRT277" s="592"/>
      <c r="BRU277" s="592"/>
      <c r="BRV277" s="592"/>
      <c r="BRW277" s="592"/>
      <c r="BRX277" s="592"/>
      <c r="BRY277" s="592"/>
      <c r="BRZ277" s="592"/>
      <c r="BSA277" s="592"/>
      <c r="BSB277" s="592"/>
      <c r="BSC277" s="592"/>
      <c r="BSD277" s="592"/>
      <c r="BSE277" s="592"/>
      <c r="BSF277" s="592"/>
      <c r="BSG277" s="592"/>
      <c r="BSH277" s="592"/>
      <c r="BSI277" s="592"/>
      <c r="BSJ277" s="592"/>
      <c r="BSK277" s="592"/>
      <c r="BSL277" s="592"/>
      <c r="BSM277" s="592"/>
      <c r="BSN277" s="592"/>
      <c r="BSO277" s="592"/>
      <c r="BSP277" s="592"/>
      <c r="BSQ277" s="592"/>
      <c r="BSR277" s="592"/>
      <c r="BSS277" s="592"/>
      <c r="BST277" s="592"/>
      <c r="BSU277" s="592"/>
      <c r="BSV277" s="592"/>
      <c r="BSW277" s="592"/>
      <c r="BSX277" s="592"/>
      <c r="BSY277" s="592"/>
      <c r="BSZ277" s="592"/>
      <c r="BTA277" s="592"/>
      <c r="BTB277" s="592"/>
      <c r="BTC277" s="592"/>
      <c r="BTD277" s="592"/>
      <c r="BTE277" s="592"/>
      <c r="BTF277" s="592"/>
      <c r="BTG277" s="592"/>
      <c r="BTH277" s="592"/>
      <c r="BTI277" s="592"/>
      <c r="BTJ277" s="592"/>
      <c r="BTK277" s="592"/>
      <c r="BTL277" s="592"/>
      <c r="BTM277" s="592"/>
      <c r="BTN277" s="592"/>
      <c r="BTO277" s="592"/>
      <c r="BTP277" s="592"/>
      <c r="BTQ277" s="592"/>
      <c r="BTR277" s="592"/>
      <c r="BTS277" s="592"/>
      <c r="BTT277" s="592"/>
      <c r="BTU277" s="592"/>
      <c r="BTV277" s="592"/>
      <c r="BTW277" s="592"/>
      <c r="BTX277" s="592"/>
      <c r="BTY277" s="592"/>
      <c r="BTZ277" s="592"/>
      <c r="BUA277" s="592"/>
      <c r="BUB277" s="592"/>
      <c r="BUC277" s="592"/>
      <c r="BUD277" s="592"/>
      <c r="BUE277" s="592"/>
      <c r="BUF277" s="592"/>
      <c r="BUG277" s="592"/>
      <c r="BUH277" s="592"/>
      <c r="BUI277" s="592"/>
      <c r="BUJ277" s="592"/>
      <c r="BUK277" s="592"/>
      <c r="BUL277" s="592"/>
      <c r="BUM277" s="592"/>
      <c r="BUN277" s="592"/>
      <c r="BUO277" s="592"/>
      <c r="BUP277" s="592"/>
      <c r="BUQ277" s="592"/>
      <c r="BUR277" s="592"/>
      <c r="BUS277" s="592"/>
      <c r="BUT277" s="592"/>
      <c r="BUU277" s="592"/>
      <c r="BUV277" s="592"/>
      <c r="BUW277" s="592"/>
      <c r="BUX277" s="592"/>
      <c r="BUY277" s="592"/>
      <c r="BUZ277" s="592"/>
      <c r="BVA277" s="592"/>
      <c r="BVB277" s="592"/>
      <c r="BVC277" s="592"/>
      <c r="BVD277" s="592"/>
      <c r="BVE277" s="592"/>
      <c r="BVF277" s="592"/>
      <c r="BVG277" s="592"/>
      <c r="BVH277" s="592"/>
      <c r="BVI277" s="592"/>
      <c r="BVJ277" s="592"/>
      <c r="BVK277" s="592"/>
      <c r="BVL277" s="592"/>
      <c r="BVM277" s="592"/>
      <c r="BVN277" s="592"/>
      <c r="BVO277" s="592"/>
      <c r="BVP277" s="592"/>
      <c r="BVQ277" s="592"/>
      <c r="BVR277" s="592"/>
      <c r="BVS277" s="592"/>
      <c r="BVT277" s="592"/>
      <c r="BVU277" s="592"/>
      <c r="BVV277" s="592"/>
      <c r="BVW277" s="592"/>
      <c r="BVX277" s="592"/>
      <c r="BVY277" s="592"/>
      <c r="BVZ277" s="592"/>
      <c r="BWA277" s="592"/>
      <c r="BWB277" s="592"/>
      <c r="BWC277" s="592"/>
      <c r="BWD277" s="592"/>
      <c r="BWE277" s="592"/>
      <c r="BWF277" s="592"/>
      <c r="BWG277" s="592"/>
      <c r="BWH277" s="592"/>
      <c r="BWI277" s="592"/>
      <c r="BWJ277" s="592"/>
      <c r="BWK277" s="592"/>
      <c r="BWL277" s="592"/>
      <c r="BWM277" s="592"/>
      <c r="BWN277" s="592"/>
      <c r="BWO277" s="592"/>
      <c r="BWP277" s="592"/>
      <c r="BWQ277" s="592"/>
      <c r="BWR277" s="592"/>
      <c r="BWS277" s="592"/>
      <c r="BWT277" s="592"/>
      <c r="BWU277" s="592"/>
      <c r="BWV277" s="592"/>
      <c r="BWW277" s="592"/>
      <c r="BWX277" s="592"/>
      <c r="BWY277" s="592"/>
      <c r="BWZ277" s="592"/>
      <c r="BXA277" s="592"/>
      <c r="BXB277" s="592"/>
      <c r="BXC277" s="592"/>
      <c r="BXD277" s="592"/>
      <c r="BXE277" s="592"/>
      <c r="BXF277" s="592"/>
      <c r="BXG277" s="592"/>
      <c r="BXH277" s="592"/>
      <c r="BXI277" s="592"/>
      <c r="BXJ277" s="592"/>
      <c r="BXK277" s="592"/>
      <c r="BXL277" s="592"/>
      <c r="BXM277" s="592"/>
      <c r="BXN277" s="592"/>
      <c r="BXO277" s="592"/>
      <c r="BXP277" s="592"/>
      <c r="BXQ277" s="592"/>
      <c r="BXR277" s="592"/>
      <c r="BXS277" s="592"/>
      <c r="BXT277" s="592"/>
      <c r="BXU277" s="592"/>
      <c r="BXV277" s="592"/>
      <c r="BXW277" s="592"/>
      <c r="BXX277" s="592"/>
      <c r="BXY277" s="592"/>
      <c r="BXZ277" s="592"/>
      <c r="BYA277" s="592"/>
      <c r="BYB277" s="592"/>
      <c r="BYC277" s="592"/>
      <c r="BYD277" s="592"/>
      <c r="BYE277" s="592"/>
      <c r="BYF277" s="592"/>
      <c r="BYG277" s="592"/>
      <c r="BYH277" s="592"/>
      <c r="BYI277" s="592"/>
      <c r="BYJ277" s="592"/>
      <c r="BYK277" s="592"/>
      <c r="BYL277" s="592"/>
      <c r="BYM277" s="592"/>
      <c r="BYN277" s="592"/>
      <c r="BYO277" s="592"/>
      <c r="BYP277" s="592"/>
      <c r="BYQ277" s="592"/>
      <c r="BYR277" s="592"/>
      <c r="BYS277" s="592"/>
      <c r="BYT277" s="592"/>
      <c r="BYU277" s="592"/>
      <c r="BYV277" s="592"/>
      <c r="BYW277" s="592"/>
      <c r="BYX277" s="592"/>
      <c r="BYY277" s="592"/>
      <c r="BYZ277" s="592"/>
      <c r="BZA277" s="592"/>
      <c r="BZB277" s="592"/>
      <c r="BZC277" s="592"/>
      <c r="BZD277" s="592"/>
      <c r="BZE277" s="592"/>
      <c r="BZF277" s="592"/>
      <c r="BZG277" s="592"/>
      <c r="BZH277" s="592"/>
      <c r="BZI277" s="592"/>
      <c r="BZJ277" s="592"/>
      <c r="BZK277" s="592"/>
      <c r="BZL277" s="592"/>
      <c r="BZM277" s="592"/>
      <c r="BZN277" s="592"/>
      <c r="BZO277" s="592"/>
      <c r="BZP277" s="592"/>
      <c r="BZQ277" s="592"/>
      <c r="BZR277" s="592"/>
      <c r="BZS277" s="592"/>
      <c r="BZT277" s="592"/>
      <c r="BZU277" s="592"/>
      <c r="BZV277" s="592"/>
      <c r="BZW277" s="592"/>
      <c r="BZX277" s="592"/>
      <c r="BZY277" s="592"/>
      <c r="BZZ277" s="592"/>
      <c r="CAA277" s="592"/>
      <c r="CAB277" s="592"/>
      <c r="CAC277" s="592"/>
      <c r="CAD277" s="592"/>
      <c r="CAE277" s="592"/>
      <c r="CAF277" s="592"/>
      <c r="CAG277" s="592"/>
      <c r="CAH277" s="592"/>
      <c r="CAI277" s="592"/>
      <c r="CAJ277" s="592"/>
      <c r="CAK277" s="592"/>
      <c r="CAL277" s="592"/>
      <c r="CAM277" s="592"/>
      <c r="CAN277" s="592"/>
      <c r="CAO277" s="592"/>
      <c r="CAP277" s="592"/>
      <c r="CAQ277" s="592"/>
      <c r="CAR277" s="592"/>
      <c r="CAS277" s="592"/>
      <c r="CAT277" s="592"/>
      <c r="CAU277" s="592"/>
      <c r="CAV277" s="592"/>
      <c r="CAW277" s="592"/>
      <c r="CAX277" s="592"/>
      <c r="CAY277" s="592"/>
      <c r="CAZ277" s="592"/>
      <c r="CBA277" s="592"/>
      <c r="CBB277" s="592"/>
      <c r="CBC277" s="592"/>
      <c r="CBD277" s="592"/>
      <c r="CBE277" s="592"/>
      <c r="CBF277" s="592"/>
      <c r="CBG277" s="592"/>
      <c r="CBH277" s="592"/>
      <c r="CBI277" s="592"/>
      <c r="CBJ277" s="592"/>
      <c r="CBK277" s="592"/>
      <c r="CBL277" s="592"/>
      <c r="CBM277" s="592"/>
      <c r="CBN277" s="592"/>
      <c r="CBO277" s="592"/>
      <c r="CBP277" s="592"/>
      <c r="CBQ277" s="592"/>
      <c r="CBR277" s="592"/>
      <c r="CBS277" s="592"/>
      <c r="CBT277" s="592"/>
      <c r="CBU277" s="592"/>
      <c r="CBV277" s="592"/>
      <c r="CBW277" s="592"/>
      <c r="CBX277" s="592"/>
      <c r="CBY277" s="592"/>
      <c r="CBZ277" s="592"/>
      <c r="CCA277" s="592"/>
      <c r="CCB277" s="592"/>
      <c r="CCC277" s="592"/>
      <c r="CCD277" s="592"/>
      <c r="CCE277" s="592"/>
      <c r="CCF277" s="592"/>
      <c r="CCG277" s="592"/>
      <c r="CCH277" s="592"/>
      <c r="CCI277" s="592"/>
      <c r="CCJ277" s="592"/>
      <c r="CCK277" s="592"/>
      <c r="CCL277" s="592"/>
      <c r="CCM277" s="592"/>
      <c r="CCN277" s="592"/>
      <c r="CCO277" s="592"/>
      <c r="CCP277" s="592"/>
      <c r="CCQ277" s="592"/>
      <c r="CCR277" s="592"/>
      <c r="CCS277" s="592"/>
      <c r="CCT277" s="592"/>
      <c r="CCU277" s="592"/>
      <c r="CCV277" s="592"/>
      <c r="CCW277" s="592"/>
      <c r="CCX277" s="592"/>
      <c r="CCY277" s="592"/>
      <c r="CCZ277" s="592"/>
      <c r="CDA277" s="592"/>
      <c r="CDB277" s="592"/>
      <c r="CDC277" s="592"/>
      <c r="CDD277" s="592"/>
      <c r="CDE277" s="592"/>
      <c r="CDF277" s="592"/>
      <c r="CDG277" s="592"/>
      <c r="CDH277" s="592"/>
      <c r="CDI277" s="592"/>
      <c r="CDJ277" s="592"/>
      <c r="CDK277" s="592"/>
      <c r="CDL277" s="592"/>
      <c r="CDM277" s="592"/>
      <c r="CDN277" s="592"/>
      <c r="CDO277" s="592"/>
      <c r="CDP277" s="592"/>
      <c r="CDQ277" s="592"/>
      <c r="CDR277" s="592"/>
      <c r="CDS277" s="592"/>
      <c r="CDT277" s="592"/>
      <c r="CDU277" s="592"/>
      <c r="CDV277" s="592"/>
      <c r="CDW277" s="592"/>
      <c r="CDX277" s="592"/>
      <c r="CDY277" s="592"/>
      <c r="CDZ277" s="592"/>
      <c r="CEA277" s="592"/>
      <c r="CEB277" s="592"/>
      <c r="CEC277" s="592"/>
      <c r="CED277" s="592"/>
      <c r="CEE277" s="592"/>
      <c r="CEF277" s="592"/>
      <c r="CEG277" s="592"/>
      <c r="CEH277" s="592"/>
      <c r="CEI277" s="592"/>
      <c r="CEJ277" s="592"/>
      <c r="CEK277" s="592"/>
      <c r="CEL277" s="592"/>
      <c r="CEM277" s="592"/>
      <c r="CEN277" s="592"/>
      <c r="CEO277" s="592"/>
      <c r="CEP277" s="592"/>
      <c r="CEQ277" s="592"/>
      <c r="CER277" s="592"/>
      <c r="CES277" s="592"/>
      <c r="CET277" s="592"/>
      <c r="CEU277" s="592"/>
      <c r="CEV277" s="592"/>
      <c r="CEW277" s="592"/>
      <c r="CEX277" s="592"/>
      <c r="CEY277" s="592"/>
      <c r="CEZ277" s="592"/>
      <c r="CFA277" s="592"/>
      <c r="CFB277" s="592"/>
      <c r="CFC277" s="592"/>
      <c r="CFD277" s="592"/>
      <c r="CFE277" s="592"/>
      <c r="CFF277" s="592"/>
      <c r="CFG277" s="592"/>
      <c r="CFH277" s="592"/>
      <c r="CFI277" s="592"/>
      <c r="CFJ277" s="592"/>
      <c r="CFK277" s="592"/>
      <c r="CFL277" s="592"/>
      <c r="CFM277" s="592"/>
      <c r="CFN277" s="592"/>
      <c r="CFO277" s="592"/>
      <c r="CFP277" s="592"/>
      <c r="CFQ277" s="592"/>
      <c r="CFR277" s="592"/>
      <c r="CFS277" s="592"/>
      <c r="CFT277" s="592"/>
      <c r="CFU277" s="592"/>
      <c r="CFV277" s="592"/>
      <c r="CFW277" s="592"/>
      <c r="CFX277" s="592"/>
      <c r="CFY277" s="592"/>
      <c r="CFZ277" s="592"/>
      <c r="CGA277" s="592"/>
      <c r="CGB277" s="592"/>
      <c r="CGC277" s="592"/>
      <c r="CGD277" s="592"/>
      <c r="CGE277" s="592"/>
      <c r="CGF277" s="592"/>
      <c r="CGG277" s="592"/>
      <c r="CGH277" s="592"/>
      <c r="CGI277" s="592"/>
      <c r="CGJ277" s="592"/>
      <c r="CGK277" s="592"/>
      <c r="CGL277" s="592"/>
      <c r="CGM277" s="592"/>
      <c r="CGN277" s="592"/>
      <c r="CGO277" s="592"/>
      <c r="CGP277" s="592"/>
      <c r="CGQ277" s="592"/>
      <c r="CGR277" s="592"/>
      <c r="CGS277" s="592"/>
      <c r="CGT277" s="592"/>
      <c r="CGU277" s="592"/>
      <c r="CGV277" s="592"/>
      <c r="CGW277" s="592"/>
      <c r="CGX277" s="592"/>
      <c r="CGY277" s="592"/>
      <c r="CGZ277" s="592"/>
      <c r="CHA277" s="592"/>
      <c r="CHB277" s="592"/>
      <c r="CHC277" s="592"/>
      <c r="CHD277" s="592"/>
      <c r="CHE277" s="592"/>
      <c r="CHF277" s="592"/>
      <c r="CHG277" s="592"/>
      <c r="CHH277" s="592"/>
      <c r="CHI277" s="592"/>
      <c r="CHJ277" s="592"/>
      <c r="CHK277" s="592"/>
      <c r="CHL277" s="592"/>
      <c r="CHM277" s="592"/>
      <c r="CHN277" s="592"/>
      <c r="CHO277" s="592"/>
      <c r="CHP277" s="592"/>
      <c r="CHQ277" s="592"/>
      <c r="CHR277" s="592"/>
      <c r="CHS277" s="592"/>
      <c r="CHT277" s="592"/>
      <c r="CHU277" s="592"/>
      <c r="CHV277" s="592"/>
      <c r="CHW277" s="592"/>
      <c r="CHX277" s="592"/>
      <c r="CHY277" s="592"/>
      <c r="CHZ277" s="592"/>
      <c r="CIA277" s="592"/>
      <c r="CIB277" s="592"/>
      <c r="CIC277" s="592"/>
      <c r="CID277" s="592"/>
      <c r="CIE277" s="592"/>
      <c r="CIF277" s="592"/>
      <c r="CIG277" s="592"/>
      <c r="CIH277" s="592"/>
      <c r="CII277" s="592"/>
      <c r="CIJ277" s="592"/>
      <c r="CIK277" s="592"/>
      <c r="CIL277" s="592"/>
      <c r="CIM277" s="592"/>
      <c r="CIN277" s="592"/>
      <c r="CIO277" s="592"/>
      <c r="CIP277" s="592"/>
      <c r="CIQ277" s="592"/>
      <c r="CIR277" s="592"/>
      <c r="CIS277" s="592"/>
      <c r="CIT277" s="592"/>
      <c r="CIU277" s="592"/>
      <c r="CIV277" s="592"/>
      <c r="CIW277" s="592"/>
      <c r="CIX277" s="592"/>
      <c r="CIY277" s="592"/>
      <c r="CIZ277" s="592"/>
      <c r="CJA277" s="592"/>
      <c r="CJB277" s="592"/>
      <c r="CJC277" s="592"/>
      <c r="CJD277" s="592"/>
      <c r="CJE277" s="592"/>
      <c r="CJF277" s="592"/>
      <c r="CJG277" s="592"/>
      <c r="CJH277" s="592"/>
      <c r="CJI277" s="592"/>
      <c r="CJJ277" s="592"/>
      <c r="CJK277" s="592"/>
      <c r="CJL277" s="592"/>
      <c r="CJM277" s="592"/>
      <c r="CJN277" s="592"/>
      <c r="CJO277" s="592"/>
      <c r="CJP277" s="592"/>
      <c r="CJQ277" s="592"/>
      <c r="CJR277" s="592"/>
      <c r="CJS277" s="592"/>
      <c r="CJT277" s="592"/>
      <c r="CJU277" s="592"/>
      <c r="CJV277" s="592"/>
      <c r="CJW277" s="592"/>
      <c r="CJX277" s="592"/>
      <c r="CJY277" s="592"/>
      <c r="CJZ277" s="592"/>
      <c r="CKA277" s="592"/>
      <c r="CKB277" s="592"/>
      <c r="CKC277" s="592"/>
      <c r="CKD277" s="592"/>
      <c r="CKE277" s="592"/>
      <c r="CKF277" s="592"/>
      <c r="CKG277" s="592"/>
      <c r="CKH277" s="592"/>
      <c r="CKI277" s="592"/>
      <c r="CKJ277" s="592"/>
      <c r="CKK277" s="592"/>
      <c r="CKL277" s="592"/>
      <c r="CKM277" s="592"/>
      <c r="CKN277" s="592"/>
      <c r="CKO277" s="592"/>
      <c r="CKP277" s="592"/>
      <c r="CKQ277" s="592"/>
      <c r="CKR277" s="592"/>
      <c r="CKS277" s="592"/>
      <c r="CKT277" s="592"/>
      <c r="CKU277" s="592"/>
      <c r="CKV277" s="592"/>
      <c r="CKW277" s="592"/>
      <c r="CKX277" s="592"/>
      <c r="CKY277" s="592"/>
      <c r="CKZ277" s="592"/>
      <c r="CLA277" s="592"/>
      <c r="CLB277" s="592"/>
      <c r="CLC277" s="592"/>
      <c r="CLD277" s="592"/>
      <c r="CLE277" s="592"/>
      <c r="CLF277" s="592"/>
      <c r="CLG277" s="592"/>
      <c r="CLH277" s="592"/>
      <c r="CLI277" s="592"/>
      <c r="CLJ277" s="592"/>
      <c r="CLK277" s="592"/>
      <c r="CLL277" s="592"/>
      <c r="CLM277" s="592"/>
      <c r="CLN277" s="592"/>
      <c r="CLO277" s="592"/>
      <c r="CLP277" s="592"/>
      <c r="CLQ277" s="592"/>
      <c r="CLR277" s="592"/>
      <c r="CLS277" s="592"/>
      <c r="CLT277" s="592"/>
      <c r="CLU277" s="592"/>
      <c r="CLV277" s="592"/>
      <c r="CLW277" s="592"/>
      <c r="CLX277" s="592"/>
      <c r="CLY277" s="592"/>
      <c r="CLZ277" s="592"/>
      <c r="CMA277" s="592"/>
      <c r="CMB277" s="592"/>
      <c r="CMC277" s="592"/>
      <c r="CMD277" s="592"/>
      <c r="CME277" s="592"/>
      <c r="CMF277" s="592"/>
      <c r="CMG277" s="592"/>
      <c r="CMH277" s="592"/>
      <c r="CMI277" s="592"/>
      <c r="CMJ277" s="592"/>
      <c r="CMK277" s="592"/>
      <c r="CML277" s="592"/>
      <c r="CMM277" s="592"/>
      <c r="CMN277" s="592"/>
      <c r="CMO277" s="592"/>
      <c r="CMP277" s="592"/>
      <c r="CMQ277" s="592"/>
      <c r="CMR277" s="592"/>
      <c r="CMS277" s="592"/>
      <c r="CMT277" s="592"/>
      <c r="CMU277" s="592"/>
      <c r="CMV277" s="592"/>
      <c r="CMW277" s="592"/>
      <c r="CMX277" s="592"/>
      <c r="CMY277" s="592"/>
      <c r="CMZ277" s="592"/>
      <c r="CNA277" s="592"/>
      <c r="CNB277" s="592"/>
      <c r="CNC277" s="592"/>
      <c r="CND277" s="592"/>
      <c r="CNE277" s="592"/>
      <c r="CNF277" s="592"/>
      <c r="CNG277" s="592"/>
      <c r="CNH277" s="592"/>
      <c r="CNI277" s="592"/>
      <c r="CNJ277" s="592"/>
      <c r="CNK277" s="592"/>
      <c r="CNL277" s="592"/>
      <c r="CNM277" s="592"/>
      <c r="CNN277" s="592"/>
      <c r="CNO277" s="592"/>
      <c r="CNP277" s="592"/>
      <c r="CNQ277" s="592"/>
      <c r="CNR277" s="592"/>
      <c r="CNS277" s="592"/>
      <c r="CNT277" s="592"/>
      <c r="CNU277" s="592"/>
      <c r="CNV277" s="592"/>
      <c r="CNW277" s="592"/>
      <c r="CNX277" s="592"/>
      <c r="CNY277" s="592"/>
      <c r="CNZ277" s="592"/>
      <c r="COA277" s="592"/>
      <c r="COB277" s="592"/>
      <c r="COC277" s="592"/>
      <c r="COD277" s="592"/>
      <c r="COE277" s="592"/>
      <c r="COF277" s="592"/>
      <c r="COG277" s="592"/>
      <c r="COH277" s="592"/>
      <c r="COI277" s="592"/>
      <c r="COJ277" s="592"/>
      <c r="COK277" s="592"/>
      <c r="COL277" s="592"/>
      <c r="COM277" s="592"/>
      <c r="CON277" s="592"/>
      <c r="COO277" s="592"/>
      <c r="COP277" s="592"/>
      <c r="COQ277" s="592"/>
      <c r="COR277" s="592"/>
      <c r="COS277" s="592"/>
      <c r="COT277" s="592"/>
      <c r="COU277" s="592"/>
      <c r="COV277" s="592"/>
      <c r="COW277" s="592"/>
      <c r="COX277" s="592"/>
      <c r="COY277" s="592"/>
      <c r="COZ277" s="592"/>
      <c r="CPA277" s="592"/>
      <c r="CPB277" s="592"/>
      <c r="CPC277" s="592"/>
      <c r="CPD277" s="592"/>
      <c r="CPE277" s="592"/>
      <c r="CPF277" s="592"/>
      <c r="CPG277" s="592"/>
      <c r="CPH277" s="592"/>
      <c r="CPI277" s="592"/>
      <c r="CPJ277" s="592"/>
      <c r="CPK277" s="592"/>
      <c r="CPL277" s="592"/>
      <c r="CPM277" s="592"/>
      <c r="CPN277" s="592"/>
      <c r="CPO277" s="592"/>
      <c r="CPP277" s="592"/>
      <c r="CPQ277" s="592"/>
      <c r="CPR277" s="592"/>
      <c r="CPS277" s="592"/>
      <c r="CPT277" s="592"/>
      <c r="CPU277" s="592"/>
      <c r="CPV277" s="592"/>
      <c r="CPW277" s="592"/>
      <c r="CPX277" s="592"/>
      <c r="CPY277" s="592"/>
      <c r="CPZ277" s="592"/>
      <c r="CQA277" s="592"/>
      <c r="CQB277" s="592"/>
      <c r="CQC277" s="592"/>
      <c r="CQD277" s="592"/>
      <c r="CQE277" s="592"/>
      <c r="CQF277" s="592"/>
      <c r="CQG277" s="592"/>
      <c r="CQH277" s="592"/>
      <c r="CQI277" s="592"/>
      <c r="CQJ277" s="592"/>
      <c r="CQK277" s="592"/>
      <c r="CQL277" s="592"/>
      <c r="CQM277" s="592"/>
      <c r="CQN277" s="592"/>
      <c r="CQO277" s="592"/>
      <c r="CQP277" s="592"/>
      <c r="CQQ277" s="592"/>
      <c r="CQR277" s="592"/>
      <c r="CQS277" s="592"/>
      <c r="CQT277" s="592"/>
      <c r="CQU277" s="592"/>
      <c r="CQV277" s="592"/>
      <c r="CQW277" s="592"/>
      <c r="CQX277" s="592"/>
      <c r="CQY277" s="592"/>
      <c r="CQZ277" s="592"/>
      <c r="CRA277" s="592"/>
      <c r="CRB277" s="592"/>
      <c r="CRC277" s="592"/>
      <c r="CRD277" s="592"/>
      <c r="CRE277" s="592"/>
      <c r="CRF277" s="592"/>
      <c r="CRG277" s="592"/>
      <c r="CRH277" s="592"/>
      <c r="CRI277" s="592"/>
      <c r="CRJ277" s="592"/>
      <c r="CRK277" s="592"/>
      <c r="CRL277" s="592"/>
      <c r="CRM277" s="592"/>
      <c r="CRN277" s="592"/>
      <c r="CRO277" s="592"/>
      <c r="CRP277" s="592"/>
      <c r="CRQ277" s="592"/>
      <c r="CRR277" s="592"/>
      <c r="CRS277" s="592"/>
      <c r="CRT277" s="592"/>
      <c r="CRU277" s="592"/>
      <c r="CRV277" s="592"/>
      <c r="CRW277" s="592"/>
      <c r="CRX277" s="592"/>
      <c r="CRY277" s="592"/>
      <c r="CRZ277" s="592"/>
      <c r="CSA277" s="592"/>
      <c r="CSB277" s="592"/>
      <c r="CSC277" s="592"/>
      <c r="CSD277" s="592"/>
      <c r="CSE277" s="592"/>
      <c r="CSF277" s="592"/>
      <c r="CSG277" s="592"/>
      <c r="CSH277" s="592"/>
      <c r="CSI277" s="592"/>
      <c r="CSJ277" s="592"/>
      <c r="CSK277" s="592"/>
      <c r="CSL277" s="592"/>
      <c r="CSM277" s="592"/>
      <c r="CSN277" s="592"/>
      <c r="CSO277" s="592"/>
      <c r="CSP277" s="592"/>
      <c r="CSQ277" s="592"/>
      <c r="CSR277" s="592"/>
      <c r="CSS277" s="592"/>
      <c r="CST277" s="592"/>
      <c r="CSU277" s="592"/>
      <c r="CSV277" s="592"/>
      <c r="CSW277" s="592"/>
      <c r="CSX277" s="592"/>
      <c r="CSY277" s="592"/>
      <c r="CSZ277" s="592"/>
      <c r="CTA277" s="592"/>
      <c r="CTB277" s="592"/>
      <c r="CTC277" s="592"/>
      <c r="CTD277" s="592"/>
      <c r="CTE277" s="592"/>
      <c r="CTF277" s="592"/>
      <c r="CTG277" s="592"/>
      <c r="CTH277" s="592"/>
      <c r="CTI277" s="592"/>
      <c r="CTJ277" s="592"/>
      <c r="CTK277" s="592"/>
      <c r="CTL277" s="592"/>
      <c r="CTM277" s="592"/>
      <c r="CTN277" s="592"/>
      <c r="CTO277" s="592"/>
      <c r="CTP277" s="592"/>
      <c r="CTQ277" s="592"/>
      <c r="CTR277" s="592"/>
      <c r="CTS277" s="592"/>
      <c r="CTT277" s="592"/>
      <c r="CTU277" s="592"/>
      <c r="CTV277" s="592"/>
      <c r="CTW277" s="592"/>
      <c r="CTX277" s="592"/>
      <c r="CTY277" s="592"/>
      <c r="CTZ277" s="592"/>
      <c r="CUA277" s="592"/>
      <c r="CUB277" s="592"/>
      <c r="CUC277" s="592"/>
      <c r="CUD277" s="592"/>
      <c r="CUE277" s="592"/>
      <c r="CUF277" s="592"/>
      <c r="CUG277" s="592"/>
      <c r="CUH277" s="592"/>
      <c r="CUI277" s="592"/>
      <c r="CUJ277" s="592"/>
      <c r="CUK277" s="592"/>
      <c r="CUL277" s="592"/>
      <c r="CUM277" s="592"/>
      <c r="CUN277" s="592"/>
      <c r="CUO277" s="592"/>
      <c r="CUP277" s="592"/>
      <c r="CUQ277" s="592"/>
      <c r="CUR277" s="592"/>
      <c r="CUS277" s="592"/>
      <c r="CUT277" s="592"/>
      <c r="CUU277" s="592"/>
      <c r="CUV277" s="592"/>
      <c r="CUW277" s="592"/>
      <c r="CUX277" s="592"/>
      <c r="CUY277" s="592"/>
      <c r="CUZ277" s="592"/>
      <c r="CVA277" s="592"/>
      <c r="CVB277" s="592"/>
      <c r="CVC277" s="592"/>
      <c r="CVD277" s="592"/>
      <c r="CVE277" s="592"/>
      <c r="CVF277" s="592"/>
      <c r="CVG277" s="592"/>
      <c r="CVH277" s="592"/>
      <c r="CVI277" s="592"/>
      <c r="CVJ277" s="592"/>
      <c r="CVK277" s="592"/>
      <c r="CVL277" s="592"/>
      <c r="CVM277" s="592"/>
      <c r="CVN277" s="592"/>
      <c r="CVO277" s="592"/>
      <c r="CVP277" s="592"/>
      <c r="CVQ277" s="592"/>
      <c r="CVR277" s="592"/>
      <c r="CVS277" s="592"/>
      <c r="CVT277" s="592"/>
      <c r="CVU277" s="592"/>
      <c r="CVV277" s="592"/>
      <c r="CVW277" s="592"/>
      <c r="CVX277" s="592"/>
      <c r="CVY277" s="592"/>
      <c r="CVZ277" s="592"/>
      <c r="CWA277" s="592"/>
      <c r="CWB277" s="592"/>
      <c r="CWC277" s="592"/>
      <c r="CWD277" s="592"/>
      <c r="CWE277" s="592"/>
      <c r="CWF277" s="592"/>
      <c r="CWG277" s="592"/>
      <c r="CWH277" s="592"/>
      <c r="CWI277" s="592"/>
      <c r="CWJ277" s="592"/>
      <c r="CWK277" s="592"/>
      <c r="CWL277" s="592"/>
      <c r="CWM277" s="592"/>
      <c r="CWN277" s="592"/>
      <c r="CWO277" s="592"/>
      <c r="CWP277" s="592"/>
      <c r="CWQ277" s="592"/>
      <c r="CWR277" s="592"/>
      <c r="CWS277" s="592"/>
      <c r="CWT277" s="592"/>
      <c r="CWU277" s="592"/>
      <c r="CWV277" s="592"/>
      <c r="CWW277" s="592"/>
      <c r="CWX277" s="592"/>
      <c r="CWY277" s="592"/>
      <c r="CWZ277" s="592"/>
      <c r="CXA277" s="592"/>
      <c r="CXB277" s="592"/>
      <c r="CXC277" s="592"/>
      <c r="CXD277" s="592"/>
      <c r="CXE277" s="592"/>
      <c r="CXF277" s="592"/>
      <c r="CXG277" s="592"/>
      <c r="CXH277" s="592"/>
      <c r="CXI277" s="592"/>
      <c r="CXJ277" s="592"/>
      <c r="CXK277" s="592"/>
      <c r="CXL277" s="592"/>
      <c r="CXM277" s="592"/>
      <c r="CXN277" s="592"/>
      <c r="CXO277" s="592"/>
      <c r="CXP277" s="592"/>
      <c r="CXQ277" s="592"/>
      <c r="CXR277" s="592"/>
      <c r="CXS277" s="592"/>
      <c r="CXT277" s="592"/>
      <c r="CXU277" s="592"/>
      <c r="CXV277" s="592"/>
      <c r="CXW277" s="592"/>
      <c r="CXX277" s="592"/>
      <c r="CXY277" s="592"/>
      <c r="CXZ277" s="592"/>
      <c r="CYA277" s="592"/>
      <c r="CYB277" s="592"/>
      <c r="CYC277" s="592"/>
      <c r="CYD277" s="592"/>
      <c r="CYE277" s="592"/>
      <c r="CYF277" s="592"/>
      <c r="CYG277" s="592"/>
      <c r="CYH277" s="592"/>
      <c r="CYI277" s="592"/>
      <c r="CYJ277" s="592"/>
      <c r="CYK277" s="592"/>
      <c r="CYL277" s="592"/>
      <c r="CYM277" s="592"/>
      <c r="CYN277" s="592"/>
      <c r="CYO277" s="592"/>
      <c r="CYP277" s="592"/>
      <c r="CYQ277" s="592"/>
      <c r="CYR277" s="592"/>
      <c r="CYS277" s="592"/>
      <c r="CYT277" s="592"/>
      <c r="CYU277" s="592"/>
      <c r="CYV277" s="592"/>
      <c r="CYW277" s="592"/>
      <c r="CYX277" s="592"/>
      <c r="CYY277" s="592"/>
      <c r="CYZ277" s="592"/>
      <c r="CZA277" s="592"/>
      <c r="CZB277" s="592"/>
      <c r="CZC277" s="592"/>
      <c r="CZD277" s="592"/>
      <c r="CZE277" s="592"/>
      <c r="CZF277" s="592"/>
      <c r="CZG277" s="592"/>
      <c r="CZH277" s="592"/>
      <c r="CZI277" s="592"/>
      <c r="CZJ277" s="592"/>
      <c r="CZK277" s="592"/>
      <c r="CZL277" s="592"/>
      <c r="CZM277" s="592"/>
      <c r="CZN277" s="592"/>
      <c r="CZO277" s="592"/>
      <c r="CZP277" s="592"/>
      <c r="CZQ277" s="592"/>
      <c r="CZR277" s="592"/>
      <c r="CZS277" s="592"/>
      <c r="CZT277" s="592"/>
      <c r="CZU277" s="592"/>
      <c r="CZV277" s="592"/>
      <c r="CZW277" s="592"/>
      <c r="CZX277" s="592"/>
      <c r="CZY277" s="592"/>
      <c r="CZZ277" s="592"/>
      <c r="DAA277" s="592"/>
      <c r="DAB277" s="592"/>
      <c r="DAC277" s="592"/>
      <c r="DAD277" s="592"/>
      <c r="DAE277" s="592"/>
      <c r="DAF277" s="592"/>
      <c r="DAG277" s="592"/>
      <c r="DAH277" s="592"/>
      <c r="DAI277" s="592"/>
      <c r="DAJ277" s="592"/>
      <c r="DAK277" s="592"/>
      <c r="DAL277" s="592"/>
      <c r="DAM277" s="592"/>
      <c r="DAN277" s="592"/>
      <c r="DAO277" s="592"/>
      <c r="DAP277" s="592"/>
      <c r="DAQ277" s="592"/>
      <c r="DAR277" s="592"/>
      <c r="DAS277" s="592"/>
      <c r="DAT277" s="592"/>
      <c r="DAU277" s="592"/>
      <c r="DAV277" s="592"/>
      <c r="DAW277" s="592"/>
      <c r="DAX277" s="592"/>
      <c r="DAY277" s="592"/>
      <c r="DAZ277" s="592"/>
      <c r="DBA277" s="592"/>
      <c r="DBB277" s="592"/>
      <c r="DBC277" s="592"/>
      <c r="DBD277" s="592"/>
      <c r="DBE277" s="592"/>
      <c r="DBF277" s="592"/>
      <c r="DBG277" s="592"/>
      <c r="DBH277" s="592"/>
      <c r="DBI277" s="592"/>
      <c r="DBJ277" s="592"/>
      <c r="DBK277" s="592"/>
      <c r="DBL277" s="592"/>
      <c r="DBM277" s="592"/>
      <c r="DBN277" s="592"/>
      <c r="DBO277" s="592"/>
      <c r="DBP277" s="592"/>
      <c r="DBQ277" s="592"/>
      <c r="DBR277" s="592"/>
      <c r="DBS277" s="592"/>
      <c r="DBT277" s="592"/>
      <c r="DBU277" s="592"/>
      <c r="DBV277" s="592"/>
      <c r="DBW277" s="592"/>
      <c r="DBX277" s="592"/>
      <c r="DBY277" s="592"/>
      <c r="DBZ277" s="592"/>
      <c r="DCA277" s="592"/>
      <c r="DCB277" s="592"/>
      <c r="DCC277" s="592"/>
      <c r="DCD277" s="592"/>
      <c r="DCE277" s="592"/>
      <c r="DCF277" s="592"/>
      <c r="DCG277" s="592"/>
      <c r="DCH277" s="592"/>
      <c r="DCI277" s="592"/>
      <c r="DCJ277" s="592"/>
      <c r="DCK277" s="592"/>
      <c r="DCL277" s="592"/>
      <c r="DCM277" s="592"/>
      <c r="DCN277" s="592"/>
      <c r="DCO277" s="592"/>
      <c r="DCP277" s="592"/>
      <c r="DCQ277" s="592"/>
      <c r="DCR277" s="592"/>
      <c r="DCS277" s="592"/>
      <c r="DCT277" s="592"/>
      <c r="DCU277" s="592"/>
      <c r="DCV277" s="592"/>
      <c r="DCW277" s="592"/>
      <c r="DCX277" s="592"/>
      <c r="DCY277" s="592"/>
      <c r="DCZ277" s="592"/>
      <c r="DDA277" s="592"/>
      <c r="DDB277" s="592"/>
      <c r="DDC277" s="592"/>
      <c r="DDD277" s="592"/>
      <c r="DDE277" s="592"/>
      <c r="DDF277" s="592"/>
      <c r="DDG277" s="592"/>
      <c r="DDH277" s="592"/>
      <c r="DDI277" s="592"/>
      <c r="DDJ277" s="592"/>
      <c r="DDK277" s="592"/>
      <c r="DDL277" s="592"/>
      <c r="DDM277" s="592"/>
      <c r="DDN277" s="592"/>
      <c r="DDO277" s="592"/>
      <c r="DDP277" s="592"/>
      <c r="DDQ277" s="592"/>
      <c r="DDR277" s="592"/>
      <c r="DDS277" s="592"/>
      <c r="DDT277" s="592"/>
      <c r="DDU277" s="592"/>
      <c r="DDV277" s="592"/>
      <c r="DDW277" s="592"/>
      <c r="DDX277" s="592"/>
      <c r="DDY277" s="592"/>
      <c r="DDZ277" s="592"/>
      <c r="DEA277" s="592"/>
      <c r="DEB277" s="592"/>
      <c r="DEC277" s="592"/>
      <c r="DED277" s="592"/>
      <c r="DEE277" s="592"/>
      <c r="DEF277" s="592"/>
      <c r="DEG277" s="592"/>
      <c r="DEH277" s="592"/>
      <c r="DEI277" s="592"/>
      <c r="DEJ277" s="592"/>
      <c r="DEK277" s="592"/>
      <c r="DEL277" s="592"/>
      <c r="DEM277" s="592"/>
      <c r="DEN277" s="592"/>
      <c r="DEO277" s="592"/>
      <c r="DEP277" s="592"/>
      <c r="DEQ277" s="592"/>
      <c r="DER277" s="592"/>
      <c r="DES277" s="592"/>
      <c r="DET277" s="592"/>
      <c r="DEU277" s="592"/>
      <c r="DEV277" s="592"/>
      <c r="DEW277" s="592"/>
      <c r="DEX277" s="592"/>
      <c r="DEY277" s="592"/>
      <c r="DEZ277" s="592"/>
      <c r="DFA277" s="592"/>
      <c r="DFB277" s="592"/>
      <c r="DFC277" s="592"/>
      <c r="DFD277" s="592"/>
      <c r="DFE277" s="592"/>
      <c r="DFF277" s="592"/>
      <c r="DFG277" s="592"/>
      <c r="DFH277" s="592"/>
      <c r="DFI277" s="592"/>
      <c r="DFJ277" s="592"/>
      <c r="DFK277" s="592"/>
      <c r="DFL277" s="592"/>
      <c r="DFM277" s="592"/>
      <c r="DFN277" s="592"/>
      <c r="DFO277" s="592"/>
      <c r="DFP277" s="592"/>
      <c r="DFQ277" s="592"/>
      <c r="DFR277" s="592"/>
      <c r="DFS277" s="592"/>
      <c r="DFT277" s="592"/>
      <c r="DFU277" s="592"/>
      <c r="DFV277" s="592"/>
      <c r="DFW277" s="592"/>
      <c r="DFX277" s="592"/>
      <c r="DFY277" s="592"/>
      <c r="DFZ277" s="592"/>
      <c r="DGA277" s="592"/>
      <c r="DGB277" s="592"/>
      <c r="DGC277" s="592"/>
      <c r="DGD277" s="592"/>
      <c r="DGE277" s="592"/>
      <c r="DGF277" s="592"/>
      <c r="DGG277" s="592"/>
      <c r="DGH277" s="592"/>
      <c r="DGI277" s="592"/>
      <c r="DGJ277" s="592"/>
      <c r="DGK277" s="592"/>
      <c r="DGL277" s="592"/>
      <c r="DGM277" s="592"/>
      <c r="DGN277" s="592"/>
      <c r="DGO277" s="592"/>
      <c r="DGP277" s="592"/>
      <c r="DGQ277" s="592"/>
      <c r="DGR277" s="592"/>
      <c r="DGS277" s="592"/>
      <c r="DGT277" s="592"/>
      <c r="DGU277" s="592"/>
      <c r="DGV277" s="592"/>
      <c r="DGW277" s="592"/>
      <c r="DGX277" s="592"/>
      <c r="DGY277" s="592"/>
      <c r="DGZ277" s="592"/>
      <c r="DHA277" s="592"/>
      <c r="DHB277" s="592"/>
      <c r="DHC277" s="592"/>
      <c r="DHD277" s="592"/>
      <c r="DHE277" s="592"/>
      <c r="DHF277" s="592"/>
      <c r="DHG277" s="592"/>
      <c r="DHH277" s="592"/>
      <c r="DHI277" s="592"/>
      <c r="DHJ277" s="592"/>
      <c r="DHK277" s="592"/>
      <c r="DHL277" s="592"/>
      <c r="DHM277" s="592"/>
      <c r="DHN277" s="592"/>
      <c r="DHO277" s="592"/>
      <c r="DHP277" s="592"/>
      <c r="DHQ277" s="592"/>
      <c r="DHR277" s="592"/>
      <c r="DHS277" s="592"/>
      <c r="DHT277" s="592"/>
      <c r="DHU277" s="592"/>
      <c r="DHV277" s="592"/>
      <c r="DHW277" s="592"/>
      <c r="DHX277" s="592"/>
      <c r="DHY277" s="592"/>
      <c r="DHZ277" s="592"/>
      <c r="DIA277" s="592"/>
      <c r="DIB277" s="592"/>
      <c r="DIC277" s="592"/>
      <c r="DID277" s="592"/>
      <c r="DIE277" s="592"/>
      <c r="DIF277" s="592"/>
      <c r="DIG277" s="592"/>
      <c r="DIH277" s="592"/>
      <c r="DII277" s="592"/>
      <c r="DIJ277" s="592"/>
      <c r="DIK277" s="592"/>
      <c r="DIL277" s="592"/>
      <c r="DIM277" s="592"/>
      <c r="DIN277" s="592"/>
      <c r="DIO277" s="592"/>
      <c r="DIP277" s="592"/>
      <c r="DIQ277" s="592"/>
      <c r="DIR277" s="592"/>
      <c r="DIS277" s="592"/>
      <c r="DIT277" s="592"/>
      <c r="DIU277" s="592"/>
      <c r="DIV277" s="592"/>
      <c r="DIW277" s="592"/>
      <c r="DIX277" s="592"/>
      <c r="DIY277" s="592"/>
      <c r="DIZ277" s="592"/>
      <c r="DJA277" s="592"/>
      <c r="DJB277" s="592"/>
      <c r="DJC277" s="592"/>
      <c r="DJD277" s="592"/>
      <c r="DJE277" s="592"/>
      <c r="DJF277" s="592"/>
      <c r="DJG277" s="592"/>
      <c r="DJH277" s="592"/>
      <c r="DJI277" s="592"/>
      <c r="DJJ277" s="592"/>
      <c r="DJK277" s="592"/>
      <c r="DJL277" s="592"/>
      <c r="DJM277" s="592"/>
      <c r="DJN277" s="592"/>
      <c r="DJO277" s="592"/>
      <c r="DJP277" s="592"/>
      <c r="DJQ277" s="592"/>
      <c r="DJR277" s="592"/>
      <c r="DJS277" s="592"/>
      <c r="DJT277" s="592"/>
      <c r="DJU277" s="592"/>
      <c r="DJV277" s="592"/>
      <c r="DJW277" s="592"/>
      <c r="DJX277" s="592"/>
      <c r="DJY277" s="592"/>
      <c r="DJZ277" s="592"/>
      <c r="DKA277" s="592"/>
      <c r="DKB277" s="592"/>
      <c r="DKC277" s="592"/>
      <c r="DKD277" s="592"/>
      <c r="DKE277" s="592"/>
      <c r="DKF277" s="592"/>
      <c r="DKG277" s="592"/>
      <c r="DKH277" s="592"/>
      <c r="DKI277" s="592"/>
      <c r="DKJ277" s="592"/>
      <c r="DKK277" s="592"/>
      <c r="DKL277" s="592"/>
      <c r="DKM277" s="592"/>
      <c r="DKN277" s="592"/>
      <c r="DKO277" s="592"/>
      <c r="DKP277" s="592"/>
      <c r="DKQ277" s="592"/>
      <c r="DKR277" s="592"/>
      <c r="DKS277" s="592"/>
      <c r="DKT277" s="592"/>
      <c r="DKU277" s="592"/>
      <c r="DKV277" s="592"/>
      <c r="DKW277" s="592"/>
      <c r="DKX277" s="592"/>
      <c r="DKY277" s="592"/>
      <c r="DKZ277" s="592"/>
      <c r="DLA277" s="592"/>
      <c r="DLB277" s="592"/>
      <c r="DLC277" s="592"/>
      <c r="DLD277" s="592"/>
      <c r="DLE277" s="592"/>
      <c r="DLF277" s="592"/>
      <c r="DLG277" s="592"/>
      <c r="DLH277" s="592"/>
      <c r="DLI277" s="592"/>
      <c r="DLJ277" s="592"/>
      <c r="DLK277" s="592"/>
      <c r="DLL277" s="592"/>
      <c r="DLM277" s="592"/>
      <c r="DLN277" s="592"/>
      <c r="DLO277" s="592"/>
      <c r="DLP277" s="592"/>
      <c r="DLQ277" s="592"/>
      <c r="DLR277" s="592"/>
      <c r="DLS277" s="592"/>
      <c r="DLT277" s="592"/>
      <c r="DLU277" s="592"/>
      <c r="DLV277" s="592"/>
      <c r="DLW277" s="592"/>
      <c r="DLX277" s="592"/>
      <c r="DLY277" s="592"/>
      <c r="DLZ277" s="592"/>
      <c r="DMA277" s="592"/>
      <c r="DMB277" s="592"/>
      <c r="DMC277" s="592"/>
      <c r="DMD277" s="592"/>
      <c r="DME277" s="592"/>
      <c r="DMF277" s="592"/>
      <c r="DMG277" s="592"/>
      <c r="DMH277" s="592"/>
      <c r="DMI277" s="592"/>
      <c r="DMJ277" s="592"/>
      <c r="DMK277" s="592"/>
      <c r="DML277" s="592"/>
      <c r="DMM277" s="592"/>
      <c r="DMN277" s="592"/>
      <c r="DMO277" s="592"/>
      <c r="DMP277" s="592"/>
      <c r="DMQ277" s="592"/>
      <c r="DMR277" s="592"/>
      <c r="DMS277" s="592"/>
      <c r="DMT277" s="592"/>
      <c r="DMU277" s="592"/>
      <c r="DMV277" s="592"/>
      <c r="DMW277" s="592"/>
      <c r="DMX277" s="592"/>
      <c r="DMY277" s="592"/>
      <c r="DMZ277" s="592"/>
      <c r="DNA277" s="592"/>
      <c r="DNB277" s="592"/>
      <c r="DNC277" s="592"/>
      <c r="DND277" s="592"/>
      <c r="DNE277" s="592"/>
      <c r="DNF277" s="592"/>
      <c r="DNG277" s="592"/>
      <c r="DNH277" s="592"/>
      <c r="DNI277" s="592"/>
      <c r="DNJ277" s="592"/>
      <c r="DNK277" s="592"/>
      <c r="DNL277" s="592"/>
      <c r="DNM277" s="592"/>
      <c r="DNN277" s="592"/>
      <c r="DNO277" s="592"/>
      <c r="DNP277" s="592"/>
      <c r="DNQ277" s="592"/>
      <c r="DNR277" s="592"/>
      <c r="DNS277" s="592"/>
      <c r="DNT277" s="592"/>
      <c r="DNU277" s="592"/>
      <c r="DNV277" s="592"/>
      <c r="DNW277" s="592"/>
      <c r="DNX277" s="592"/>
      <c r="DNY277" s="592"/>
      <c r="DNZ277" s="592"/>
      <c r="DOA277" s="592"/>
      <c r="DOB277" s="592"/>
      <c r="DOC277" s="592"/>
      <c r="DOD277" s="592"/>
      <c r="DOE277" s="592"/>
      <c r="DOF277" s="592"/>
      <c r="DOG277" s="592"/>
      <c r="DOH277" s="592"/>
      <c r="DOI277" s="592"/>
      <c r="DOJ277" s="592"/>
      <c r="DOK277" s="592"/>
      <c r="DOL277" s="592"/>
      <c r="DOM277" s="592"/>
      <c r="DON277" s="592"/>
      <c r="DOO277" s="592"/>
      <c r="DOP277" s="592"/>
      <c r="DOQ277" s="592"/>
      <c r="DOR277" s="592"/>
      <c r="DOS277" s="592"/>
      <c r="DOT277" s="592"/>
      <c r="DOU277" s="592"/>
      <c r="DOV277" s="592"/>
      <c r="DOW277" s="592"/>
      <c r="DOX277" s="592"/>
      <c r="DOY277" s="592"/>
      <c r="DOZ277" s="592"/>
      <c r="DPA277" s="592"/>
      <c r="DPB277" s="592"/>
      <c r="DPC277" s="592"/>
      <c r="DPD277" s="592"/>
      <c r="DPE277" s="592"/>
      <c r="DPF277" s="592"/>
      <c r="DPG277" s="592"/>
      <c r="DPH277" s="592"/>
      <c r="DPI277" s="592"/>
      <c r="DPJ277" s="592"/>
      <c r="DPK277" s="592"/>
      <c r="DPL277" s="592"/>
      <c r="DPM277" s="592"/>
      <c r="DPN277" s="592"/>
      <c r="DPO277" s="592"/>
      <c r="DPP277" s="592"/>
      <c r="DPQ277" s="592"/>
      <c r="DPR277" s="592"/>
      <c r="DPS277" s="592"/>
      <c r="DPT277" s="592"/>
      <c r="DPU277" s="592"/>
      <c r="DPV277" s="592"/>
      <c r="DPW277" s="592"/>
      <c r="DPX277" s="592"/>
      <c r="DPY277" s="592"/>
      <c r="DPZ277" s="592"/>
      <c r="DQA277" s="592"/>
      <c r="DQB277" s="592"/>
      <c r="DQC277" s="592"/>
      <c r="DQD277" s="592"/>
      <c r="DQE277" s="592"/>
      <c r="DQF277" s="592"/>
      <c r="DQG277" s="592"/>
      <c r="DQH277" s="592"/>
      <c r="DQI277" s="592"/>
      <c r="DQJ277" s="592"/>
      <c r="DQK277" s="592"/>
      <c r="DQL277" s="592"/>
      <c r="DQM277" s="592"/>
      <c r="DQN277" s="592"/>
      <c r="DQO277" s="592"/>
      <c r="DQP277" s="592"/>
      <c r="DQQ277" s="592"/>
      <c r="DQR277" s="592"/>
      <c r="DQS277" s="592"/>
      <c r="DQT277" s="592"/>
      <c r="DQU277" s="592"/>
      <c r="DQV277" s="592"/>
      <c r="DQW277" s="592"/>
      <c r="DQX277" s="592"/>
      <c r="DQY277" s="592"/>
      <c r="DQZ277" s="592"/>
      <c r="DRA277" s="592"/>
      <c r="DRB277" s="592"/>
      <c r="DRC277" s="592"/>
      <c r="DRD277" s="592"/>
      <c r="DRE277" s="592"/>
      <c r="DRF277" s="592"/>
      <c r="DRG277" s="592"/>
      <c r="DRH277" s="592"/>
      <c r="DRI277" s="592"/>
      <c r="DRJ277" s="592"/>
      <c r="DRK277" s="592"/>
      <c r="DRL277" s="592"/>
      <c r="DRM277" s="592"/>
      <c r="DRN277" s="592"/>
      <c r="DRO277" s="592"/>
      <c r="DRP277" s="592"/>
      <c r="DRQ277" s="592"/>
      <c r="DRR277" s="592"/>
      <c r="DRS277" s="592"/>
      <c r="DRT277" s="592"/>
      <c r="DRU277" s="592"/>
      <c r="DRV277" s="592"/>
      <c r="DRW277" s="592"/>
      <c r="DRX277" s="592"/>
      <c r="DRY277" s="592"/>
      <c r="DRZ277" s="592"/>
      <c r="DSA277" s="592"/>
      <c r="DSB277" s="592"/>
      <c r="DSC277" s="592"/>
      <c r="DSD277" s="592"/>
      <c r="DSE277" s="592"/>
      <c r="DSF277" s="592"/>
      <c r="DSG277" s="592"/>
      <c r="DSH277" s="592"/>
      <c r="DSI277" s="592"/>
      <c r="DSJ277" s="592"/>
      <c r="DSK277" s="592"/>
      <c r="DSL277" s="592"/>
      <c r="DSM277" s="592"/>
      <c r="DSN277" s="592"/>
      <c r="DSO277" s="592"/>
      <c r="DSP277" s="592"/>
      <c r="DSQ277" s="592"/>
      <c r="DSR277" s="592"/>
      <c r="DSS277" s="592"/>
      <c r="DST277" s="592"/>
      <c r="DSU277" s="592"/>
      <c r="DSV277" s="592"/>
      <c r="DSW277" s="592"/>
      <c r="DSX277" s="592"/>
      <c r="DSY277" s="592"/>
      <c r="DSZ277" s="592"/>
      <c r="DTA277" s="592"/>
      <c r="DTB277" s="592"/>
      <c r="DTC277" s="592"/>
      <c r="DTD277" s="592"/>
      <c r="DTE277" s="592"/>
      <c r="DTF277" s="592"/>
      <c r="DTG277" s="592"/>
      <c r="DTH277" s="592"/>
      <c r="DTI277" s="592"/>
      <c r="DTJ277" s="592"/>
      <c r="DTK277" s="592"/>
      <c r="DTL277" s="592"/>
      <c r="DTM277" s="592"/>
      <c r="DTN277" s="592"/>
      <c r="DTO277" s="592"/>
      <c r="DTP277" s="592"/>
      <c r="DTQ277" s="592"/>
      <c r="DTR277" s="592"/>
      <c r="DTS277" s="592"/>
      <c r="DTT277" s="592"/>
      <c r="DTU277" s="592"/>
      <c r="DTV277" s="592"/>
      <c r="DTW277" s="592"/>
      <c r="DTX277" s="592"/>
      <c r="DTY277" s="592"/>
      <c r="DTZ277" s="592"/>
      <c r="DUA277" s="592"/>
      <c r="DUB277" s="592"/>
      <c r="DUC277" s="592"/>
      <c r="DUD277" s="592"/>
      <c r="DUE277" s="592"/>
      <c r="DUF277" s="592"/>
      <c r="DUG277" s="592"/>
      <c r="DUH277" s="592"/>
      <c r="DUI277" s="592"/>
      <c r="DUJ277" s="592"/>
      <c r="DUK277" s="592"/>
      <c r="DUL277" s="592"/>
      <c r="DUM277" s="592"/>
      <c r="DUN277" s="592"/>
      <c r="DUO277" s="592"/>
      <c r="DUP277" s="592"/>
      <c r="DUQ277" s="592"/>
      <c r="DUR277" s="592"/>
      <c r="DUS277" s="592"/>
      <c r="DUT277" s="592"/>
      <c r="DUU277" s="592"/>
      <c r="DUV277" s="592"/>
      <c r="DUW277" s="592"/>
      <c r="DUX277" s="592"/>
      <c r="DUY277" s="592"/>
      <c r="DUZ277" s="592"/>
      <c r="DVA277" s="592"/>
      <c r="DVB277" s="592"/>
      <c r="DVC277" s="592"/>
      <c r="DVD277" s="592"/>
      <c r="DVE277" s="592"/>
      <c r="DVF277" s="592"/>
      <c r="DVG277" s="592"/>
      <c r="DVH277" s="592"/>
      <c r="DVI277" s="592"/>
      <c r="DVJ277" s="592"/>
      <c r="DVK277" s="592"/>
      <c r="DVL277" s="592"/>
      <c r="DVM277" s="592"/>
      <c r="DVN277" s="592"/>
      <c r="DVO277" s="592"/>
      <c r="DVP277" s="592"/>
      <c r="DVQ277" s="592"/>
      <c r="DVR277" s="592"/>
      <c r="DVS277" s="592"/>
      <c r="DVT277" s="592"/>
      <c r="DVU277" s="592"/>
      <c r="DVV277" s="592"/>
      <c r="DVW277" s="592"/>
      <c r="DVX277" s="592"/>
      <c r="DVY277" s="592"/>
      <c r="DVZ277" s="592"/>
      <c r="DWA277" s="592"/>
      <c r="DWB277" s="592"/>
      <c r="DWC277" s="592"/>
      <c r="DWD277" s="592"/>
      <c r="DWE277" s="592"/>
      <c r="DWF277" s="592"/>
      <c r="DWG277" s="592"/>
      <c r="DWH277" s="592"/>
      <c r="DWI277" s="592"/>
      <c r="DWJ277" s="592"/>
      <c r="DWK277" s="592"/>
      <c r="DWL277" s="592"/>
      <c r="DWM277" s="592"/>
      <c r="DWN277" s="592"/>
      <c r="DWO277" s="592"/>
      <c r="DWP277" s="592"/>
      <c r="DWQ277" s="592"/>
      <c r="DWR277" s="592"/>
      <c r="DWS277" s="592"/>
      <c r="DWT277" s="592"/>
      <c r="DWU277" s="592"/>
      <c r="DWV277" s="592"/>
      <c r="DWW277" s="592"/>
      <c r="DWX277" s="592"/>
      <c r="DWY277" s="592"/>
      <c r="DWZ277" s="592"/>
      <c r="DXA277" s="592"/>
      <c r="DXB277" s="592"/>
      <c r="DXC277" s="592"/>
      <c r="DXD277" s="592"/>
      <c r="DXE277" s="592"/>
      <c r="DXF277" s="592"/>
      <c r="DXG277" s="592"/>
      <c r="DXH277" s="592"/>
      <c r="DXI277" s="592"/>
      <c r="DXJ277" s="592"/>
      <c r="DXK277" s="592"/>
      <c r="DXL277" s="592"/>
      <c r="DXM277" s="592"/>
      <c r="DXN277" s="592"/>
      <c r="DXO277" s="592"/>
      <c r="DXP277" s="592"/>
      <c r="DXQ277" s="592"/>
      <c r="DXR277" s="592"/>
      <c r="DXS277" s="592"/>
      <c r="DXT277" s="592"/>
      <c r="DXU277" s="592"/>
      <c r="DXV277" s="592"/>
      <c r="DXW277" s="592"/>
      <c r="DXX277" s="592"/>
      <c r="DXY277" s="592"/>
      <c r="DXZ277" s="592"/>
      <c r="DYA277" s="592"/>
      <c r="DYB277" s="592"/>
      <c r="DYC277" s="592"/>
      <c r="DYD277" s="592"/>
      <c r="DYE277" s="592"/>
      <c r="DYF277" s="592"/>
      <c r="DYG277" s="592"/>
      <c r="DYH277" s="592"/>
      <c r="DYI277" s="592"/>
      <c r="DYJ277" s="592"/>
      <c r="DYK277" s="592"/>
      <c r="DYL277" s="592"/>
      <c r="DYM277" s="592"/>
      <c r="DYN277" s="592"/>
      <c r="DYO277" s="592"/>
      <c r="DYP277" s="592"/>
      <c r="DYQ277" s="592"/>
      <c r="DYR277" s="592"/>
      <c r="DYS277" s="592"/>
      <c r="DYT277" s="592"/>
      <c r="DYU277" s="592"/>
      <c r="DYV277" s="592"/>
      <c r="DYW277" s="592"/>
      <c r="DYX277" s="592"/>
      <c r="DYY277" s="592"/>
      <c r="DYZ277" s="592"/>
      <c r="DZA277" s="592"/>
      <c r="DZB277" s="592"/>
      <c r="DZC277" s="592"/>
      <c r="DZD277" s="592"/>
      <c r="DZE277" s="592"/>
      <c r="DZF277" s="592"/>
      <c r="DZG277" s="592"/>
      <c r="DZH277" s="592"/>
      <c r="DZI277" s="592"/>
      <c r="DZJ277" s="592"/>
      <c r="DZK277" s="592"/>
      <c r="DZL277" s="592"/>
      <c r="DZM277" s="592"/>
      <c r="DZN277" s="592"/>
      <c r="DZO277" s="592"/>
      <c r="DZP277" s="592"/>
      <c r="DZQ277" s="592"/>
      <c r="DZR277" s="592"/>
      <c r="DZS277" s="592"/>
      <c r="DZT277" s="592"/>
      <c r="DZU277" s="592"/>
      <c r="DZV277" s="592"/>
      <c r="DZW277" s="592"/>
      <c r="DZX277" s="592"/>
      <c r="DZY277" s="592"/>
      <c r="DZZ277" s="592"/>
      <c r="EAA277" s="592"/>
      <c r="EAB277" s="592"/>
      <c r="EAC277" s="592"/>
      <c r="EAD277" s="592"/>
      <c r="EAE277" s="592"/>
      <c r="EAF277" s="592"/>
      <c r="EAG277" s="592"/>
      <c r="EAH277" s="592"/>
      <c r="EAI277" s="592"/>
      <c r="EAJ277" s="592"/>
      <c r="EAK277" s="592"/>
      <c r="EAL277" s="592"/>
      <c r="EAM277" s="592"/>
      <c r="EAN277" s="592"/>
      <c r="EAO277" s="592"/>
      <c r="EAP277" s="592"/>
      <c r="EAQ277" s="592"/>
      <c r="EAR277" s="592"/>
      <c r="EAS277" s="592"/>
      <c r="EAT277" s="592"/>
      <c r="EAU277" s="592"/>
      <c r="EAV277" s="592"/>
      <c r="EAW277" s="592"/>
      <c r="EAX277" s="592"/>
      <c r="EAY277" s="592"/>
      <c r="EAZ277" s="592"/>
      <c r="EBA277" s="592"/>
      <c r="EBB277" s="592"/>
      <c r="EBC277" s="592"/>
      <c r="EBD277" s="592"/>
      <c r="EBE277" s="592"/>
      <c r="EBF277" s="592"/>
      <c r="EBG277" s="592"/>
      <c r="EBH277" s="592"/>
      <c r="EBI277" s="592"/>
      <c r="EBJ277" s="592"/>
      <c r="EBK277" s="592"/>
      <c r="EBL277" s="592"/>
      <c r="EBM277" s="592"/>
      <c r="EBN277" s="592"/>
      <c r="EBO277" s="592"/>
      <c r="EBP277" s="592"/>
      <c r="EBQ277" s="592"/>
      <c r="EBR277" s="592"/>
      <c r="EBS277" s="592"/>
      <c r="EBT277" s="592"/>
      <c r="EBU277" s="592"/>
      <c r="EBV277" s="592"/>
      <c r="EBW277" s="592"/>
      <c r="EBX277" s="592"/>
      <c r="EBY277" s="592"/>
      <c r="EBZ277" s="592"/>
      <c r="ECA277" s="592"/>
      <c r="ECB277" s="592"/>
      <c r="ECC277" s="592"/>
      <c r="ECD277" s="592"/>
      <c r="ECE277" s="592"/>
      <c r="ECF277" s="592"/>
      <c r="ECG277" s="592"/>
      <c r="ECH277" s="592"/>
      <c r="ECI277" s="592"/>
      <c r="ECJ277" s="592"/>
      <c r="ECK277" s="592"/>
      <c r="ECL277" s="592"/>
      <c r="ECM277" s="592"/>
      <c r="ECN277" s="592"/>
      <c r="ECO277" s="592"/>
      <c r="ECP277" s="592"/>
      <c r="ECQ277" s="592"/>
      <c r="ECR277" s="592"/>
      <c r="ECS277" s="592"/>
      <c r="ECT277" s="592"/>
      <c r="ECU277" s="592"/>
      <c r="ECV277" s="592"/>
      <c r="ECW277" s="592"/>
      <c r="ECX277" s="592"/>
      <c r="ECY277" s="592"/>
      <c r="ECZ277" s="592"/>
      <c r="EDA277" s="592"/>
      <c r="EDB277" s="592"/>
      <c r="EDC277" s="592"/>
      <c r="EDD277" s="592"/>
      <c r="EDE277" s="592"/>
      <c r="EDF277" s="592"/>
      <c r="EDG277" s="592"/>
      <c r="EDH277" s="592"/>
      <c r="EDI277" s="592"/>
      <c r="EDJ277" s="592"/>
      <c r="EDK277" s="592"/>
      <c r="EDL277" s="592"/>
      <c r="EDM277" s="592"/>
      <c r="EDN277" s="592"/>
      <c r="EDO277" s="592"/>
      <c r="EDP277" s="592"/>
      <c r="EDQ277" s="592"/>
      <c r="EDR277" s="592"/>
      <c r="EDS277" s="592"/>
      <c r="EDT277" s="592"/>
      <c r="EDU277" s="592"/>
      <c r="EDV277" s="592"/>
      <c r="EDW277" s="592"/>
      <c r="EDX277" s="592"/>
      <c r="EDY277" s="592"/>
      <c r="EDZ277" s="592"/>
      <c r="EEA277" s="592"/>
      <c r="EEB277" s="592"/>
      <c r="EEC277" s="592"/>
      <c r="EED277" s="592"/>
      <c r="EEE277" s="592"/>
      <c r="EEF277" s="592"/>
      <c r="EEG277" s="592"/>
      <c r="EEH277" s="592"/>
      <c r="EEI277" s="592"/>
      <c r="EEJ277" s="592"/>
      <c r="EEK277" s="592"/>
      <c r="EEL277" s="592"/>
      <c r="EEM277" s="592"/>
      <c r="EEN277" s="592"/>
      <c r="EEO277" s="592"/>
      <c r="EEP277" s="592"/>
      <c r="EEQ277" s="592"/>
      <c r="EER277" s="592"/>
      <c r="EES277" s="592"/>
      <c r="EET277" s="592"/>
      <c r="EEU277" s="592"/>
      <c r="EEV277" s="592"/>
      <c r="EEW277" s="592"/>
      <c r="EEX277" s="592"/>
      <c r="EEY277" s="592"/>
      <c r="EEZ277" s="592"/>
      <c r="EFA277" s="592"/>
      <c r="EFB277" s="592"/>
      <c r="EFC277" s="592"/>
      <c r="EFD277" s="592"/>
      <c r="EFE277" s="592"/>
      <c r="EFF277" s="592"/>
      <c r="EFG277" s="592"/>
      <c r="EFH277" s="592"/>
      <c r="EFI277" s="592"/>
      <c r="EFJ277" s="592"/>
      <c r="EFK277" s="592"/>
      <c r="EFL277" s="592"/>
      <c r="EFM277" s="592"/>
      <c r="EFN277" s="592"/>
      <c r="EFO277" s="592"/>
      <c r="EFP277" s="592"/>
      <c r="EFQ277" s="592"/>
      <c r="EFR277" s="592"/>
      <c r="EFS277" s="592"/>
      <c r="EFT277" s="592"/>
      <c r="EFU277" s="592"/>
      <c r="EFV277" s="592"/>
      <c r="EFW277" s="592"/>
      <c r="EFX277" s="592"/>
      <c r="EFY277" s="592"/>
      <c r="EFZ277" s="592"/>
      <c r="EGA277" s="592"/>
      <c r="EGB277" s="592"/>
      <c r="EGC277" s="592"/>
      <c r="EGD277" s="592"/>
      <c r="EGE277" s="592"/>
      <c r="EGF277" s="592"/>
      <c r="EGG277" s="592"/>
      <c r="EGH277" s="592"/>
      <c r="EGI277" s="592"/>
      <c r="EGJ277" s="592"/>
      <c r="EGK277" s="592"/>
      <c r="EGL277" s="592"/>
      <c r="EGM277" s="592"/>
      <c r="EGN277" s="592"/>
      <c r="EGO277" s="592"/>
      <c r="EGP277" s="592"/>
      <c r="EGQ277" s="592"/>
      <c r="EGR277" s="592"/>
      <c r="EGS277" s="592"/>
      <c r="EGT277" s="592"/>
      <c r="EGU277" s="592"/>
      <c r="EGV277" s="592"/>
      <c r="EGW277" s="592"/>
      <c r="EGX277" s="592"/>
      <c r="EGY277" s="592"/>
      <c r="EGZ277" s="592"/>
      <c r="EHA277" s="592"/>
      <c r="EHB277" s="592"/>
      <c r="EHC277" s="592"/>
      <c r="EHD277" s="592"/>
      <c r="EHE277" s="592"/>
      <c r="EHF277" s="592"/>
      <c r="EHG277" s="592"/>
      <c r="EHH277" s="592"/>
      <c r="EHI277" s="592"/>
      <c r="EHJ277" s="592"/>
      <c r="EHK277" s="592"/>
      <c r="EHL277" s="592"/>
      <c r="EHM277" s="592"/>
      <c r="EHN277" s="592"/>
      <c r="EHO277" s="592"/>
      <c r="EHP277" s="592"/>
      <c r="EHQ277" s="592"/>
      <c r="EHR277" s="592"/>
      <c r="EHS277" s="592"/>
      <c r="EHT277" s="592"/>
      <c r="EHU277" s="592"/>
      <c r="EHV277" s="592"/>
      <c r="EHW277" s="592"/>
      <c r="EHX277" s="592"/>
      <c r="EHY277" s="592"/>
      <c r="EHZ277" s="592"/>
      <c r="EIA277" s="592"/>
      <c r="EIB277" s="592"/>
      <c r="EIC277" s="592"/>
      <c r="EID277" s="592"/>
      <c r="EIE277" s="592"/>
      <c r="EIF277" s="592"/>
      <c r="EIG277" s="592"/>
      <c r="EIH277" s="592"/>
      <c r="EII277" s="592"/>
      <c r="EIJ277" s="592"/>
      <c r="EIK277" s="592"/>
      <c r="EIL277" s="592"/>
      <c r="EIM277" s="592"/>
      <c r="EIN277" s="592"/>
      <c r="EIO277" s="592"/>
      <c r="EIP277" s="592"/>
      <c r="EIQ277" s="592"/>
      <c r="EIR277" s="592"/>
      <c r="EIS277" s="592"/>
      <c r="EIT277" s="592"/>
      <c r="EIU277" s="592"/>
      <c r="EIV277" s="592"/>
      <c r="EIW277" s="592"/>
      <c r="EIX277" s="592"/>
      <c r="EIY277" s="592"/>
      <c r="EIZ277" s="592"/>
      <c r="EJA277" s="592"/>
      <c r="EJB277" s="592"/>
      <c r="EJC277" s="592"/>
      <c r="EJD277" s="592"/>
      <c r="EJE277" s="592"/>
      <c r="EJF277" s="592"/>
      <c r="EJG277" s="592"/>
      <c r="EJH277" s="592"/>
      <c r="EJI277" s="592"/>
      <c r="EJJ277" s="592"/>
      <c r="EJK277" s="592"/>
      <c r="EJL277" s="592"/>
      <c r="EJM277" s="592"/>
      <c r="EJN277" s="592"/>
      <c r="EJO277" s="592"/>
      <c r="EJP277" s="592"/>
      <c r="EJQ277" s="592"/>
      <c r="EJR277" s="592"/>
      <c r="EJS277" s="592"/>
      <c r="EJT277" s="592"/>
      <c r="EJU277" s="592"/>
      <c r="EJV277" s="592"/>
      <c r="EJW277" s="592"/>
      <c r="EJX277" s="592"/>
      <c r="EJY277" s="592"/>
      <c r="EJZ277" s="592"/>
      <c r="EKA277" s="592"/>
      <c r="EKB277" s="592"/>
      <c r="EKC277" s="592"/>
      <c r="EKD277" s="592"/>
      <c r="EKE277" s="592"/>
      <c r="EKF277" s="592"/>
      <c r="EKG277" s="592"/>
      <c r="EKH277" s="592"/>
      <c r="EKI277" s="592"/>
      <c r="EKJ277" s="592"/>
      <c r="EKK277" s="592"/>
      <c r="EKL277" s="592"/>
      <c r="EKM277" s="592"/>
      <c r="EKN277" s="592"/>
      <c r="EKO277" s="592"/>
      <c r="EKP277" s="592"/>
      <c r="EKQ277" s="592"/>
      <c r="EKR277" s="592"/>
      <c r="EKS277" s="592"/>
      <c r="EKT277" s="592"/>
      <c r="EKU277" s="592"/>
      <c r="EKV277" s="592"/>
      <c r="EKW277" s="592"/>
      <c r="EKX277" s="592"/>
      <c r="EKY277" s="592"/>
      <c r="EKZ277" s="592"/>
      <c r="ELA277" s="592"/>
      <c r="ELB277" s="592"/>
      <c r="ELC277" s="592"/>
      <c r="ELD277" s="592"/>
      <c r="ELE277" s="592"/>
      <c r="ELF277" s="592"/>
      <c r="ELG277" s="592"/>
      <c r="ELH277" s="592"/>
      <c r="ELI277" s="592"/>
      <c r="ELJ277" s="592"/>
      <c r="ELK277" s="592"/>
      <c r="ELL277" s="592"/>
      <c r="ELM277" s="592"/>
      <c r="ELN277" s="592"/>
      <c r="ELO277" s="592"/>
      <c r="ELP277" s="592"/>
      <c r="ELQ277" s="592"/>
      <c r="ELR277" s="592"/>
      <c r="ELS277" s="592"/>
      <c r="ELT277" s="592"/>
      <c r="ELU277" s="592"/>
      <c r="ELV277" s="592"/>
      <c r="ELW277" s="592"/>
      <c r="ELX277" s="592"/>
      <c r="ELY277" s="592"/>
      <c r="ELZ277" s="592"/>
      <c r="EMA277" s="592"/>
      <c r="EMB277" s="592"/>
      <c r="EMC277" s="592"/>
      <c r="EMD277" s="592"/>
      <c r="EME277" s="592"/>
      <c r="EMF277" s="592"/>
      <c r="EMG277" s="592"/>
      <c r="EMH277" s="592"/>
      <c r="EMI277" s="592"/>
      <c r="EMJ277" s="592"/>
      <c r="EMK277" s="592"/>
      <c r="EML277" s="592"/>
      <c r="EMM277" s="592"/>
      <c r="EMN277" s="592"/>
      <c r="EMO277" s="592"/>
      <c r="EMP277" s="592"/>
      <c r="EMQ277" s="592"/>
      <c r="EMR277" s="592"/>
      <c r="EMS277" s="592"/>
      <c r="EMT277" s="592"/>
      <c r="EMU277" s="592"/>
      <c r="EMV277" s="592"/>
      <c r="EMW277" s="592"/>
      <c r="EMX277" s="592"/>
      <c r="EMY277" s="592"/>
      <c r="EMZ277" s="592"/>
      <c r="ENA277" s="592"/>
      <c r="ENB277" s="592"/>
      <c r="ENC277" s="592"/>
      <c r="END277" s="592"/>
      <c r="ENE277" s="592"/>
      <c r="ENF277" s="592"/>
      <c r="ENG277" s="592"/>
      <c r="ENH277" s="592"/>
      <c r="ENI277" s="592"/>
      <c r="ENJ277" s="592"/>
      <c r="ENK277" s="592"/>
      <c r="ENL277" s="592"/>
      <c r="ENM277" s="592"/>
      <c r="ENN277" s="592"/>
      <c r="ENO277" s="592"/>
      <c r="ENP277" s="592"/>
      <c r="ENQ277" s="592"/>
      <c r="ENR277" s="592"/>
      <c r="ENS277" s="592"/>
      <c r="ENT277" s="592"/>
      <c r="ENU277" s="592"/>
      <c r="ENV277" s="592"/>
      <c r="ENW277" s="592"/>
      <c r="ENX277" s="592"/>
      <c r="ENY277" s="592"/>
      <c r="ENZ277" s="592"/>
      <c r="EOA277" s="592"/>
      <c r="EOB277" s="592"/>
      <c r="EOC277" s="592"/>
      <c r="EOD277" s="592"/>
      <c r="EOE277" s="592"/>
      <c r="EOF277" s="592"/>
      <c r="EOG277" s="592"/>
      <c r="EOH277" s="592"/>
      <c r="EOI277" s="592"/>
      <c r="EOJ277" s="592"/>
      <c r="EOK277" s="592"/>
      <c r="EOL277" s="592"/>
      <c r="EOM277" s="592"/>
      <c r="EON277" s="592"/>
      <c r="EOO277" s="592"/>
      <c r="EOP277" s="592"/>
      <c r="EOQ277" s="592"/>
      <c r="EOR277" s="592"/>
      <c r="EOS277" s="592"/>
      <c r="EOT277" s="592"/>
      <c r="EOU277" s="592"/>
      <c r="EOV277" s="592"/>
      <c r="EOW277" s="592"/>
      <c r="EOX277" s="592"/>
      <c r="EOY277" s="592"/>
      <c r="EOZ277" s="592"/>
      <c r="EPA277" s="592"/>
      <c r="EPB277" s="592"/>
      <c r="EPC277" s="592"/>
      <c r="EPD277" s="592"/>
      <c r="EPE277" s="592"/>
      <c r="EPF277" s="592"/>
      <c r="EPG277" s="592"/>
      <c r="EPH277" s="592"/>
      <c r="EPI277" s="592"/>
      <c r="EPJ277" s="592"/>
      <c r="EPK277" s="592"/>
      <c r="EPL277" s="592"/>
      <c r="EPM277" s="592"/>
      <c r="EPN277" s="592"/>
      <c r="EPO277" s="592"/>
      <c r="EPP277" s="592"/>
      <c r="EPQ277" s="592"/>
      <c r="EPR277" s="592"/>
      <c r="EPS277" s="592"/>
      <c r="EPT277" s="592"/>
      <c r="EPU277" s="592"/>
      <c r="EPV277" s="592"/>
      <c r="EPW277" s="592"/>
      <c r="EPX277" s="592"/>
      <c r="EPY277" s="592"/>
      <c r="EPZ277" s="592"/>
      <c r="EQA277" s="592"/>
      <c r="EQB277" s="592"/>
      <c r="EQC277" s="592"/>
      <c r="EQD277" s="592"/>
      <c r="EQE277" s="592"/>
      <c r="EQF277" s="592"/>
      <c r="EQG277" s="592"/>
      <c r="EQH277" s="592"/>
      <c r="EQI277" s="592"/>
      <c r="EQJ277" s="592"/>
      <c r="EQK277" s="592"/>
      <c r="EQL277" s="592"/>
      <c r="EQM277" s="592"/>
      <c r="EQN277" s="592"/>
      <c r="EQO277" s="592"/>
      <c r="EQP277" s="592"/>
      <c r="EQQ277" s="592"/>
      <c r="EQR277" s="592"/>
      <c r="EQS277" s="592"/>
      <c r="EQT277" s="592"/>
      <c r="EQU277" s="592"/>
      <c r="EQV277" s="592"/>
      <c r="EQW277" s="592"/>
      <c r="EQX277" s="592"/>
      <c r="EQY277" s="592"/>
      <c r="EQZ277" s="592"/>
      <c r="ERA277" s="592"/>
      <c r="ERB277" s="592"/>
      <c r="ERC277" s="592"/>
      <c r="ERD277" s="592"/>
      <c r="ERE277" s="592"/>
      <c r="ERF277" s="592"/>
      <c r="ERG277" s="592"/>
      <c r="ERH277" s="592"/>
      <c r="ERI277" s="592"/>
      <c r="ERJ277" s="592"/>
      <c r="ERK277" s="592"/>
      <c r="ERL277" s="592"/>
      <c r="ERM277" s="592"/>
      <c r="ERN277" s="592"/>
      <c r="ERO277" s="592"/>
      <c r="ERP277" s="592"/>
      <c r="ERQ277" s="592"/>
      <c r="ERR277" s="592"/>
      <c r="ERS277" s="592"/>
      <c r="ERT277" s="592"/>
      <c r="ERU277" s="592"/>
      <c r="ERV277" s="592"/>
      <c r="ERW277" s="592"/>
      <c r="ERX277" s="592"/>
      <c r="ERY277" s="592"/>
      <c r="ERZ277" s="592"/>
      <c r="ESA277" s="592"/>
      <c r="ESB277" s="592"/>
      <c r="ESC277" s="592"/>
      <c r="ESD277" s="592"/>
      <c r="ESE277" s="592"/>
      <c r="ESF277" s="592"/>
      <c r="ESG277" s="592"/>
      <c r="ESH277" s="592"/>
      <c r="ESI277" s="592"/>
      <c r="ESJ277" s="592"/>
      <c r="ESK277" s="592"/>
      <c r="ESL277" s="592"/>
      <c r="ESM277" s="592"/>
      <c r="ESN277" s="592"/>
      <c r="ESO277" s="592"/>
      <c r="ESP277" s="592"/>
      <c r="ESQ277" s="592"/>
      <c r="ESR277" s="592"/>
      <c r="ESS277" s="592"/>
      <c r="EST277" s="592"/>
      <c r="ESU277" s="592"/>
      <c r="ESV277" s="592"/>
      <c r="ESW277" s="592"/>
      <c r="ESX277" s="592"/>
      <c r="ESY277" s="592"/>
      <c r="ESZ277" s="592"/>
      <c r="ETA277" s="592"/>
      <c r="ETB277" s="592"/>
      <c r="ETC277" s="592"/>
      <c r="ETD277" s="592"/>
      <c r="ETE277" s="592"/>
      <c r="ETF277" s="592"/>
      <c r="ETG277" s="592"/>
      <c r="ETH277" s="592"/>
      <c r="ETI277" s="592"/>
      <c r="ETJ277" s="592"/>
      <c r="ETK277" s="592"/>
      <c r="ETL277" s="592"/>
      <c r="ETM277" s="592"/>
      <c r="ETN277" s="592"/>
      <c r="ETO277" s="592"/>
      <c r="ETP277" s="592"/>
      <c r="ETQ277" s="592"/>
      <c r="ETR277" s="592"/>
      <c r="ETS277" s="592"/>
      <c r="ETT277" s="592"/>
      <c r="ETU277" s="592"/>
      <c r="ETV277" s="592"/>
      <c r="ETW277" s="592"/>
      <c r="ETX277" s="592"/>
      <c r="ETY277" s="592"/>
      <c r="ETZ277" s="592"/>
      <c r="EUA277" s="592"/>
      <c r="EUB277" s="592"/>
      <c r="EUC277" s="592"/>
      <c r="EUD277" s="592"/>
      <c r="EUE277" s="592"/>
      <c r="EUF277" s="592"/>
      <c r="EUG277" s="592"/>
      <c r="EUH277" s="592"/>
      <c r="EUI277" s="592"/>
      <c r="EUJ277" s="592"/>
      <c r="EUK277" s="592"/>
      <c r="EUL277" s="592"/>
      <c r="EUM277" s="592"/>
      <c r="EUN277" s="592"/>
      <c r="EUO277" s="592"/>
      <c r="EUP277" s="592"/>
      <c r="EUQ277" s="592"/>
      <c r="EUR277" s="592"/>
      <c r="EUS277" s="592"/>
      <c r="EUT277" s="592"/>
      <c r="EUU277" s="592"/>
      <c r="EUV277" s="592"/>
      <c r="EUW277" s="592"/>
      <c r="EUX277" s="592"/>
      <c r="EUY277" s="592"/>
      <c r="EUZ277" s="592"/>
      <c r="EVA277" s="592"/>
      <c r="EVB277" s="592"/>
      <c r="EVC277" s="592"/>
      <c r="EVD277" s="592"/>
      <c r="EVE277" s="592"/>
      <c r="EVF277" s="592"/>
      <c r="EVG277" s="592"/>
      <c r="EVH277" s="592"/>
      <c r="EVI277" s="592"/>
      <c r="EVJ277" s="592"/>
      <c r="EVK277" s="592"/>
      <c r="EVL277" s="592"/>
      <c r="EVM277" s="592"/>
      <c r="EVN277" s="592"/>
      <c r="EVO277" s="592"/>
      <c r="EVP277" s="592"/>
      <c r="EVQ277" s="592"/>
      <c r="EVR277" s="592"/>
      <c r="EVS277" s="592"/>
      <c r="EVT277" s="592"/>
      <c r="EVU277" s="592"/>
      <c r="EVV277" s="592"/>
      <c r="EVW277" s="592"/>
      <c r="EVX277" s="592"/>
      <c r="EVY277" s="592"/>
      <c r="EVZ277" s="592"/>
      <c r="EWA277" s="592"/>
      <c r="EWB277" s="592"/>
      <c r="EWC277" s="592"/>
      <c r="EWD277" s="592"/>
      <c r="EWE277" s="592"/>
      <c r="EWF277" s="592"/>
      <c r="EWG277" s="592"/>
      <c r="EWH277" s="592"/>
      <c r="EWI277" s="592"/>
      <c r="EWJ277" s="592"/>
      <c r="EWK277" s="592"/>
      <c r="EWL277" s="592"/>
      <c r="EWM277" s="592"/>
      <c r="EWN277" s="592"/>
      <c r="EWO277" s="592"/>
      <c r="EWP277" s="592"/>
      <c r="EWQ277" s="592"/>
      <c r="EWR277" s="592"/>
      <c r="EWS277" s="592"/>
      <c r="EWT277" s="592"/>
      <c r="EWU277" s="592"/>
      <c r="EWV277" s="592"/>
      <c r="EWW277" s="592"/>
      <c r="EWX277" s="592"/>
      <c r="EWY277" s="592"/>
      <c r="EWZ277" s="592"/>
      <c r="EXA277" s="592"/>
      <c r="EXB277" s="592"/>
      <c r="EXC277" s="592"/>
      <c r="EXD277" s="592"/>
      <c r="EXE277" s="592"/>
      <c r="EXF277" s="592"/>
      <c r="EXG277" s="592"/>
      <c r="EXH277" s="592"/>
      <c r="EXI277" s="592"/>
      <c r="EXJ277" s="592"/>
      <c r="EXK277" s="592"/>
      <c r="EXL277" s="592"/>
      <c r="EXM277" s="592"/>
      <c r="EXN277" s="592"/>
      <c r="EXO277" s="592"/>
      <c r="EXP277" s="592"/>
      <c r="EXQ277" s="592"/>
      <c r="EXR277" s="592"/>
      <c r="EXS277" s="592"/>
      <c r="EXT277" s="592"/>
      <c r="EXU277" s="592"/>
      <c r="EXV277" s="592"/>
      <c r="EXW277" s="592"/>
      <c r="EXX277" s="592"/>
      <c r="EXY277" s="592"/>
      <c r="EXZ277" s="592"/>
      <c r="EYA277" s="592"/>
      <c r="EYB277" s="592"/>
      <c r="EYC277" s="592"/>
      <c r="EYD277" s="592"/>
      <c r="EYE277" s="592"/>
      <c r="EYF277" s="592"/>
      <c r="EYG277" s="592"/>
      <c r="EYH277" s="592"/>
      <c r="EYI277" s="592"/>
      <c r="EYJ277" s="592"/>
      <c r="EYK277" s="592"/>
      <c r="EYL277" s="592"/>
      <c r="EYM277" s="592"/>
      <c r="EYN277" s="592"/>
      <c r="EYO277" s="592"/>
      <c r="EYP277" s="592"/>
      <c r="EYQ277" s="592"/>
      <c r="EYR277" s="592"/>
      <c r="EYS277" s="592"/>
      <c r="EYT277" s="592"/>
      <c r="EYU277" s="592"/>
      <c r="EYV277" s="592"/>
      <c r="EYW277" s="592"/>
      <c r="EYX277" s="592"/>
      <c r="EYY277" s="592"/>
      <c r="EYZ277" s="592"/>
      <c r="EZA277" s="592"/>
      <c r="EZB277" s="592"/>
      <c r="EZC277" s="592"/>
      <c r="EZD277" s="592"/>
      <c r="EZE277" s="592"/>
      <c r="EZF277" s="592"/>
      <c r="EZG277" s="592"/>
      <c r="EZH277" s="592"/>
      <c r="EZI277" s="592"/>
      <c r="EZJ277" s="592"/>
      <c r="EZK277" s="592"/>
      <c r="EZL277" s="592"/>
      <c r="EZM277" s="592"/>
      <c r="EZN277" s="592"/>
      <c r="EZO277" s="592"/>
      <c r="EZP277" s="592"/>
      <c r="EZQ277" s="592"/>
      <c r="EZR277" s="592"/>
      <c r="EZS277" s="592"/>
      <c r="EZT277" s="592"/>
      <c r="EZU277" s="592"/>
      <c r="EZV277" s="592"/>
      <c r="EZW277" s="592"/>
      <c r="EZX277" s="592"/>
      <c r="EZY277" s="592"/>
      <c r="EZZ277" s="592"/>
      <c r="FAA277" s="592"/>
      <c r="FAB277" s="592"/>
      <c r="FAC277" s="592"/>
      <c r="FAD277" s="592"/>
      <c r="FAE277" s="592"/>
      <c r="FAF277" s="592"/>
      <c r="FAG277" s="592"/>
      <c r="FAH277" s="592"/>
      <c r="FAI277" s="592"/>
      <c r="FAJ277" s="592"/>
      <c r="FAK277" s="592"/>
      <c r="FAL277" s="592"/>
      <c r="FAM277" s="592"/>
      <c r="FAN277" s="592"/>
      <c r="FAO277" s="592"/>
      <c r="FAP277" s="592"/>
      <c r="FAQ277" s="592"/>
      <c r="FAR277" s="592"/>
      <c r="FAS277" s="592"/>
      <c r="FAT277" s="592"/>
      <c r="FAU277" s="592"/>
      <c r="FAV277" s="592"/>
      <c r="FAW277" s="592"/>
      <c r="FAX277" s="592"/>
      <c r="FAY277" s="592"/>
      <c r="FAZ277" s="592"/>
      <c r="FBA277" s="592"/>
      <c r="FBB277" s="592"/>
      <c r="FBC277" s="592"/>
      <c r="FBD277" s="592"/>
      <c r="FBE277" s="592"/>
      <c r="FBF277" s="592"/>
      <c r="FBG277" s="592"/>
      <c r="FBH277" s="592"/>
      <c r="FBI277" s="592"/>
      <c r="FBJ277" s="592"/>
      <c r="FBK277" s="592"/>
      <c r="FBL277" s="592"/>
      <c r="FBM277" s="592"/>
      <c r="FBN277" s="592"/>
      <c r="FBO277" s="592"/>
      <c r="FBP277" s="592"/>
      <c r="FBQ277" s="592"/>
      <c r="FBR277" s="592"/>
      <c r="FBS277" s="592"/>
      <c r="FBT277" s="592"/>
      <c r="FBU277" s="592"/>
      <c r="FBV277" s="592"/>
      <c r="FBW277" s="592"/>
      <c r="FBX277" s="592"/>
      <c r="FBY277" s="592"/>
      <c r="FBZ277" s="592"/>
      <c r="FCA277" s="592"/>
      <c r="FCB277" s="592"/>
      <c r="FCC277" s="592"/>
      <c r="FCD277" s="592"/>
      <c r="FCE277" s="592"/>
      <c r="FCF277" s="592"/>
      <c r="FCG277" s="592"/>
      <c r="FCH277" s="592"/>
      <c r="FCI277" s="592"/>
      <c r="FCJ277" s="592"/>
      <c r="FCK277" s="592"/>
      <c r="FCL277" s="592"/>
      <c r="FCM277" s="592"/>
      <c r="FCN277" s="592"/>
      <c r="FCO277" s="592"/>
      <c r="FCP277" s="592"/>
      <c r="FCQ277" s="592"/>
      <c r="FCR277" s="592"/>
      <c r="FCS277" s="592"/>
      <c r="FCT277" s="592"/>
      <c r="FCU277" s="592"/>
      <c r="FCV277" s="592"/>
      <c r="FCW277" s="592"/>
      <c r="FCX277" s="592"/>
      <c r="FCY277" s="592"/>
      <c r="FCZ277" s="592"/>
      <c r="FDA277" s="592"/>
      <c r="FDB277" s="592"/>
      <c r="FDC277" s="592"/>
      <c r="FDD277" s="592"/>
      <c r="FDE277" s="592"/>
      <c r="FDF277" s="592"/>
      <c r="FDG277" s="592"/>
      <c r="FDH277" s="592"/>
      <c r="FDI277" s="592"/>
      <c r="FDJ277" s="592"/>
      <c r="FDK277" s="592"/>
      <c r="FDL277" s="592"/>
      <c r="FDM277" s="592"/>
      <c r="FDN277" s="592"/>
      <c r="FDO277" s="592"/>
      <c r="FDP277" s="592"/>
      <c r="FDQ277" s="592"/>
      <c r="FDR277" s="592"/>
      <c r="FDS277" s="592"/>
      <c r="FDT277" s="592"/>
      <c r="FDU277" s="592"/>
      <c r="FDV277" s="592"/>
      <c r="FDW277" s="592"/>
      <c r="FDX277" s="592"/>
      <c r="FDY277" s="592"/>
      <c r="FDZ277" s="592"/>
      <c r="FEA277" s="592"/>
      <c r="FEB277" s="592"/>
      <c r="FEC277" s="592"/>
      <c r="FED277" s="592"/>
      <c r="FEE277" s="592"/>
      <c r="FEF277" s="592"/>
      <c r="FEG277" s="592"/>
      <c r="FEH277" s="592"/>
      <c r="FEI277" s="592"/>
      <c r="FEJ277" s="592"/>
      <c r="FEK277" s="592"/>
      <c r="FEL277" s="592"/>
      <c r="FEM277" s="592"/>
      <c r="FEN277" s="592"/>
      <c r="FEO277" s="592"/>
      <c r="FEP277" s="592"/>
      <c r="FEQ277" s="592"/>
      <c r="FER277" s="592"/>
      <c r="FES277" s="592"/>
      <c r="FET277" s="592"/>
      <c r="FEU277" s="592"/>
      <c r="FEV277" s="592"/>
      <c r="FEW277" s="592"/>
      <c r="FEX277" s="592"/>
      <c r="FEY277" s="592"/>
      <c r="FEZ277" s="592"/>
      <c r="FFA277" s="592"/>
      <c r="FFB277" s="592"/>
      <c r="FFC277" s="592"/>
      <c r="FFD277" s="592"/>
      <c r="FFE277" s="592"/>
      <c r="FFF277" s="592"/>
      <c r="FFG277" s="592"/>
      <c r="FFH277" s="592"/>
      <c r="FFI277" s="592"/>
      <c r="FFJ277" s="592"/>
      <c r="FFK277" s="592"/>
      <c r="FFL277" s="592"/>
      <c r="FFM277" s="592"/>
      <c r="FFN277" s="592"/>
      <c r="FFO277" s="592"/>
      <c r="FFP277" s="592"/>
      <c r="FFQ277" s="592"/>
      <c r="FFR277" s="592"/>
      <c r="FFS277" s="592"/>
      <c r="FFT277" s="592"/>
      <c r="FFU277" s="592"/>
      <c r="FFV277" s="592"/>
      <c r="FFW277" s="592"/>
      <c r="FFX277" s="592"/>
      <c r="FFY277" s="592"/>
      <c r="FFZ277" s="592"/>
      <c r="FGA277" s="592"/>
      <c r="FGB277" s="592"/>
      <c r="FGC277" s="592"/>
      <c r="FGD277" s="592"/>
      <c r="FGE277" s="592"/>
      <c r="FGF277" s="592"/>
      <c r="FGG277" s="592"/>
      <c r="FGH277" s="592"/>
      <c r="FGI277" s="592"/>
      <c r="FGJ277" s="592"/>
      <c r="FGK277" s="592"/>
      <c r="FGL277" s="592"/>
      <c r="FGM277" s="592"/>
      <c r="FGN277" s="592"/>
      <c r="FGO277" s="592"/>
      <c r="FGP277" s="592"/>
      <c r="FGQ277" s="592"/>
      <c r="FGR277" s="592"/>
      <c r="FGS277" s="592"/>
      <c r="FGT277" s="592"/>
      <c r="FGU277" s="592"/>
      <c r="FGV277" s="592"/>
      <c r="FGW277" s="592"/>
      <c r="FGX277" s="592"/>
      <c r="FGY277" s="592"/>
      <c r="FGZ277" s="592"/>
      <c r="FHA277" s="592"/>
      <c r="FHB277" s="592"/>
      <c r="FHC277" s="592"/>
      <c r="FHD277" s="592"/>
      <c r="FHE277" s="592"/>
      <c r="FHF277" s="592"/>
      <c r="FHG277" s="592"/>
      <c r="FHH277" s="592"/>
      <c r="FHI277" s="592"/>
      <c r="FHJ277" s="592"/>
      <c r="FHK277" s="592"/>
      <c r="FHL277" s="592"/>
      <c r="FHM277" s="592"/>
      <c r="FHN277" s="592"/>
      <c r="FHO277" s="592"/>
      <c r="FHP277" s="592"/>
      <c r="FHQ277" s="592"/>
      <c r="FHR277" s="592"/>
      <c r="FHS277" s="592"/>
      <c r="FHT277" s="592"/>
      <c r="FHU277" s="592"/>
      <c r="FHV277" s="592"/>
      <c r="FHW277" s="592"/>
      <c r="FHX277" s="592"/>
      <c r="FHY277" s="592"/>
      <c r="FHZ277" s="592"/>
      <c r="FIA277" s="592"/>
      <c r="FIB277" s="592"/>
      <c r="FIC277" s="592"/>
      <c r="FID277" s="592"/>
      <c r="FIE277" s="592"/>
      <c r="FIF277" s="592"/>
      <c r="FIG277" s="592"/>
      <c r="FIH277" s="592"/>
      <c r="FII277" s="592"/>
      <c r="FIJ277" s="592"/>
      <c r="FIK277" s="592"/>
      <c r="FIL277" s="592"/>
      <c r="FIM277" s="592"/>
      <c r="FIN277" s="592"/>
      <c r="FIO277" s="592"/>
      <c r="FIP277" s="592"/>
      <c r="FIQ277" s="592"/>
      <c r="FIR277" s="592"/>
      <c r="FIS277" s="592"/>
      <c r="FIT277" s="592"/>
      <c r="FIU277" s="592"/>
      <c r="FIV277" s="592"/>
      <c r="FIW277" s="592"/>
      <c r="FIX277" s="592"/>
      <c r="FIY277" s="592"/>
      <c r="FIZ277" s="592"/>
      <c r="FJA277" s="592"/>
      <c r="FJB277" s="592"/>
      <c r="FJC277" s="592"/>
      <c r="FJD277" s="592"/>
      <c r="FJE277" s="592"/>
      <c r="FJF277" s="592"/>
      <c r="FJG277" s="592"/>
      <c r="FJH277" s="592"/>
      <c r="FJI277" s="592"/>
      <c r="FJJ277" s="592"/>
      <c r="FJK277" s="592"/>
      <c r="FJL277" s="592"/>
      <c r="FJM277" s="592"/>
      <c r="FJN277" s="592"/>
      <c r="FJO277" s="592"/>
      <c r="FJP277" s="592"/>
      <c r="FJQ277" s="592"/>
      <c r="FJR277" s="592"/>
      <c r="FJS277" s="592"/>
      <c r="FJT277" s="592"/>
      <c r="FJU277" s="592"/>
      <c r="FJV277" s="592"/>
      <c r="FJW277" s="592"/>
      <c r="FJX277" s="592"/>
      <c r="FJY277" s="592"/>
      <c r="FJZ277" s="592"/>
      <c r="FKA277" s="592"/>
      <c r="FKB277" s="592"/>
      <c r="FKC277" s="592"/>
      <c r="FKD277" s="592"/>
      <c r="FKE277" s="592"/>
      <c r="FKF277" s="592"/>
      <c r="FKG277" s="592"/>
      <c r="FKH277" s="592"/>
      <c r="FKI277" s="592"/>
      <c r="FKJ277" s="592"/>
      <c r="FKK277" s="592"/>
      <c r="FKL277" s="592"/>
      <c r="FKM277" s="592"/>
      <c r="FKN277" s="592"/>
      <c r="FKO277" s="592"/>
      <c r="FKP277" s="592"/>
      <c r="FKQ277" s="592"/>
      <c r="FKR277" s="592"/>
      <c r="FKS277" s="592"/>
      <c r="FKT277" s="592"/>
      <c r="FKU277" s="592"/>
      <c r="FKV277" s="592"/>
      <c r="FKW277" s="592"/>
      <c r="FKX277" s="592"/>
      <c r="FKY277" s="592"/>
      <c r="FKZ277" s="592"/>
      <c r="FLA277" s="592"/>
      <c r="FLB277" s="592"/>
      <c r="FLC277" s="592"/>
      <c r="FLD277" s="592"/>
      <c r="FLE277" s="592"/>
      <c r="FLF277" s="592"/>
      <c r="FLG277" s="592"/>
      <c r="FLH277" s="592"/>
      <c r="FLI277" s="592"/>
      <c r="FLJ277" s="592"/>
      <c r="FLK277" s="592"/>
      <c r="FLL277" s="592"/>
      <c r="FLM277" s="592"/>
      <c r="FLN277" s="592"/>
      <c r="FLO277" s="592"/>
      <c r="FLP277" s="592"/>
      <c r="FLQ277" s="592"/>
      <c r="FLR277" s="592"/>
      <c r="FLS277" s="592"/>
      <c r="FLT277" s="592"/>
      <c r="FLU277" s="592"/>
      <c r="FLV277" s="592"/>
      <c r="FLW277" s="592"/>
      <c r="FLX277" s="592"/>
      <c r="FLY277" s="592"/>
      <c r="FLZ277" s="592"/>
      <c r="FMA277" s="592"/>
      <c r="FMB277" s="592"/>
      <c r="FMC277" s="592"/>
      <c r="FMD277" s="592"/>
      <c r="FME277" s="592"/>
      <c r="FMF277" s="592"/>
      <c r="FMG277" s="592"/>
      <c r="FMH277" s="592"/>
      <c r="FMI277" s="592"/>
      <c r="FMJ277" s="592"/>
      <c r="FMK277" s="592"/>
      <c r="FML277" s="592"/>
      <c r="FMM277" s="592"/>
      <c r="FMN277" s="592"/>
      <c r="FMO277" s="592"/>
      <c r="FMP277" s="592"/>
      <c r="FMQ277" s="592"/>
      <c r="FMR277" s="592"/>
      <c r="FMS277" s="592"/>
      <c r="FMT277" s="592"/>
      <c r="FMU277" s="592"/>
      <c r="FMV277" s="592"/>
      <c r="FMW277" s="592"/>
      <c r="FMX277" s="592"/>
      <c r="FMY277" s="592"/>
      <c r="FMZ277" s="592"/>
      <c r="FNA277" s="592"/>
      <c r="FNB277" s="592"/>
      <c r="FNC277" s="592"/>
      <c r="FND277" s="592"/>
      <c r="FNE277" s="592"/>
      <c r="FNF277" s="592"/>
      <c r="FNG277" s="592"/>
      <c r="FNH277" s="592"/>
      <c r="FNI277" s="592"/>
      <c r="FNJ277" s="592"/>
      <c r="FNK277" s="592"/>
      <c r="FNL277" s="592"/>
      <c r="FNM277" s="592"/>
      <c r="FNN277" s="592"/>
      <c r="FNO277" s="592"/>
      <c r="FNP277" s="592"/>
      <c r="FNQ277" s="592"/>
      <c r="FNR277" s="592"/>
      <c r="FNS277" s="592"/>
      <c r="FNT277" s="592"/>
      <c r="FNU277" s="592"/>
      <c r="FNV277" s="592"/>
      <c r="FNW277" s="592"/>
      <c r="FNX277" s="592"/>
      <c r="FNY277" s="592"/>
      <c r="FNZ277" s="592"/>
      <c r="FOA277" s="592"/>
      <c r="FOB277" s="592"/>
      <c r="FOC277" s="592"/>
      <c r="FOD277" s="592"/>
      <c r="FOE277" s="592"/>
      <c r="FOF277" s="592"/>
      <c r="FOG277" s="592"/>
      <c r="FOH277" s="592"/>
      <c r="FOI277" s="592"/>
      <c r="FOJ277" s="592"/>
      <c r="FOK277" s="592"/>
      <c r="FOL277" s="592"/>
      <c r="FOM277" s="592"/>
      <c r="FON277" s="592"/>
      <c r="FOO277" s="592"/>
      <c r="FOP277" s="592"/>
      <c r="FOQ277" s="592"/>
      <c r="FOR277" s="592"/>
      <c r="FOS277" s="592"/>
      <c r="FOT277" s="592"/>
      <c r="FOU277" s="592"/>
      <c r="FOV277" s="592"/>
      <c r="FOW277" s="592"/>
      <c r="FOX277" s="592"/>
      <c r="FOY277" s="592"/>
      <c r="FOZ277" s="592"/>
      <c r="FPA277" s="592"/>
      <c r="FPB277" s="592"/>
      <c r="FPC277" s="592"/>
      <c r="FPD277" s="592"/>
      <c r="FPE277" s="592"/>
      <c r="FPF277" s="592"/>
      <c r="FPG277" s="592"/>
      <c r="FPH277" s="592"/>
      <c r="FPI277" s="592"/>
      <c r="FPJ277" s="592"/>
      <c r="FPK277" s="592"/>
      <c r="FPL277" s="592"/>
      <c r="FPM277" s="592"/>
      <c r="FPN277" s="592"/>
      <c r="FPO277" s="592"/>
      <c r="FPP277" s="592"/>
      <c r="FPQ277" s="592"/>
      <c r="FPR277" s="592"/>
      <c r="FPS277" s="592"/>
      <c r="FPT277" s="592"/>
      <c r="FPU277" s="592"/>
      <c r="FPV277" s="592"/>
      <c r="FPW277" s="592"/>
      <c r="FPX277" s="592"/>
      <c r="FPY277" s="592"/>
      <c r="FPZ277" s="592"/>
      <c r="FQA277" s="592"/>
      <c r="FQB277" s="592"/>
      <c r="FQC277" s="592"/>
      <c r="FQD277" s="592"/>
      <c r="FQE277" s="592"/>
      <c r="FQF277" s="592"/>
      <c r="FQG277" s="592"/>
      <c r="FQH277" s="592"/>
      <c r="FQI277" s="592"/>
      <c r="FQJ277" s="592"/>
      <c r="FQK277" s="592"/>
      <c r="FQL277" s="592"/>
      <c r="FQM277" s="592"/>
      <c r="FQN277" s="592"/>
      <c r="FQO277" s="592"/>
      <c r="FQP277" s="592"/>
      <c r="FQQ277" s="592"/>
      <c r="FQR277" s="592"/>
      <c r="FQS277" s="592"/>
      <c r="FQT277" s="592"/>
      <c r="FQU277" s="592"/>
      <c r="FQV277" s="592"/>
      <c r="FQW277" s="592"/>
      <c r="FQX277" s="592"/>
      <c r="FQY277" s="592"/>
      <c r="FQZ277" s="592"/>
      <c r="FRA277" s="592"/>
      <c r="FRB277" s="592"/>
      <c r="FRC277" s="592"/>
      <c r="FRD277" s="592"/>
      <c r="FRE277" s="592"/>
      <c r="FRF277" s="592"/>
      <c r="FRG277" s="592"/>
      <c r="FRH277" s="592"/>
      <c r="FRI277" s="592"/>
      <c r="FRJ277" s="592"/>
      <c r="FRK277" s="592"/>
      <c r="FRL277" s="592"/>
      <c r="FRM277" s="592"/>
      <c r="FRN277" s="592"/>
      <c r="FRO277" s="592"/>
      <c r="FRP277" s="592"/>
      <c r="FRQ277" s="592"/>
      <c r="FRR277" s="592"/>
      <c r="FRS277" s="592"/>
      <c r="FRT277" s="592"/>
      <c r="FRU277" s="592"/>
      <c r="FRV277" s="592"/>
      <c r="FRW277" s="592"/>
      <c r="FRX277" s="592"/>
      <c r="FRY277" s="592"/>
      <c r="FRZ277" s="592"/>
      <c r="FSA277" s="592"/>
      <c r="FSB277" s="592"/>
      <c r="FSC277" s="592"/>
      <c r="FSD277" s="592"/>
      <c r="FSE277" s="592"/>
      <c r="FSF277" s="592"/>
      <c r="FSG277" s="592"/>
      <c r="FSH277" s="592"/>
      <c r="FSI277" s="592"/>
      <c r="FSJ277" s="592"/>
      <c r="FSK277" s="592"/>
      <c r="FSL277" s="592"/>
      <c r="FSM277" s="592"/>
      <c r="FSN277" s="592"/>
      <c r="FSO277" s="592"/>
      <c r="FSP277" s="592"/>
      <c r="FSQ277" s="592"/>
      <c r="FSR277" s="592"/>
      <c r="FSS277" s="592"/>
      <c r="FST277" s="592"/>
      <c r="FSU277" s="592"/>
      <c r="FSV277" s="592"/>
      <c r="FSW277" s="592"/>
      <c r="FSX277" s="592"/>
      <c r="FSY277" s="592"/>
      <c r="FSZ277" s="592"/>
      <c r="FTA277" s="592"/>
      <c r="FTB277" s="592"/>
      <c r="FTC277" s="592"/>
      <c r="FTD277" s="592"/>
      <c r="FTE277" s="592"/>
      <c r="FTF277" s="592"/>
      <c r="FTG277" s="592"/>
      <c r="FTH277" s="592"/>
      <c r="FTI277" s="592"/>
      <c r="FTJ277" s="592"/>
      <c r="FTK277" s="592"/>
      <c r="FTL277" s="592"/>
      <c r="FTM277" s="592"/>
      <c r="FTN277" s="592"/>
      <c r="FTO277" s="592"/>
      <c r="FTP277" s="592"/>
      <c r="FTQ277" s="592"/>
      <c r="FTR277" s="592"/>
      <c r="FTS277" s="592"/>
      <c r="FTT277" s="592"/>
      <c r="FTU277" s="592"/>
      <c r="FTV277" s="592"/>
      <c r="FTW277" s="592"/>
      <c r="FTX277" s="592"/>
      <c r="FTY277" s="592"/>
      <c r="FTZ277" s="592"/>
      <c r="FUA277" s="592"/>
      <c r="FUB277" s="592"/>
      <c r="FUC277" s="592"/>
      <c r="FUD277" s="592"/>
      <c r="FUE277" s="592"/>
      <c r="FUF277" s="592"/>
      <c r="FUG277" s="592"/>
      <c r="FUH277" s="592"/>
      <c r="FUI277" s="592"/>
      <c r="FUJ277" s="592"/>
      <c r="FUK277" s="592"/>
      <c r="FUL277" s="592"/>
      <c r="FUM277" s="592"/>
      <c r="FUN277" s="592"/>
      <c r="FUO277" s="592"/>
      <c r="FUP277" s="592"/>
      <c r="FUQ277" s="592"/>
      <c r="FUR277" s="592"/>
      <c r="FUS277" s="592"/>
      <c r="FUT277" s="592"/>
      <c r="FUU277" s="592"/>
      <c r="FUV277" s="592"/>
      <c r="FUW277" s="592"/>
      <c r="FUX277" s="592"/>
      <c r="FUY277" s="592"/>
      <c r="FUZ277" s="592"/>
      <c r="FVA277" s="592"/>
      <c r="FVB277" s="592"/>
      <c r="FVC277" s="592"/>
      <c r="FVD277" s="592"/>
      <c r="FVE277" s="592"/>
      <c r="FVF277" s="592"/>
      <c r="FVG277" s="592"/>
      <c r="FVH277" s="592"/>
      <c r="FVI277" s="592"/>
      <c r="FVJ277" s="592"/>
      <c r="FVK277" s="592"/>
      <c r="FVL277" s="592"/>
      <c r="FVM277" s="592"/>
      <c r="FVN277" s="592"/>
      <c r="FVO277" s="592"/>
      <c r="FVP277" s="592"/>
      <c r="FVQ277" s="592"/>
      <c r="FVR277" s="592"/>
      <c r="FVS277" s="592"/>
      <c r="FVT277" s="592"/>
      <c r="FVU277" s="592"/>
      <c r="FVV277" s="592"/>
      <c r="FVW277" s="592"/>
      <c r="FVX277" s="592"/>
      <c r="FVY277" s="592"/>
      <c r="FVZ277" s="592"/>
      <c r="FWA277" s="592"/>
      <c r="FWB277" s="592"/>
      <c r="FWC277" s="592"/>
      <c r="FWD277" s="592"/>
      <c r="FWE277" s="592"/>
      <c r="FWF277" s="592"/>
      <c r="FWG277" s="592"/>
      <c r="FWH277" s="592"/>
      <c r="FWI277" s="592"/>
      <c r="FWJ277" s="592"/>
      <c r="FWK277" s="592"/>
      <c r="FWL277" s="592"/>
      <c r="FWM277" s="592"/>
      <c r="FWN277" s="592"/>
      <c r="FWO277" s="592"/>
      <c r="FWP277" s="592"/>
      <c r="FWQ277" s="592"/>
      <c r="FWR277" s="592"/>
      <c r="FWS277" s="592"/>
      <c r="FWT277" s="592"/>
      <c r="FWU277" s="592"/>
      <c r="FWV277" s="592"/>
      <c r="FWW277" s="592"/>
      <c r="FWX277" s="592"/>
      <c r="FWY277" s="592"/>
      <c r="FWZ277" s="592"/>
      <c r="FXA277" s="592"/>
      <c r="FXB277" s="592"/>
      <c r="FXC277" s="592"/>
      <c r="FXD277" s="592"/>
      <c r="FXE277" s="592"/>
      <c r="FXF277" s="592"/>
      <c r="FXG277" s="592"/>
      <c r="FXH277" s="592"/>
      <c r="FXI277" s="592"/>
      <c r="FXJ277" s="592"/>
      <c r="FXK277" s="592"/>
      <c r="FXL277" s="592"/>
      <c r="FXM277" s="592"/>
      <c r="FXN277" s="592"/>
      <c r="FXO277" s="592"/>
      <c r="FXP277" s="592"/>
      <c r="FXQ277" s="592"/>
      <c r="FXR277" s="592"/>
      <c r="FXS277" s="592"/>
      <c r="FXT277" s="592"/>
      <c r="FXU277" s="592"/>
      <c r="FXV277" s="592"/>
      <c r="FXW277" s="592"/>
      <c r="FXX277" s="592"/>
      <c r="FXY277" s="592"/>
      <c r="FXZ277" s="592"/>
      <c r="FYA277" s="592"/>
      <c r="FYB277" s="592"/>
      <c r="FYC277" s="592"/>
      <c r="FYD277" s="592"/>
      <c r="FYE277" s="592"/>
      <c r="FYF277" s="592"/>
      <c r="FYG277" s="592"/>
      <c r="FYH277" s="592"/>
      <c r="FYI277" s="592"/>
      <c r="FYJ277" s="592"/>
      <c r="FYK277" s="592"/>
      <c r="FYL277" s="592"/>
      <c r="FYM277" s="592"/>
      <c r="FYN277" s="592"/>
      <c r="FYO277" s="592"/>
      <c r="FYP277" s="592"/>
      <c r="FYQ277" s="592"/>
      <c r="FYR277" s="592"/>
      <c r="FYS277" s="592"/>
      <c r="FYT277" s="592"/>
      <c r="FYU277" s="592"/>
      <c r="FYV277" s="592"/>
      <c r="FYW277" s="592"/>
      <c r="FYX277" s="592"/>
      <c r="FYY277" s="592"/>
      <c r="FYZ277" s="592"/>
      <c r="FZA277" s="592"/>
      <c r="FZB277" s="592"/>
      <c r="FZC277" s="592"/>
      <c r="FZD277" s="592"/>
      <c r="FZE277" s="592"/>
      <c r="FZF277" s="592"/>
      <c r="FZG277" s="592"/>
      <c r="FZH277" s="592"/>
      <c r="FZI277" s="592"/>
      <c r="FZJ277" s="592"/>
      <c r="FZK277" s="592"/>
      <c r="FZL277" s="592"/>
      <c r="FZM277" s="592"/>
      <c r="FZN277" s="592"/>
      <c r="FZO277" s="592"/>
      <c r="FZP277" s="592"/>
      <c r="FZQ277" s="592"/>
      <c r="FZR277" s="592"/>
      <c r="FZS277" s="592"/>
      <c r="FZT277" s="592"/>
      <c r="FZU277" s="592"/>
      <c r="FZV277" s="592"/>
      <c r="FZW277" s="592"/>
      <c r="FZX277" s="592"/>
      <c r="FZY277" s="592"/>
      <c r="FZZ277" s="592"/>
      <c r="GAA277" s="592"/>
      <c r="GAB277" s="592"/>
      <c r="GAC277" s="592"/>
      <c r="GAD277" s="592"/>
      <c r="GAE277" s="592"/>
      <c r="GAF277" s="592"/>
      <c r="GAG277" s="592"/>
      <c r="GAH277" s="592"/>
      <c r="GAI277" s="592"/>
      <c r="GAJ277" s="592"/>
      <c r="GAK277" s="592"/>
      <c r="GAL277" s="592"/>
      <c r="GAM277" s="592"/>
      <c r="GAN277" s="592"/>
      <c r="GAO277" s="592"/>
      <c r="GAP277" s="592"/>
      <c r="GAQ277" s="592"/>
      <c r="GAR277" s="592"/>
      <c r="GAS277" s="592"/>
      <c r="GAT277" s="592"/>
      <c r="GAU277" s="592"/>
      <c r="GAV277" s="592"/>
      <c r="GAW277" s="592"/>
      <c r="GAX277" s="592"/>
      <c r="GAY277" s="592"/>
      <c r="GAZ277" s="592"/>
      <c r="GBA277" s="592"/>
      <c r="GBB277" s="592"/>
      <c r="GBC277" s="592"/>
      <c r="GBD277" s="592"/>
      <c r="GBE277" s="592"/>
      <c r="GBF277" s="592"/>
      <c r="GBG277" s="592"/>
      <c r="GBH277" s="592"/>
      <c r="GBI277" s="592"/>
      <c r="GBJ277" s="592"/>
      <c r="GBK277" s="592"/>
      <c r="GBL277" s="592"/>
      <c r="GBM277" s="592"/>
      <c r="GBN277" s="592"/>
      <c r="GBO277" s="592"/>
      <c r="GBP277" s="592"/>
      <c r="GBQ277" s="592"/>
      <c r="GBR277" s="592"/>
      <c r="GBS277" s="592"/>
      <c r="GBT277" s="592"/>
      <c r="GBU277" s="592"/>
      <c r="GBV277" s="592"/>
      <c r="GBW277" s="592"/>
      <c r="GBX277" s="592"/>
      <c r="GBY277" s="592"/>
      <c r="GBZ277" s="592"/>
      <c r="GCA277" s="592"/>
      <c r="GCB277" s="592"/>
      <c r="GCC277" s="592"/>
      <c r="GCD277" s="592"/>
      <c r="GCE277" s="592"/>
      <c r="GCF277" s="592"/>
      <c r="GCG277" s="592"/>
      <c r="GCH277" s="592"/>
      <c r="GCI277" s="592"/>
      <c r="GCJ277" s="592"/>
      <c r="GCK277" s="592"/>
      <c r="GCL277" s="592"/>
      <c r="GCM277" s="592"/>
      <c r="GCN277" s="592"/>
      <c r="GCO277" s="592"/>
      <c r="GCP277" s="592"/>
      <c r="GCQ277" s="592"/>
      <c r="GCR277" s="592"/>
      <c r="GCS277" s="592"/>
      <c r="GCT277" s="592"/>
      <c r="GCU277" s="592"/>
      <c r="GCV277" s="592"/>
      <c r="GCW277" s="592"/>
      <c r="GCX277" s="592"/>
      <c r="GCY277" s="592"/>
      <c r="GCZ277" s="592"/>
      <c r="GDA277" s="592"/>
      <c r="GDB277" s="592"/>
      <c r="GDC277" s="592"/>
      <c r="GDD277" s="592"/>
      <c r="GDE277" s="592"/>
      <c r="GDF277" s="592"/>
      <c r="GDG277" s="592"/>
      <c r="GDH277" s="592"/>
      <c r="GDI277" s="592"/>
      <c r="GDJ277" s="592"/>
      <c r="GDK277" s="592"/>
      <c r="GDL277" s="592"/>
      <c r="GDM277" s="592"/>
      <c r="GDN277" s="592"/>
      <c r="GDO277" s="592"/>
      <c r="GDP277" s="592"/>
      <c r="GDQ277" s="592"/>
      <c r="GDR277" s="592"/>
      <c r="GDS277" s="592"/>
      <c r="GDT277" s="592"/>
      <c r="GDU277" s="592"/>
      <c r="GDV277" s="592"/>
      <c r="GDW277" s="592"/>
      <c r="GDX277" s="592"/>
      <c r="GDY277" s="592"/>
      <c r="GDZ277" s="592"/>
      <c r="GEA277" s="592"/>
      <c r="GEB277" s="592"/>
      <c r="GEC277" s="592"/>
      <c r="GED277" s="592"/>
      <c r="GEE277" s="592"/>
      <c r="GEF277" s="592"/>
      <c r="GEG277" s="592"/>
      <c r="GEH277" s="592"/>
      <c r="GEI277" s="592"/>
      <c r="GEJ277" s="592"/>
      <c r="GEK277" s="592"/>
      <c r="GEL277" s="592"/>
      <c r="GEM277" s="592"/>
      <c r="GEN277" s="592"/>
      <c r="GEO277" s="592"/>
      <c r="GEP277" s="592"/>
      <c r="GEQ277" s="592"/>
      <c r="GER277" s="592"/>
      <c r="GES277" s="592"/>
      <c r="GET277" s="592"/>
      <c r="GEU277" s="592"/>
      <c r="GEV277" s="592"/>
      <c r="GEW277" s="592"/>
      <c r="GEX277" s="592"/>
      <c r="GEY277" s="592"/>
      <c r="GEZ277" s="592"/>
      <c r="GFA277" s="592"/>
      <c r="GFB277" s="592"/>
      <c r="GFC277" s="592"/>
      <c r="GFD277" s="592"/>
      <c r="GFE277" s="592"/>
      <c r="GFF277" s="592"/>
      <c r="GFG277" s="592"/>
      <c r="GFH277" s="592"/>
      <c r="GFI277" s="592"/>
      <c r="GFJ277" s="592"/>
      <c r="GFK277" s="592"/>
      <c r="GFL277" s="592"/>
      <c r="GFM277" s="592"/>
      <c r="GFN277" s="592"/>
      <c r="GFO277" s="592"/>
      <c r="GFP277" s="592"/>
      <c r="GFQ277" s="592"/>
      <c r="GFR277" s="592"/>
      <c r="GFS277" s="592"/>
      <c r="GFT277" s="592"/>
      <c r="GFU277" s="592"/>
      <c r="GFV277" s="592"/>
      <c r="GFW277" s="592"/>
      <c r="GFX277" s="592"/>
      <c r="GFY277" s="592"/>
      <c r="GFZ277" s="592"/>
      <c r="GGA277" s="592"/>
      <c r="GGB277" s="592"/>
      <c r="GGC277" s="592"/>
      <c r="GGD277" s="592"/>
      <c r="GGE277" s="592"/>
      <c r="GGF277" s="592"/>
      <c r="GGG277" s="592"/>
      <c r="GGH277" s="592"/>
      <c r="GGI277" s="592"/>
      <c r="GGJ277" s="592"/>
      <c r="GGK277" s="592"/>
      <c r="GGL277" s="592"/>
      <c r="GGM277" s="592"/>
      <c r="GGN277" s="592"/>
      <c r="GGO277" s="592"/>
      <c r="GGP277" s="592"/>
      <c r="GGQ277" s="592"/>
      <c r="GGR277" s="592"/>
      <c r="GGS277" s="592"/>
      <c r="GGT277" s="592"/>
      <c r="GGU277" s="592"/>
      <c r="GGV277" s="592"/>
      <c r="GGW277" s="592"/>
      <c r="GGX277" s="592"/>
      <c r="GGY277" s="592"/>
      <c r="GGZ277" s="592"/>
      <c r="GHA277" s="592"/>
      <c r="GHB277" s="592"/>
      <c r="GHC277" s="592"/>
      <c r="GHD277" s="592"/>
      <c r="GHE277" s="592"/>
      <c r="GHF277" s="592"/>
      <c r="GHG277" s="592"/>
      <c r="GHH277" s="592"/>
      <c r="GHI277" s="592"/>
      <c r="GHJ277" s="592"/>
      <c r="GHK277" s="592"/>
      <c r="GHL277" s="592"/>
      <c r="GHM277" s="592"/>
      <c r="GHN277" s="592"/>
      <c r="GHO277" s="592"/>
      <c r="GHP277" s="592"/>
      <c r="GHQ277" s="592"/>
      <c r="GHR277" s="592"/>
      <c r="GHS277" s="592"/>
      <c r="GHT277" s="592"/>
      <c r="GHU277" s="592"/>
      <c r="GHV277" s="592"/>
      <c r="GHW277" s="592"/>
      <c r="GHX277" s="592"/>
      <c r="GHY277" s="592"/>
      <c r="GHZ277" s="592"/>
      <c r="GIA277" s="592"/>
      <c r="GIB277" s="592"/>
      <c r="GIC277" s="592"/>
      <c r="GID277" s="592"/>
      <c r="GIE277" s="592"/>
      <c r="GIF277" s="592"/>
      <c r="GIG277" s="592"/>
      <c r="GIH277" s="592"/>
      <c r="GII277" s="592"/>
      <c r="GIJ277" s="592"/>
      <c r="GIK277" s="592"/>
      <c r="GIL277" s="592"/>
      <c r="GIM277" s="592"/>
      <c r="GIN277" s="592"/>
      <c r="GIO277" s="592"/>
      <c r="GIP277" s="592"/>
      <c r="GIQ277" s="592"/>
      <c r="GIR277" s="592"/>
      <c r="GIS277" s="592"/>
      <c r="GIT277" s="592"/>
      <c r="GIU277" s="592"/>
      <c r="GIV277" s="592"/>
      <c r="GIW277" s="592"/>
      <c r="GIX277" s="592"/>
      <c r="GIY277" s="592"/>
      <c r="GIZ277" s="592"/>
      <c r="GJA277" s="592"/>
      <c r="GJB277" s="592"/>
      <c r="GJC277" s="592"/>
      <c r="GJD277" s="592"/>
      <c r="GJE277" s="592"/>
      <c r="GJF277" s="592"/>
      <c r="GJG277" s="592"/>
      <c r="GJH277" s="592"/>
      <c r="GJI277" s="592"/>
      <c r="GJJ277" s="592"/>
      <c r="GJK277" s="592"/>
      <c r="GJL277" s="592"/>
      <c r="GJM277" s="592"/>
      <c r="GJN277" s="592"/>
      <c r="GJO277" s="592"/>
      <c r="GJP277" s="592"/>
      <c r="GJQ277" s="592"/>
      <c r="GJR277" s="592"/>
      <c r="GJS277" s="592"/>
      <c r="GJT277" s="592"/>
      <c r="GJU277" s="592"/>
      <c r="GJV277" s="592"/>
      <c r="GJW277" s="592"/>
      <c r="GJX277" s="592"/>
      <c r="GJY277" s="592"/>
      <c r="GJZ277" s="592"/>
      <c r="GKA277" s="592"/>
      <c r="GKB277" s="592"/>
      <c r="GKC277" s="592"/>
      <c r="GKD277" s="592"/>
      <c r="GKE277" s="592"/>
      <c r="GKF277" s="592"/>
      <c r="GKG277" s="592"/>
      <c r="GKH277" s="592"/>
      <c r="GKI277" s="592"/>
      <c r="GKJ277" s="592"/>
      <c r="GKK277" s="592"/>
      <c r="GKL277" s="592"/>
      <c r="GKM277" s="592"/>
      <c r="GKN277" s="592"/>
      <c r="GKO277" s="592"/>
      <c r="GKP277" s="592"/>
      <c r="GKQ277" s="592"/>
      <c r="GKR277" s="592"/>
      <c r="GKS277" s="592"/>
      <c r="GKT277" s="592"/>
      <c r="GKU277" s="592"/>
      <c r="GKV277" s="592"/>
      <c r="GKW277" s="592"/>
      <c r="GKX277" s="592"/>
      <c r="GKY277" s="592"/>
      <c r="GKZ277" s="592"/>
      <c r="GLA277" s="592"/>
      <c r="GLB277" s="592"/>
      <c r="GLC277" s="592"/>
      <c r="GLD277" s="592"/>
      <c r="GLE277" s="592"/>
      <c r="GLF277" s="592"/>
      <c r="GLG277" s="592"/>
      <c r="GLH277" s="592"/>
      <c r="GLI277" s="592"/>
      <c r="GLJ277" s="592"/>
      <c r="GLK277" s="592"/>
      <c r="GLL277" s="592"/>
      <c r="GLM277" s="592"/>
      <c r="GLN277" s="592"/>
      <c r="GLO277" s="592"/>
      <c r="GLP277" s="592"/>
      <c r="GLQ277" s="592"/>
      <c r="GLR277" s="592"/>
      <c r="GLS277" s="592"/>
      <c r="GLT277" s="592"/>
      <c r="GLU277" s="592"/>
      <c r="GLV277" s="592"/>
      <c r="GLW277" s="592"/>
      <c r="GLX277" s="592"/>
      <c r="GLY277" s="592"/>
      <c r="GLZ277" s="592"/>
      <c r="GMA277" s="592"/>
      <c r="GMB277" s="592"/>
      <c r="GMC277" s="592"/>
      <c r="GMD277" s="592"/>
      <c r="GME277" s="592"/>
      <c r="GMF277" s="592"/>
      <c r="GMG277" s="592"/>
      <c r="GMH277" s="592"/>
      <c r="GMI277" s="592"/>
      <c r="GMJ277" s="592"/>
      <c r="GMK277" s="592"/>
      <c r="GML277" s="592"/>
      <c r="GMM277" s="592"/>
      <c r="GMN277" s="592"/>
      <c r="GMO277" s="592"/>
      <c r="GMP277" s="592"/>
      <c r="GMQ277" s="592"/>
      <c r="GMR277" s="592"/>
      <c r="GMS277" s="592"/>
      <c r="GMT277" s="592"/>
      <c r="GMU277" s="592"/>
      <c r="GMV277" s="592"/>
      <c r="GMW277" s="592"/>
      <c r="GMX277" s="592"/>
      <c r="GMY277" s="592"/>
      <c r="GMZ277" s="592"/>
      <c r="GNA277" s="592"/>
      <c r="GNB277" s="592"/>
      <c r="GNC277" s="592"/>
      <c r="GND277" s="592"/>
      <c r="GNE277" s="592"/>
      <c r="GNF277" s="592"/>
      <c r="GNG277" s="592"/>
      <c r="GNH277" s="592"/>
      <c r="GNI277" s="592"/>
      <c r="GNJ277" s="592"/>
      <c r="GNK277" s="592"/>
      <c r="GNL277" s="592"/>
      <c r="GNM277" s="592"/>
      <c r="GNN277" s="592"/>
      <c r="GNO277" s="592"/>
      <c r="GNP277" s="592"/>
      <c r="GNQ277" s="592"/>
      <c r="GNR277" s="592"/>
      <c r="GNS277" s="592"/>
      <c r="GNT277" s="592"/>
      <c r="GNU277" s="592"/>
      <c r="GNV277" s="592"/>
      <c r="GNW277" s="592"/>
      <c r="GNX277" s="592"/>
      <c r="GNY277" s="592"/>
      <c r="GNZ277" s="592"/>
      <c r="GOA277" s="592"/>
      <c r="GOB277" s="592"/>
      <c r="GOC277" s="592"/>
      <c r="GOD277" s="592"/>
      <c r="GOE277" s="592"/>
      <c r="GOF277" s="592"/>
      <c r="GOG277" s="592"/>
      <c r="GOH277" s="592"/>
      <c r="GOI277" s="592"/>
      <c r="GOJ277" s="592"/>
      <c r="GOK277" s="592"/>
      <c r="GOL277" s="592"/>
      <c r="GOM277" s="592"/>
      <c r="GON277" s="592"/>
      <c r="GOO277" s="592"/>
      <c r="GOP277" s="592"/>
      <c r="GOQ277" s="592"/>
      <c r="GOR277" s="592"/>
      <c r="GOS277" s="592"/>
      <c r="GOT277" s="592"/>
      <c r="GOU277" s="592"/>
      <c r="GOV277" s="592"/>
      <c r="GOW277" s="592"/>
      <c r="GOX277" s="592"/>
      <c r="GOY277" s="592"/>
      <c r="GOZ277" s="592"/>
      <c r="GPA277" s="592"/>
      <c r="GPB277" s="592"/>
      <c r="GPC277" s="592"/>
      <c r="GPD277" s="592"/>
      <c r="GPE277" s="592"/>
      <c r="GPF277" s="592"/>
      <c r="GPG277" s="592"/>
      <c r="GPH277" s="592"/>
      <c r="GPI277" s="592"/>
      <c r="GPJ277" s="592"/>
      <c r="GPK277" s="592"/>
      <c r="GPL277" s="592"/>
      <c r="GPM277" s="592"/>
      <c r="GPN277" s="592"/>
      <c r="GPO277" s="592"/>
      <c r="GPP277" s="592"/>
      <c r="GPQ277" s="592"/>
      <c r="GPR277" s="592"/>
      <c r="GPS277" s="592"/>
      <c r="GPT277" s="592"/>
      <c r="GPU277" s="592"/>
      <c r="GPV277" s="592"/>
      <c r="GPW277" s="592"/>
      <c r="GPX277" s="592"/>
      <c r="GPY277" s="592"/>
      <c r="GPZ277" s="592"/>
      <c r="GQA277" s="592"/>
      <c r="GQB277" s="592"/>
      <c r="GQC277" s="592"/>
      <c r="GQD277" s="592"/>
      <c r="GQE277" s="592"/>
      <c r="GQF277" s="592"/>
      <c r="GQG277" s="592"/>
      <c r="GQH277" s="592"/>
      <c r="GQI277" s="592"/>
      <c r="GQJ277" s="592"/>
      <c r="GQK277" s="592"/>
      <c r="GQL277" s="592"/>
      <c r="GQM277" s="592"/>
      <c r="GQN277" s="592"/>
      <c r="GQO277" s="592"/>
      <c r="GQP277" s="592"/>
      <c r="GQQ277" s="592"/>
      <c r="GQR277" s="592"/>
      <c r="GQS277" s="592"/>
      <c r="GQT277" s="592"/>
      <c r="GQU277" s="592"/>
      <c r="GQV277" s="592"/>
      <c r="GQW277" s="592"/>
      <c r="GQX277" s="592"/>
      <c r="GQY277" s="592"/>
      <c r="GQZ277" s="592"/>
      <c r="GRA277" s="592"/>
      <c r="GRB277" s="592"/>
      <c r="GRC277" s="592"/>
      <c r="GRD277" s="592"/>
      <c r="GRE277" s="592"/>
      <c r="GRF277" s="592"/>
      <c r="GRG277" s="592"/>
      <c r="GRH277" s="592"/>
      <c r="GRI277" s="592"/>
      <c r="GRJ277" s="592"/>
      <c r="GRK277" s="592"/>
      <c r="GRL277" s="592"/>
      <c r="GRM277" s="592"/>
      <c r="GRN277" s="592"/>
      <c r="GRO277" s="592"/>
      <c r="GRP277" s="592"/>
      <c r="GRQ277" s="592"/>
      <c r="GRR277" s="592"/>
      <c r="GRS277" s="592"/>
      <c r="GRT277" s="592"/>
      <c r="GRU277" s="592"/>
      <c r="GRV277" s="592"/>
      <c r="GRW277" s="592"/>
      <c r="GRX277" s="592"/>
      <c r="GRY277" s="592"/>
      <c r="GRZ277" s="592"/>
      <c r="GSA277" s="592"/>
      <c r="GSB277" s="592"/>
      <c r="GSC277" s="592"/>
      <c r="GSD277" s="592"/>
      <c r="GSE277" s="592"/>
      <c r="GSF277" s="592"/>
      <c r="GSG277" s="592"/>
      <c r="GSH277" s="592"/>
      <c r="GSI277" s="592"/>
      <c r="GSJ277" s="592"/>
      <c r="GSK277" s="592"/>
      <c r="GSL277" s="592"/>
      <c r="GSM277" s="592"/>
      <c r="GSN277" s="592"/>
      <c r="GSO277" s="592"/>
      <c r="GSP277" s="592"/>
      <c r="GSQ277" s="592"/>
      <c r="GSR277" s="592"/>
      <c r="GSS277" s="592"/>
      <c r="GST277" s="592"/>
      <c r="GSU277" s="592"/>
      <c r="GSV277" s="592"/>
      <c r="GSW277" s="592"/>
      <c r="GSX277" s="592"/>
      <c r="GSY277" s="592"/>
      <c r="GSZ277" s="592"/>
      <c r="GTA277" s="592"/>
      <c r="GTB277" s="592"/>
      <c r="GTC277" s="592"/>
      <c r="GTD277" s="592"/>
      <c r="GTE277" s="592"/>
      <c r="GTF277" s="592"/>
      <c r="GTG277" s="592"/>
      <c r="GTH277" s="592"/>
      <c r="GTI277" s="592"/>
      <c r="GTJ277" s="592"/>
      <c r="GTK277" s="592"/>
      <c r="GTL277" s="592"/>
      <c r="GTM277" s="592"/>
      <c r="GTN277" s="592"/>
      <c r="GTO277" s="592"/>
      <c r="GTP277" s="592"/>
      <c r="GTQ277" s="592"/>
      <c r="GTR277" s="592"/>
      <c r="GTS277" s="592"/>
      <c r="GTT277" s="592"/>
      <c r="GTU277" s="592"/>
      <c r="GTV277" s="592"/>
      <c r="GTW277" s="592"/>
      <c r="GTX277" s="592"/>
      <c r="GTY277" s="592"/>
      <c r="GTZ277" s="592"/>
      <c r="GUA277" s="592"/>
      <c r="GUB277" s="592"/>
      <c r="GUC277" s="592"/>
      <c r="GUD277" s="592"/>
      <c r="GUE277" s="592"/>
      <c r="GUF277" s="592"/>
      <c r="GUG277" s="592"/>
      <c r="GUH277" s="592"/>
      <c r="GUI277" s="592"/>
      <c r="GUJ277" s="592"/>
      <c r="GUK277" s="592"/>
      <c r="GUL277" s="592"/>
      <c r="GUM277" s="592"/>
      <c r="GUN277" s="592"/>
      <c r="GUO277" s="592"/>
      <c r="GUP277" s="592"/>
      <c r="GUQ277" s="592"/>
      <c r="GUR277" s="592"/>
      <c r="GUS277" s="592"/>
      <c r="GUT277" s="592"/>
      <c r="GUU277" s="592"/>
      <c r="GUV277" s="592"/>
      <c r="GUW277" s="592"/>
      <c r="GUX277" s="592"/>
      <c r="GUY277" s="592"/>
      <c r="GUZ277" s="592"/>
      <c r="GVA277" s="592"/>
      <c r="GVB277" s="592"/>
      <c r="GVC277" s="592"/>
      <c r="GVD277" s="592"/>
      <c r="GVE277" s="592"/>
      <c r="GVF277" s="592"/>
      <c r="GVG277" s="592"/>
      <c r="GVH277" s="592"/>
      <c r="GVI277" s="592"/>
      <c r="GVJ277" s="592"/>
      <c r="GVK277" s="592"/>
      <c r="GVL277" s="592"/>
      <c r="GVM277" s="592"/>
      <c r="GVN277" s="592"/>
      <c r="GVO277" s="592"/>
      <c r="GVP277" s="592"/>
      <c r="GVQ277" s="592"/>
      <c r="GVR277" s="592"/>
      <c r="GVS277" s="592"/>
      <c r="GVT277" s="592"/>
      <c r="GVU277" s="592"/>
      <c r="GVV277" s="592"/>
      <c r="GVW277" s="592"/>
      <c r="GVX277" s="592"/>
      <c r="GVY277" s="592"/>
      <c r="GVZ277" s="592"/>
      <c r="GWA277" s="592"/>
      <c r="GWB277" s="592"/>
      <c r="GWC277" s="592"/>
      <c r="GWD277" s="592"/>
      <c r="GWE277" s="592"/>
      <c r="GWF277" s="592"/>
      <c r="GWG277" s="592"/>
      <c r="GWH277" s="592"/>
      <c r="GWI277" s="592"/>
      <c r="GWJ277" s="592"/>
      <c r="GWK277" s="592"/>
      <c r="GWL277" s="592"/>
      <c r="GWM277" s="592"/>
      <c r="GWN277" s="592"/>
      <c r="GWO277" s="592"/>
      <c r="GWP277" s="592"/>
      <c r="GWQ277" s="592"/>
      <c r="GWR277" s="592"/>
      <c r="GWS277" s="592"/>
      <c r="GWT277" s="592"/>
      <c r="GWU277" s="592"/>
      <c r="GWV277" s="592"/>
      <c r="GWW277" s="592"/>
      <c r="GWX277" s="592"/>
      <c r="GWY277" s="592"/>
      <c r="GWZ277" s="592"/>
      <c r="GXA277" s="592"/>
      <c r="GXB277" s="592"/>
      <c r="GXC277" s="592"/>
      <c r="GXD277" s="592"/>
      <c r="GXE277" s="592"/>
      <c r="GXF277" s="592"/>
      <c r="GXG277" s="592"/>
      <c r="GXH277" s="592"/>
      <c r="GXI277" s="592"/>
      <c r="GXJ277" s="592"/>
      <c r="GXK277" s="592"/>
      <c r="GXL277" s="592"/>
      <c r="GXM277" s="592"/>
      <c r="GXN277" s="592"/>
      <c r="GXO277" s="592"/>
      <c r="GXP277" s="592"/>
      <c r="GXQ277" s="592"/>
      <c r="GXR277" s="592"/>
      <c r="GXS277" s="592"/>
      <c r="GXT277" s="592"/>
      <c r="GXU277" s="592"/>
      <c r="GXV277" s="592"/>
      <c r="GXW277" s="592"/>
      <c r="GXX277" s="592"/>
      <c r="GXY277" s="592"/>
      <c r="GXZ277" s="592"/>
      <c r="GYA277" s="592"/>
      <c r="GYB277" s="592"/>
      <c r="GYC277" s="592"/>
      <c r="GYD277" s="592"/>
      <c r="GYE277" s="592"/>
      <c r="GYF277" s="592"/>
      <c r="GYG277" s="592"/>
      <c r="GYH277" s="592"/>
      <c r="GYI277" s="592"/>
      <c r="GYJ277" s="592"/>
      <c r="GYK277" s="592"/>
      <c r="GYL277" s="592"/>
      <c r="GYM277" s="592"/>
      <c r="GYN277" s="592"/>
      <c r="GYO277" s="592"/>
      <c r="GYP277" s="592"/>
      <c r="GYQ277" s="592"/>
      <c r="GYR277" s="592"/>
      <c r="GYS277" s="592"/>
      <c r="GYT277" s="592"/>
      <c r="GYU277" s="592"/>
      <c r="GYV277" s="592"/>
      <c r="GYW277" s="592"/>
      <c r="GYX277" s="592"/>
      <c r="GYY277" s="592"/>
      <c r="GYZ277" s="592"/>
      <c r="GZA277" s="592"/>
      <c r="GZB277" s="592"/>
      <c r="GZC277" s="592"/>
      <c r="GZD277" s="592"/>
      <c r="GZE277" s="592"/>
      <c r="GZF277" s="592"/>
      <c r="GZG277" s="592"/>
      <c r="GZH277" s="592"/>
      <c r="GZI277" s="592"/>
      <c r="GZJ277" s="592"/>
      <c r="GZK277" s="592"/>
      <c r="GZL277" s="592"/>
      <c r="GZM277" s="592"/>
      <c r="GZN277" s="592"/>
      <c r="GZO277" s="592"/>
      <c r="GZP277" s="592"/>
      <c r="GZQ277" s="592"/>
      <c r="GZR277" s="592"/>
      <c r="GZS277" s="592"/>
      <c r="GZT277" s="592"/>
      <c r="GZU277" s="592"/>
      <c r="GZV277" s="592"/>
      <c r="GZW277" s="592"/>
      <c r="GZX277" s="592"/>
      <c r="GZY277" s="592"/>
      <c r="GZZ277" s="592"/>
      <c r="HAA277" s="592"/>
      <c r="HAB277" s="592"/>
      <c r="HAC277" s="592"/>
      <c r="HAD277" s="592"/>
      <c r="HAE277" s="592"/>
      <c r="HAF277" s="592"/>
      <c r="HAG277" s="592"/>
      <c r="HAH277" s="592"/>
      <c r="HAI277" s="592"/>
      <c r="HAJ277" s="592"/>
      <c r="HAK277" s="592"/>
      <c r="HAL277" s="592"/>
      <c r="HAM277" s="592"/>
      <c r="HAN277" s="592"/>
      <c r="HAO277" s="592"/>
      <c r="HAP277" s="592"/>
      <c r="HAQ277" s="592"/>
      <c r="HAR277" s="592"/>
      <c r="HAS277" s="592"/>
      <c r="HAT277" s="592"/>
      <c r="HAU277" s="592"/>
      <c r="HAV277" s="592"/>
      <c r="HAW277" s="592"/>
      <c r="HAX277" s="592"/>
      <c r="HAY277" s="592"/>
      <c r="HAZ277" s="592"/>
      <c r="HBA277" s="592"/>
      <c r="HBB277" s="592"/>
      <c r="HBC277" s="592"/>
      <c r="HBD277" s="592"/>
      <c r="HBE277" s="592"/>
      <c r="HBF277" s="592"/>
      <c r="HBG277" s="592"/>
      <c r="HBH277" s="592"/>
      <c r="HBI277" s="592"/>
      <c r="HBJ277" s="592"/>
      <c r="HBK277" s="592"/>
      <c r="HBL277" s="592"/>
      <c r="HBM277" s="592"/>
      <c r="HBN277" s="592"/>
      <c r="HBO277" s="592"/>
      <c r="HBP277" s="592"/>
      <c r="HBQ277" s="592"/>
      <c r="HBR277" s="592"/>
      <c r="HBS277" s="592"/>
      <c r="HBT277" s="592"/>
      <c r="HBU277" s="592"/>
      <c r="HBV277" s="592"/>
      <c r="HBW277" s="592"/>
      <c r="HBX277" s="592"/>
      <c r="HBY277" s="592"/>
      <c r="HBZ277" s="592"/>
      <c r="HCA277" s="592"/>
      <c r="HCB277" s="592"/>
      <c r="HCC277" s="592"/>
      <c r="HCD277" s="592"/>
      <c r="HCE277" s="592"/>
      <c r="HCF277" s="592"/>
      <c r="HCG277" s="592"/>
      <c r="HCH277" s="592"/>
      <c r="HCI277" s="592"/>
      <c r="HCJ277" s="592"/>
      <c r="HCK277" s="592"/>
      <c r="HCL277" s="592"/>
      <c r="HCM277" s="592"/>
      <c r="HCN277" s="592"/>
      <c r="HCO277" s="592"/>
      <c r="HCP277" s="592"/>
      <c r="HCQ277" s="592"/>
      <c r="HCR277" s="592"/>
      <c r="HCS277" s="592"/>
      <c r="HCT277" s="592"/>
      <c r="HCU277" s="592"/>
      <c r="HCV277" s="592"/>
      <c r="HCW277" s="592"/>
      <c r="HCX277" s="592"/>
      <c r="HCY277" s="592"/>
      <c r="HCZ277" s="592"/>
      <c r="HDA277" s="592"/>
      <c r="HDB277" s="592"/>
      <c r="HDC277" s="592"/>
      <c r="HDD277" s="592"/>
      <c r="HDE277" s="592"/>
      <c r="HDF277" s="592"/>
      <c r="HDG277" s="592"/>
      <c r="HDH277" s="592"/>
      <c r="HDI277" s="592"/>
      <c r="HDJ277" s="592"/>
      <c r="HDK277" s="592"/>
      <c r="HDL277" s="592"/>
      <c r="HDM277" s="592"/>
      <c r="HDN277" s="592"/>
      <c r="HDO277" s="592"/>
      <c r="HDP277" s="592"/>
      <c r="HDQ277" s="592"/>
      <c r="HDR277" s="592"/>
      <c r="HDS277" s="592"/>
      <c r="HDT277" s="592"/>
      <c r="HDU277" s="592"/>
      <c r="HDV277" s="592"/>
      <c r="HDW277" s="592"/>
      <c r="HDX277" s="592"/>
      <c r="HDY277" s="592"/>
      <c r="HDZ277" s="592"/>
      <c r="HEA277" s="592"/>
      <c r="HEB277" s="592"/>
      <c r="HEC277" s="592"/>
      <c r="HED277" s="592"/>
      <c r="HEE277" s="592"/>
      <c r="HEF277" s="592"/>
      <c r="HEG277" s="592"/>
      <c r="HEH277" s="592"/>
      <c r="HEI277" s="592"/>
      <c r="HEJ277" s="592"/>
      <c r="HEK277" s="592"/>
      <c r="HEL277" s="592"/>
      <c r="HEM277" s="592"/>
      <c r="HEN277" s="592"/>
      <c r="HEO277" s="592"/>
      <c r="HEP277" s="592"/>
      <c r="HEQ277" s="592"/>
      <c r="HER277" s="592"/>
      <c r="HES277" s="592"/>
      <c r="HET277" s="592"/>
      <c r="HEU277" s="592"/>
      <c r="HEV277" s="592"/>
      <c r="HEW277" s="592"/>
      <c r="HEX277" s="592"/>
      <c r="HEY277" s="592"/>
      <c r="HEZ277" s="592"/>
      <c r="HFA277" s="592"/>
      <c r="HFB277" s="592"/>
      <c r="HFC277" s="592"/>
      <c r="HFD277" s="592"/>
      <c r="HFE277" s="592"/>
      <c r="HFF277" s="592"/>
      <c r="HFG277" s="592"/>
      <c r="HFH277" s="592"/>
      <c r="HFI277" s="592"/>
      <c r="HFJ277" s="592"/>
      <c r="HFK277" s="592"/>
      <c r="HFL277" s="592"/>
      <c r="HFM277" s="592"/>
      <c r="HFN277" s="592"/>
      <c r="HFO277" s="592"/>
      <c r="HFP277" s="592"/>
      <c r="HFQ277" s="592"/>
      <c r="HFR277" s="592"/>
      <c r="HFS277" s="592"/>
      <c r="HFT277" s="592"/>
      <c r="HFU277" s="592"/>
      <c r="HFV277" s="592"/>
      <c r="HFW277" s="592"/>
      <c r="HFX277" s="592"/>
      <c r="HFY277" s="592"/>
      <c r="HFZ277" s="592"/>
      <c r="HGA277" s="592"/>
      <c r="HGB277" s="592"/>
      <c r="HGC277" s="592"/>
      <c r="HGD277" s="592"/>
      <c r="HGE277" s="592"/>
      <c r="HGF277" s="592"/>
      <c r="HGG277" s="592"/>
      <c r="HGH277" s="592"/>
      <c r="HGI277" s="592"/>
      <c r="HGJ277" s="592"/>
      <c r="HGK277" s="592"/>
      <c r="HGL277" s="592"/>
      <c r="HGM277" s="592"/>
      <c r="HGN277" s="592"/>
      <c r="HGO277" s="592"/>
      <c r="HGP277" s="592"/>
      <c r="HGQ277" s="592"/>
      <c r="HGR277" s="592"/>
      <c r="HGS277" s="592"/>
      <c r="HGT277" s="592"/>
      <c r="HGU277" s="592"/>
      <c r="HGV277" s="592"/>
      <c r="HGW277" s="592"/>
      <c r="HGX277" s="592"/>
      <c r="HGY277" s="592"/>
      <c r="HGZ277" s="592"/>
      <c r="HHA277" s="592"/>
      <c r="HHB277" s="592"/>
      <c r="HHC277" s="592"/>
      <c r="HHD277" s="592"/>
      <c r="HHE277" s="592"/>
      <c r="HHF277" s="592"/>
      <c r="HHG277" s="592"/>
      <c r="HHH277" s="592"/>
      <c r="HHI277" s="592"/>
      <c r="HHJ277" s="592"/>
      <c r="HHK277" s="592"/>
      <c r="HHL277" s="592"/>
      <c r="HHM277" s="592"/>
      <c r="HHN277" s="592"/>
      <c r="HHO277" s="592"/>
      <c r="HHP277" s="592"/>
      <c r="HHQ277" s="592"/>
      <c r="HHR277" s="592"/>
      <c r="HHS277" s="592"/>
      <c r="HHT277" s="592"/>
      <c r="HHU277" s="592"/>
      <c r="HHV277" s="592"/>
      <c r="HHW277" s="592"/>
      <c r="HHX277" s="592"/>
      <c r="HHY277" s="592"/>
      <c r="HHZ277" s="592"/>
      <c r="HIA277" s="592"/>
      <c r="HIB277" s="592"/>
      <c r="HIC277" s="592"/>
      <c r="HID277" s="592"/>
      <c r="HIE277" s="592"/>
      <c r="HIF277" s="592"/>
      <c r="HIG277" s="592"/>
      <c r="HIH277" s="592"/>
      <c r="HII277" s="592"/>
      <c r="HIJ277" s="592"/>
      <c r="HIK277" s="592"/>
      <c r="HIL277" s="592"/>
      <c r="HIM277" s="592"/>
      <c r="HIN277" s="592"/>
      <c r="HIO277" s="592"/>
      <c r="HIP277" s="592"/>
      <c r="HIQ277" s="592"/>
      <c r="HIR277" s="592"/>
      <c r="HIS277" s="592"/>
      <c r="HIT277" s="592"/>
      <c r="HIU277" s="592"/>
      <c r="HIV277" s="592"/>
      <c r="HIW277" s="592"/>
      <c r="HIX277" s="592"/>
      <c r="HIY277" s="592"/>
      <c r="HIZ277" s="592"/>
      <c r="HJA277" s="592"/>
      <c r="HJB277" s="592"/>
      <c r="HJC277" s="592"/>
      <c r="HJD277" s="592"/>
      <c r="HJE277" s="592"/>
      <c r="HJF277" s="592"/>
      <c r="HJG277" s="592"/>
      <c r="HJH277" s="592"/>
      <c r="HJI277" s="592"/>
      <c r="HJJ277" s="592"/>
      <c r="HJK277" s="592"/>
      <c r="HJL277" s="592"/>
      <c r="HJM277" s="592"/>
      <c r="HJN277" s="592"/>
      <c r="HJO277" s="592"/>
      <c r="HJP277" s="592"/>
      <c r="HJQ277" s="592"/>
      <c r="HJR277" s="592"/>
      <c r="HJS277" s="592"/>
      <c r="HJT277" s="592"/>
      <c r="HJU277" s="592"/>
      <c r="HJV277" s="592"/>
      <c r="HJW277" s="592"/>
      <c r="HJX277" s="592"/>
      <c r="HJY277" s="592"/>
      <c r="HJZ277" s="592"/>
      <c r="HKA277" s="592"/>
      <c r="HKB277" s="592"/>
      <c r="HKC277" s="592"/>
      <c r="HKD277" s="592"/>
      <c r="HKE277" s="592"/>
      <c r="HKF277" s="592"/>
      <c r="HKG277" s="592"/>
      <c r="HKH277" s="592"/>
      <c r="HKI277" s="592"/>
      <c r="HKJ277" s="592"/>
      <c r="HKK277" s="592"/>
      <c r="HKL277" s="592"/>
      <c r="HKM277" s="592"/>
      <c r="HKN277" s="592"/>
      <c r="HKO277" s="592"/>
      <c r="HKP277" s="592"/>
      <c r="HKQ277" s="592"/>
      <c r="HKR277" s="592"/>
      <c r="HKS277" s="592"/>
      <c r="HKT277" s="592"/>
      <c r="HKU277" s="592"/>
      <c r="HKV277" s="592"/>
      <c r="HKW277" s="592"/>
      <c r="HKX277" s="592"/>
      <c r="HKY277" s="592"/>
      <c r="HKZ277" s="592"/>
      <c r="HLA277" s="592"/>
      <c r="HLB277" s="592"/>
      <c r="HLC277" s="592"/>
      <c r="HLD277" s="592"/>
      <c r="HLE277" s="592"/>
      <c r="HLF277" s="592"/>
      <c r="HLG277" s="592"/>
      <c r="HLH277" s="592"/>
      <c r="HLI277" s="592"/>
      <c r="HLJ277" s="592"/>
      <c r="HLK277" s="592"/>
      <c r="HLL277" s="592"/>
      <c r="HLM277" s="592"/>
      <c r="HLN277" s="592"/>
      <c r="HLO277" s="592"/>
      <c r="HLP277" s="592"/>
      <c r="HLQ277" s="592"/>
      <c r="HLR277" s="592"/>
      <c r="HLS277" s="592"/>
      <c r="HLT277" s="592"/>
      <c r="HLU277" s="592"/>
      <c r="HLV277" s="592"/>
      <c r="HLW277" s="592"/>
      <c r="HLX277" s="592"/>
      <c r="HLY277" s="592"/>
      <c r="HLZ277" s="592"/>
      <c r="HMA277" s="592"/>
      <c r="HMB277" s="592"/>
      <c r="HMC277" s="592"/>
      <c r="HMD277" s="592"/>
      <c r="HME277" s="592"/>
      <c r="HMF277" s="592"/>
      <c r="HMG277" s="592"/>
      <c r="HMH277" s="592"/>
      <c r="HMI277" s="592"/>
      <c r="HMJ277" s="592"/>
      <c r="HMK277" s="592"/>
      <c r="HML277" s="592"/>
      <c r="HMM277" s="592"/>
      <c r="HMN277" s="592"/>
      <c r="HMO277" s="592"/>
      <c r="HMP277" s="592"/>
      <c r="HMQ277" s="592"/>
      <c r="HMR277" s="592"/>
      <c r="HMS277" s="592"/>
      <c r="HMT277" s="592"/>
      <c r="HMU277" s="592"/>
      <c r="HMV277" s="592"/>
      <c r="HMW277" s="592"/>
      <c r="HMX277" s="592"/>
      <c r="HMY277" s="592"/>
      <c r="HMZ277" s="592"/>
      <c r="HNA277" s="592"/>
      <c r="HNB277" s="592"/>
      <c r="HNC277" s="592"/>
      <c r="HND277" s="592"/>
      <c r="HNE277" s="592"/>
      <c r="HNF277" s="592"/>
      <c r="HNG277" s="592"/>
      <c r="HNH277" s="592"/>
      <c r="HNI277" s="592"/>
      <c r="HNJ277" s="592"/>
      <c r="HNK277" s="592"/>
      <c r="HNL277" s="592"/>
      <c r="HNM277" s="592"/>
      <c r="HNN277" s="592"/>
      <c r="HNO277" s="592"/>
      <c r="HNP277" s="592"/>
      <c r="HNQ277" s="592"/>
      <c r="HNR277" s="592"/>
      <c r="HNS277" s="592"/>
      <c r="HNT277" s="592"/>
      <c r="HNU277" s="592"/>
      <c r="HNV277" s="592"/>
      <c r="HNW277" s="592"/>
      <c r="HNX277" s="592"/>
      <c r="HNY277" s="592"/>
      <c r="HNZ277" s="592"/>
      <c r="HOA277" s="592"/>
      <c r="HOB277" s="592"/>
      <c r="HOC277" s="592"/>
      <c r="HOD277" s="592"/>
      <c r="HOE277" s="592"/>
      <c r="HOF277" s="592"/>
      <c r="HOG277" s="592"/>
      <c r="HOH277" s="592"/>
      <c r="HOI277" s="592"/>
      <c r="HOJ277" s="592"/>
      <c r="HOK277" s="592"/>
      <c r="HOL277" s="592"/>
      <c r="HOM277" s="592"/>
      <c r="HON277" s="592"/>
      <c r="HOO277" s="592"/>
      <c r="HOP277" s="592"/>
      <c r="HOQ277" s="592"/>
      <c r="HOR277" s="592"/>
      <c r="HOS277" s="592"/>
      <c r="HOT277" s="592"/>
      <c r="HOU277" s="592"/>
      <c r="HOV277" s="592"/>
      <c r="HOW277" s="592"/>
      <c r="HOX277" s="592"/>
      <c r="HOY277" s="592"/>
      <c r="HOZ277" s="592"/>
      <c r="HPA277" s="592"/>
      <c r="HPB277" s="592"/>
      <c r="HPC277" s="592"/>
      <c r="HPD277" s="592"/>
      <c r="HPE277" s="592"/>
      <c r="HPF277" s="592"/>
      <c r="HPG277" s="592"/>
      <c r="HPH277" s="592"/>
      <c r="HPI277" s="592"/>
      <c r="HPJ277" s="592"/>
      <c r="HPK277" s="592"/>
      <c r="HPL277" s="592"/>
      <c r="HPM277" s="592"/>
      <c r="HPN277" s="592"/>
      <c r="HPO277" s="592"/>
      <c r="HPP277" s="592"/>
      <c r="HPQ277" s="592"/>
      <c r="HPR277" s="592"/>
      <c r="HPS277" s="592"/>
      <c r="HPT277" s="592"/>
      <c r="HPU277" s="592"/>
      <c r="HPV277" s="592"/>
      <c r="HPW277" s="592"/>
      <c r="HPX277" s="592"/>
      <c r="HPY277" s="592"/>
      <c r="HPZ277" s="592"/>
      <c r="HQA277" s="592"/>
      <c r="HQB277" s="592"/>
      <c r="HQC277" s="592"/>
      <c r="HQD277" s="592"/>
      <c r="HQE277" s="592"/>
      <c r="HQF277" s="592"/>
      <c r="HQG277" s="592"/>
      <c r="HQH277" s="592"/>
      <c r="HQI277" s="592"/>
      <c r="HQJ277" s="592"/>
      <c r="HQK277" s="592"/>
      <c r="HQL277" s="592"/>
      <c r="HQM277" s="592"/>
      <c r="HQN277" s="592"/>
      <c r="HQO277" s="592"/>
      <c r="HQP277" s="592"/>
      <c r="HQQ277" s="592"/>
      <c r="HQR277" s="592"/>
      <c r="HQS277" s="592"/>
      <c r="HQT277" s="592"/>
      <c r="HQU277" s="592"/>
      <c r="HQV277" s="592"/>
      <c r="HQW277" s="592"/>
      <c r="HQX277" s="592"/>
      <c r="HQY277" s="592"/>
      <c r="HQZ277" s="592"/>
      <c r="HRA277" s="592"/>
      <c r="HRB277" s="592"/>
      <c r="HRC277" s="592"/>
      <c r="HRD277" s="592"/>
      <c r="HRE277" s="592"/>
      <c r="HRF277" s="592"/>
      <c r="HRG277" s="592"/>
      <c r="HRH277" s="592"/>
      <c r="HRI277" s="592"/>
      <c r="HRJ277" s="592"/>
      <c r="HRK277" s="592"/>
      <c r="HRL277" s="592"/>
      <c r="HRM277" s="592"/>
      <c r="HRN277" s="592"/>
      <c r="HRO277" s="592"/>
      <c r="HRP277" s="592"/>
      <c r="HRQ277" s="592"/>
      <c r="HRR277" s="592"/>
      <c r="HRS277" s="592"/>
      <c r="HRT277" s="592"/>
      <c r="HRU277" s="592"/>
      <c r="HRV277" s="592"/>
      <c r="HRW277" s="592"/>
      <c r="HRX277" s="592"/>
      <c r="HRY277" s="592"/>
      <c r="HRZ277" s="592"/>
      <c r="HSA277" s="592"/>
      <c r="HSB277" s="592"/>
      <c r="HSC277" s="592"/>
      <c r="HSD277" s="592"/>
      <c r="HSE277" s="592"/>
      <c r="HSF277" s="592"/>
      <c r="HSG277" s="592"/>
      <c r="HSH277" s="592"/>
      <c r="HSI277" s="592"/>
      <c r="HSJ277" s="592"/>
      <c r="HSK277" s="592"/>
      <c r="HSL277" s="592"/>
      <c r="HSM277" s="592"/>
      <c r="HSN277" s="592"/>
      <c r="HSO277" s="592"/>
      <c r="HSP277" s="592"/>
      <c r="HSQ277" s="592"/>
      <c r="HSR277" s="592"/>
      <c r="HSS277" s="592"/>
      <c r="HST277" s="592"/>
      <c r="HSU277" s="592"/>
      <c r="HSV277" s="592"/>
      <c r="HSW277" s="592"/>
      <c r="HSX277" s="592"/>
      <c r="HSY277" s="592"/>
      <c r="HSZ277" s="592"/>
      <c r="HTA277" s="592"/>
      <c r="HTB277" s="592"/>
      <c r="HTC277" s="592"/>
      <c r="HTD277" s="592"/>
      <c r="HTE277" s="592"/>
      <c r="HTF277" s="592"/>
      <c r="HTG277" s="592"/>
      <c r="HTH277" s="592"/>
      <c r="HTI277" s="592"/>
      <c r="HTJ277" s="592"/>
      <c r="HTK277" s="592"/>
      <c r="HTL277" s="592"/>
      <c r="HTM277" s="592"/>
      <c r="HTN277" s="592"/>
      <c r="HTO277" s="592"/>
      <c r="HTP277" s="592"/>
      <c r="HTQ277" s="592"/>
      <c r="HTR277" s="592"/>
      <c r="HTS277" s="592"/>
      <c r="HTT277" s="592"/>
      <c r="HTU277" s="592"/>
      <c r="HTV277" s="592"/>
      <c r="HTW277" s="592"/>
      <c r="HTX277" s="592"/>
      <c r="HTY277" s="592"/>
      <c r="HTZ277" s="592"/>
      <c r="HUA277" s="592"/>
      <c r="HUB277" s="592"/>
      <c r="HUC277" s="592"/>
      <c r="HUD277" s="592"/>
      <c r="HUE277" s="592"/>
      <c r="HUF277" s="592"/>
      <c r="HUG277" s="592"/>
      <c r="HUH277" s="592"/>
      <c r="HUI277" s="592"/>
      <c r="HUJ277" s="592"/>
      <c r="HUK277" s="592"/>
      <c r="HUL277" s="592"/>
      <c r="HUM277" s="592"/>
      <c r="HUN277" s="592"/>
      <c r="HUO277" s="592"/>
      <c r="HUP277" s="592"/>
      <c r="HUQ277" s="592"/>
      <c r="HUR277" s="592"/>
      <c r="HUS277" s="592"/>
      <c r="HUT277" s="592"/>
      <c r="HUU277" s="592"/>
      <c r="HUV277" s="592"/>
      <c r="HUW277" s="592"/>
      <c r="HUX277" s="592"/>
      <c r="HUY277" s="592"/>
      <c r="HUZ277" s="592"/>
      <c r="HVA277" s="592"/>
      <c r="HVB277" s="592"/>
      <c r="HVC277" s="592"/>
      <c r="HVD277" s="592"/>
      <c r="HVE277" s="592"/>
      <c r="HVF277" s="592"/>
      <c r="HVG277" s="592"/>
      <c r="HVH277" s="592"/>
      <c r="HVI277" s="592"/>
      <c r="HVJ277" s="592"/>
      <c r="HVK277" s="592"/>
      <c r="HVL277" s="592"/>
      <c r="HVM277" s="592"/>
      <c r="HVN277" s="592"/>
      <c r="HVO277" s="592"/>
      <c r="HVP277" s="592"/>
      <c r="HVQ277" s="592"/>
      <c r="HVR277" s="592"/>
      <c r="HVS277" s="592"/>
      <c r="HVT277" s="592"/>
      <c r="HVU277" s="592"/>
      <c r="HVV277" s="592"/>
      <c r="HVW277" s="592"/>
      <c r="HVX277" s="592"/>
      <c r="HVY277" s="592"/>
      <c r="HVZ277" s="592"/>
      <c r="HWA277" s="592"/>
      <c r="HWB277" s="592"/>
      <c r="HWC277" s="592"/>
      <c r="HWD277" s="592"/>
      <c r="HWE277" s="592"/>
      <c r="HWF277" s="592"/>
      <c r="HWG277" s="592"/>
      <c r="HWH277" s="592"/>
      <c r="HWI277" s="592"/>
      <c r="HWJ277" s="592"/>
      <c r="HWK277" s="592"/>
      <c r="HWL277" s="592"/>
      <c r="HWM277" s="592"/>
      <c r="HWN277" s="592"/>
      <c r="HWO277" s="592"/>
      <c r="HWP277" s="592"/>
      <c r="HWQ277" s="592"/>
      <c r="HWR277" s="592"/>
      <c r="HWS277" s="592"/>
      <c r="HWT277" s="592"/>
      <c r="HWU277" s="592"/>
      <c r="HWV277" s="592"/>
      <c r="HWW277" s="592"/>
      <c r="HWX277" s="592"/>
      <c r="HWY277" s="592"/>
      <c r="HWZ277" s="592"/>
      <c r="HXA277" s="592"/>
      <c r="HXB277" s="592"/>
      <c r="HXC277" s="592"/>
      <c r="HXD277" s="592"/>
      <c r="HXE277" s="592"/>
      <c r="HXF277" s="592"/>
      <c r="HXG277" s="592"/>
      <c r="HXH277" s="592"/>
      <c r="HXI277" s="592"/>
      <c r="HXJ277" s="592"/>
      <c r="HXK277" s="592"/>
      <c r="HXL277" s="592"/>
      <c r="HXM277" s="592"/>
      <c r="HXN277" s="592"/>
      <c r="HXO277" s="592"/>
      <c r="HXP277" s="592"/>
      <c r="HXQ277" s="592"/>
      <c r="HXR277" s="592"/>
      <c r="HXS277" s="592"/>
      <c r="HXT277" s="592"/>
      <c r="HXU277" s="592"/>
      <c r="HXV277" s="592"/>
      <c r="HXW277" s="592"/>
      <c r="HXX277" s="592"/>
      <c r="HXY277" s="592"/>
      <c r="HXZ277" s="592"/>
      <c r="HYA277" s="592"/>
      <c r="HYB277" s="592"/>
      <c r="HYC277" s="592"/>
      <c r="HYD277" s="592"/>
      <c r="HYE277" s="592"/>
      <c r="HYF277" s="592"/>
      <c r="HYG277" s="592"/>
      <c r="HYH277" s="592"/>
      <c r="HYI277" s="592"/>
      <c r="HYJ277" s="592"/>
      <c r="HYK277" s="592"/>
      <c r="HYL277" s="592"/>
      <c r="HYM277" s="592"/>
      <c r="HYN277" s="592"/>
      <c r="HYO277" s="592"/>
      <c r="HYP277" s="592"/>
      <c r="HYQ277" s="592"/>
      <c r="HYR277" s="592"/>
      <c r="HYS277" s="592"/>
      <c r="HYT277" s="592"/>
      <c r="HYU277" s="592"/>
      <c r="HYV277" s="592"/>
      <c r="HYW277" s="592"/>
      <c r="HYX277" s="592"/>
      <c r="HYY277" s="592"/>
      <c r="HYZ277" s="592"/>
      <c r="HZA277" s="592"/>
      <c r="HZB277" s="592"/>
      <c r="HZC277" s="592"/>
      <c r="HZD277" s="592"/>
      <c r="HZE277" s="592"/>
      <c r="HZF277" s="592"/>
      <c r="HZG277" s="592"/>
      <c r="HZH277" s="592"/>
      <c r="HZI277" s="592"/>
      <c r="HZJ277" s="592"/>
      <c r="HZK277" s="592"/>
      <c r="HZL277" s="592"/>
      <c r="HZM277" s="592"/>
      <c r="HZN277" s="592"/>
      <c r="HZO277" s="592"/>
      <c r="HZP277" s="592"/>
      <c r="HZQ277" s="592"/>
      <c r="HZR277" s="592"/>
      <c r="HZS277" s="592"/>
      <c r="HZT277" s="592"/>
      <c r="HZU277" s="592"/>
      <c r="HZV277" s="592"/>
      <c r="HZW277" s="592"/>
      <c r="HZX277" s="592"/>
      <c r="HZY277" s="592"/>
      <c r="HZZ277" s="592"/>
      <c r="IAA277" s="592"/>
      <c r="IAB277" s="592"/>
      <c r="IAC277" s="592"/>
      <c r="IAD277" s="592"/>
      <c r="IAE277" s="592"/>
      <c r="IAF277" s="592"/>
      <c r="IAG277" s="592"/>
      <c r="IAH277" s="592"/>
      <c r="IAI277" s="592"/>
      <c r="IAJ277" s="592"/>
      <c r="IAK277" s="592"/>
      <c r="IAL277" s="592"/>
      <c r="IAM277" s="592"/>
      <c r="IAN277" s="592"/>
      <c r="IAO277" s="592"/>
      <c r="IAP277" s="592"/>
      <c r="IAQ277" s="592"/>
      <c r="IAR277" s="592"/>
      <c r="IAS277" s="592"/>
      <c r="IAT277" s="592"/>
      <c r="IAU277" s="592"/>
      <c r="IAV277" s="592"/>
      <c r="IAW277" s="592"/>
      <c r="IAX277" s="592"/>
      <c r="IAY277" s="592"/>
      <c r="IAZ277" s="592"/>
      <c r="IBA277" s="592"/>
      <c r="IBB277" s="592"/>
      <c r="IBC277" s="592"/>
      <c r="IBD277" s="592"/>
      <c r="IBE277" s="592"/>
      <c r="IBF277" s="592"/>
      <c r="IBG277" s="592"/>
      <c r="IBH277" s="592"/>
      <c r="IBI277" s="592"/>
      <c r="IBJ277" s="592"/>
      <c r="IBK277" s="592"/>
      <c r="IBL277" s="592"/>
      <c r="IBM277" s="592"/>
      <c r="IBN277" s="592"/>
      <c r="IBO277" s="592"/>
      <c r="IBP277" s="592"/>
      <c r="IBQ277" s="592"/>
      <c r="IBR277" s="592"/>
      <c r="IBS277" s="592"/>
      <c r="IBT277" s="592"/>
      <c r="IBU277" s="592"/>
      <c r="IBV277" s="592"/>
      <c r="IBW277" s="592"/>
      <c r="IBX277" s="592"/>
      <c r="IBY277" s="592"/>
      <c r="IBZ277" s="592"/>
      <c r="ICA277" s="592"/>
      <c r="ICB277" s="592"/>
      <c r="ICC277" s="592"/>
      <c r="ICD277" s="592"/>
      <c r="ICE277" s="592"/>
      <c r="ICF277" s="592"/>
      <c r="ICG277" s="592"/>
      <c r="ICH277" s="592"/>
      <c r="ICI277" s="592"/>
      <c r="ICJ277" s="592"/>
      <c r="ICK277" s="592"/>
      <c r="ICL277" s="592"/>
      <c r="ICM277" s="592"/>
      <c r="ICN277" s="592"/>
      <c r="ICO277" s="592"/>
      <c r="ICP277" s="592"/>
      <c r="ICQ277" s="592"/>
      <c r="ICR277" s="592"/>
      <c r="ICS277" s="592"/>
      <c r="ICT277" s="592"/>
      <c r="ICU277" s="592"/>
      <c r="ICV277" s="592"/>
      <c r="ICW277" s="592"/>
      <c r="ICX277" s="592"/>
      <c r="ICY277" s="592"/>
      <c r="ICZ277" s="592"/>
      <c r="IDA277" s="592"/>
      <c r="IDB277" s="592"/>
      <c r="IDC277" s="592"/>
      <c r="IDD277" s="592"/>
      <c r="IDE277" s="592"/>
      <c r="IDF277" s="592"/>
      <c r="IDG277" s="592"/>
      <c r="IDH277" s="592"/>
      <c r="IDI277" s="592"/>
      <c r="IDJ277" s="592"/>
      <c r="IDK277" s="592"/>
      <c r="IDL277" s="592"/>
      <c r="IDM277" s="592"/>
      <c r="IDN277" s="592"/>
      <c r="IDO277" s="592"/>
      <c r="IDP277" s="592"/>
      <c r="IDQ277" s="592"/>
      <c r="IDR277" s="592"/>
      <c r="IDS277" s="592"/>
      <c r="IDT277" s="592"/>
      <c r="IDU277" s="592"/>
      <c r="IDV277" s="592"/>
      <c r="IDW277" s="592"/>
      <c r="IDX277" s="592"/>
      <c r="IDY277" s="592"/>
      <c r="IDZ277" s="592"/>
      <c r="IEA277" s="592"/>
      <c r="IEB277" s="592"/>
      <c r="IEC277" s="592"/>
      <c r="IED277" s="592"/>
      <c r="IEE277" s="592"/>
      <c r="IEF277" s="592"/>
      <c r="IEG277" s="592"/>
      <c r="IEH277" s="592"/>
      <c r="IEI277" s="592"/>
      <c r="IEJ277" s="592"/>
      <c r="IEK277" s="592"/>
      <c r="IEL277" s="592"/>
      <c r="IEM277" s="592"/>
      <c r="IEN277" s="592"/>
      <c r="IEO277" s="592"/>
      <c r="IEP277" s="592"/>
      <c r="IEQ277" s="592"/>
      <c r="IER277" s="592"/>
      <c r="IES277" s="592"/>
      <c r="IET277" s="592"/>
      <c r="IEU277" s="592"/>
      <c r="IEV277" s="592"/>
      <c r="IEW277" s="592"/>
      <c r="IEX277" s="592"/>
      <c r="IEY277" s="592"/>
      <c r="IEZ277" s="592"/>
      <c r="IFA277" s="592"/>
      <c r="IFB277" s="592"/>
      <c r="IFC277" s="592"/>
      <c r="IFD277" s="592"/>
      <c r="IFE277" s="592"/>
      <c r="IFF277" s="592"/>
      <c r="IFG277" s="592"/>
      <c r="IFH277" s="592"/>
      <c r="IFI277" s="592"/>
      <c r="IFJ277" s="592"/>
      <c r="IFK277" s="592"/>
      <c r="IFL277" s="592"/>
      <c r="IFM277" s="592"/>
      <c r="IFN277" s="592"/>
      <c r="IFO277" s="592"/>
      <c r="IFP277" s="592"/>
      <c r="IFQ277" s="592"/>
      <c r="IFR277" s="592"/>
      <c r="IFS277" s="592"/>
      <c r="IFT277" s="592"/>
      <c r="IFU277" s="592"/>
      <c r="IFV277" s="592"/>
      <c r="IFW277" s="592"/>
      <c r="IFX277" s="592"/>
      <c r="IFY277" s="592"/>
      <c r="IFZ277" s="592"/>
      <c r="IGA277" s="592"/>
      <c r="IGB277" s="592"/>
      <c r="IGC277" s="592"/>
      <c r="IGD277" s="592"/>
      <c r="IGE277" s="592"/>
      <c r="IGF277" s="592"/>
      <c r="IGG277" s="592"/>
      <c r="IGH277" s="592"/>
      <c r="IGI277" s="592"/>
      <c r="IGJ277" s="592"/>
      <c r="IGK277" s="592"/>
      <c r="IGL277" s="592"/>
      <c r="IGM277" s="592"/>
      <c r="IGN277" s="592"/>
      <c r="IGO277" s="592"/>
      <c r="IGP277" s="592"/>
      <c r="IGQ277" s="592"/>
      <c r="IGR277" s="592"/>
      <c r="IGS277" s="592"/>
      <c r="IGT277" s="592"/>
      <c r="IGU277" s="592"/>
      <c r="IGV277" s="592"/>
      <c r="IGW277" s="592"/>
      <c r="IGX277" s="592"/>
      <c r="IGY277" s="592"/>
      <c r="IGZ277" s="592"/>
      <c r="IHA277" s="592"/>
      <c r="IHB277" s="592"/>
      <c r="IHC277" s="592"/>
      <c r="IHD277" s="592"/>
      <c r="IHE277" s="592"/>
      <c r="IHF277" s="592"/>
      <c r="IHG277" s="592"/>
      <c r="IHH277" s="592"/>
      <c r="IHI277" s="592"/>
      <c r="IHJ277" s="592"/>
      <c r="IHK277" s="592"/>
      <c r="IHL277" s="592"/>
      <c r="IHM277" s="592"/>
      <c r="IHN277" s="592"/>
      <c r="IHO277" s="592"/>
      <c r="IHP277" s="592"/>
      <c r="IHQ277" s="592"/>
      <c r="IHR277" s="592"/>
      <c r="IHS277" s="592"/>
      <c r="IHT277" s="592"/>
      <c r="IHU277" s="592"/>
      <c r="IHV277" s="592"/>
      <c r="IHW277" s="592"/>
      <c r="IHX277" s="592"/>
      <c r="IHY277" s="592"/>
      <c r="IHZ277" s="592"/>
      <c r="IIA277" s="592"/>
      <c r="IIB277" s="592"/>
      <c r="IIC277" s="592"/>
      <c r="IID277" s="592"/>
      <c r="IIE277" s="592"/>
      <c r="IIF277" s="592"/>
      <c r="IIG277" s="592"/>
      <c r="IIH277" s="592"/>
      <c r="III277" s="592"/>
      <c r="IIJ277" s="592"/>
      <c r="IIK277" s="592"/>
      <c r="IIL277" s="592"/>
      <c r="IIM277" s="592"/>
      <c r="IIN277" s="592"/>
      <c r="IIO277" s="592"/>
      <c r="IIP277" s="592"/>
      <c r="IIQ277" s="592"/>
      <c r="IIR277" s="592"/>
      <c r="IIS277" s="592"/>
      <c r="IIT277" s="592"/>
      <c r="IIU277" s="592"/>
      <c r="IIV277" s="592"/>
      <c r="IIW277" s="592"/>
      <c r="IIX277" s="592"/>
      <c r="IIY277" s="592"/>
      <c r="IIZ277" s="592"/>
      <c r="IJA277" s="592"/>
      <c r="IJB277" s="592"/>
      <c r="IJC277" s="592"/>
      <c r="IJD277" s="592"/>
      <c r="IJE277" s="592"/>
      <c r="IJF277" s="592"/>
      <c r="IJG277" s="592"/>
      <c r="IJH277" s="592"/>
      <c r="IJI277" s="592"/>
      <c r="IJJ277" s="592"/>
      <c r="IJK277" s="592"/>
      <c r="IJL277" s="592"/>
      <c r="IJM277" s="592"/>
      <c r="IJN277" s="592"/>
      <c r="IJO277" s="592"/>
      <c r="IJP277" s="592"/>
      <c r="IJQ277" s="592"/>
      <c r="IJR277" s="592"/>
      <c r="IJS277" s="592"/>
      <c r="IJT277" s="592"/>
      <c r="IJU277" s="592"/>
      <c r="IJV277" s="592"/>
      <c r="IJW277" s="592"/>
      <c r="IJX277" s="592"/>
      <c r="IJY277" s="592"/>
      <c r="IJZ277" s="592"/>
      <c r="IKA277" s="592"/>
      <c r="IKB277" s="592"/>
      <c r="IKC277" s="592"/>
      <c r="IKD277" s="592"/>
      <c r="IKE277" s="592"/>
      <c r="IKF277" s="592"/>
      <c r="IKG277" s="592"/>
      <c r="IKH277" s="592"/>
      <c r="IKI277" s="592"/>
      <c r="IKJ277" s="592"/>
      <c r="IKK277" s="592"/>
      <c r="IKL277" s="592"/>
      <c r="IKM277" s="592"/>
      <c r="IKN277" s="592"/>
      <c r="IKO277" s="592"/>
      <c r="IKP277" s="592"/>
      <c r="IKQ277" s="592"/>
      <c r="IKR277" s="592"/>
      <c r="IKS277" s="592"/>
      <c r="IKT277" s="592"/>
      <c r="IKU277" s="592"/>
      <c r="IKV277" s="592"/>
      <c r="IKW277" s="592"/>
      <c r="IKX277" s="592"/>
      <c r="IKY277" s="592"/>
      <c r="IKZ277" s="592"/>
      <c r="ILA277" s="592"/>
      <c r="ILB277" s="592"/>
      <c r="ILC277" s="592"/>
      <c r="ILD277" s="592"/>
      <c r="ILE277" s="592"/>
      <c r="ILF277" s="592"/>
      <c r="ILG277" s="592"/>
      <c r="ILH277" s="592"/>
      <c r="ILI277" s="592"/>
      <c r="ILJ277" s="592"/>
      <c r="ILK277" s="592"/>
      <c r="ILL277" s="592"/>
      <c r="ILM277" s="592"/>
      <c r="ILN277" s="592"/>
      <c r="ILO277" s="592"/>
      <c r="ILP277" s="592"/>
      <c r="ILQ277" s="592"/>
      <c r="ILR277" s="592"/>
      <c r="ILS277" s="592"/>
      <c r="ILT277" s="592"/>
      <c r="ILU277" s="592"/>
      <c r="ILV277" s="592"/>
      <c r="ILW277" s="592"/>
      <c r="ILX277" s="592"/>
      <c r="ILY277" s="592"/>
      <c r="ILZ277" s="592"/>
      <c r="IMA277" s="592"/>
      <c r="IMB277" s="592"/>
      <c r="IMC277" s="592"/>
      <c r="IMD277" s="592"/>
      <c r="IME277" s="592"/>
      <c r="IMF277" s="592"/>
      <c r="IMG277" s="592"/>
      <c r="IMH277" s="592"/>
      <c r="IMI277" s="592"/>
      <c r="IMJ277" s="592"/>
      <c r="IMK277" s="592"/>
      <c r="IML277" s="592"/>
      <c r="IMM277" s="592"/>
      <c r="IMN277" s="592"/>
      <c r="IMO277" s="592"/>
      <c r="IMP277" s="592"/>
      <c r="IMQ277" s="592"/>
      <c r="IMR277" s="592"/>
      <c r="IMS277" s="592"/>
      <c r="IMT277" s="592"/>
      <c r="IMU277" s="592"/>
      <c r="IMV277" s="592"/>
      <c r="IMW277" s="592"/>
      <c r="IMX277" s="592"/>
      <c r="IMY277" s="592"/>
      <c r="IMZ277" s="592"/>
      <c r="INA277" s="592"/>
      <c r="INB277" s="592"/>
      <c r="INC277" s="592"/>
      <c r="IND277" s="592"/>
      <c r="INE277" s="592"/>
      <c r="INF277" s="592"/>
      <c r="ING277" s="592"/>
      <c r="INH277" s="592"/>
      <c r="INI277" s="592"/>
      <c r="INJ277" s="592"/>
      <c r="INK277" s="592"/>
      <c r="INL277" s="592"/>
      <c r="INM277" s="592"/>
      <c r="INN277" s="592"/>
      <c r="INO277" s="592"/>
      <c r="INP277" s="592"/>
      <c r="INQ277" s="592"/>
      <c r="INR277" s="592"/>
      <c r="INS277" s="592"/>
      <c r="INT277" s="592"/>
      <c r="INU277" s="592"/>
      <c r="INV277" s="592"/>
      <c r="INW277" s="592"/>
      <c r="INX277" s="592"/>
      <c r="INY277" s="592"/>
      <c r="INZ277" s="592"/>
      <c r="IOA277" s="592"/>
      <c r="IOB277" s="592"/>
      <c r="IOC277" s="592"/>
      <c r="IOD277" s="592"/>
      <c r="IOE277" s="592"/>
      <c r="IOF277" s="592"/>
      <c r="IOG277" s="592"/>
      <c r="IOH277" s="592"/>
      <c r="IOI277" s="592"/>
      <c r="IOJ277" s="592"/>
      <c r="IOK277" s="592"/>
      <c r="IOL277" s="592"/>
      <c r="IOM277" s="592"/>
      <c r="ION277" s="592"/>
      <c r="IOO277" s="592"/>
      <c r="IOP277" s="592"/>
      <c r="IOQ277" s="592"/>
      <c r="IOR277" s="592"/>
      <c r="IOS277" s="592"/>
      <c r="IOT277" s="592"/>
      <c r="IOU277" s="592"/>
      <c r="IOV277" s="592"/>
      <c r="IOW277" s="592"/>
      <c r="IOX277" s="592"/>
      <c r="IOY277" s="592"/>
      <c r="IOZ277" s="592"/>
      <c r="IPA277" s="592"/>
      <c r="IPB277" s="592"/>
      <c r="IPC277" s="592"/>
      <c r="IPD277" s="592"/>
      <c r="IPE277" s="592"/>
      <c r="IPF277" s="592"/>
      <c r="IPG277" s="592"/>
      <c r="IPH277" s="592"/>
      <c r="IPI277" s="592"/>
      <c r="IPJ277" s="592"/>
      <c r="IPK277" s="592"/>
      <c r="IPL277" s="592"/>
      <c r="IPM277" s="592"/>
      <c r="IPN277" s="592"/>
      <c r="IPO277" s="592"/>
      <c r="IPP277" s="592"/>
      <c r="IPQ277" s="592"/>
      <c r="IPR277" s="592"/>
      <c r="IPS277" s="592"/>
      <c r="IPT277" s="592"/>
      <c r="IPU277" s="592"/>
      <c r="IPV277" s="592"/>
      <c r="IPW277" s="592"/>
      <c r="IPX277" s="592"/>
      <c r="IPY277" s="592"/>
      <c r="IPZ277" s="592"/>
      <c r="IQA277" s="592"/>
      <c r="IQB277" s="592"/>
      <c r="IQC277" s="592"/>
      <c r="IQD277" s="592"/>
      <c r="IQE277" s="592"/>
      <c r="IQF277" s="592"/>
      <c r="IQG277" s="592"/>
      <c r="IQH277" s="592"/>
      <c r="IQI277" s="592"/>
      <c r="IQJ277" s="592"/>
      <c r="IQK277" s="592"/>
      <c r="IQL277" s="592"/>
      <c r="IQM277" s="592"/>
      <c r="IQN277" s="592"/>
      <c r="IQO277" s="592"/>
      <c r="IQP277" s="592"/>
      <c r="IQQ277" s="592"/>
      <c r="IQR277" s="592"/>
      <c r="IQS277" s="592"/>
      <c r="IQT277" s="592"/>
      <c r="IQU277" s="592"/>
      <c r="IQV277" s="592"/>
      <c r="IQW277" s="592"/>
      <c r="IQX277" s="592"/>
      <c r="IQY277" s="592"/>
      <c r="IQZ277" s="592"/>
      <c r="IRA277" s="592"/>
      <c r="IRB277" s="592"/>
      <c r="IRC277" s="592"/>
      <c r="IRD277" s="592"/>
      <c r="IRE277" s="592"/>
      <c r="IRF277" s="592"/>
      <c r="IRG277" s="592"/>
      <c r="IRH277" s="592"/>
      <c r="IRI277" s="592"/>
      <c r="IRJ277" s="592"/>
      <c r="IRK277" s="592"/>
      <c r="IRL277" s="592"/>
      <c r="IRM277" s="592"/>
      <c r="IRN277" s="592"/>
      <c r="IRO277" s="592"/>
      <c r="IRP277" s="592"/>
      <c r="IRQ277" s="592"/>
      <c r="IRR277" s="592"/>
      <c r="IRS277" s="592"/>
      <c r="IRT277" s="592"/>
      <c r="IRU277" s="592"/>
      <c r="IRV277" s="592"/>
      <c r="IRW277" s="592"/>
      <c r="IRX277" s="592"/>
      <c r="IRY277" s="592"/>
      <c r="IRZ277" s="592"/>
      <c r="ISA277" s="592"/>
      <c r="ISB277" s="592"/>
      <c r="ISC277" s="592"/>
      <c r="ISD277" s="592"/>
      <c r="ISE277" s="592"/>
      <c r="ISF277" s="592"/>
      <c r="ISG277" s="592"/>
      <c r="ISH277" s="592"/>
      <c r="ISI277" s="592"/>
      <c r="ISJ277" s="592"/>
      <c r="ISK277" s="592"/>
      <c r="ISL277" s="592"/>
      <c r="ISM277" s="592"/>
      <c r="ISN277" s="592"/>
      <c r="ISO277" s="592"/>
      <c r="ISP277" s="592"/>
      <c r="ISQ277" s="592"/>
      <c r="ISR277" s="592"/>
      <c r="ISS277" s="592"/>
      <c r="IST277" s="592"/>
      <c r="ISU277" s="592"/>
      <c r="ISV277" s="592"/>
      <c r="ISW277" s="592"/>
      <c r="ISX277" s="592"/>
      <c r="ISY277" s="592"/>
      <c r="ISZ277" s="592"/>
      <c r="ITA277" s="592"/>
      <c r="ITB277" s="592"/>
      <c r="ITC277" s="592"/>
      <c r="ITD277" s="592"/>
      <c r="ITE277" s="592"/>
      <c r="ITF277" s="592"/>
      <c r="ITG277" s="592"/>
      <c r="ITH277" s="592"/>
      <c r="ITI277" s="592"/>
      <c r="ITJ277" s="592"/>
      <c r="ITK277" s="592"/>
      <c r="ITL277" s="592"/>
      <c r="ITM277" s="592"/>
      <c r="ITN277" s="592"/>
      <c r="ITO277" s="592"/>
      <c r="ITP277" s="592"/>
      <c r="ITQ277" s="592"/>
      <c r="ITR277" s="592"/>
      <c r="ITS277" s="592"/>
      <c r="ITT277" s="592"/>
      <c r="ITU277" s="592"/>
      <c r="ITV277" s="592"/>
      <c r="ITW277" s="592"/>
      <c r="ITX277" s="592"/>
      <c r="ITY277" s="592"/>
      <c r="ITZ277" s="592"/>
      <c r="IUA277" s="592"/>
      <c r="IUB277" s="592"/>
      <c r="IUC277" s="592"/>
      <c r="IUD277" s="592"/>
      <c r="IUE277" s="592"/>
      <c r="IUF277" s="592"/>
      <c r="IUG277" s="592"/>
      <c r="IUH277" s="592"/>
      <c r="IUI277" s="592"/>
      <c r="IUJ277" s="592"/>
      <c r="IUK277" s="592"/>
      <c r="IUL277" s="592"/>
      <c r="IUM277" s="592"/>
      <c r="IUN277" s="592"/>
      <c r="IUO277" s="592"/>
      <c r="IUP277" s="592"/>
      <c r="IUQ277" s="592"/>
      <c r="IUR277" s="592"/>
      <c r="IUS277" s="592"/>
      <c r="IUT277" s="592"/>
      <c r="IUU277" s="592"/>
      <c r="IUV277" s="592"/>
      <c r="IUW277" s="592"/>
      <c r="IUX277" s="592"/>
      <c r="IUY277" s="592"/>
      <c r="IUZ277" s="592"/>
      <c r="IVA277" s="592"/>
      <c r="IVB277" s="592"/>
      <c r="IVC277" s="592"/>
      <c r="IVD277" s="592"/>
      <c r="IVE277" s="592"/>
      <c r="IVF277" s="592"/>
      <c r="IVG277" s="592"/>
      <c r="IVH277" s="592"/>
      <c r="IVI277" s="592"/>
      <c r="IVJ277" s="592"/>
      <c r="IVK277" s="592"/>
      <c r="IVL277" s="592"/>
      <c r="IVM277" s="592"/>
      <c r="IVN277" s="592"/>
      <c r="IVO277" s="592"/>
      <c r="IVP277" s="592"/>
      <c r="IVQ277" s="592"/>
      <c r="IVR277" s="592"/>
      <c r="IVS277" s="592"/>
      <c r="IVT277" s="592"/>
      <c r="IVU277" s="592"/>
      <c r="IVV277" s="592"/>
      <c r="IVW277" s="592"/>
      <c r="IVX277" s="592"/>
      <c r="IVY277" s="592"/>
      <c r="IVZ277" s="592"/>
      <c r="IWA277" s="592"/>
      <c r="IWB277" s="592"/>
      <c r="IWC277" s="592"/>
      <c r="IWD277" s="592"/>
      <c r="IWE277" s="592"/>
      <c r="IWF277" s="592"/>
      <c r="IWG277" s="592"/>
      <c r="IWH277" s="592"/>
      <c r="IWI277" s="592"/>
      <c r="IWJ277" s="592"/>
      <c r="IWK277" s="592"/>
      <c r="IWL277" s="592"/>
      <c r="IWM277" s="592"/>
      <c r="IWN277" s="592"/>
      <c r="IWO277" s="592"/>
      <c r="IWP277" s="592"/>
      <c r="IWQ277" s="592"/>
      <c r="IWR277" s="592"/>
      <c r="IWS277" s="592"/>
      <c r="IWT277" s="592"/>
      <c r="IWU277" s="592"/>
      <c r="IWV277" s="592"/>
      <c r="IWW277" s="592"/>
      <c r="IWX277" s="592"/>
      <c r="IWY277" s="592"/>
      <c r="IWZ277" s="592"/>
      <c r="IXA277" s="592"/>
      <c r="IXB277" s="592"/>
      <c r="IXC277" s="592"/>
      <c r="IXD277" s="592"/>
      <c r="IXE277" s="592"/>
      <c r="IXF277" s="592"/>
      <c r="IXG277" s="592"/>
      <c r="IXH277" s="592"/>
      <c r="IXI277" s="592"/>
      <c r="IXJ277" s="592"/>
      <c r="IXK277" s="592"/>
      <c r="IXL277" s="592"/>
      <c r="IXM277" s="592"/>
      <c r="IXN277" s="592"/>
      <c r="IXO277" s="592"/>
      <c r="IXP277" s="592"/>
      <c r="IXQ277" s="592"/>
      <c r="IXR277" s="592"/>
      <c r="IXS277" s="592"/>
      <c r="IXT277" s="592"/>
      <c r="IXU277" s="592"/>
      <c r="IXV277" s="592"/>
      <c r="IXW277" s="592"/>
      <c r="IXX277" s="592"/>
      <c r="IXY277" s="592"/>
      <c r="IXZ277" s="592"/>
      <c r="IYA277" s="592"/>
      <c r="IYB277" s="592"/>
      <c r="IYC277" s="592"/>
      <c r="IYD277" s="592"/>
      <c r="IYE277" s="592"/>
      <c r="IYF277" s="592"/>
      <c r="IYG277" s="592"/>
      <c r="IYH277" s="592"/>
      <c r="IYI277" s="592"/>
      <c r="IYJ277" s="592"/>
      <c r="IYK277" s="592"/>
      <c r="IYL277" s="592"/>
      <c r="IYM277" s="592"/>
      <c r="IYN277" s="592"/>
      <c r="IYO277" s="592"/>
      <c r="IYP277" s="592"/>
      <c r="IYQ277" s="592"/>
      <c r="IYR277" s="592"/>
      <c r="IYS277" s="592"/>
      <c r="IYT277" s="592"/>
      <c r="IYU277" s="592"/>
      <c r="IYV277" s="592"/>
      <c r="IYW277" s="592"/>
      <c r="IYX277" s="592"/>
      <c r="IYY277" s="592"/>
      <c r="IYZ277" s="592"/>
      <c r="IZA277" s="592"/>
      <c r="IZB277" s="592"/>
      <c r="IZC277" s="592"/>
      <c r="IZD277" s="592"/>
      <c r="IZE277" s="592"/>
      <c r="IZF277" s="592"/>
      <c r="IZG277" s="592"/>
      <c r="IZH277" s="592"/>
      <c r="IZI277" s="592"/>
      <c r="IZJ277" s="592"/>
      <c r="IZK277" s="592"/>
      <c r="IZL277" s="592"/>
      <c r="IZM277" s="592"/>
      <c r="IZN277" s="592"/>
      <c r="IZO277" s="592"/>
      <c r="IZP277" s="592"/>
      <c r="IZQ277" s="592"/>
      <c r="IZR277" s="592"/>
      <c r="IZS277" s="592"/>
      <c r="IZT277" s="592"/>
      <c r="IZU277" s="592"/>
      <c r="IZV277" s="592"/>
      <c r="IZW277" s="592"/>
      <c r="IZX277" s="592"/>
      <c r="IZY277" s="592"/>
      <c r="IZZ277" s="592"/>
      <c r="JAA277" s="592"/>
      <c r="JAB277" s="592"/>
      <c r="JAC277" s="592"/>
      <c r="JAD277" s="592"/>
      <c r="JAE277" s="592"/>
      <c r="JAF277" s="592"/>
      <c r="JAG277" s="592"/>
      <c r="JAH277" s="592"/>
      <c r="JAI277" s="592"/>
      <c r="JAJ277" s="592"/>
      <c r="JAK277" s="592"/>
      <c r="JAL277" s="592"/>
      <c r="JAM277" s="592"/>
      <c r="JAN277" s="592"/>
      <c r="JAO277" s="592"/>
      <c r="JAP277" s="592"/>
      <c r="JAQ277" s="592"/>
      <c r="JAR277" s="592"/>
      <c r="JAS277" s="592"/>
      <c r="JAT277" s="592"/>
      <c r="JAU277" s="592"/>
      <c r="JAV277" s="592"/>
      <c r="JAW277" s="592"/>
      <c r="JAX277" s="592"/>
      <c r="JAY277" s="592"/>
      <c r="JAZ277" s="592"/>
      <c r="JBA277" s="592"/>
      <c r="JBB277" s="592"/>
      <c r="JBC277" s="592"/>
      <c r="JBD277" s="592"/>
      <c r="JBE277" s="592"/>
      <c r="JBF277" s="592"/>
      <c r="JBG277" s="592"/>
      <c r="JBH277" s="592"/>
      <c r="JBI277" s="592"/>
      <c r="JBJ277" s="592"/>
      <c r="JBK277" s="592"/>
      <c r="JBL277" s="592"/>
      <c r="JBM277" s="592"/>
      <c r="JBN277" s="592"/>
      <c r="JBO277" s="592"/>
      <c r="JBP277" s="592"/>
      <c r="JBQ277" s="592"/>
      <c r="JBR277" s="592"/>
      <c r="JBS277" s="592"/>
      <c r="JBT277" s="592"/>
      <c r="JBU277" s="592"/>
      <c r="JBV277" s="592"/>
      <c r="JBW277" s="592"/>
      <c r="JBX277" s="592"/>
      <c r="JBY277" s="592"/>
      <c r="JBZ277" s="592"/>
      <c r="JCA277" s="592"/>
      <c r="JCB277" s="592"/>
      <c r="JCC277" s="592"/>
      <c r="JCD277" s="592"/>
      <c r="JCE277" s="592"/>
      <c r="JCF277" s="592"/>
      <c r="JCG277" s="592"/>
      <c r="JCH277" s="592"/>
      <c r="JCI277" s="592"/>
      <c r="JCJ277" s="592"/>
      <c r="JCK277" s="592"/>
      <c r="JCL277" s="592"/>
      <c r="JCM277" s="592"/>
      <c r="JCN277" s="592"/>
      <c r="JCO277" s="592"/>
      <c r="JCP277" s="592"/>
      <c r="JCQ277" s="592"/>
      <c r="JCR277" s="592"/>
      <c r="JCS277" s="592"/>
      <c r="JCT277" s="592"/>
      <c r="JCU277" s="592"/>
      <c r="JCV277" s="592"/>
      <c r="JCW277" s="592"/>
      <c r="JCX277" s="592"/>
      <c r="JCY277" s="592"/>
      <c r="JCZ277" s="592"/>
      <c r="JDA277" s="592"/>
      <c r="JDB277" s="592"/>
      <c r="JDC277" s="592"/>
      <c r="JDD277" s="592"/>
      <c r="JDE277" s="592"/>
      <c r="JDF277" s="592"/>
      <c r="JDG277" s="592"/>
      <c r="JDH277" s="592"/>
      <c r="JDI277" s="592"/>
      <c r="JDJ277" s="592"/>
      <c r="JDK277" s="592"/>
      <c r="JDL277" s="592"/>
      <c r="JDM277" s="592"/>
      <c r="JDN277" s="592"/>
      <c r="JDO277" s="592"/>
      <c r="JDP277" s="592"/>
      <c r="JDQ277" s="592"/>
      <c r="JDR277" s="592"/>
      <c r="JDS277" s="592"/>
      <c r="JDT277" s="592"/>
      <c r="JDU277" s="592"/>
      <c r="JDV277" s="592"/>
      <c r="JDW277" s="592"/>
      <c r="JDX277" s="592"/>
      <c r="JDY277" s="592"/>
      <c r="JDZ277" s="592"/>
      <c r="JEA277" s="592"/>
      <c r="JEB277" s="592"/>
      <c r="JEC277" s="592"/>
      <c r="JED277" s="592"/>
      <c r="JEE277" s="592"/>
      <c r="JEF277" s="592"/>
      <c r="JEG277" s="592"/>
      <c r="JEH277" s="592"/>
      <c r="JEI277" s="592"/>
      <c r="JEJ277" s="592"/>
      <c r="JEK277" s="592"/>
      <c r="JEL277" s="592"/>
      <c r="JEM277" s="592"/>
      <c r="JEN277" s="592"/>
      <c r="JEO277" s="592"/>
      <c r="JEP277" s="592"/>
      <c r="JEQ277" s="592"/>
      <c r="JER277" s="592"/>
      <c r="JES277" s="592"/>
      <c r="JET277" s="592"/>
      <c r="JEU277" s="592"/>
      <c r="JEV277" s="592"/>
      <c r="JEW277" s="592"/>
      <c r="JEX277" s="592"/>
      <c r="JEY277" s="592"/>
      <c r="JEZ277" s="592"/>
      <c r="JFA277" s="592"/>
      <c r="JFB277" s="592"/>
      <c r="JFC277" s="592"/>
      <c r="JFD277" s="592"/>
      <c r="JFE277" s="592"/>
      <c r="JFF277" s="592"/>
      <c r="JFG277" s="592"/>
      <c r="JFH277" s="592"/>
      <c r="JFI277" s="592"/>
      <c r="JFJ277" s="592"/>
      <c r="JFK277" s="592"/>
      <c r="JFL277" s="592"/>
      <c r="JFM277" s="592"/>
      <c r="JFN277" s="592"/>
      <c r="JFO277" s="592"/>
      <c r="JFP277" s="592"/>
      <c r="JFQ277" s="592"/>
      <c r="JFR277" s="592"/>
      <c r="JFS277" s="592"/>
      <c r="JFT277" s="592"/>
      <c r="JFU277" s="592"/>
      <c r="JFV277" s="592"/>
      <c r="JFW277" s="592"/>
      <c r="JFX277" s="592"/>
      <c r="JFY277" s="592"/>
      <c r="JFZ277" s="592"/>
      <c r="JGA277" s="592"/>
      <c r="JGB277" s="592"/>
      <c r="JGC277" s="592"/>
      <c r="JGD277" s="592"/>
      <c r="JGE277" s="592"/>
      <c r="JGF277" s="592"/>
      <c r="JGG277" s="592"/>
      <c r="JGH277" s="592"/>
      <c r="JGI277" s="592"/>
      <c r="JGJ277" s="592"/>
      <c r="JGK277" s="592"/>
      <c r="JGL277" s="592"/>
      <c r="JGM277" s="592"/>
      <c r="JGN277" s="592"/>
      <c r="JGO277" s="592"/>
      <c r="JGP277" s="592"/>
      <c r="JGQ277" s="592"/>
      <c r="JGR277" s="592"/>
      <c r="JGS277" s="592"/>
      <c r="JGT277" s="592"/>
      <c r="JGU277" s="592"/>
      <c r="JGV277" s="592"/>
      <c r="JGW277" s="592"/>
      <c r="JGX277" s="592"/>
      <c r="JGY277" s="592"/>
      <c r="JGZ277" s="592"/>
      <c r="JHA277" s="592"/>
      <c r="JHB277" s="592"/>
      <c r="JHC277" s="592"/>
      <c r="JHD277" s="592"/>
      <c r="JHE277" s="592"/>
      <c r="JHF277" s="592"/>
      <c r="JHG277" s="592"/>
      <c r="JHH277" s="592"/>
      <c r="JHI277" s="592"/>
      <c r="JHJ277" s="592"/>
      <c r="JHK277" s="592"/>
      <c r="JHL277" s="592"/>
      <c r="JHM277" s="592"/>
      <c r="JHN277" s="592"/>
      <c r="JHO277" s="592"/>
      <c r="JHP277" s="592"/>
      <c r="JHQ277" s="592"/>
      <c r="JHR277" s="592"/>
      <c r="JHS277" s="592"/>
      <c r="JHT277" s="592"/>
      <c r="JHU277" s="592"/>
      <c r="JHV277" s="592"/>
      <c r="JHW277" s="592"/>
      <c r="JHX277" s="592"/>
      <c r="JHY277" s="592"/>
      <c r="JHZ277" s="592"/>
      <c r="JIA277" s="592"/>
      <c r="JIB277" s="592"/>
      <c r="JIC277" s="592"/>
      <c r="JID277" s="592"/>
      <c r="JIE277" s="592"/>
      <c r="JIF277" s="592"/>
      <c r="JIG277" s="592"/>
      <c r="JIH277" s="592"/>
      <c r="JII277" s="592"/>
      <c r="JIJ277" s="592"/>
      <c r="JIK277" s="592"/>
      <c r="JIL277" s="592"/>
      <c r="JIM277" s="592"/>
      <c r="JIN277" s="592"/>
      <c r="JIO277" s="592"/>
      <c r="JIP277" s="592"/>
      <c r="JIQ277" s="592"/>
      <c r="JIR277" s="592"/>
      <c r="JIS277" s="592"/>
      <c r="JIT277" s="592"/>
      <c r="JIU277" s="592"/>
      <c r="JIV277" s="592"/>
      <c r="JIW277" s="592"/>
      <c r="JIX277" s="592"/>
      <c r="JIY277" s="592"/>
      <c r="JIZ277" s="592"/>
      <c r="JJA277" s="592"/>
      <c r="JJB277" s="592"/>
      <c r="JJC277" s="592"/>
      <c r="JJD277" s="592"/>
      <c r="JJE277" s="592"/>
      <c r="JJF277" s="592"/>
      <c r="JJG277" s="592"/>
      <c r="JJH277" s="592"/>
      <c r="JJI277" s="592"/>
      <c r="JJJ277" s="592"/>
      <c r="JJK277" s="592"/>
      <c r="JJL277" s="592"/>
      <c r="JJM277" s="592"/>
      <c r="JJN277" s="592"/>
      <c r="JJO277" s="592"/>
      <c r="JJP277" s="592"/>
      <c r="JJQ277" s="592"/>
      <c r="JJR277" s="592"/>
      <c r="JJS277" s="592"/>
      <c r="JJT277" s="592"/>
      <c r="JJU277" s="592"/>
      <c r="JJV277" s="592"/>
      <c r="JJW277" s="592"/>
      <c r="JJX277" s="592"/>
      <c r="JJY277" s="592"/>
      <c r="JJZ277" s="592"/>
      <c r="JKA277" s="592"/>
      <c r="JKB277" s="592"/>
      <c r="JKC277" s="592"/>
      <c r="JKD277" s="592"/>
      <c r="JKE277" s="592"/>
      <c r="JKF277" s="592"/>
      <c r="JKG277" s="592"/>
      <c r="JKH277" s="592"/>
      <c r="JKI277" s="592"/>
      <c r="JKJ277" s="592"/>
      <c r="JKK277" s="592"/>
      <c r="JKL277" s="592"/>
      <c r="JKM277" s="592"/>
      <c r="JKN277" s="592"/>
      <c r="JKO277" s="592"/>
      <c r="JKP277" s="592"/>
      <c r="JKQ277" s="592"/>
      <c r="JKR277" s="592"/>
      <c r="JKS277" s="592"/>
      <c r="JKT277" s="592"/>
      <c r="JKU277" s="592"/>
      <c r="JKV277" s="592"/>
      <c r="JKW277" s="592"/>
      <c r="JKX277" s="592"/>
      <c r="JKY277" s="592"/>
      <c r="JKZ277" s="592"/>
      <c r="JLA277" s="592"/>
      <c r="JLB277" s="592"/>
      <c r="JLC277" s="592"/>
      <c r="JLD277" s="592"/>
      <c r="JLE277" s="592"/>
      <c r="JLF277" s="592"/>
      <c r="JLG277" s="592"/>
      <c r="JLH277" s="592"/>
      <c r="JLI277" s="592"/>
      <c r="JLJ277" s="592"/>
      <c r="JLK277" s="592"/>
      <c r="JLL277" s="592"/>
      <c r="JLM277" s="592"/>
      <c r="JLN277" s="592"/>
      <c r="JLO277" s="592"/>
      <c r="JLP277" s="592"/>
      <c r="JLQ277" s="592"/>
      <c r="JLR277" s="592"/>
      <c r="JLS277" s="592"/>
      <c r="JLT277" s="592"/>
      <c r="JLU277" s="592"/>
      <c r="JLV277" s="592"/>
      <c r="JLW277" s="592"/>
      <c r="JLX277" s="592"/>
      <c r="JLY277" s="592"/>
      <c r="JLZ277" s="592"/>
      <c r="JMA277" s="592"/>
      <c r="JMB277" s="592"/>
      <c r="JMC277" s="592"/>
      <c r="JMD277" s="592"/>
      <c r="JME277" s="592"/>
      <c r="JMF277" s="592"/>
      <c r="JMG277" s="592"/>
      <c r="JMH277" s="592"/>
      <c r="JMI277" s="592"/>
      <c r="JMJ277" s="592"/>
      <c r="JMK277" s="592"/>
      <c r="JML277" s="592"/>
      <c r="JMM277" s="592"/>
      <c r="JMN277" s="592"/>
      <c r="JMO277" s="592"/>
      <c r="JMP277" s="592"/>
      <c r="JMQ277" s="592"/>
      <c r="JMR277" s="592"/>
      <c r="JMS277" s="592"/>
      <c r="JMT277" s="592"/>
      <c r="JMU277" s="592"/>
      <c r="JMV277" s="592"/>
      <c r="JMW277" s="592"/>
      <c r="JMX277" s="592"/>
      <c r="JMY277" s="592"/>
      <c r="JMZ277" s="592"/>
      <c r="JNA277" s="592"/>
      <c r="JNB277" s="592"/>
      <c r="JNC277" s="592"/>
      <c r="JND277" s="592"/>
      <c r="JNE277" s="592"/>
      <c r="JNF277" s="592"/>
      <c r="JNG277" s="592"/>
      <c r="JNH277" s="592"/>
      <c r="JNI277" s="592"/>
      <c r="JNJ277" s="592"/>
      <c r="JNK277" s="592"/>
      <c r="JNL277" s="592"/>
      <c r="JNM277" s="592"/>
      <c r="JNN277" s="592"/>
      <c r="JNO277" s="592"/>
      <c r="JNP277" s="592"/>
      <c r="JNQ277" s="592"/>
      <c r="JNR277" s="592"/>
      <c r="JNS277" s="592"/>
      <c r="JNT277" s="592"/>
      <c r="JNU277" s="592"/>
      <c r="JNV277" s="592"/>
      <c r="JNW277" s="592"/>
      <c r="JNX277" s="592"/>
      <c r="JNY277" s="592"/>
      <c r="JNZ277" s="592"/>
      <c r="JOA277" s="592"/>
      <c r="JOB277" s="592"/>
      <c r="JOC277" s="592"/>
      <c r="JOD277" s="592"/>
      <c r="JOE277" s="592"/>
      <c r="JOF277" s="592"/>
      <c r="JOG277" s="592"/>
      <c r="JOH277" s="592"/>
      <c r="JOI277" s="592"/>
      <c r="JOJ277" s="592"/>
      <c r="JOK277" s="592"/>
      <c r="JOL277" s="592"/>
      <c r="JOM277" s="592"/>
      <c r="JON277" s="592"/>
      <c r="JOO277" s="592"/>
      <c r="JOP277" s="592"/>
      <c r="JOQ277" s="592"/>
      <c r="JOR277" s="592"/>
      <c r="JOS277" s="592"/>
      <c r="JOT277" s="592"/>
      <c r="JOU277" s="592"/>
      <c r="JOV277" s="592"/>
      <c r="JOW277" s="592"/>
      <c r="JOX277" s="592"/>
      <c r="JOY277" s="592"/>
      <c r="JOZ277" s="592"/>
      <c r="JPA277" s="592"/>
      <c r="JPB277" s="592"/>
      <c r="JPC277" s="592"/>
      <c r="JPD277" s="592"/>
      <c r="JPE277" s="592"/>
      <c r="JPF277" s="592"/>
      <c r="JPG277" s="592"/>
      <c r="JPH277" s="592"/>
      <c r="JPI277" s="592"/>
      <c r="JPJ277" s="592"/>
      <c r="JPK277" s="592"/>
      <c r="JPL277" s="592"/>
      <c r="JPM277" s="592"/>
      <c r="JPN277" s="592"/>
      <c r="JPO277" s="592"/>
      <c r="JPP277" s="592"/>
      <c r="JPQ277" s="592"/>
      <c r="JPR277" s="592"/>
      <c r="JPS277" s="592"/>
      <c r="JPT277" s="592"/>
      <c r="JPU277" s="592"/>
      <c r="JPV277" s="592"/>
      <c r="JPW277" s="592"/>
      <c r="JPX277" s="592"/>
      <c r="JPY277" s="592"/>
      <c r="JPZ277" s="592"/>
      <c r="JQA277" s="592"/>
      <c r="JQB277" s="592"/>
      <c r="JQC277" s="592"/>
      <c r="JQD277" s="592"/>
      <c r="JQE277" s="592"/>
      <c r="JQF277" s="592"/>
      <c r="JQG277" s="592"/>
      <c r="JQH277" s="592"/>
      <c r="JQI277" s="592"/>
      <c r="JQJ277" s="592"/>
      <c r="JQK277" s="592"/>
      <c r="JQL277" s="592"/>
      <c r="JQM277" s="592"/>
      <c r="JQN277" s="592"/>
      <c r="JQO277" s="592"/>
      <c r="JQP277" s="592"/>
      <c r="JQQ277" s="592"/>
      <c r="JQR277" s="592"/>
      <c r="JQS277" s="592"/>
      <c r="JQT277" s="592"/>
      <c r="JQU277" s="592"/>
      <c r="JQV277" s="592"/>
      <c r="JQW277" s="592"/>
      <c r="JQX277" s="592"/>
      <c r="JQY277" s="592"/>
      <c r="JQZ277" s="592"/>
      <c r="JRA277" s="592"/>
      <c r="JRB277" s="592"/>
      <c r="JRC277" s="592"/>
      <c r="JRD277" s="592"/>
      <c r="JRE277" s="592"/>
      <c r="JRF277" s="592"/>
      <c r="JRG277" s="592"/>
      <c r="JRH277" s="592"/>
      <c r="JRI277" s="592"/>
      <c r="JRJ277" s="592"/>
      <c r="JRK277" s="592"/>
      <c r="JRL277" s="592"/>
      <c r="JRM277" s="592"/>
      <c r="JRN277" s="592"/>
      <c r="JRO277" s="592"/>
      <c r="JRP277" s="592"/>
      <c r="JRQ277" s="592"/>
      <c r="JRR277" s="592"/>
      <c r="JRS277" s="592"/>
      <c r="JRT277" s="592"/>
      <c r="JRU277" s="592"/>
      <c r="JRV277" s="592"/>
      <c r="JRW277" s="592"/>
      <c r="JRX277" s="592"/>
      <c r="JRY277" s="592"/>
      <c r="JRZ277" s="592"/>
      <c r="JSA277" s="592"/>
      <c r="JSB277" s="592"/>
      <c r="JSC277" s="592"/>
      <c r="JSD277" s="592"/>
      <c r="JSE277" s="592"/>
      <c r="JSF277" s="592"/>
      <c r="JSG277" s="592"/>
      <c r="JSH277" s="592"/>
      <c r="JSI277" s="592"/>
      <c r="JSJ277" s="592"/>
      <c r="JSK277" s="592"/>
      <c r="JSL277" s="592"/>
      <c r="JSM277" s="592"/>
      <c r="JSN277" s="592"/>
      <c r="JSO277" s="592"/>
      <c r="JSP277" s="592"/>
      <c r="JSQ277" s="592"/>
      <c r="JSR277" s="592"/>
      <c r="JSS277" s="592"/>
      <c r="JST277" s="592"/>
      <c r="JSU277" s="592"/>
      <c r="JSV277" s="592"/>
      <c r="JSW277" s="592"/>
      <c r="JSX277" s="592"/>
      <c r="JSY277" s="592"/>
      <c r="JSZ277" s="592"/>
      <c r="JTA277" s="592"/>
      <c r="JTB277" s="592"/>
      <c r="JTC277" s="592"/>
      <c r="JTD277" s="592"/>
      <c r="JTE277" s="592"/>
      <c r="JTF277" s="592"/>
      <c r="JTG277" s="592"/>
      <c r="JTH277" s="592"/>
      <c r="JTI277" s="592"/>
      <c r="JTJ277" s="592"/>
      <c r="JTK277" s="592"/>
      <c r="JTL277" s="592"/>
      <c r="JTM277" s="592"/>
      <c r="JTN277" s="592"/>
      <c r="JTO277" s="592"/>
      <c r="JTP277" s="592"/>
      <c r="JTQ277" s="592"/>
      <c r="JTR277" s="592"/>
      <c r="JTS277" s="592"/>
      <c r="JTT277" s="592"/>
      <c r="JTU277" s="592"/>
      <c r="JTV277" s="592"/>
      <c r="JTW277" s="592"/>
      <c r="JTX277" s="592"/>
      <c r="JTY277" s="592"/>
      <c r="JTZ277" s="592"/>
      <c r="JUA277" s="592"/>
      <c r="JUB277" s="592"/>
      <c r="JUC277" s="592"/>
      <c r="JUD277" s="592"/>
      <c r="JUE277" s="592"/>
      <c r="JUF277" s="592"/>
      <c r="JUG277" s="592"/>
      <c r="JUH277" s="592"/>
      <c r="JUI277" s="592"/>
      <c r="JUJ277" s="592"/>
      <c r="JUK277" s="592"/>
      <c r="JUL277" s="592"/>
      <c r="JUM277" s="592"/>
      <c r="JUN277" s="592"/>
      <c r="JUO277" s="592"/>
      <c r="JUP277" s="592"/>
      <c r="JUQ277" s="592"/>
      <c r="JUR277" s="592"/>
      <c r="JUS277" s="592"/>
      <c r="JUT277" s="592"/>
      <c r="JUU277" s="592"/>
      <c r="JUV277" s="592"/>
      <c r="JUW277" s="592"/>
      <c r="JUX277" s="592"/>
      <c r="JUY277" s="592"/>
      <c r="JUZ277" s="592"/>
      <c r="JVA277" s="592"/>
      <c r="JVB277" s="592"/>
      <c r="JVC277" s="592"/>
      <c r="JVD277" s="592"/>
      <c r="JVE277" s="592"/>
      <c r="JVF277" s="592"/>
      <c r="JVG277" s="592"/>
      <c r="JVH277" s="592"/>
      <c r="JVI277" s="592"/>
      <c r="JVJ277" s="592"/>
      <c r="JVK277" s="592"/>
      <c r="JVL277" s="592"/>
      <c r="JVM277" s="592"/>
      <c r="JVN277" s="592"/>
      <c r="JVO277" s="592"/>
      <c r="JVP277" s="592"/>
      <c r="JVQ277" s="592"/>
      <c r="JVR277" s="592"/>
      <c r="JVS277" s="592"/>
      <c r="JVT277" s="592"/>
      <c r="JVU277" s="592"/>
      <c r="JVV277" s="592"/>
      <c r="JVW277" s="592"/>
      <c r="JVX277" s="592"/>
      <c r="JVY277" s="592"/>
      <c r="JVZ277" s="592"/>
      <c r="JWA277" s="592"/>
      <c r="JWB277" s="592"/>
      <c r="JWC277" s="592"/>
      <c r="JWD277" s="592"/>
      <c r="JWE277" s="592"/>
      <c r="JWF277" s="592"/>
      <c r="JWG277" s="592"/>
      <c r="JWH277" s="592"/>
      <c r="JWI277" s="592"/>
      <c r="JWJ277" s="592"/>
      <c r="JWK277" s="592"/>
      <c r="JWL277" s="592"/>
      <c r="JWM277" s="592"/>
      <c r="JWN277" s="592"/>
      <c r="JWO277" s="592"/>
      <c r="JWP277" s="592"/>
      <c r="JWQ277" s="592"/>
      <c r="JWR277" s="592"/>
      <c r="JWS277" s="592"/>
      <c r="JWT277" s="592"/>
      <c r="JWU277" s="592"/>
      <c r="JWV277" s="592"/>
      <c r="JWW277" s="592"/>
      <c r="JWX277" s="592"/>
      <c r="JWY277" s="592"/>
      <c r="JWZ277" s="592"/>
      <c r="JXA277" s="592"/>
      <c r="JXB277" s="592"/>
      <c r="JXC277" s="592"/>
      <c r="JXD277" s="592"/>
      <c r="JXE277" s="592"/>
      <c r="JXF277" s="592"/>
      <c r="JXG277" s="592"/>
      <c r="JXH277" s="592"/>
      <c r="JXI277" s="592"/>
      <c r="JXJ277" s="592"/>
      <c r="JXK277" s="592"/>
      <c r="JXL277" s="592"/>
      <c r="JXM277" s="592"/>
      <c r="JXN277" s="592"/>
      <c r="JXO277" s="592"/>
      <c r="JXP277" s="592"/>
      <c r="JXQ277" s="592"/>
      <c r="JXR277" s="592"/>
      <c r="JXS277" s="592"/>
      <c r="JXT277" s="592"/>
      <c r="JXU277" s="592"/>
      <c r="JXV277" s="592"/>
      <c r="JXW277" s="592"/>
      <c r="JXX277" s="592"/>
      <c r="JXY277" s="592"/>
      <c r="JXZ277" s="592"/>
      <c r="JYA277" s="592"/>
      <c r="JYB277" s="592"/>
      <c r="JYC277" s="592"/>
      <c r="JYD277" s="592"/>
      <c r="JYE277" s="592"/>
      <c r="JYF277" s="592"/>
      <c r="JYG277" s="592"/>
      <c r="JYH277" s="592"/>
      <c r="JYI277" s="592"/>
      <c r="JYJ277" s="592"/>
      <c r="JYK277" s="592"/>
      <c r="JYL277" s="592"/>
      <c r="JYM277" s="592"/>
      <c r="JYN277" s="592"/>
      <c r="JYO277" s="592"/>
      <c r="JYP277" s="592"/>
      <c r="JYQ277" s="592"/>
      <c r="JYR277" s="592"/>
      <c r="JYS277" s="592"/>
      <c r="JYT277" s="592"/>
      <c r="JYU277" s="592"/>
      <c r="JYV277" s="592"/>
      <c r="JYW277" s="592"/>
      <c r="JYX277" s="592"/>
      <c r="JYY277" s="592"/>
      <c r="JYZ277" s="592"/>
      <c r="JZA277" s="592"/>
      <c r="JZB277" s="592"/>
      <c r="JZC277" s="592"/>
      <c r="JZD277" s="592"/>
      <c r="JZE277" s="592"/>
      <c r="JZF277" s="592"/>
      <c r="JZG277" s="592"/>
      <c r="JZH277" s="592"/>
      <c r="JZI277" s="592"/>
      <c r="JZJ277" s="592"/>
      <c r="JZK277" s="592"/>
      <c r="JZL277" s="592"/>
      <c r="JZM277" s="592"/>
      <c r="JZN277" s="592"/>
      <c r="JZO277" s="592"/>
      <c r="JZP277" s="592"/>
      <c r="JZQ277" s="592"/>
      <c r="JZR277" s="592"/>
      <c r="JZS277" s="592"/>
      <c r="JZT277" s="592"/>
      <c r="JZU277" s="592"/>
      <c r="JZV277" s="592"/>
      <c r="JZW277" s="592"/>
      <c r="JZX277" s="592"/>
      <c r="JZY277" s="592"/>
      <c r="JZZ277" s="592"/>
      <c r="KAA277" s="592"/>
      <c r="KAB277" s="592"/>
      <c r="KAC277" s="592"/>
      <c r="KAD277" s="592"/>
      <c r="KAE277" s="592"/>
      <c r="KAF277" s="592"/>
      <c r="KAG277" s="592"/>
      <c r="KAH277" s="592"/>
      <c r="KAI277" s="592"/>
      <c r="KAJ277" s="592"/>
      <c r="KAK277" s="592"/>
      <c r="KAL277" s="592"/>
      <c r="KAM277" s="592"/>
      <c r="KAN277" s="592"/>
      <c r="KAO277" s="592"/>
      <c r="KAP277" s="592"/>
      <c r="KAQ277" s="592"/>
      <c r="KAR277" s="592"/>
      <c r="KAS277" s="592"/>
      <c r="KAT277" s="592"/>
      <c r="KAU277" s="592"/>
      <c r="KAV277" s="592"/>
      <c r="KAW277" s="592"/>
      <c r="KAX277" s="592"/>
      <c r="KAY277" s="592"/>
      <c r="KAZ277" s="592"/>
      <c r="KBA277" s="592"/>
      <c r="KBB277" s="592"/>
      <c r="KBC277" s="592"/>
      <c r="KBD277" s="592"/>
      <c r="KBE277" s="592"/>
      <c r="KBF277" s="592"/>
      <c r="KBG277" s="592"/>
      <c r="KBH277" s="592"/>
      <c r="KBI277" s="592"/>
      <c r="KBJ277" s="592"/>
      <c r="KBK277" s="592"/>
      <c r="KBL277" s="592"/>
      <c r="KBM277" s="592"/>
      <c r="KBN277" s="592"/>
      <c r="KBO277" s="592"/>
      <c r="KBP277" s="592"/>
      <c r="KBQ277" s="592"/>
      <c r="KBR277" s="592"/>
      <c r="KBS277" s="592"/>
      <c r="KBT277" s="592"/>
      <c r="KBU277" s="592"/>
      <c r="KBV277" s="592"/>
      <c r="KBW277" s="592"/>
      <c r="KBX277" s="592"/>
      <c r="KBY277" s="592"/>
      <c r="KBZ277" s="592"/>
      <c r="KCA277" s="592"/>
      <c r="KCB277" s="592"/>
      <c r="KCC277" s="592"/>
      <c r="KCD277" s="592"/>
      <c r="KCE277" s="592"/>
      <c r="KCF277" s="592"/>
      <c r="KCG277" s="592"/>
      <c r="KCH277" s="592"/>
      <c r="KCI277" s="592"/>
      <c r="KCJ277" s="592"/>
      <c r="KCK277" s="592"/>
      <c r="KCL277" s="592"/>
      <c r="KCM277" s="592"/>
      <c r="KCN277" s="592"/>
      <c r="KCO277" s="592"/>
      <c r="KCP277" s="592"/>
      <c r="KCQ277" s="592"/>
      <c r="KCR277" s="592"/>
      <c r="KCS277" s="592"/>
      <c r="KCT277" s="592"/>
      <c r="KCU277" s="592"/>
      <c r="KCV277" s="592"/>
      <c r="KCW277" s="592"/>
      <c r="KCX277" s="592"/>
      <c r="KCY277" s="592"/>
      <c r="KCZ277" s="592"/>
      <c r="KDA277" s="592"/>
      <c r="KDB277" s="592"/>
      <c r="KDC277" s="592"/>
      <c r="KDD277" s="592"/>
      <c r="KDE277" s="592"/>
      <c r="KDF277" s="592"/>
      <c r="KDG277" s="592"/>
      <c r="KDH277" s="592"/>
      <c r="KDI277" s="592"/>
      <c r="KDJ277" s="592"/>
      <c r="KDK277" s="592"/>
      <c r="KDL277" s="592"/>
      <c r="KDM277" s="592"/>
      <c r="KDN277" s="592"/>
      <c r="KDO277" s="592"/>
      <c r="KDP277" s="592"/>
      <c r="KDQ277" s="592"/>
      <c r="KDR277" s="592"/>
      <c r="KDS277" s="592"/>
      <c r="KDT277" s="592"/>
      <c r="KDU277" s="592"/>
      <c r="KDV277" s="592"/>
      <c r="KDW277" s="592"/>
      <c r="KDX277" s="592"/>
      <c r="KDY277" s="592"/>
      <c r="KDZ277" s="592"/>
      <c r="KEA277" s="592"/>
      <c r="KEB277" s="592"/>
      <c r="KEC277" s="592"/>
      <c r="KED277" s="592"/>
      <c r="KEE277" s="592"/>
      <c r="KEF277" s="592"/>
      <c r="KEG277" s="592"/>
      <c r="KEH277" s="592"/>
      <c r="KEI277" s="592"/>
      <c r="KEJ277" s="592"/>
      <c r="KEK277" s="592"/>
      <c r="KEL277" s="592"/>
      <c r="KEM277" s="592"/>
      <c r="KEN277" s="592"/>
      <c r="KEO277" s="592"/>
      <c r="KEP277" s="592"/>
      <c r="KEQ277" s="592"/>
      <c r="KER277" s="592"/>
      <c r="KES277" s="592"/>
      <c r="KET277" s="592"/>
      <c r="KEU277" s="592"/>
      <c r="KEV277" s="592"/>
      <c r="KEW277" s="592"/>
      <c r="KEX277" s="592"/>
      <c r="KEY277" s="592"/>
      <c r="KEZ277" s="592"/>
      <c r="KFA277" s="592"/>
      <c r="KFB277" s="592"/>
      <c r="KFC277" s="592"/>
      <c r="KFD277" s="592"/>
      <c r="KFE277" s="592"/>
      <c r="KFF277" s="592"/>
      <c r="KFG277" s="592"/>
      <c r="KFH277" s="592"/>
      <c r="KFI277" s="592"/>
      <c r="KFJ277" s="592"/>
      <c r="KFK277" s="592"/>
      <c r="KFL277" s="592"/>
      <c r="KFM277" s="592"/>
      <c r="KFN277" s="592"/>
      <c r="KFO277" s="592"/>
      <c r="KFP277" s="592"/>
      <c r="KFQ277" s="592"/>
      <c r="KFR277" s="592"/>
      <c r="KFS277" s="592"/>
      <c r="KFT277" s="592"/>
      <c r="KFU277" s="592"/>
      <c r="KFV277" s="592"/>
      <c r="KFW277" s="592"/>
      <c r="KFX277" s="592"/>
      <c r="KFY277" s="592"/>
      <c r="KFZ277" s="592"/>
      <c r="KGA277" s="592"/>
      <c r="KGB277" s="592"/>
      <c r="KGC277" s="592"/>
      <c r="KGD277" s="592"/>
      <c r="KGE277" s="592"/>
      <c r="KGF277" s="592"/>
      <c r="KGG277" s="592"/>
      <c r="KGH277" s="592"/>
      <c r="KGI277" s="592"/>
      <c r="KGJ277" s="592"/>
      <c r="KGK277" s="592"/>
      <c r="KGL277" s="592"/>
      <c r="KGM277" s="592"/>
      <c r="KGN277" s="592"/>
      <c r="KGO277" s="592"/>
      <c r="KGP277" s="592"/>
      <c r="KGQ277" s="592"/>
      <c r="KGR277" s="592"/>
      <c r="KGS277" s="592"/>
      <c r="KGT277" s="592"/>
      <c r="KGU277" s="592"/>
      <c r="KGV277" s="592"/>
      <c r="KGW277" s="592"/>
      <c r="KGX277" s="592"/>
      <c r="KGY277" s="592"/>
      <c r="KGZ277" s="592"/>
      <c r="KHA277" s="592"/>
      <c r="KHB277" s="592"/>
      <c r="KHC277" s="592"/>
      <c r="KHD277" s="592"/>
      <c r="KHE277" s="592"/>
      <c r="KHF277" s="592"/>
      <c r="KHG277" s="592"/>
      <c r="KHH277" s="592"/>
      <c r="KHI277" s="592"/>
      <c r="KHJ277" s="592"/>
      <c r="KHK277" s="592"/>
      <c r="KHL277" s="592"/>
      <c r="KHM277" s="592"/>
      <c r="KHN277" s="592"/>
      <c r="KHO277" s="592"/>
      <c r="KHP277" s="592"/>
      <c r="KHQ277" s="592"/>
      <c r="KHR277" s="592"/>
      <c r="KHS277" s="592"/>
      <c r="KHT277" s="592"/>
      <c r="KHU277" s="592"/>
      <c r="KHV277" s="592"/>
      <c r="KHW277" s="592"/>
      <c r="KHX277" s="592"/>
      <c r="KHY277" s="592"/>
      <c r="KHZ277" s="592"/>
      <c r="KIA277" s="592"/>
      <c r="KIB277" s="592"/>
      <c r="KIC277" s="592"/>
      <c r="KID277" s="592"/>
      <c r="KIE277" s="592"/>
      <c r="KIF277" s="592"/>
      <c r="KIG277" s="592"/>
      <c r="KIH277" s="592"/>
      <c r="KII277" s="592"/>
      <c r="KIJ277" s="592"/>
      <c r="KIK277" s="592"/>
      <c r="KIL277" s="592"/>
      <c r="KIM277" s="592"/>
      <c r="KIN277" s="592"/>
      <c r="KIO277" s="592"/>
      <c r="KIP277" s="592"/>
      <c r="KIQ277" s="592"/>
      <c r="KIR277" s="592"/>
      <c r="KIS277" s="592"/>
      <c r="KIT277" s="592"/>
      <c r="KIU277" s="592"/>
      <c r="KIV277" s="592"/>
      <c r="KIW277" s="592"/>
      <c r="KIX277" s="592"/>
      <c r="KIY277" s="592"/>
      <c r="KIZ277" s="592"/>
      <c r="KJA277" s="592"/>
      <c r="KJB277" s="592"/>
      <c r="KJC277" s="592"/>
      <c r="KJD277" s="592"/>
      <c r="KJE277" s="592"/>
      <c r="KJF277" s="592"/>
      <c r="KJG277" s="592"/>
      <c r="KJH277" s="592"/>
      <c r="KJI277" s="592"/>
      <c r="KJJ277" s="592"/>
      <c r="KJK277" s="592"/>
      <c r="KJL277" s="592"/>
      <c r="KJM277" s="592"/>
      <c r="KJN277" s="592"/>
      <c r="KJO277" s="592"/>
      <c r="KJP277" s="592"/>
      <c r="KJQ277" s="592"/>
      <c r="KJR277" s="592"/>
      <c r="KJS277" s="592"/>
      <c r="KJT277" s="592"/>
      <c r="KJU277" s="592"/>
      <c r="KJV277" s="592"/>
      <c r="KJW277" s="592"/>
      <c r="KJX277" s="592"/>
      <c r="KJY277" s="592"/>
      <c r="KJZ277" s="592"/>
      <c r="KKA277" s="592"/>
      <c r="KKB277" s="592"/>
      <c r="KKC277" s="592"/>
      <c r="KKD277" s="592"/>
      <c r="KKE277" s="592"/>
      <c r="KKF277" s="592"/>
      <c r="KKG277" s="592"/>
      <c r="KKH277" s="592"/>
      <c r="KKI277" s="592"/>
      <c r="KKJ277" s="592"/>
      <c r="KKK277" s="592"/>
      <c r="KKL277" s="592"/>
      <c r="KKM277" s="592"/>
      <c r="KKN277" s="592"/>
      <c r="KKO277" s="592"/>
      <c r="KKP277" s="592"/>
      <c r="KKQ277" s="592"/>
      <c r="KKR277" s="592"/>
      <c r="KKS277" s="592"/>
      <c r="KKT277" s="592"/>
      <c r="KKU277" s="592"/>
      <c r="KKV277" s="592"/>
      <c r="KKW277" s="592"/>
      <c r="KKX277" s="592"/>
      <c r="KKY277" s="592"/>
      <c r="KKZ277" s="592"/>
      <c r="KLA277" s="592"/>
      <c r="KLB277" s="592"/>
      <c r="KLC277" s="592"/>
      <c r="KLD277" s="592"/>
      <c r="KLE277" s="592"/>
      <c r="KLF277" s="592"/>
      <c r="KLG277" s="592"/>
      <c r="KLH277" s="592"/>
      <c r="KLI277" s="592"/>
      <c r="KLJ277" s="592"/>
      <c r="KLK277" s="592"/>
      <c r="KLL277" s="592"/>
      <c r="KLM277" s="592"/>
      <c r="KLN277" s="592"/>
      <c r="KLO277" s="592"/>
      <c r="KLP277" s="592"/>
      <c r="KLQ277" s="592"/>
      <c r="KLR277" s="592"/>
      <c r="KLS277" s="592"/>
      <c r="KLT277" s="592"/>
      <c r="KLU277" s="592"/>
      <c r="KLV277" s="592"/>
      <c r="KLW277" s="592"/>
      <c r="KLX277" s="592"/>
      <c r="KLY277" s="592"/>
      <c r="KLZ277" s="592"/>
      <c r="KMA277" s="592"/>
      <c r="KMB277" s="592"/>
      <c r="KMC277" s="592"/>
      <c r="KMD277" s="592"/>
      <c r="KME277" s="592"/>
      <c r="KMF277" s="592"/>
      <c r="KMG277" s="592"/>
      <c r="KMH277" s="592"/>
      <c r="KMI277" s="592"/>
      <c r="KMJ277" s="592"/>
      <c r="KMK277" s="592"/>
      <c r="KML277" s="592"/>
      <c r="KMM277" s="592"/>
      <c r="KMN277" s="592"/>
      <c r="KMO277" s="592"/>
      <c r="KMP277" s="592"/>
      <c r="KMQ277" s="592"/>
      <c r="KMR277" s="592"/>
      <c r="KMS277" s="592"/>
      <c r="KMT277" s="592"/>
      <c r="KMU277" s="592"/>
      <c r="KMV277" s="592"/>
      <c r="KMW277" s="592"/>
      <c r="KMX277" s="592"/>
      <c r="KMY277" s="592"/>
      <c r="KMZ277" s="592"/>
      <c r="KNA277" s="592"/>
      <c r="KNB277" s="592"/>
      <c r="KNC277" s="592"/>
      <c r="KND277" s="592"/>
      <c r="KNE277" s="592"/>
      <c r="KNF277" s="592"/>
      <c r="KNG277" s="592"/>
      <c r="KNH277" s="592"/>
      <c r="KNI277" s="592"/>
      <c r="KNJ277" s="592"/>
      <c r="KNK277" s="592"/>
      <c r="KNL277" s="592"/>
      <c r="KNM277" s="592"/>
      <c r="KNN277" s="592"/>
      <c r="KNO277" s="592"/>
      <c r="KNP277" s="592"/>
      <c r="KNQ277" s="592"/>
      <c r="KNR277" s="592"/>
      <c r="KNS277" s="592"/>
      <c r="KNT277" s="592"/>
      <c r="KNU277" s="592"/>
      <c r="KNV277" s="592"/>
      <c r="KNW277" s="592"/>
      <c r="KNX277" s="592"/>
      <c r="KNY277" s="592"/>
      <c r="KNZ277" s="592"/>
      <c r="KOA277" s="592"/>
      <c r="KOB277" s="592"/>
      <c r="KOC277" s="592"/>
      <c r="KOD277" s="592"/>
      <c r="KOE277" s="592"/>
      <c r="KOF277" s="592"/>
      <c r="KOG277" s="592"/>
      <c r="KOH277" s="592"/>
      <c r="KOI277" s="592"/>
      <c r="KOJ277" s="592"/>
      <c r="KOK277" s="592"/>
      <c r="KOL277" s="592"/>
      <c r="KOM277" s="592"/>
      <c r="KON277" s="592"/>
      <c r="KOO277" s="592"/>
      <c r="KOP277" s="592"/>
      <c r="KOQ277" s="592"/>
      <c r="KOR277" s="592"/>
      <c r="KOS277" s="592"/>
      <c r="KOT277" s="592"/>
      <c r="KOU277" s="592"/>
      <c r="KOV277" s="592"/>
      <c r="KOW277" s="592"/>
      <c r="KOX277" s="592"/>
      <c r="KOY277" s="592"/>
      <c r="KOZ277" s="592"/>
      <c r="KPA277" s="592"/>
      <c r="KPB277" s="592"/>
      <c r="KPC277" s="592"/>
      <c r="KPD277" s="592"/>
      <c r="KPE277" s="592"/>
      <c r="KPF277" s="592"/>
      <c r="KPG277" s="592"/>
      <c r="KPH277" s="592"/>
      <c r="KPI277" s="592"/>
      <c r="KPJ277" s="592"/>
      <c r="KPK277" s="592"/>
      <c r="KPL277" s="592"/>
      <c r="KPM277" s="592"/>
      <c r="KPN277" s="592"/>
      <c r="KPO277" s="592"/>
      <c r="KPP277" s="592"/>
      <c r="KPQ277" s="592"/>
      <c r="KPR277" s="592"/>
      <c r="KPS277" s="592"/>
      <c r="KPT277" s="592"/>
      <c r="KPU277" s="592"/>
      <c r="KPV277" s="592"/>
      <c r="KPW277" s="592"/>
      <c r="KPX277" s="592"/>
      <c r="KPY277" s="592"/>
      <c r="KPZ277" s="592"/>
      <c r="KQA277" s="592"/>
      <c r="KQB277" s="592"/>
      <c r="KQC277" s="592"/>
      <c r="KQD277" s="592"/>
      <c r="KQE277" s="592"/>
      <c r="KQF277" s="592"/>
      <c r="KQG277" s="592"/>
      <c r="KQH277" s="592"/>
      <c r="KQI277" s="592"/>
      <c r="KQJ277" s="592"/>
      <c r="KQK277" s="592"/>
      <c r="KQL277" s="592"/>
      <c r="KQM277" s="592"/>
      <c r="KQN277" s="592"/>
      <c r="KQO277" s="592"/>
      <c r="KQP277" s="592"/>
      <c r="KQQ277" s="592"/>
      <c r="KQR277" s="592"/>
      <c r="KQS277" s="592"/>
      <c r="KQT277" s="592"/>
      <c r="KQU277" s="592"/>
      <c r="KQV277" s="592"/>
      <c r="KQW277" s="592"/>
      <c r="KQX277" s="592"/>
      <c r="KQY277" s="592"/>
      <c r="KQZ277" s="592"/>
      <c r="KRA277" s="592"/>
      <c r="KRB277" s="592"/>
      <c r="KRC277" s="592"/>
      <c r="KRD277" s="592"/>
      <c r="KRE277" s="592"/>
      <c r="KRF277" s="592"/>
      <c r="KRG277" s="592"/>
      <c r="KRH277" s="592"/>
      <c r="KRI277" s="592"/>
      <c r="KRJ277" s="592"/>
      <c r="KRK277" s="592"/>
      <c r="KRL277" s="592"/>
      <c r="KRM277" s="592"/>
      <c r="KRN277" s="592"/>
      <c r="KRO277" s="592"/>
      <c r="KRP277" s="592"/>
      <c r="KRQ277" s="592"/>
      <c r="KRR277" s="592"/>
      <c r="KRS277" s="592"/>
      <c r="KRT277" s="592"/>
      <c r="KRU277" s="592"/>
      <c r="KRV277" s="592"/>
      <c r="KRW277" s="592"/>
      <c r="KRX277" s="592"/>
      <c r="KRY277" s="592"/>
      <c r="KRZ277" s="592"/>
      <c r="KSA277" s="592"/>
      <c r="KSB277" s="592"/>
      <c r="KSC277" s="592"/>
      <c r="KSD277" s="592"/>
      <c r="KSE277" s="592"/>
      <c r="KSF277" s="592"/>
      <c r="KSG277" s="592"/>
      <c r="KSH277" s="592"/>
      <c r="KSI277" s="592"/>
      <c r="KSJ277" s="592"/>
      <c r="KSK277" s="592"/>
      <c r="KSL277" s="592"/>
      <c r="KSM277" s="592"/>
      <c r="KSN277" s="592"/>
      <c r="KSO277" s="592"/>
      <c r="KSP277" s="592"/>
      <c r="KSQ277" s="592"/>
      <c r="KSR277" s="592"/>
      <c r="KSS277" s="592"/>
      <c r="KST277" s="592"/>
      <c r="KSU277" s="592"/>
      <c r="KSV277" s="592"/>
      <c r="KSW277" s="592"/>
      <c r="KSX277" s="592"/>
      <c r="KSY277" s="592"/>
      <c r="KSZ277" s="592"/>
      <c r="KTA277" s="592"/>
      <c r="KTB277" s="592"/>
      <c r="KTC277" s="592"/>
      <c r="KTD277" s="592"/>
      <c r="KTE277" s="592"/>
      <c r="KTF277" s="592"/>
      <c r="KTG277" s="592"/>
      <c r="KTH277" s="592"/>
      <c r="KTI277" s="592"/>
      <c r="KTJ277" s="592"/>
      <c r="KTK277" s="592"/>
      <c r="KTL277" s="592"/>
      <c r="KTM277" s="592"/>
      <c r="KTN277" s="592"/>
      <c r="KTO277" s="592"/>
      <c r="KTP277" s="592"/>
      <c r="KTQ277" s="592"/>
      <c r="KTR277" s="592"/>
      <c r="KTS277" s="592"/>
      <c r="KTT277" s="592"/>
      <c r="KTU277" s="592"/>
      <c r="KTV277" s="592"/>
      <c r="KTW277" s="592"/>
      <c r="KTX277" s="592"/>
      <c r="KTY277" s="592"/>
      <c r="KTZ277" s="592"/>
      <c r="KUA277" s="592"/>
      <c r="KUB277" s="592"/>
      <c r="KUC277" s="592"/>
      <c r="KUD277" s="592"/>
      <c r="KUE277" s="592"/>
      <c r="KUF277" s="592"/>
      <c r="KUG277" s="592"/>
      <c r="KUH277" s="592"/>
      <c r="KUI277" s="592"/>
      <c r="KUJ277" s="592"/>
      <c r="KUK277" s="592"/>
      <c r="KUL277" s="592"/>
      <c r="KUM277" s="592"/>
      <c r="KUN277" s="592"/>
      <c r="KUO277" s="592"/>
      <c r="KUP277" s="592"/>
      <c r="KUQ277" s="592"/>
      <c r="KUR277" s="592"/>
      <c r="KUS277" s="592"/>
      <c r="KUT277" s="592"/>
      <c r="KUU277" s="592"/>
      <c r="KUV277" s="592"/>
      <c r="KUW277" s="592"/>
      <c r="KUX277" s="592"/>
      <c r="KUY277" s="592"/>
      <c r="KUZ277" s="592"/>
      <c r="KVA277" s="592"/>
      <c r="KVB277" s="592"/>
      <c r="KVC277" s="592"/>
      <c r="KVD277" s="592"/>
      <c r="KVE277" s="592"/>
      <c r="KVF277" s="592"/>
      <c r="KVG277" s="592"/>
      <c r="KVH277" s="592"/>
      <c r="KVI277" s="592"/>
      <c r="KVJ277" s="592"/>
      <c r="KVK277" s="592"/>
      <c r="KVL277" s="592"/>
      <c r="KVM277" s="592"/>
      <c r="KVN277" s="592"/>
      <c r="KVO277" s="592"/>
      <c r="KVP277" s="592"/>
      <c r="KVQ277" s="592"/>
      <c r="KVR277" s="592"/>
      <c r="KVS277" s="592"/>
      <c r="KVT277" s="592"/>
      <c r="KVU277" s="592"/>
      <c r="KVV277" s="592"/>
      <c r="KVW277" s="592"/>
      <c r="KVX277" s="592"/>
      <c r="KVY277" s="592"/>
      <c r="KVZ277" s="592"/>
      <c r="KWA277" s="592"/>
      <c r="KWB277" s="592"/>
      <c r="KWC277" s="592"/>
      <c r="KWD277" s="592"/>
      <c r="KWE277" s="592"/>
      <c r="KWF277" s="592"/>
      <c r="KWG277" s="592"/>
      <c r="KWH277" s="592"/>
      <c r="KWI277" s="592"/>
      <c r="KWJ277" s="592"/>
      <c r="KWK277" s="592"/>
      <c r="KWL277" s="592"/>
      <c r="KWM277" s="592"/>
      <c r="KWN277" s="592"/>
      <c r="KWO277" s="592"/>
      <c r="KWP277" s="592"/>
      <c r="KWQ277" s="592"/>
      <c r="KWR277" s="592"/>
      <c r="KWS277" s="592"/>
      <c r="KWT277" s="592"/>
      <c r="KWU277" s="592"/>
      <c r="KWV277" s="592"/>
      <c r="KWW277" s="592"/>
      <c r="KWX277" s="592"/>
      <c r="KWY277" s="592"/>
      <c r="KWZ277" s="592"/>
      <c r="KXA277" s="592"/>
      <c r="KXB277" s="592"/>
      <c r="KXC277" s="592"/>
      <c r="KXD277" s="592"/>
      <c r="KXE277" s="592"/>
      <c r="KXF277" s="592"/>
      <c r="KXG277" s="592"/>
      <c r="KXH277" s="592"/>
      <c r="KXI277" s="592"/>
      <c r="KXJ277" s="592"/>
      <c r="KXK277" s="592"/>
      <c r="KXL277" s="592"/>
      <c r="KXM277" s="592"/>
      <c r="KXN277" s="592"/>
      <c r="KXO277" s="592"/>
      <c r="KXP277" s="592"/>
      <c r="KXQ277" s="592"/>
      <c r="KXR277" s="592"/>
      <c r="KXS277" s="592"/>
      <c r="KXT277" s="592"/>
      <c r="KXU277" s="592"/>
      <c r="KXV277" s="592"/>
      <c r="KXW277" s="592"/>
      <c r="KXX277" s="592"/>
      <c r="KXY277" s="592"/>
      <c r="KXZ277" s="592"/>
      <c r="KYA277" s="592"/>
      <c r="KYB277" s="592"/>
      <c r="KYC277" s="592"/>
      <c r="KYD277" s="592"/>
      <c r="KYE277" s="592"/>
      <c r="KYF277" s="592"/>
      <c r="KYG277" s="592"/>
      <c r="KYH277" s="592"/>
      <c r="KYI277" s="592"/>
      <c r="KYJ277" s="592"/>
      <c r="KYK277" s="592"/>
      <c r="KYL277" s="592"/>
      <c r="KYM277" s="592"/>
      <c r="KYN277" s="592"/>
      <c r="KYO277" s="592"/>
      <c r="KYP277" s="592"/>
      <c r="KYQ277" s="592"/>
      <c r="KYR277" s="592"/>
      <c r="KYS277" s="592"/>
      <c r="KYT277" s="592"/>
      <c r="KYU277" s="592"/>
      <c r="KYV277" s="592"/>
      <c r="KYW277" s="592"/>
      <c r="KYX277" s="592"/>
      <c r="KYY277" s="592"/>
      <c r="KYZ277" s="592"/>
      <c r="KZA277" s="592"/>
      <c r="KZB277" s="592"/>
      <c r="KZC277" s="592"/>
      <c r="KZD277" s="592"/>
      <c r="KZE277" s="592"/>
      <c r="KZF277" s="592"/>
      <c r="KZG277" s="592"/>
      <c r="KZH277" s="592"/>
      <c r="KZI277" s="592"/>
      <c r="KZJ277" s="592"/>
      <c r="KZK277" s="592"/>
      <c r="KZL277" s="592"/>
      <c r="KZM277" s="592"/>
      <c r="KZN277" s="592"/>
      <c r="KZO277" s="592"/>
      <c r="KZP277" s="592"/>
      <c r="KZQ277" s="592"/>
      <c r="KZR277" s="592"/>
      <c r="KZS277" s="592"/>
      <c r="KZT277" s="592"/>
      <c r="KZU277" s="592"/>
      <c r="KZV277" s="592"/>
      <c r="KZW277" s="592"/>
      <c r="KZX277" s="592"/>
      <c r="KZY277" s="592"/>
      <c r="KZZ277" s="592"/>
      <c r="LAA277" s="592"/>
      <c r="LAB277" s="592"/>
      <c r="LAC277" s="592"/>
      <c r="LAD277" s="592"/>
      <c r="LAE277" s="592"/>
      <c r="LAF277" s="592"/>
      <c r="LAG277" s="592"/>
      <c r="LAH277" s="592"/>
      <c r="LAI277" s="592"/>
      <c r="LAJ277" s="592"/>
      <c r="LAK277" s="592"/>
      <c r="LAL277" s="592"/>
      <c r="LAM277" s="592"/>
      <c r="LAN277" s="592"/>
      <c r="LAO277" s="592"/>
      <c r="LAP277" s="592"/>
      <c r="LAQ277" s="592"/>
      <c r="LAR277" s="592"/>
      <c r="LAS277" s="592"/>
      <c r="LAT277" s="592"/>
      <c r="LAU277" s="592"/>
      <c r="LAV277" s="592"/>
      <c r="LAW277" s="592"/>
      <c r="LAX277" s="592"/>
      <c r="LAY277" s="592"/>
      <c r="LAZ277" s="592"/>
      <c r="LBA277" s="592"/>
      <c r="LBB277" s="592"/>
      <c r="LBC277" s="592"/>
      <c r="LBD277" s="592"/>
      <c r="LBE277" s="592"/>
      <c r="LBF277" s="592"/>
      <c r="LBG277" s="592"/>
      <c r="LBH277" s="592"/>
      <c r="LBI277" s="592"/>
      <c r="LBJ277" s="592"/>
      <c r="LBK277" s="592"/>
      <c r="LBL277" s="592"/>
      <c r="LBM277" s="592"/>
      <c r="LBN277" s="592"/>
      <c r="LBO277" s="592"/>
      <c r="LBP277" s="592"/>
      <c r="LBQ277" s="592"/>
      <c r="LBR277" s="592"/>
      <c r="LBS277" s="592"/>
      <c r="LBT277" s="592"/>
      <c r="LBU277" s="592"/>
      <c r="LBV277" s="592"/>
      <c r="LBW277" s="592"/>
      <c r="LBX277" s="592"/>
      <c r="LBY277" s="592"/>
      <c r="LBZ277" s="592"/>
      <c r="LCA277" s="592"/>
      <c r="LCB277" s="592"/>
      <c r="LCC277" s="592"/>
      <c r="LCD277" s="592"/>
      <c r="LCE277" s="592"/>
      <c r="LCF277" s="592"/>
      <c r="LCG277" s="592"/>
      <c r="LCH277" s="592"/>
      <c r="LCI277" s="592"/>
      <c r="LCJ277" s="592"/>
      <c r="LCK277" s="592"/>
      <c r="LCL277" s="592"/>
      <c r="LCM277" s="592"/>
      <c r="LCN277" s="592"/>
      <c r="LCO277" s="592"/>
      <c r="LCP277" s="592"/>
      <c r="LCQ277" s="592"/>
      <c r="LCR277" s="592"/>
      <c r="LCS277" s="592"/>
      <c r="LCT277" s="592"/>
      <c r="LCU277" s="592"/>
      <c r="LCV277" s="592"/>
      <c r="LCW277" s="592"/>
      <c r="LCX277" s="592"/>
      <c r="LCY277" s="592"/>
      <c r="LCZ277" s="592"/>
      <c r="LDA277" s="592"/>
      <c r="LDB277" s="592"/>
      <c r="LDC277" s="592"/>
      <c r="LDD277" s="592"/>
      <c r="LDE277" s="592"/>
      <c r="LDF277" s="592"/>
      <c r="LDG277" s="592"/>
      <c r="LDH277" s="592"/>
      <c r="LDI277" s="592"/>
      <c r="LDJ277" s="592"/>
      <c r="LDK277" s="592"/>
      <c r="LDL277" s="592"/>
      <c r="LDM277" s="592"/>
      <c r="LDN277" s="592"/>
      <c r="LDO277" s="592"/>
      <c r="LDP277" s="592"/>
      <c r="LDQ277" s="592"/>
      <c r="LDR277" s="592"/>
      <c r="LDS277" s="592"/>
      <c r="LDT277" s="592"/>
      <c r="LDU277" s="592"/>
      <c r="LDV277" s="592"/>
      <c r="LDW277" s="592"/>
      <c r="LDX277" s="592"/>
      <c r="LDY277" s="592"/>
      <c r="LDZ277" s="592"/>
      <c r="LEA277" s="592"/>
      <c r="LEB277" s="592"/>
      <c r="LEC277" s="592"/>
      <c r="LED277" s="592"/>
      <c r="LEE277" s="592"/>
      <c r="LEF277" s="592"/>
      <c r="LEG277" s="592"/>
      <c r="LEH277" s="592"/>
      <c r="LEI277" s="592"/>
      <c r="LEJ277" s="592"/>
      <c r="LEK277" s="592"/>
      <c r="LEL277" s="592"/>
      <c r="LEM277" s="592"/>
      <c r="LEN277" s="592"/>
      <c r="LEO277" s="592"/>
      <c r="LEP277" s="592"/>
      <c r="LEQ277" s="592"/>
      <c r="LER277" s="592"/>
      <c r="LES277" s="592"/>
      <c r="LET277" s="592"/>
      <c r="LEU277" s="592"/>
      <c r="LEV277" s="592"/>
      <c r="LEW277" s="592"/>
      <c r="LEX277" s="592"/>
      <c r="LEY277" s="592"/>
      <c r="LEZ277" s="592"/>
      <c r="LFA277" s="592"/>
      <c r="LFB277" s="592"/>
      <c r="LFC277" s="592"/>
      <c r="LFD277" s="592"/>
      <c r="LFE277" s="592"/>
      <c r="LFF277" s="592"/>
      <c r="LFG277" s="592"/>
      <c r="LFH277" s="592"/>
      <c r="LFI277" s="592"/>
      <c r="LFJ277" s="592"/>
      <c r="LFK277" s="592"/>
      <c r="LFL277" s="592"/>
      <c r="LFM277" s="592"/>
      <c r="LFN277" s="592"/>
      <c r="LFO277" s="592"/>
      <c r="LFP277" s="592"/>
      <c r="LFQ277" s="592"/>
      <c r="LFR277" s="592"/>
      <c r="LFS277" s="592"/>
      <c r="LFT277" s="592"/>
      <c r="LFU277" s="592"/>
      <c r="LFV277" s="592"/>
      <c r="LFW277" s="592"/>
      <c r="LFX277" s="592"/>
      <c r="LFY277" s="592"/>
      <c r="LFZ277" s="592"/>
      <c r="LGA277" s="592"/>
      <c r="LGB277" s="592"/>
      <c r="LGC277" s="592"/>
      <c r="LGD277" s="592"/>
      <c r="LGE277" s="592"/>
      <c r="LGF277" s="592"/>
      <c r="LGG277" s="592"/>
      <c r="LGH277" s="592"/>
      <c r="LGI277" s="592"/>
      <c r="LGJ277" s="592"/>
      <c r="LGK277" s="592"/>
      <c r="LGL277" s="592"/>
      <c r="LGM277" s="592"/>
      <c r="LGN277" s="592"/>
      <c r="LGO277" s="592"/>
      <c r="LGP277" s="592"/>
      <c r="LGQ277" s="592"/>
      <c r="LGR277" s="592"/>
      <c r="LGS277" s="592"/>
      <c r="LGT277" s="592"/>
      <c r="LGU277" s="592"/>
      <c r="LGV277" s="592"/>
      <c r="LGW277" s="592"/>
      <c r="LGX277" s="592"/>
      <c r="LGY277" s="592"/>
      <c r="LGZ277" s="592"/>
      <c r="LHA277" s="592"/>
      <c r="LHB277" s="592"/>
      <c r="LHC277" s="592"/>
      <c r="LHD277" s="592"/>
      <c r="LHE277" s="592"/>
      <c r="LHF277" s="592"/>
      <c r="LHG277" s="592"/>
      <c r="LHH277" s="592"/>
      <c r="LHI277" s="592"/>
      <c r="LHJ277" s="592"/>
      <c r="LHK277" s="592"/>
      <c r="LHL277" s="592"/>
      <c r="LHM277" s="592"/>
      <c r="LHN277" s="592"/>
      <c r="LHO277" s="592"/>
      <c r="LHP277" s="592"/>
      <c r="LHQ277" s="592"/>
      <c r="LHR277" s="592"/>
      <c r="LHS277" s="592"/>
      <c r="LHT277" s="592"/>
      <c r="LHU277" s="592"/>
      <c r="LHV277" s="592"/>
      <c r="LHW277" s="592"/>
      <c r="LHX277" s="592"/>
      <c r="LHY277" s="592"/>
      <c r="LHZ277" s="592"/>
      <c r="LIA277" s="592"/>
      <c r="LIB277" s="592"/>
      <c r="LIC277" s="592"/>
      <c r="LID277" s="592"/>
      <c r="LIE277" s="592"/>
      <c r="LIF277" s="592"/>
      <c r="LIG277" s="592"/>
      <c r="LIH277" s="592"/>
      <c r="LII277" s="592"/>
      <c r="LIJ277" s="592"/>
      <c r="LIK277" s="592"/>
      <c r="LIL277" s="592"/>
      <c r="LIM277" s="592"/>
      <c r="LIN277" s="592"/>
      <c r="LIO277" s="592"/>
      <c r="LIP277" s="592"/>
      <c r="LIQ277" s="592"/>
      <c r="LIR277" s="592"/>
      <c r="LIS277" s="592"/>
      <c r="LIT277" s="592"/>
      <c r="LIU277" s="592"/>
      <c r="LIV277" s="592"/>
      <c r="LIW277" s="592"/>
      <c r="LIX277" s="592"/>
      <c r="LIY277" s="592"/>
      <c r="LIZ277" s="592"/>
      <c r="LJA277" s="592"/>
      <c r="LJB277" s="592"/>
      <c r="LJC277" s="592"/>
      <c r="LJD277" s="592"/>
      <c r="LJE277" s="592"/>
      <c r="LJF277" s="592"/>
      <c r="LJG277" s="592"/>
      <c r="LJH277" s="592"/>
      <c r="LJI277" s="592"/>
      <c r="LJJ277" s="592"/>
      <c r="LJK277" s="592"/>
      <c r="LJL277" s="592"/>
      <c r="LJM277" s="592"/>
      <c r="LJN277" s="592"/>
      <c r="LJO277" s="592"/>
      <c r="LJP277" s="592"/>
      <c r="LJQ277" s="592"/>
      <c r="LJR277" s="592"/>
      <c r="LJS277" s="592"/>
      <c r="LJT277" s="592"/>
      <c r="LJU277" s="592"/>
      <c r="LJV277" s="592"/>
      <c r="LJW277" s="592"/>
      <c r="LJX277" s="592"/>
      <c r="LJY277" s="592"/>
      <c r="LJZ277" s="592"/>
      <c r="LKA277" s="592"/>
      <c r="LKB277" s="592"/>
      <c r="LKC277" s="592"/>
      <c r="LKD277" s="592"/>
      <c r="LKE277" s="592"/>
      <c r="LKF277" s="592"/>
      <c r="LKG277" s="592"/>
      <c r="LKH277" s="592"/>
      <c r="LKI277" s="592"/>
      <c r="LKJ277" s="592"/>
      <c r="LKK277" s="592"/>
      <c r="LKL277" s="592"/>
      <c r="LKM277" s="592"/>
      <c r="LKN277" s="592"/>
      <c r="LKO277" s="592"/>
      <c r="LKP277" s="592"/>
      <c r="LKQ277" s="592"/>
      <c r="LKR277" s="592"/>
      <c r="LKS277" s="592"/>
      <c r="LKT277" s="592"/>
      <c r="LKU277" s="592"/>
      <c r="LKV277" s="592"/>
      <c r="LKW277" s="592"/>
      <c r="LKX277" s="592"/>
      <c r="LKY277" s="592"/>
      <c r="LKZ277" s="592"/>
      <c r="LLA277" s="592"/>
      <c r="LLB277" s="592"/>
      <c r="LLC277" s="592"/>
      <c r="LLD277" s="592"/>
      <c r="LLE277" s="592"/>
      <c r="LLF277" s="592"/>
      <c r="LLG277" s="592"/>
      <c r="LLH277" s="592"/>
      <c r="LLI277" s="592"/>
      <c r="LLJ277" s="592"/>
      <c r="LLK277" s="592"/>
      <c r="LLL277" s="592"/>
      <c r="LLM277" s="592"/>
      <c r="LLN277" s="592"/>
      <c r="LLO277" s="592"/>
      <c r="LLP277" s="592"/>
      <c r="LLQ277" s="592"/>
      <c r="LLR277" s="592"/>
      <c r="LLS277" s="592"/>
      <c r="LLT277" s="592"/>
      <c r="LLU277" s="592"/>
      <c r="LLV277" s="592"/>
      <c r="LLW277" s="592"/>
      <c r="LLX277" s="592"/>
      <c r="LLY277" s="592"/>
      <c r="LLZ277" s="592"/>
      <c r="LMA277" s="592"/>
      <c r="LMB277" s="592"/>
      <c r="LMC277" s="592"/>
      <c r="LMD277" s="592"/>
      <c r="LME277" s="592"/>
      <c r="LMF277" s="592"/>
      <c r="LMG277" s="592"/>
      <c r="LMH277" s="592"/>
      <c r="LMI277" s="592"/>
      <c r="LMJ277" s="592"/>
      <c r="LMK277" s="592"/>
      <c r="LML277" s="592"/>
      <c r="LMM277" s="592"/>
      <c r="LMN277" s="592"/>
      <c r="LMO277" s="592"/>
      <c r="LMP277" s="592"/>
      <c r="LMQ277" s="592"/>
      <c r="LMR277" s="592"/>
      <c r="LMS277" s="592"/>
      <c r="LMT277" s="592"/>
      <c r="LMU277" s="592"/>
      <c r="LMV277" s="592"/>
      <c r="LMW277" s="592"/>
      <c r="LMX277" s="592"/>
      <c r="LMY277" s="592"/>
      <c r="LMZ277" s="592"/>
      <c r="LNA277" s="592"/>
      <c r="LNB277" s="592"/>
      <c r="LNC277" s="592"/>
      <c r="LND277" s="592"/>
      <c r="LNE277" s="592"/>
      <c r="LNF277" s="592"/>
      <c r="LNG277" s="592"/>
      <c r="LNH277" s="592"/>
      <c r="LNI277" s="592"/>
      <c r="LNJ277" s="592"/>
      <c r="LNK277" s="592"/>
      <c r="LNL277" s="592"/>
      <c r="LNM277" s="592"/>
      <c r="LNN277" s="592"/>
      <c r="LNO277" s="592"/>
      <c r="LNP277" s="592"/>
      <c r="LNQ277" s="592"/>
      <c r="LNR277" s="592"/>
      <c r="LNS277" s="592"/>
      <c r="LNT277" s="592"/>
      <c r="LNU277" s="592"/>
      <c r="LNV277" s="592"/>
      <c r="LNW277" s="592"/>
      <c r="LNX277" s="592"/>
      <c r="LNY277" s="592"/>
      <c r="LNZ277" s="592"/>
      <c r="LOA277" s="592"/>
      <c r="LOB277" s="592"/>
      <c r="LOC277" s="592"/>
      <c r="LOD277" s="592"/>
      <c r="LOE277" s="592"/>
      <c r="LOF277" s="592"/>
      <c r="LOG277" s="592"/>
      <c r="LOH277" s="592"/>
      <c r="LOI277" s="592"/>
      <c r="LOJ277" s="592"/>
      <c r="LOK277" s="592"/>
      <c r="LOL277" s="592"/>
      <c r="LOM277" s="592"/>
      <c r="LON277" s="592"/>
      <c r="LOO277" s="592"/>
      <c r="LOP277" s="592"/>
      <c r="LOQ277" s="592"/>
      <c r="LOR277" s="592"/>
      <c r="LOS277" s="592"/>
      <c r="LOT277" s="592"/>
      <c r="LOU277" s="592"/>
      <c r="LOV277" s="592"/>
      <c r="LOW277" s="592"/>
      <c r="LOX277" s="592"/>
      <c r="LOY277" s="592"/>
      <c r="LOZ277" s="592"/>
      <c r="LPA277" s="592"/>
      <c r="LPB277" s="592"/>
      <c r="LPC277" s="592"/>
      <c r="LPD277" s="592"/>
      <c r="LPE277" s="592"/>
      <c r="LPF277" s="592"/>
      <c r="LPG277" s="592"/>
      <c r="LPH277" s="592"/>
      <c r="LPI277" s="592"/>
      <c r="LPJ277" s="592"/>
      <c r="LPK277" s="592"/>
      <c r="LPL277" s="592"/>
      <c r="LPM277" s="592"/>
      <c r="LPN277" s="592"/>
      <c r="LPO277" s="592"/>
      <c r="LPP277" s="592"/>
      <c r="LPQ277" s="592"/>
      <c r="LPR277" s="592"/>
      <c r="LPS277" s="592"/>
      <c r="LPT277" s="592"/>
      <c r="LPU277" s="592"/>
      <c r="LPV277" s="592"/>
      <c r="LPW277" s="592"/>
      <c r="LPX277" s="592"/>
      <c r="LPY277" s="592"/>
      <c r="LPZ277" s="592"/>
      <c r="LQA277" s="592"/>
      <c r="LQB277" s="592"/>
      <c r="LQC277" s="592"/>
      <c r="LQD277" s="592"/>
      <c r="LQE277" s="592"/>
      <c r="LQF277" s="592"/>
      <c r="LQG277" s="592"/>
      <c r="LQH277" s="592"/>
      <c r="LQI277" s="592"/>
      <c r="LQJ277" s="592"/>
      <c r="LQK277" s="592"/>
      <c r="LQL277" s="592"/>
      <c r="LQM277" s="592"/>
      <c r="LQN277" s="592"/>
      <c r="LQO277" s="592"/>
      <c r="LQP277" s="592"/>
      <c r="LQQ277" s="592"/>
      <c r="LQR277" s="592"/>
      <c r="LQS277" s="592"/>
      <c r="LQT277" s="592"/>
      <c r="LQU277" s="592"/>
      <c r="LQV277" s="592"/>
      <c r="LQW277" s="592"/>
      <c r="LQX277" s="592"/>
      <c r="LQY277" s="592"/>
      <c r="LQZ277" s="592"/>
      <c r="LRA277" s="592"/>
      <c r="LRB277" s="592"/>
      <c r="LRC277" s="592"/>
      <c r="LRD277" s="592"/>
      <c r="LRE277" s="592"/>
      <c r="LRF277" s="592"/>
      <c r="LRG277" s="592"/>
      <c r="LRH277" s="592"/>
      <c r="LRI277" s="592"/>
      <c r="LRJ277" s="592"/>
      <c r="LRK277" s="592"/>
      <c r="LRL277" s="592"/>
      <c r="LRM277" s="592"/>
      <c r="LRN277" s="592"/>
      <c r="LRO277" s="592"/>
      <c r="LRP277" s="592"/>
      <c r="LRQ277" s="592"/>
      <c r="LRR277" s="592"/>
      <c r="LRS277" s="592"/>
      <c r="LRT277" s="592"/>
      <c r="LRU277" s="592"/>
      <c r="LRV277" s="592"/>
      <c r="LRW277" s="592"/>
      <c r="LRX277" s="592"/>
      <c r="LRY277" s="592"/>
      <c r="LRZ277" s="592"/>
      <c r="LSA277" s="592"/>
      <c r="LSB277" s="592"/>
      <c r="LSC277" s="592"/>
      <c r="LSD277" s="592"/>
      <c r="LSE277" s="592"/>
      <c r="LSF277" s="592"/>
      <c r="LSG277" s="592"/>
      <c r="LSH277" s="592"/>
      <c r="LSI277" s="592"/>
      <c r="LSJ277" s="592"/>
      <c r="LSK277" s="592"/>
      <c r="LSL277" s="592"/>
      <c r="LSM277" s="592"/>
      <c r="LSN277" s="592"/>
      <c r="LSO277" s="592"/>
      <c r="LSP277" s="592"/>
      <c r="LSQ277" s="592"/>
      <c r="LSR277" s="592"/>
      <c r="LSS277" s="592"/>
      <c r="LST277" s="592"/>
      <c r="LSU277" s="592"/>
      <c r="LSV277" s="592"/>
      <c r="LSW277" s="592"/>
      <c r="LSX277" s="592"/>
      <c r="LSY277" s="592"/>
      <c r="LSZ277" s="592"/>
      <c r="LTA277" s="592"/>
      <c r="LTB277" s="592"/>
      <c r="LTC277" s="592"/>
      <c r="LTD277" s="592"/>
      <c r="LTE277" s="592"/>
      <c r="LTF277" s="592"/>
      <c r="LTG277" s="592"/>
      <c r="LTH277" s="592"/>
      <c r="LTI277" s="592"/>
      <c r="LTJ277" s="592"/>
      <c r="LTK277" s="592"/>
      <c r="LTL277" s="592"/>
      <c r="LTM277" s="592"/>
      <c r="LTN277" s="592"/>
      <c r="LTO277" s="592"/>
      <c r="LTP277" s="592"/>
      <c r="LTQ277" s="592"/>
      <c r="LTR277" s="592"/>
      <c r="LTS277" s="592"/>
      <c r="LTT277" s="592"/>
      <c r="LTU277" s="592"/>
      <c r="LTV277" s="592"/>
      <c r="LTW277" s="592"/>
      <c r="LTX277" s="592"/>
      <c r="LTY277" s="592"/>
      <c r="LTZ277" s="592"/>
      <c r="LUA277" s="592"/>
      <c r="LUB277" s="592"/>
      <c r="LUC277" s="592"/>
      <c r="LUD277" s="592"/>
      <c r="LUE277" s="592"/>
      <c r="LUF277" s="592"/>
      <c r="LUG277" s="592"/>
      <c r="LUH277" s="592"/>
      <c r="LUI277" s="592"/>
      <c r="LUJ277" s="592"/>
      <c r="LUK277" s="592"/>
      <c r="LUL277" s="592"/>
      <c r="LUM277" s="592"/>
      <c r="LUN277" s="592"/>
      <c r="LUO277" s="592"/>
      <c r="LUP277" s="592"/>
      <c r="LUQ277" s="592"/>
      <c r="LUR277" s="592"/>
      <c r="LUS277" s="592"/>
      <c r="LUT277" s="592"/>
      <c r="LUU277" s="592"/>
      <c r="LUV277" s="592"/>
      <c r="LUW277" s="592"/>
      <c r="LUX277" s="592"/>
      <c r="LUY277" s="592"/>
      <c r="LUZ277" s="592"/>
      <c r="LVA277" s="592"/>
      <c r="LVB277" s="592"/>
      <c r="LVC277" s="592"/>
      <c r="LVD277" s="592"/>
      <c r="LVE277" s="592"/>
      <c r="LVF277" s="592"/>
      <c r="LVG277" s="592"/>
      <c r="LVH277" s="592"/>
      <c r="LVI277" s="592"/>
      <c r="LVJ277" s="592"/>
      <c r="LVK277" s="592"/>
      <c r="LVL277" s="592"/>
      <c r="LVM277" s="592"/>
      <c r="LVN277" s="592"/>
      <c r="LVO277" s="592"/>
      <c r="LVP277" s="592"/>
      <c r="LVQ277" s="592"/>
      <c r="LVR277" s="592"/>
      <c r="LVS277" s="592"/>
      <c r="LVT277" s="592"/>
      <c r="LVU277" s="592"/>
      <c r="LVV277" s="592"/>
      <c r="LVW277" s="592"/>
      <c r="LVX277" s="592"/>
      <c r="LVY277" s="592"/>
      <c r="LVZ277" s="592"/>
      <c r="LWA277" s="592"/>
      <c r="LWB277" s="592"/>
      <c r="LWC277" s="592"/>
      <c r="LWD277" s="592"/>
      <c r="LWE277" s="592"/>
      <c r="LWF277" s="592"/>
      <c r="LWG277" s="592"/>
      <c r="LWH277" s="592"/>
      <c r="LWI277" s="592"/>
      <c r="LWJ277" s="592"/>
      <c r="LWK277" s="592"/>
      <c r="LWL277" s="592"/>
      <c r="LWM277" s="592"/>
      <c r="LWN277" s="592"/>
      <c r="LWO277" s="592"/>
      <c r="LWP277" s="592"/>
      <c r="LWQ277" s="592"/>
      <c r="LWR277" s="592"/>
      <c r="LWS277" s="592"/>
      <c r="LWT277" s="592"/>
      <c r="LWU277" s="592"/>
      <c r="LWV277" s="592"/>
      <c r="LWW277" s="592"/>
      <c r="LWX277" s="592"/>
      <c r="LWY277" s="592"/>
      <c r="LWZ277" s="592"/>
      <c r="LXA277" s="592"/>
      <c r="LXB277" s="592"/>
      <c r="LXC277" s="592"/>
      <c r="LXD277" s="592"/>
      <c r="LXE277" s="592"/>
      <c r="LXF277" s="592"/>
      <c r="LXG277" s="592"/>
      <c r="LXH277" s="592"/>
      <c r="LXI277" s="592"/>
      <c r="LXJ277" s="592"/>
      <c r="LXK277" s="592"/>
      <c r="LXL277" s="592"/>
      <c r="LXM277" s="592"/>
      <c r="LXN277" s="592"/>
      <c r="LXO277" s="592"/>
      <c r="LXP277" s="592"/>
      <c r="LXQ277" s="592"/>
      <c r="LXR277" s="592"/>
      <c r="LXS277" s="592"/>
      <c r="LXT277" s="592"/>
      <c r="LXU277" s="592"/>
      <c r="LXV277" s="592"/>
      <c r="LXW277" s="592"/>
      <c r="LXX277" s="592"/>
      <c r="LXY277" s="592"/>
      <c r="LXZ277" s="592"/>
      <c r="LYA277" s="592"/>
      <c r="LYB277" s="592"/>
      <c r="LYC277" s="592"/>
      <c r="LYD277" s="592"/>
      <c r="LYE277" s="592"/>
      <c r="LYF277" s="592"/>
      <c r="LYG277" s="592"/>
      <c r="LYH277" s="592"/>
      <c r="LYI277" s="592"/>
      <c r="LYJ277" s="592"/>
      <c r="LYK277" s="592"/>
      <c r="LYL277" s="592"/>
      <c r="LYM277" s="592"/>
      <c r="LYN277" s="592"/>
      <c r="LYO277" s="592"/>
      <c r="LYP277" s="592"/>
      <c r="LYQ277" s="592"/>
      <c r="LYR277" s="592"/>
      <c r="LYS277" s="592"/>
      <c r="LYT277" s="592"/>
      <c r="LYU277" s="592"/>
      <c r="LYV277" s="592"/>
      <c r="LYW277" s="592"/>
      <c r="LYX277" s="592"/>
      <c r="LYY277" s="592"/>
      <c r="LYZ277" s="592"/>
      <c r="LZA277" s="592"/>
      <c r="LZB277" s="592"/>
      <c r="LZC277" s="592"/>
      <c r="LZD277" s="592"/>
      <c r="LZE277" s="592"/>
      <c r="LZF277" s="592"/>
      <c r="LZG277" s="592"/>
      <c r="LZH277" s="592"/>
      <c r="LZI277" s="592"/>
      <c r="LZJ277" s="592"/>
      <c r="LZK277" s="592"/>
      <c r="LZL277" s="592"/>
      <c r="LZM277" s="592"/>
      <c r="LZN277" s="592"/>
      <c r="LZO277" s="592"/>
      <c r="LZP277" s="592"/>
      <c r="LZQ277" s="592"/>
      <c r="LZR277" s="592"/>
      <c r="LZS277" s="592"/>
      <c r="LZT277" s="592"/>
      <c r="LZU277" s="592"/>
      <c r="LZV277" s="592"/>
      <c r="LZW277" s="592"/>
      <c r="LZX277" s="592"/>
      <c r="LZY277" s="592"/>
      <c r="LZZ277" s="592"/>
      <c r="MAA277" s="592"/>
      <c r="MAB277" s="592"/>
      <c r="MAC277" s="592"/>
      <c r="MAD277" s="592"/>
      <c r="MAE277" s="592"/>
      <c r="MAF277" s="592"/>
      <c r="MAG277" s="592"/>
      <c r="MAH277" s="592"/>
      <c r="MAI277" s="592"/>
      <c r="MAJ277" s="592"/>
      <c r="MAK277" s="592"/>
      <c r="MAL277" s="592"/>
      <c r="MAM277" s="592"/>
      <c r="MAN277" s="592"/>
      <c r="MAO277" s="592"/>
      <c r="MAP277" s="592"/>
      <c r="MAQ277" s="592"/>
      <c r="MAR277" s="592"/>
      <c r="MAS277" s="592"/>
      <c r="MAT277" s="592"/>
      <c r="MAU277" s="592"/>
      <c r="MAV277" s="592"/>
      <c r="MAW277" s="592"/>
      <c r="MAX277" s="592"/>
      <c r="MAY277" s="592"/>
      <c r="MAZ277" s="592"/>
      <c r="MBA277" s="592"/>
      <c r="MBB277" s="592"/>
      <c r="MBC277" s="592"/>
      <c r="MBD277" s="592"/>
      <c r="MBE277" s="592"/>
      <c r="MBF277" s="592"/>
      <c r="MBG277" s="592"/>
      <c r="MBH277" s="592"/>
      <c r="MBI277" s="592"/>
      <c r="MBJ277" s="592"/>
      <c r="MBK277" s="592"/>
      <c r="MBL277" s="592"/>
      <c r="MBM277" s="592"/>
      <c r="MBN277" s="592"/>
      <c r="MBO277" s="592"/>
      <c r="MBP277" s="592"/>
      <c r="MBQ277" s="592"/>
      <c r="MBR277" s="592"/>
      <c r="MBS277" s="592"/>
      <c r="MBT277" s="592"/>
      <c r="MBU277" s="592"/>
      <c r="MBV277" s="592"/>
      <c r="MBW277" s="592"/>
      <c r="MBX277" s="592"/>
      <c r="MBY277" s="592"/>
      <c r="MBZ277" s="592"/>
      <c r="MCA277" s="592"/>
      <c r="MCB277" s="592"/>
      <c r="MCC277" s="592"/>
      <c r="MCD277" s="592"/>
      <c r="MCE277" s="592"/>
      <c r="MCF277" s="592"/>
      <c r="MCG277" s="592"/>
      <c r="MCH277" s="592"/>
      <c r="MCI277" s="592"/>
      <c r="MCJ277" s="592"/>
      <c r="MCK277" s="592"/>
      <c r="MCL277" s="592"/>
      <c r="MCM277" s="592"/>
      <c r="MCN277" s="592"/>
      <c r="MCO277" s="592"/>
      <c r="MCP277" s="592"/>
      <c r="MCQ277" s="592"/>
      <c r="MCR277" s="592"/>
      <c r="MCS277" s="592"/>
      <c r="MCT277" s="592"/>
      <c r="MCU277" s="592"/>
      <c r="MCV277" s="592"/>
      <c r="MCW277" s="592"/>
      <c r="MCX277" s="592"/>
      <c r="MCY277" s="592"/>
      <c r="MCZ277" s="592"/>
      <c r="MDA277" s="592"/>
      <c r="MDB277" s="592"/>
      <c r="MDC277" s="592"/>
      <c r="MDD277" s="592"/>
      <c r="MDE277" s="592"/>
      <c r="MDF277" s="592"/>
      <c r="MDG277" s="592"/>
      <c r="MDH277" s="592"/>
      <c r="MDI277" s="592"/>
      <c r="MDJ277" s="592"/>
      <c r="MDK277" s="592"/>
      <c r="MDL277" s="592"/>
      <c r="MDM277" s="592"/>
      <c r="MDN277" s="592"/>
      <c r="MDO277" s="592"/>
      <c r="MDP277" s="592"/>
      <c r="MDQ277" s="592"/>
      <c r="MDR277" s="592"/>
      <c r="MDS277" s="592"/>
      <c r="MDT277" s="592"/>
      <c r="MDU277" s="592"/>
      <c r="MDV277" s="592"/>
      <c r="MDW277" s="592"/>
      <c r="MDX277" s="592"/>
      <c r="MDY277" s="592"/>
      <c r="MDZ277" s="592"/>
      <c r="MEA277" s="592"/>
      <c r="MEB277" s="592"/>
      <c r="MEC277" s="592"/>
      <c r="MED277" s="592"/>
      <c r="MEE277" s="592"/>
      <c r="MEF277" s="592"/>
      <c r="MEG277" s="592"/>
      <c r="MEH277" s="592"/>
      <c r="MEI277" s="592"/>
      <c r="MEJ277" s="592"/>
      <c r="MEK277" s="592"/>
      <c r="MEL277" s="592"/>
      <c r="MEM277" s="592"/>
      <c r="MEN277" s="592"/>
      <c r="MEO277" s="592"/>
      <c r="MEP277" s="592"/>
      <c r="MEQ277" s="592"/>
      <c r="MER277" s="592"/>
      <c r="MES277" s="592"/>
      <c r="MET277" s="592"/>
      <c r="MEU277" s="592"/>
      <c r="MEV277" s="592"/>
      <c r="MEW277" s="592"/>
      <c r="MEX277" s="592"/>
      <c r="MEY277" s="592"/>
      <c r="MEZ277" s="592"/>
      <c r="MFA277" s="592"/>
      <c r="MFB277" s="592"/>
      <c r="MFC277" s="592"/>
      <c r="MFD277" s="592"/>
      <c r="MFE277" s="592"/>
      <c r="MFF277" s="592"/>
      <c r="MFG277" s="592"/>
      <c r="MFH277" s="592"/>
      <c r="MFI277" s="592"/>
      <c r="MFJ277" s="592"/>
      <c r="MFK277" s="592"/>
      <c r="MFL277" s="592"/>
      <c r="MFM277" s="592"/>
      <c r="MFN277" s="592"/>
      <c r="MFO277" s="592"/>
      <c r="MFP277" s="592"/>
      <c r="MFQ277" s="592"/>
      <c r="MFR277" s="592"/>
      <c r="MFS277" s="592"/>
      <c r="MFT277" s="592"/>
      <c r="MFU277" s="592"/>
      <c r="MFV277" s="592"/>
      <c r="MFW277" s="592"/>
      <c r="MFX277" s="592"/>
      <c r="MFY277" s="592"/>
      <c r="MFZ277" s="592"/>
      <c r="MGA277" s="592"/>
      <c r="MGB277" s="592"/>
      <c r="MGC277" s="592"/>
      <c r="MGD277" s="592"/>
      <c r="MGE277" s="592"/>
      <c r="MGF277" s="592"/>
      <c r="MGG277" s="592"/>
      <c r="MGH277" s="592"/>
      <c r="MGI277" s="592"/>
      <c r="MGJ277" s="592"/>
      <c r="MGK277" s="592"/>
      <c r="MGL277" s="592"/>
      <c r="MGM277" s="592"/>
      <c r="MGN277" s="592"/>
      <c r="MGO277" s="592"/>
      <c r="MGP277" s="592"/>
      <c r="MGQ277" s="592"/>
      <c r="MGR277" s="592"/>
      <c r="MGS277" s="592"/>
      <c r="MGT277" s="592"/>
      <c r="MGU277" s="592"/>
      <c r="MGV277" s="592"/>
      <c r="MGW277" s="592"/>
      <c r="MGX277" s="592"/>
      <c r="MGY277" s="592"/>
      <c r="MGZ277" s="592"/>
      <c r="MHA277" s="592"/>
      <c r="MHB277" s="592"/>
      <c r="MHC277" s="592"/>
      <c r="MHD277" s="592"/>
      <c r="MHE277" s="592"/>
      <c r="MHF277" s="592"/>
      <c r="MHG277" s="592"/>
      <c r="MHH277" s="592"/>
      <c r="MHI277" s="592"/>
      <c r="MHJ277" s="592"/>
      <c r="MHK277" s="592"/>
      <c r="MHL277" s="592"/>
      <c r="MHM277" s="592"/>
      <c r="MHN277" s="592"/>
      <c r="MHO277" s="592"/>
      <c r="MHP277" s="592"/>
      <c r="MHQ277" s="592"/>
      <c r="MHR277" s="592"/>
      <c r="MHS277" s="592"/>
      <c r="MHT277" s="592"/>
      <c r="MHU277" s="592"/>
      <c r="MHV277" s="592"/>
      <c r="MHW277" s="592"/>
      <c r="MHX277" s="592"/>
      <c r="MHY277" s="592"/>
      <c r="MHZ277" s="592"/>
      <c r="MIA277" s="592"/>
      <c r="MIB277" s="592"/>
      <c r="MIC277" s="592"/>
      <c r="MID277" s="592"/>
      <c r="MIE277" s="592"/>
      <c r="MIF277" s="592"/>
      <c r="MIG277" s="592"/>
      <c r="MIH277" s="592"/>
      <c r="MII277" s="592"/>
      <c r="MIJ277" s="592"/>
      <c r="MIK277" s="592"/>
      <c r="MIL277" s="592"/>
      <c r="MIM277" s="592"/>
      <c r="MIN277" s="592"/>
      <c r="MIO277" s="592"/>
      <c r="MIP277" s="592"/>
      <c r="MIQ277" s="592"/>
      <c r="MIR277" s="592"/>
      <c r="MIS277" s="592"/>
      <c r="MIT277" s="592"/>
      <c r="MIU277" s="592"/>
      <c r="MIV277" s="592"/>
      <c r="MIW277" s="592"/>
      <c r="MIX277" s="592"/>
      <c r="MIY277" s="592"/>
      <c r="MIZ277" s="592"/>
      <c r="MJA277" s="592"/>
      <c r="MJB277" s="592"/>
      <c r="MJC277" s="592"/>
      <c r="MJD277" s="592"/>
      <c r="MJE277" s="592"/>
      <c r="MJF277" s="592"/>
      <c r="MJG277" s="592"/>
      <c r="MJH277" s="592"/>
      <c r="MJI277" s="592"/>
      <c r="MJJ277" s="592"/>
      <c r="MJK277" s="592"/>
      <c r="MJL277" s="592"/>
      <c r="MJM277" s="592"/>
      <c r="MJN277" s="592"/>
      <c r="MJO277" s="592"/>
      <c r="MJP277" s="592"/>
      <c r="MJQ277" s="592"/>
      <c r="MJR277" s="592"/>
      <c r="MJS277" s="592"/>
      <c r="MJT277" s="592"/>
      <c r="MJU277" s="592"/>
      <c r="MJV277" s="592"/>
      <c r="MJW277" s="592"/>
      <c r="MJX277" s="592"/>
      <c r="MJY277" s="592"/>
      <c r="MJZ277" s="592"/>
      <c r="MKA277" s="592"/>
      <c r="MKB277" s="592"/>
      <c r="MKC277" s="592"/>
      <c r="MKD277" s="592"/>
      <c r="MKE277" s="592"/>
      <c r="MKF277" s="592"/>
      <c r="MKG277" s="592"/>
      <c r="MKH277" s="592"/>
      <c r="MKI277" s="592"/>
      <c r="MKJ277" s="592"/>
      <c r="MKK277" s="592"/>
      <c r="MKL277" s="592"/>
      <c r="MKM277" s="592"/>
      <c r="MKN277" s="592"/>
      <c r="MKO277" s="592"/>
      <c r="MKP277" s="592"/>
      <c r="MKQ277" s="592"/>
      <c r="MKR277" s="592"/>
      <c r="MKS277" s="592"/>
      <c r="MKT277" s="592"/>
      <c r="MKU277" s="592"/>
      <c r="MKV277" s="592"/>
      <c r="MKW277" s="592"/>
      <c r="MKX277" s="592"/>
      <c r="MKY277" s="592"/>
      <c r="MKZ277" s="592"/>
      <c r="MLA277" s="592"/>
      <c r="MLB277" s="592"/>
      <c r="MLC277" s="592"/>
      <c r="MLD277" s="592"/>
      <c r="MLE277" s="592"/>
      <c r="MLF277" s="592"/>
      <c r="MLG277" s="592"/>
      <c r="MLH277" s="592"/>
      <c r="MLI277" s="592"/>
      <c r="MLJ277" s="592"/>
      <c r="MLK277" s="592"/>
      <c r="MLL277" s="592"/>
      <c r="MLM277" s="592"/>
      <c r="MLN277" s="592"/>
      <c r="MLO277" s="592"/>
      <c r="MLP277" s="592"/>
      <c r="MLQ277" s="592"/>
      <c r="MLR277" s="592"/>
      <c r="MLS277" s="592"/>
      <c r="MLT277" s="592"/>
      <c r="MLU277" s="592"/>
      <c r="MLV277" s="592"/>
      <c r="MLW277" s="592"/>
      <c r="MLX277" s="592"/>
      <c r="MLY277" s="592"/>
      <c r="MLZ277" s="592"/>
      <c r="MMA277" s="592"/>
      <c r="MMB277" s="592"/>
      <c r="MMC277" s="592"/>
      <c r="MMD277" s="592"/>
      <c r="MME277" s="592"/>
      <c r="MMF277" s="592"/>
      <c r="MMG277" s="592"/>
      <c r="MMH277" s="592"/>
      <c r="MMI277" s="592"/>
      <c r="MMJ277" s="592"/>
      <c r="MMK277" s="592"/>
      <c r="MML277" s="592"/>
      <c r="MMM277" s="592"/>
      <c r="MMN277" s="592"/>
      <c r="MMO277" s="592"/>
      <c r="MMP277" s="592"/>
      <c r="MMQ277" s="592"/>
      <c r="MMR277" s="592"/>
      <c r="MMS277" s="592"/>
      <c r="MMT277" s="592"/>
      <c r="MMU277" s="592"/>
      <c r="MMV277" s="592"/>
      <c r="MMW277" s="592"/>
      <c r="MMX277" s="592"/>
      <c r="MMY277" s="592"/>
      <c r="MMZ277" s="592"/>
      <c r="MNA277" s="592"/>
      <c r="MNB277" s="592"/>
      <c r="MNC277" s="592"/>
      <c r="MND277" s="592"/>
      <c r="MNE277" s="592"/>
      <c r="MNF277" s="592"/>
      <c r="MNG277" s="592"/>
      <c r="MNH277" s="592"/>
      <c r="MNI277" s="592"/>
      <c r="MNJ277" s="592"/>
      <c r="MNK277" s="592"/>
      <c r="MNL277" s="592"/>
      <c r="MNM277" s="592"/>
      <c r="MNN277" s="592"/>
      <c r="MNO277" s="592"/>
      <c r="MNP277" s="592"/>
      <c r="MNQ277" s="592"/>
      <c r="MNR277" s="592"/>
      <c r="MNS277" s="592"/>
      <c r="MNT277" s="592"/>
      <c r="MNU277" s="592"/>
      <c r="MNV277" s="592"/>
      <c r="MNW277" s="592"/>
      <c r="MNX277" s="592"/>
      <c r="MNY277" s="592"/>
      <c r="MNZ277" s="592"/>
      <c r="MOA277" s="592"/>
      <c r="MOB277" s="592"/>
      <c r="MOC277" s="592"/>
      <c r="MOD277" s="592"/>
      <c r="MOE277" s="592"/>
      <c r="MOF277" s="592"/>
      <c r="MOG277" s="592"/>
      <c r="MOH277" s="592"/>
      <c r="MOI277" s="592"/>
      <c r="MOJ277" s="592"/>
      <c r="MOK277" s="592"/>
      <c r="MOL277" s="592"/>
      <c r="MOM277" s="592"/>
      <c r="MON277" s="592"/>
      <c r="MOO277" s="592"/>
      <c r="MOP277" s="592"/>
      <c r="MOQ277" s="592"/>
      <c r="MOR277" s="592"/>
      <c r="MOS277" s="592"/>
      <c r="MOT277" s="592"/>
      <c r="MOU277" s="592"/>
      <c r="MOV277" s="592"/>
      <c r="MOW277" s="592"/>
      <c r="MOX277" s="592"/>
      <c r="MOY277" s="592"/>
      <c r="MOZ277" s="592"/>
      <c r="MPA277" s="592"/>
      <c r="MPB277" s="592"/>
      <c r="MPC277" s="592"/>
      <c r="MPD277" s="592"/>
      <c r="MPE277" s="592"/>
      <c r="MPF277" s="592"/>
      <c r="MPG277" s="592"/>
      <c r="MPH277" s="592"/>
      <c r="MPI277" s="592"/>
      <c r="MPJ277" s="592"/>
      <c r="MPK277" s="592"/>
      <c r="MPL277" s="592"/>
      <c r="MPM277" s="592"/>
      <c r="MPN277" s="592"/>
      <c r="MPO277" s="592"/>
      <c r="MPP277" s="592"/>
      <c r="MPQ277" s="592"/>
      <c r="MPR277" s="592"/>
      <c r="MPS277" s="592"/>
      <c r="MPT277" s="592"/>
      <c r="MPU277" s="592"/>
      <c r="MPV277" s="592"/>
      <c r="MPW277" s="592"/>
      <c r="MPX277" s="592"/>
      <c r="MPY277" s="592"/>
      <c r="MPZ277" s="592"/>
      <c r="MQA277" s="592"/>
      <c r="MQB277" s="592"/>
      <c r="MQC277" s="592"/>
      <c r="MQD277" s="592"/>
      <c r="MQE277" s="592"/>
      <c r="MQF277" s="592"/>
      <c r="MQG277" s="592"/>
      <c r="MQH277" s="592"/>
      <c r="MQI277" s="592"/>
      <c r="MQJ277" s="592"/>
      <c r="MQK277" s="592"/>
      <c r="MQL277" s="592"/>
      <c r="MQM277" s="592"/>
      <c r="MQN277" s="592"/>
      <c r="MQO277" s="592"/>
      <c r="MQP277" s="592"/>
      <c r="MQQ277" s="592"/>
      <c r="MQR277" s="592"/>
      <c r="MQS277" s="592"/>
      <c r="MQT277" s="592"/>
      <c r="MQU277" s="592"/>
      <c r="MQV277" s="592"/>
      <c r="MQW277" s="592"/>
      <c r="MQX277" s="592"/>
      <c r="MQY277" s="592"/>
      <c r="MQZ277" s="592"/>
      <c r="MRA277" s="592"/>
      <c r="MRB277" s="592"/>
      <c r="MRC277" s="592"/>
      <c r="MRD277" s="592"/>
      <c r="MRE277" s="592"/>
      <c r="MRF277" s="592"/>
      <c r="MRG277" s="592"/>
      <c r="MRH277" s="592"/>
      <c r="MRI277" s="592"/>
      <c r="MRJ277" s="592"/>
      <c r="MRK277" s="592"/>
      <c r="MRL277" s="592"/>
      <c r="MRM277" s="592"/>
      <c r="MRN277" s="592"/>
      <c r="MRO277" s="592"/>
      <c r="MRP277" s="592"/>
      <c r="MRQ277" s="592"/>
      <c r="MRR277" s="592"/>
      <c r="MRS277" s="592"/>
      <c r="MRT277" s="592"/>
      <c r="MRU277" s="592"/>
      <c r="MRV277" s="592"/>
      <c r="MRW277" s="592"/>
      <c r="MRX277" s="592"/>
      <c r="MRY277" s="592"/>
      <c r="MRZ277" s="592"/>
      <c r="MSA277" s="592"/>
      <c r="MSB277" s="592"/>
      <c r="MSC277" s="592"/>
      <c r="MSD277" s="592"/>
      <c r="MSE277" s="592"/>
      <c r="MSF277" s="592"/>
      <c r="MSG277" s="592"/>
      <c r="MSH277" s="592"/>
      <c r="MSI277" s="592"/>
      <c r="MSJ277" s="592"/>
      <c r="MSK277" s="592"/>
      <c r="MSL277" s="592"/>
      <c r="MSM277" s="592"/>
      <c r="MSN277" s="592"/>
      <c r="MSO277" s="592"/>
      <c r="MSP277" s="592"/>
      <c r="MSQ277" s="592"/>
      <c r="MSR277" s="592"/>
      <c r="MSS277" s="592"/>
      <c r="MST277" s="592"/>
      <c r="MSU277" s="592"/>
      <c r="MSV277" s="592"/>
      <c r="MSW277" s="592"/>
      <c r="MSX277" s="592"/>
      <c r="MSY277" s="592"/>
      <c r="MSZ277" s="592"/>
      <c r="MTA277" s="592"/>
      <c r="MTB277" s="592"/>
      <c r="MTC277" s="592"/>
      <c r="MTD277" s="592"/>
      <c r="MTE277" s="592"/>
      <c r="MTF277" s="592"/>
      <c r="MTG277" s="592"/>
      <c r="MTH277" s="592"/>
      <c r="MTI277" s="592"/>
      <c r="MTJ277" s="592"/>
      <c r="MTK277" s="592"/>
      <c r="MTL277" s="592"/>
      <c r="MTM277" s="592"/>
      <c r="MTN277" s="592"/>
      <c r="MTO277" s="592"/>
      <c r="MTP277" s="592"/>
      <c r="MTQ277" s="592"/>
      <c r="MTR277" s="592"/>
      <c r="MTS277" s="592"/>
      <c r="MTT277" s="592"/>
      <c r="MTU277" s="592"/>
      <c r="MTV277" s="592"/>
      <c r="MTW277" s="592"/>
      <c r="MTX277" s="592"/>
      <c r="MTY277" s="592"/>
      <c r="MTZ277" s="592"/>
      <c r="MUA277" s="592"/>
      <c r="MUB277" s="592"/>
      <c r="MUC277" s="592"/>
      <c r="MUD277" s="592"/>
      <c r="MUE277" s="592"/>
      <c r="MUF277" s="592"/>
      <c r="MUG277" s="592"/>
      <c r="MUH277" s="592"/>
      <c r="MUI277" s="592"/>
      <c r="MUJ277" s="592"/>
      <c r="MUK277" s="592"/>
      <c r="MUL277" s="592"/>
      <c r="MUM277" s="592"/>
      <c r="MUN277" s="592"/>
      <c r="MUO277" s="592"/>
      <c r="MUP277" s="592"/>
      <c r="MUQ277" s="592"/>
      <c r="MUR277" s="592"/>
      <c r="MUS277" s="592"/>
      <c r="MUT277" s="592"/>
      <c r="MUU277" s="592"/>
      <c r="MUV277" s="592"/>
      <c r="MUW277" s="592"/>
      <c r="MUX277" s="592"/>
      <c r="MUY277" s="592"/>
      <c r="MUZ277" s="592"/>
      <c r="MVA277" s="592"/>
      <c r="MVB277" s="592"/>
      <c r="MVC277" s="592"/>
      <c r="MVD277" s="592"/>
      <c r="MVE277" s="592"/>
      <c r="MVF277" s="592"/>
      <c r="MVG277" s="592"/>
      <c r="MVH277" s="592"/>
      <c r="MVI277" s="592"/>
      <c r="MVJ277" s="592"/>
      <c r="MVK277" s="592"/>
      <c r="MVL277" s="592"/>
      <c r="MVM277" s="592"/>
      <c r="MVN277" s="592"/>
      <c r="MVO277" s="592"/>
      <c r="MVP277" s="592"/>
      <c r="MVQ277" s="592"/>
      <c r="MVR277" s="592"/>
      <c r="MVS277" s="592"/>
      <c r="MVT277" s="592"/>
      <c r="MVU277" s="592"/>
      <c r="MVV277" s="592"/>
      <c r="MVW277" s="592"/>
      <c r="MVX277" s="592"/>
      <c r="MVY277" s="592"/>
      <c r="MVZ277" s="592"/>
      <c r="MWA277" s="592"/>
      <c r="MWB277" s="592"/>
      <c r="MWC277" s="592"/>
      <c r="MWD277" s="592"/>
      <c r="MWE277" s="592"/>
      <c r="MWF277" s="592"/>
      <c r="MWG277" s="592"/>
      <c r="MWH277" s="592"/>
      <c r="MWI277" s="592"/>
      <c r="MWJ277" s="592"/>
      <c r="MWK277" s="592"/>
      <c r="MWL277" s="592"/>
      <c r="MWM277" s="592"/>
      <c r="MWN277" s="592"/>
      <c r="MWO277" s="592"/>
      <c r="MWP277" s="592"/>
      <c r="MWQ277" s="592"/>
      <c r="MWR277" s="592"/>
      <c r="MWS277" s="592"/>
      <c r="MWT277" s="592"/>
      <c r="MWU277" s="592"/>
      <c r="MWV277" s="592"/>
      <c r="MWW277" s="592"/>
      <c r="MWX277" s="592"/>
      <c r="MWY277" s="592"/>
      <c r="MWZ277" s="592"/>
      <c r="MXA277" s="592"/>
      <c r="MXB277" s="592"/>
      <c r="MXC277" s="592"/>
      <c r="MXD277" s="592"/>
      <c r="MXE277" s="592"/>
      <c r="MXF277" s="592"/>
      <c r="MXG277" s="592"/>
      <c r="MXH277" s="592"/>
      <c r="MXI277" s="592"/>
      <c r="MXJ277" s="592"/>
      <c r="MXK277" s="592"/>
      <c r="MXL277" s="592"/>
      <c r="MXM277" s="592"/>
      <c r="MXN277" s="592"/>
      <c r="MXO277" s="592"/>
      <c r="MXP277" s="592"/>
      <c r="MXQ277" s="592"/>
      <c r="MXR277" s="592"/>
      <c r="MXS277" s="592"/>
      <c r="MXT277" s="592"/>
      <c r="MXU277" s="592"/>
      <c r="MXV277" s="592"/>
      <c r="MXW277" s="592"/>
      <c r="MXX277" s="592"/>
      <c r="MXY277" s="592"/>
      <c r="MXZ277" s="592"/>
      <c r="MYA277" s="592"/>
      <c r="MYB277" s="592"/>
      <c r="MYC277" s="592"/>
      <c r="MYD277" s="592"/>
      <c r="MYE277" s="592"/>
      <c r="MYF277" s="592"/>
      <c r="MYG277" s="592"/>
      <c r="MYH277" s="592"/>
      <c r="MYI277" s="592"/>
      <c r="MYJ277" s="592"/>
      <c r="MYK277" s="592"/>
      <c r="MYL277" s="592"/>
      <c r="MYM277" s="592"/>
      <c r="MYN277" s="592"/>
      <c r="MYO277" s="592"/>
      <c r="MYP277" s="592"/>
      <c r="MYQ277" s="592"/>
      <c r="MYR277" s="592"/>
      <c r="MYS277" s="592"/>
      <c r="MYT277" s="592"/>
      <c r="MYU277" s="592"/>
      <c r="MYV277" s="592"/>
      <c r="MYW277" s="592"/>
      <c r="MYX277" s="592"/>
      <c r="MYY277" s="592"/>
      <c r="MYZ277" s="592"/>
      <c r="MZA277" s="592"/>
      <c r="MZB277" s="592"/>
      <c r="MZC277" s="592"/>
      <c r="MZD277" s="592"/>
      <c r="MZE277" s="592"/>
      <c r="MZF277" s="592"/>
      <c r="MZG277" s="592"/>
      <c r="MZH277" s="592"/>
      <c r="MZI277" s="592"/>
      <c r="MZJ277" s="592"/>
      <c r="MZK277" s="592"/>
      <c r="MZL277" s="592"/>
      <c r="MZM277" s="592"/>
      <c r="MZN277" s="592"/>
      <c r="MZO277" s="592"/>
      <c r="MZP277" s="592"/>
      <c r="MZQ277" s="592"/>
      <c r="MZR277" s="592"/>
      <c r="MZS277" s="592"/>
      <c r="MZT277" s="592"/>
      <c r="MZU277" s="592"/>
      <c r="MZV277" s="592"/>
      <c r="MZW277" s="592"/>
      <c r="MZX277" s="592"/>
      <c r="MZY277" s="592"/>
      <c r="MZZ277" s="592"/>
      <c r="NAA277" s="592"/>
      <c r="NAB277" s="592"/>
      <c r="NAC277" s="592"/>
      <c r="NAD277" s="592"/>
      <c r="NAE277" s="592"/>
      <c r="NAF277" s="592"/>
      <c r="NAG277" s="592"/>
      <c r="NAH277" s="592"/>
      <c r="NAI277" s="592"/>
      <c r="NAJ277" s="592"/>
      <c r="NAK277" s="592"/>
      <c r="NAL277" s="592"/>
      <c r="NAM277" s="592"/>
      <c r="NAN277" s="592"/>
      <c r="NAO277" s="592"/>
      <c r="NAP277" s="592"/>
      <c r="NAQ277" s="592"/>
      <c r="NAR277" s="592"/>
      <c r="NAS277" s="592"/>
      <c r="NAT277" s="592"/>
      <c r="NAU277" s="592"/>
      <c r="NAV277" s="592"/>
      <c r="NAW277" s="592"/>
      <c r="NAX277" s="592"/>
      <c r="NAY277" s="592"/>
      <c r="NAZ277" s="592"/>
      <c r="NBA277" s="592"/>
      <c r="NBB277" s="592"/>
      <c r="NBC277" s="592"/>
      <c r="NBD277" s="592"/>
      <c r="NBE277" s="592"/>
      <c r="NBF277" s="592"/>
      <c r="NBG277" s="592"/>
      <c r="NBH277" s="592"/>
      <c r="NBI277" s="592"/>
      <c r="NBJ277" s="592"/>
      <c r="NBK277" s="592"/>
      <c r="NBL277" s="592"/>
      <c r="NBM277" s="592"/>
      <c r="NBN277" s="592"/>
      <c r="NBO277" s="592"/>
      <c r="NBP277" s="592"/>
      <c r="NBQ277" s="592"/>
      <c r="NBR277" s="592"/>
      <c r="NBS277" s="592"/>
      <c r="NBT277" s="592"/>
      <c r="NBU277" s="592"/>
      <c r="NBV277" s="592"/>
      <c r="NBW277" s="592"/>
      <c r="NBX277" s="592"/>
      <c r="NBY277" s="592"/>
      <c r="NBZ277" s="592"/>
      <c r="NCA277" s="592"/>
      <c r="NCB277" s="592"/>
      <c r="NCC277" s="592"/>
      <c r="NCD277" s="592"/>
      <c r="NCE277" s="592"/>
      <c r="NCF277" s="592"/>
      <c r="NCG277" s="592"/>
      <c r="NCH277" s="592"/>
      <c r="NCI277" s="592"/>
      <c r="NCJ277" s="592"/>
      <c r="NCK277" s="592"/>
      <c r="NCL277" s="592"/>
      <c r="NCM277" s="592"/>
      <c r="NCN277" s="592"/>
      <c r="NCO277" s="592"/>
      <c r="NCP277" s="592"/>
      <c r="NCQ277" s="592"/>
      <c r="NCR277" s="592"/>
      <c r="NCS277" s="592"/>
      <c r="NCT277" s="592"/>
      <c r="NCU277" s="592"/>
      <c r="NCV277" s="592"/>
      <c r="NCW277" s="592"/>
      <c r="NCX277" s="592"/>
      <c r="NCY277" s="592"/>
      <c r="NCZ277" s="592"/>
      <c r="NDA277" s="592"/>
      <c r="NDB277" s="592"/>
      <c r="NDC277" s="592"/>
      <c r="NDD277" s="592"/>
      <c r="NDE277" s="592"/>
      <c r="NDF277" s="592"/>
      <c r="NDG277" s="592"/>
      <c r="NDH277" s="592"/>
      <c r="NDI277" s="592"/>
      <c r="NDJ277" s="592"/>
      <c r="NDK277" s="592"/>
      <c r="NDL277" s="592"/>
      <c r="NDM277" s="592"/>
      <c r="NDN277" s="592"/>
      <c r="NDO277" s="592"/>
      <c r="NDP277" s="592"/>
      <c r="NDQ277" s="592"/>
      <c r="NDR277" s="592"/>
      <c r="NDS277" s="592"/>
      <c r="NDT277" s="592"/>
      <c r="NDU277" s="592"/>
      <c r="NDV277" s="592"/>
      <c r="NDW277" s="592"/>
      <c r="NDX277" s="592"/>
      <c r="NDY277" s="592"/>
      <c r="NDZ277" s="592"/>
      <c r="NEA277" s="592"/>
      <c r="NEB277" s="592"/>
      <c r="NEC277" s="592"/>
      <c r="NED277" s="592"/>
      <c r="NEE277" s="592"/>
      <c r="NEF277" s="592"/>
      <c r="NEG277" s="592"/>
      <c r="NEH277" s="592"/>
      <c r="NEI277" s="592"/>
      <c r="NEJ277" s="592"/>
      <c r="NEK277" s="592"/>
      <c r="NEL277" s="592"/>
      <c r="NEM277" s="592"/>
      <c r="NEN277" s="592"/>
      <c r="NEO277" s="592"/>
      <c r="NEP277" s="592"/>
      <c r="NEQ277" s="592"/>
      <c r="NER277" s="592"/>
      <c r="NES277" s="592"/>
      <c r="NET277" s="592"/>
      <c r="NEU277" s="592"/>
      <c r="NEV277" s="592"/>
      <c r="NEW277" s="592"/>
      <c r="NEX277" s="592"/>
      <c r="NEY277" s="592"/>
      <c r="NEZ277" s="592"/>
      <c r="NFA277" s="592"/>
      <c r="NFB277" s="592"/>
      <c r="NFC277" s="592"/>
      <c r="NFD277" s="592"/>
      <c r="NFE277" s="592"/>
      <c r="NFF277" s="592"/>
      <c r="NFG277" s="592"/>
      <c r="NFH277" s="592"/>
      <c r="NFI277" s="592"/>
      <c r="NFJ277" s="592"/>
      <c r="NFK277" s="592"/>
      <c r="NFL277" s="592"/>
      <c r="NFM277" s="592"/>
      <c r="NFN277" s="592"/>
      <c r="NFO277" s="592"/>
      <c r="NFP277" s="592"/>
      <c r="NFQ277" s="592"/>
      <c r="NFR277" s="592"/>
      <c r="NFS277" s="592"/>
      <c r="NFT277" s="592"/>
      <c r="NFU277" s="592"/>
      <c r="NFV277" s="592"/>
      <c r="NFW277" s="592"/>
      <c r="NFX277" s="592"/>
      <c r="NFY277" s="592"/>
      <c r="NFZ277" s="592"/>
      <c r="NGA277" s="592"/>
      <c r="NGB277" s="592"/>
      <c r="NGC277" s="592"/>
      <c r="NGD277" s="592"/>
      <c r="NGE277" s="592"/>
      <c r="NGF277" s="592"/>
      <c r="NGG277" s="592"/>
      <c r="NGH277" s="592"/>
      <c r="NGI277" s="592"/>
      <c r="NGJ277" s="592"/>
      <c r="NGK277" s="592"/>
      <c r="NGL277" s="592"/>
      <c r="NGM277" s="592"/>
      <c r="NGN277" s="592"/>
      <c r="NGO277" s="592"/>
      <c r="NGP277" s="592"/>
      <c r="NGQ277" s="592"/>
      <c r="NGR277" s="592"/>
      <c r="NGS277" s="592"/>
      <c r="NGT277" s="592"/>
      <c r="NGU277" s="592"/>
      <c r="NGV277" s="592"/>
      <c r="NGW277" s="592"/>
      <c r="NGX277" s="592"/>
      <c r="NGY277" s="592"/>
      <c r="NGZ277" s="592"/>
      <c r="NHA277" s="592"/>
      <c r="NHB277" s="592"/>
      <c r="NHC277" s="592"/>
      <c r="NHD277" s="592"/>
      <c r="NHE277" s="592"/>
      <c r="NHF277" s="592"/>
      <c r="NHG277" s="592"/>
      <c r="NHH277" s="592"/>
      <c r="NHI277" s="592"/>
      <c r="NHJ277" s="592"/>
      <c r="NHK277" s="592"/>
      <c r="NHL277" s="592"/>
      <c r="NHM277" s="592"/>
      <c r="NHN277" s="592"/>
      <c r="NHO277" s="592"/>
      <c r="NHP277" s="592"/>
      <c r="NHQ277" s="592"/>
      <c r="NHR277" s="592"/>
      <c r="NHS277" s="592"/>
      <c r="NHT277" s="592"/>
      <c r="NHU277" s="592"/>
      <c r="NHV277" s="592"/>
      <c r="NHW277" s="592"/>
      <c r="NHX277" s="592"/>
      <c r="NHY277" s="592"/>
      <c r="NHZ277" s="592"/>
      <c r="NIA277" s="592"/>
      <c r="NIB277" s="592"/>
      <c r="NIC277" s="592"/>
      <c r="NID277" s="592"/>
      <c r="NIE277" s="592"/>
      <c r="NIF277" s="592"/>
      <c r="NIG277" s="592"/>
      <c r="NIH277" s="592"/>
      <c r="NII277" s="592"/>
      <c r="NIJ277" s="592"/>
      <c r="NIK277" s="592"/>
      <c r="NIL277" s="592"/>
      <c r="NIM277" s="592"/>
      <c r="NIN277" s="592"/>
      <c r="NIO277" s="592"/>
      <c r="NIP277" s="592"/>
      <c r="NIQ277" s="592"/>
      <c r="NIR277" s="592"/>
      <c r="NIS277" s="592"/>
      <c r="NIT277" s="592"/>
      <c r="NIU277" s="592"/>
      <c r="NIV277" s="592"/>
      <c r="NIW277" s="592"/>
      <c r="NIX277" s="592"/>
      <c r="NIY277" s="592"/>
      <c r="NIZ277" s="592"/>
      <c r="NJA277" s="592"/>
      <c r="NJB277" s="592"/>
      <c r="NJC277" s="592"/>
      <c r="NJD277" s="592"/>
      <c r="NJE277" s="592"/>
      <c r="NJF277" s="592"/>
      <c r="NJG277" s="592"/>
      <c r="NJH277" s="592"/>
      <c r="NJI277" s="592"/>
      <c r="NJJ277" s="592"/>
      <c r="NJK277" s="592"/>
      <c r="NJL277" s="592"/>
      <c r="NJM277" s="592"/>
      <c r="NJN277" s="592"/>
      <c r="NJO277" s="592"/>
      <c r="NJP277" s="592"/>
      <c r="NJQ277" s="592"/>
      <c r="NJR277" s="592"/>
      <c r="NJS277" s="592"/>
      <c r="NJT277" s="592"/>
      <c r="NJU277" s="592"/>
      <c r="NJV277" s="592"/>
      <c r="NJW277" s="592"/>
      <c r="NJX277" s="592"/>
      <c r="NJY277" s="592"/>
      <c r="NJZ277" s="592"/>
      <c r="NKA277" s="592"/>
      <c r="NKB277" s="592"/>
      <c r="NKC277" s="592"/>
      <c r="NKD277" s="592"/>
      <c r="NKE277" s="592"/>
      <c r="NKF277" s="592"/>
      <c r="NKG277" s="592"/>
      <c r="NKH277" s="592"/>
      <c r="NKI277" s="592"/>
      <c r="NKJ277" s="592"/>
      <c r="NKK277" s="592"/>
      <c r="NKL277" s="592"/>
      <c r="NKM277" s="592"/>
      <c r="NKN277" s="592"/>
      <c r="NKO277" s="592"/>
      <c r="NKP277" s="592"/>
      <c r="NKQ277" s="592"/>
      <c r="NKR277" s="592"/>
      <c r="NKS277" s="592"/>
      <c r="NKT277" s="592"/>
      <c r="NKU277" s="592"/>
      <c r="NKV277" s="592"/>
      <c r="NKW277" s="592"/>
      <c r="NKX277" s="592"/>
      <c r="NKY277" s="592"/>
      <c r="NKZ277" s="592"/>
      <c r="NLA277" s="592"/>
      <c r="NLB277" s="592"/>
      <c r="NLC277" s="592"/>
      <c r="NLD277" s="592"/>
      <c r="NLE277" s="592"/>
      <c r="NLF277" s="592"/>
      <c r="NLG277" s="592"/>
      <c r="NLH277" s="592"/>
      <c r="NLI277" s="592"/>
      <c r="NLJ277" s="592"/>
      <c r="NLK277" s="592"/>
      <c r="NLL277" s="592"/>
      <c r="NLM277" s="592"/>
      <c r="NLN277" s="592"/>
      <c r="NLO277" s="592"/>
      <c r="NLP277" s="592"/>
      <c r="NLQ277" s="592"/>
      <c r="NLR277" s="592"/>
      <c r="NLS277" s="592"/>
      <c r="NLT277" s="592"/>
      <c r="NLU277" s="592"/>
      <c r="NLV277" s="592"/>
      <c r="NLW277" s="592"/>
      <c r="NLX277" s="592"/>
      <c r="NLY277" s="592"/>
      <c r="NLZ277" s="592"/>
      <c r="NMA277" s="592"/>
      <c r="NMB277" s="592"/>
      <c r="NMC277" s="592"/>
      <c r="NMD277" s="592"/>
      <c r="NME277" s="592"/>
      <c r="NMF277" s="592"/>
      <c r="NMG277" s="592"/>
      <c r="NMH277" s="592"/>
      <c r="NMI277" s="592"/>
      <c r="NMJ277" s="592"/>
      <c r="NMK277" s="592"/>
      <c r="NML277" s="592"/>
      <c r="NMM277" s="592"/>
      <c r="NMN277" s="592"/>
      <c r="NMO277" s="592"/>
      <c r="NMP277" s="592"/>
      <c r="NMQ277" s="592"/>
      <c r="NMR277" s="592"/>
      <c r="NMS277" s="592"/>
      <c r="NMT277" s="592"/>
      <c r="NMU277" s="592"/>
      <c r="NMV277" s="592"/>
      <c r="NMW277" s="592"/>
      <c r="NMX277" s="592"/>
      <c r="NMY277" s="592"/>
      <c r="NMZ277" s="592"/>
      <c r="NNA277" s="592"/>
      <c r="NNB277" s="592"/>
      <c r="NNC277" s="592"/>
      <c r="NND277" s="592"/>
      <c r="NNE277" s="592"/>
      <c r="NNF277" s="592"/>
      <c r="NNG277" s="592"/>
      <c r="NNH277" s="592"/>
      <c r="NNI277" s="592"/>
      <c r="NNJ277" s="592"/>
      <c r="NNK277" s="592"/>
      <c r="NNL277" s="592"/>
      <c r="NNM277" s="592"/>
      <c r="NNN277" s="592"/>
      <c r="NNO277" s="592"/>
      <c r="NNP277" s="592"/>
      <c r="NNQ277" s="592"/>
      <c r="NNR277" s="592"/>
      <c r="NNS277" s="592"/>
      <c r="NNT277" s="592"/>
      <c r="NNU277" s="592"/>
      <c r="NNV277" s="592"/>
      <c r="NNW277" s="592"/>
      <c r="NNX277" s="592"/>
      <c r="NNY277" s="592"/>
      <c r="NNZ277" s="592"/>
      <c r="NOA277" s="592"/>
      <c r="NOB277" s="592"/>
      <c r="NOC277" s="592"/>
      <c r="NOD277" s="592"/>
      <c r="NOE277" s="592"/>
      <c r="NOF277" s="592"/>
      <c r="NOG277" s="592"/>
      <c r="NOH277" s="592"/>
      <c r="NOI277" s="592"/>
      <c r="NOJ277" s="592"/>
      <c r="NOK277" s="592"/>
      <c r="NOL277" s="592"/>
      <c r="NOM277" s="592"/>
      <c r="NON277" s="592"/>
      <c r="NOO277" s="592"/>
      <c r="NOP277" s="592"/>
      <c r="NOQ277" s="592"/>
      <c r="NOR277" s="592"/>
      <c r="NOS277" s="592"/>
      <c r="NOT277" s="592"/>
      <c r="NOU277" s="592"/>
      <c r="NOV277" s="592"/>
      <c r="NOW277" s="592"/>
      <c r="NOX277" s="592"/>
      <c r="NOY277" s="592"/>
      <c r="NOZ277" s="592"/>
      <c r="NPA277" s="592"/>
      <c r="NPB277" s="592"/>
      <c r="NPC277" s="592"/>
      <c r="NPD277" s="592"/>
      <c r="NPE277" s="592"/>
      <c r="NPF277" s="592"/>
      <c r="NPG277" s="592"/>
      <c r="NPH277" s="592"/>
      <c r="NPI277" s="592"/>
      <c r="NPJ277" s="592"/>
      <c r="NPK277" s="592"/>
      <c r="NPL277" s="592"/>
      <c r="NPM277" s="592"/>
      <c r="NPN277" s="592"/>
      <c r="NPO277" s="592"/>
      <c r="NPP277" s="592"/>
      <c r="NPQ277" s="592"/>
      <c r="NPR277" s="592"/>
      <c r="NPS277" s="592"/>
      <c r="NPT277" s="592"/>
      <c r="NPU277" s="592"/>
      <c r="NPV277" s="592"/>
      <c r="NPW277" s="592"/>
      <c r="NPX277" s="592"/>
      <c r="NPY277" s="592"/>
      <c r="NPZ277" s="592"/>
      <c r="NQA277" s="592"/>
      <c r="NQB277" s="592"/>
      <c r="NQC277" s="592"/>
      <c r="NQD277" s="592"/>
      <c r="NQE277" s="592"/>
      <c r="NQF277" s="592"/>
      <c r="NQG277" s="592"/>
      <c r="NQH277" s="592"/>
      <c r="NQI277" s="592"/>
      <c r="NQJ277" s="592"/>
      <c r="NQK277" s="592"/>
      <c r="NQL277" s="592"/>
      <c r="NQM277" s="592"/>
      <c r="NQN277" s="592"/>
      <c r="NQO277" s="592"/>
      <c r="NQP277" s="592"/>
      <c r="NQQ277" s="592"/>
      <c r="NQR277" s="592"/>
      <c r="NQS277" s="592"/>
      <c r="NQT277" s="592"/>
      <c r="NQU277" s="592"/>
      <c r="NQV277" s="592"/>
      <c r="NQW277" s="592"/>
      <c r="NQX277" s="592"/>
      <c r="NQY277" s="592"/>
      <c r="NQZ277" s="592"/>
      <c r="NRA277" s="592"/>
      <c r="NRB277" s="592"/>
      <c r="NRC277" s="592"/>
      <c r="NRD277" s="592"/>
      <c r="NRE277" s="592"/>
      <c r="NRF277" s="592"/>
      <c r="NRG277" s="592"/>
      <c r="NRH277" s="592"/>
      <c r="NRI277" s="592"/>
      <c r="NRJ277" s="592"/>
      <c r="NRK277" s="592"/>
      <c r="NRL277" s="592"/>
      <c r="NRM277" s="592"/>
      <c r="NRN277" s="592"/>
      <c r="NRO277" s="592"/>
      <c r="NRP277" s="592"/>
      <c r="NRQ277" s="592"/>
      <c r="NRR277" s="592"/>
      <c r="NRS277" s="592"/>
      <c r="NRT277" s="592"/>
      <c r="NRU277" s="592"/>
      <c r="NRV277" s="592"/>
      <c r="NRW277" s="592"/>
      <c r="NRX277" s="592"/>
      <c r="NRY277" s="592"/>
      <c r="NRZ277" s="592"/>
      <c r="NSA277" s="592"/>
      <c r="NSB277" s="592"/>
      <c r="NSC277" s="592"/>
      <c r="NSD277" s="592"/>
      <c r="NSE277" s="592"/>
      <c r="NSF277" s="592"/>
      <c r="NSG277" s="592"/>
      <c r="NSH277" s="592"/>
      <c r="NSI277" s="592"/>
      <c r="NSJ277" s="592"/>
      <c r="NSK277" s="592"/>
      <c r="NSL277" s="592"/>
      <c r="NSM277" s="592"/>
      <c r="NSN277" s="592"/>
      <c r="NSO277" s="592"/>
      <c r="NSP277" s="592"/>
      <c r="NSQ277" s="592"/>
      <c r="NSR277" s="592"/>
      <c r="NSS277" s="592"/>
      <c r="NST277" s="592"/>
      <c r="NSU277" s="592"/>
      <c r="NSV277" s="592"/>
      <c r="NSW277" s="592"/>
      <c r="NSX277" s="592"/>
      <c r="NSY277" s="592"/>
      <c r="NSZ277" s="592"/>
      <c r="NTA277" s="592"/>
      <c r="NTB277" s="592"/>
      <c r="NTC277" s="592"/>
      <c r="NTD277" s="592"/>
      <c r="NTE277" s="592"/>
      <c r="NTF277" s="592"/>
      <c r="NTG277" s="592"/>
      <c r="NTH277" s="592"/>
      <c r="NTI277" s="592"/>
      <c r="NTJ277" s="592"/>
      <c r="NTK277" s="592"/>
      <c r="NTL277" s="592"/>
      <c r="NTM277" s="592"/>
      <c r="NTN277" s="592"/>
      <c r="NTO277" s="592"/>
      <c r="NTP277" s="592"/>
      <c r="NTQ277" s="592"/>
      <c r="NTR277" s="592"/>
      <c r="NTS277" s="592"/>
      <c r="NTT277" s="592"/>
      <c r="NTU277" s="592"/>
      <c r="NTV277" s="592"/>
      <c r="NTW277" s="592"/>
      <c r="NTX277" s="592"/>
      <c r="NTY277" s="592"/>
      <c r="NTZ277" s="592"/>
      <c r="NUA277" s="592"/>
      <c r="NUB277" s="592"/>
      <c r="NUC277" s="592"/>
      <c r="NUD277" s="592"/>
      <c r="NUE277" s="592"/>
      <c r="NUF277" s="592"/>
      <c r="NUG277" s="592"/>
      <c r="NUH277" s="592"/>
      <c r="NUI277" s="592"/>
      <c r="NUJ277" s="592"/>
      <c r="NUK277" s="592"/>
      <c r="NUL277" s="592"/>
      <c r="NUM277" s="592"/>
      <c r="NUN277" s="592"/>
      <c r="NUO277" s="592"/>
      <c r="NUP277" s="592"/>
      <c r="NUQ277" s="592"/>
      <c r="NUR277" s="592"/>
      <c r="NUS277" s="592"/>
      <c r="NUT277" s="592"/>
      <c r="NUU277" s="592"/>
      <c r="NUV277" s="592"/>
      <c r="NUW277" s="592"/>
      <c r="NUX277" s="592"/>
      <c r="NUY277" s="592"/>
      <c r="NUZ277" s="592"/>
      <c r="NVA277" s="592"/>
      <c r="NVB277" s="592"/>
      <c r="NVC277" s="592"/>
      <c r="NVD277" s="592"/>
      <c r="NVE277" s="592"/>
      <c r="NVF277" s="592"/>
      <c r="NVG277" s="592"/>
      <c r="NVH277" s="592"/>
      <c r="NVI277" s="592"/>
      <c r="NVJ277" s="592"/>
      <c r="NVK277" s="592"/>
      <c r="NVL277" s="592"/>
      <c r="NVM277" s="592"/>
      <c r="NVN277" s="592"/>
      <c r="NVO277" s="592"/>
      <c r="NVP277" s="592"/>
      <c r="NVQ277" s="592"/>
      <c r="NVR277" s="592"/>
      <c r="NVS277" s="592"/>
      <c r="NVT277" s="592"/>
      <c r="NVU277" s="592"/>
      <c r="NVV277" s="592"/>
      <c r="NVW277" s="592"/>
      <c r="NVX277" s="592"/>
      <c r="NVY277" s="592"/>
      <c r="NVZ277" s="592"/>
      <c r="NWA277" s="592"/>
      <c r="NWB277" s="592"/>
      <c r="NWC277" s="592"/>
      <c r="NWD277" s="592"/>
      <c r="NWE277" s="592"/>
      <c r="NWF277" s="592"/>
      <c r="NWG277" s="592"/>
      <c r="NWH277" s="592"/>
      <c r="NWI277" s="592"/>
      <c r="NWJ277" s="592"/>
      <c r="NWK277" s="592"/>
      <c r="NWL277" s="592"/>
      <c r="NWM277" s="592"/>
      <c r="NWN277" s="592"/>
      <c r="NWO277" s="592"/>
      <c r="NWP277" s="592"/>
      <c r="NWQ277" s="592"/>
      <c r="NWR277" s="592"/>
      <c r="NWS277" s="592"/>
      <c r="NWT277" s="592"/>
      <c r="NWU277" s="592"/>
      <c r="NWV277" s="592"/>
      <c r="NWW277" s="592"/>
      <c r="NWX277" s="592"/>
      <c r="NWY277" s="592"/>
      <c r="NWZ277" s="592"/>
      <c r="NXA277" s="592"/>
      <c r="NXB277" s="592"/>
      <c r="NXC277" s="592"/>
      <c r="NXD277" s="592"/>
      <c r="NXE277" s="592"/>
      <c r="NXF277" s="592"/>
      <c r="NXG277" s="592"/>
      <c r="NXH277" s="592"/>
      <c r="NXI277" s="592"/>
      <c r="NXJ277" s="592"/>
      <c r="NXK277" s="592"/>
      <c r="NXL277" s="592"/>
      <c r="NXM277" s="592"/>
      <c r="NXN277" s="592"/>
      <c r="NXO277" s="592"/>
      <c r="NXP277" s="592"/>
      <c r="NXQ277" s="592"/>
      <c r="NXR277" s="592"/>
      <c r="NXS277" s="592"/>
      <c r="NXT277" s="592"/>
      <c r="NXU277" s="592"/>
      <c r="NXV277" s="592"/>
      <c r="NXW277" s="592"/>
      <c r="NXX277" s="592"/>
      <c r="NXY277" s="592"/>
      <c r="NXZ277" s="592"/>
      <c r="NYA277" s="592"/>
      <c r="NYB277" s="592"/>
      <c r="NYC277" s="592"/>
      <c r="NYD277" s="592"/>
      <c r="NYE277" s="592"/>
      <c r="NYF277" s="592"/>
      <c r="NYG277" s="592"/>
      <c r="NYH277" s="592"/>
      <c r="NYI277" s="592"/>
      <c r="NYJ277" s="592"/>
      <c r="NYK277" s="592"/>
      <c r="NYL277" s="592"/>
      <c r="NYM277" s="592"/>
      <c r="NYN277" s="592"/>
      <c r="NYO277" s="592"/>
      <c r="NYP277" s="592"/>
      <c r="NYQ277" s="592"/>
      <c r="NYR277" s="592"/>
      <c r="NYS277" s="592"/>
      <c r="NYT277" s="592"/>
      <c r="NYU277" s="592"/>
      <c r="NYV277" s="592"/>
      <c r="NYW277" s="592"/>
      <c r="NYX277" s="592"/>
      <c r="NYY277" s="592"/>
      <c r="NYZ277" s="592"/>
      <c r="NZA277" s="592"/>
      <c r="NZB277" s="592"/>
      <c r="NZC277" s="592"/>
      <c r="NZD277" s="592"/>
      <c r="NZE277" s="592"/>
      <c r="NZF277" s="592"/>
      <c r="NZG277" s="592"/>
      <c r="NZH277" s="592"/>
      <c r="NZI277" s="592"/>
      <c r="NZJ277" s="592"/>
      <c r="NZK277" s="592"/>
      <c r="NZL277" s="592"/>
      <c r="NZM277" s="592"/>
      <c r="NZN277" s="592"/>
      <c r="NZO277" s="592"/>
      <c r="NZP277" s="592"/>
      <c r="NZQ277" s="592"/>
      <c r="NZR277" s="592"/>
      <c r="NZS277" s="592"/>
      <c r="NZT277" s="592"/>
      <c r="NZU277" s="592"/>
      <c r="NZV277" s="592"/>
      <c r="NZW277" s="592"/>
      <c r="NZX277" s="592"/>
      <c r="NZY277" s="592"/>
      <c r="NZZ277" s="592"/>
      <c r="OAA277" s="592"/>
      <c r="OAB277" s="592"/>
      <c r="OAC277" s="592"/>
      <c r="OAD277" s="592"/>
      <c r="OAE277" s="592"/>
      <c r="OAF277" s="592"/>
      <c r="OAG277" s="592"/>
      <c r="OAH277" s="592"/>
      <c r="OAI277" s="592"/>
      <c r="OAJ277" s="592"/>
      <c r="OAK277" s="592"/>
      <c r="OAL277" s="592"/>
      <c r="OAM277" s="592"/>
      <c r="OAN277" s="592"/>
      <c r="OAO277" s="592"/>
      <c r="OAP277" s="592"/>
      <c r="OAQ277" s="592"/>
      <c r="OAR277" s="592"/>
      <c r="OAS277" s="592"/>
      <c r="OAT277" s="592"/>
      <c r="OAU277" s="592"/>
      <c r="OAV277" s="592"/>
      <c r="OAW277" s="592"/>
      <c r="OAX277" s="592"/>
      <c r="OAY277" s="592"/>
      <c r="OAZ277" s="592"/>
      <c r="OBA277" s="592"/>
      <c r="OBB277" s="592"/>
      <c r="OBC277" s="592"/>
      <c r="OBD277" s="592"/>
      <c r="OBE277" s="592"/>
      <c r="OBF277" s="592"/>
      <c r="OBG277" s="592"/>
      <c r="OBH277" s="592"/>
      <c r="OBI277" s="592"/>
      <c r="OBJ277" s="592"/>
      <c r="OBK277" s="592"/>
      <c r="OBL277" s="592"/>
      <c r="OBM277" s="592"/>
      <c r="OBN277" s="592"/>
      <c r="OBO277" s="592"/>
      <c r="OBP277" s="592"/>
      <c r="OBQ277" s="592"/>
      <c r="OBR277" s="592"/>
      <c r="OBS277" s="592"/>
      <c r="OBT277" s="592"/>
      <c r="OBU277" s="592"/>
      <c r="OBV277" s="592"/>
      <c r="OBW277" s="592"/>
      <c r="OBX277" s="592"/>
      <c r="OBY277" s="592"/>
      <c r="OBZ277" s="592"/>
      <c r="OCA277" s="592"/>
      <c r="OCB277" s="592"/>
      <c r="OCC277" s="592"/>
      <c r="OCD277" s="592"/>
      <c r="OCE277" s="592"/>
      <c r="OCF277" s="592"/>
      <c r="OCG277" s="592"/>
      <c r="OCH277" s="592"/>
      <c r="OCI277" s="592"/>
      <c r="OCJ277" s="592"/>
      <c r="OCK277" s="592"/>
      <c r="OCL277" s="592"/>
      <c r="OCM277" s="592"/>
      <c r="OCN277" s="592"/>
      <c r="OCO277" s="592"/>
      <c r="OCP277" s="592"/>
      <c r="OCQ277" s="592"/>
      <c r="OCR277" s="592"/>
      <c r="OCS277" s="592"/>
      <c r="OCT277" s="592"/>
      <c r="OCU277" s="592"/>
      <c r="OCV277" s="592"/>
      <c r="OCW277" s="592"/>
      <c r="OCX277" s="592"/>
      <c r="OCY277" s="592"/>
      <c r="OCZ277" s="592"/>
      <c r="ODA277" s="592"/>
      <c r="ODB277" s="592"/>
      <c r="ODC277" s="592"/>
      <c r="ODD277" s="592"/>
      <c r="ODE277" s="592"/>
      <c r="ODF277" s="592"/>
      <c r="ODG277" s="592"/>
      <c r="ODH277" s="592"/>
      <c r="ODI277" s="592"/>
      <c r="ODJ277" s="592"/>
      <c r="ODK277" s="592"/>
      <c r="ODL277" s="592"/>
      <c r="ODM277" s="592"/>
      <c r="ODN277" s="592"/>
      <c r="ODO277" s="592"/>
      <c r="ODP277" s="592"/>
      <c r="ODQ277" s="592"/>
      <c r="ODR277" s="592"/>
      <c r="ODS277" s="592"/>
      <c r="ODT277" s="592"/>
      <c r="ODU277" s="592"/>
      <c r="ODV277" s="592"/>
      <c r="ODW277" s="592"/>
      <c r="ODX277" s="592"/>
      <c r="ODY277" s="592"/>
      <c r="ODZ277" s="592"/>
      <c r="OEA277" s="592"/>
      <c r="OEB277" s="592"/>
      <c r="OEC277" s="592"/>
      <c r="OED277" s="592"/>
      <c r="OEE277" s="592"/>
      <c r="OEF277" s="592"/>
      <c r="OEG277" s="592"/>
      <c r="OEH277" s="592"/>
      <c r="OEI277" s="592"/>
      <c r="OEJ277" s="592"/>
      <c r="OEK277" s="592"/>
      <c r="OEL277" s="592"/>
      <c r="OEM277" s="592"/>
      <c r="OEN277" s="592"/>
      <c r="OEO277" s="592"/>
      <c r="OEP277" s="592"/>
      <c r="OEQ277" s="592"/>
      <c r="OER277" s="592"/>
      <c r="OES277" s="592"/>
      <c r="OET277" s="592"/>
      <c r="OEU277" s="592"/>
      <c r="OEV277" s="592"/>
      <c r="OEW277" s="592"/>
      <c r="OEX277" s="592"/>
      <c r="OEY277" s="592"/>
      <c r="OEZ277" s="592"/>
      <c r="OFA277" s="592"/>
      <c r="OFB277" s="592"/>
      <c r="OFC277" s="592"/>
      <c r="OFD277" s="592"/>
      <c r="OFE277" s="592"/>
      <c r="OFF277" s="592"/>
      <c r="OFG277" s="592"/>
      <c r="OFH277" s="592"/>
      <c r="OFI277" s="592"/>
      <c r="OFJ277" s="592"/>
      <c r="OFK277" s="592"/>
      <c r="OFL277" s="592"/>
      <c r="OFM277" s="592"/>
      <c r="OFN277" s="592"/>
      <c r="OFO277" s="592"/>
      <c r="OFP277" s="592"/>
      <c r="OFQ277" s="592"/>
      <c r="OFR277" s="592"/>
      <c r="OFS277" s="592"/>
      <c r="OFT277" s="592"/>
      <c r="OFU277" s="592"/>
      <c r="OFV277" s="592"/>
      <c r="OFW277" s="592"/>
      <c r="OFX277" s="592"/>
      <c r="OFY277" s="592"/>
      <c r="OFZ277" s="592"/>
      <c r="OGA277" s="592"/>
      <c r="OGB277" s="592"/>
      <c r="OGC277" s="592"/>
      <c r="OGD277" s="592"/>
      <c r="OGE277" s="592"/>
      <c r="OGF277" s="592"/>
      <c r="OGG277" s="592"/>
      <c r="OGH277" s="592"/>
      <c r="OGI277" s="592"/>
      <c r="OGJ277" s="592"/>
      <c r="OGK277" s="592"/>
      <c r="OGL277" s="592"/>
      <c r="OGM277" s="592"/>
      <c r="OGN277" s="592"/>
      <c r="OGO277" s="592"/>
      <c r="OGP277" s="592"/>
      <c r="OGQ277" s="592"/>
      <c r="OGR277" s="592"/>
      <c r="OGS277" s="592"/>
      <c r="OGT277" s="592"/>
      <c r="OGU277" s="592"/>
      <c r="OGV277" s="592"/>
      <c r="OGW277" s="592"/>
      <c r="OGX277" s="592"/>
      <c r="OGY277" s="592"/>
      <c r="OGZ277" s="592"/>
      <c r="OHA277" s="592"/>
      <c r="OHB277" s="592"/>
      <c r="OHC277" s="592"/>
      <c r="OHD277" s="592"/>
      <c r="OHE277" s="592"/>
      <c r="OHF277" s="592"/>
      <c r="OHG277" s="592"/>
      <c r="OHH277" s="592"/>
      <c r="OHI277" s="592"/>
      <c r="OHJ277" s="592"/>
      <c r="OHK277" s="592"/>
      <c r="OHL277" s="592"/>
      <c r="OHM277" s="592"/>
      <c r="OHN277" s="592"/>
      <c r="OHO277" s="592"/>
      <c r="OHP277" s="592"/>
      <c r="OHQ277" s="592"/>
      <c r="OHR277" s="592"/>
      <c r="OHS277" s="592"/>
      <c r="OHT277" s="592"/>
      <c r="OHU277" s="592"/>
      <c r="OHV277" s="592"/>
      <c r="OHW277" s="592"/>
      <c r="OHX277" s="592"/>
      <c r="OHY277" s="592"/>
      <c r="OHZ277" s="592"/>
      <c r="OIA277" s="592"/>
      <c r="OIB277" s="592"/>
      <c r="OIC277" s="592"/>
      <c r="OID277" s="592"/>
      <c r="OIE277" s="592"/>
      <c r="OIF277" s="592"/>
      <c r="OIG277" s="592"/>
      <c r="OIH277" s="592"/>
      <c r="OII277" s="592"/>
      <c r="OIJ277" s="592"/>
      <c r="OIK277" s="592"/>
      <c r="OIL277" s="592"/>
      <c r="OIM277" s="592"/>
      <c r="OIN277" s="592"/>
      <c r="OIO277" s="592"/>
      <c r="OIP277" s="592"/>
      <c r="OIQ277" s="592"/>
      <c r="OIR277" s="592"/>
      <c r="OIS277" s="592"/>
      <c r="OIT277" s="592"/>
      <c r="OIU277" s="592"/>
      <c r="OIV277" s="592"/>
      <c r="OIW277" s="592"/>
      <c r="OIX277" s="592"/>
      <c r="OIY277" s="592"/>
      <c r="OIZ277" s="592"/>
      <c r="OJA277" s="592"/>
      <c r="OJB277" s="592"/>
      <c r="OJC277" s="592"/>
      <c r="OJD277" s="592"/>
      <c r="OJE277" s="592"/>
      <c r="OJF277" s="592"/>
      <c r="OJG277" s="592"/>
      <c r="OJH277" s="592"/>
      <c r="OJI277" s="592"/>
      <c r="OJJ277" s="592"/>
      <c r="OJK277" s="592"/>
      <c r="OJL277" s="592"/>
      <c r="OJM277" s="592"/>
      <c r="OJN277" s="592"/>
      <c r="OJO277" s="592"/>
      <c r="OJP277" s="592"/>
      <c r="OJQ277" s="592"/>
      <c r="OJR277" s="592"/>
      <c r="OJS277" s="592"/>
      <c r="OJT277" s="592"/>
      <c r="OJU277" s="592"/>
      <c r="OJV277" s="592"/>
      <c r="OJW277" s="592"/>
      <c r="OJX277" s="592"/>
      <c r="OJY277" s="592"/>
      <c r="OJZ277" s="592"/>
      <c r="OKA277" s="592"/>
      <c r="OKB277" s="592"/>
      <c r="OKC277" s="592"/>
      <c r="OKD277" s="592"/>
      <c r="OKE277" s="592"/>
      <c r="OKF277" s="592"/>
      <c r="OKG277" s="592"/>
      <c r="OKH277" s="592"/>
      <c r="OKI277" s="592"/>
      <c r="OKJ277" s="592"/>
      <c r="OKK277" s="592"/>
      <c r="OKL277" s="592"/>
      <c r="OKM277" s="592"/>
      <c r="OKN277" s="592"/>
      <c r="OKO277" s="592"/>
      <c r="OKP277" s="592"/>
      <c r="OKQ277" s="592"/>
      <c r="OKR277" s="592"/>
      <c r="OKS277" s="592"/>
      <c r="OKT277" s="592"/>
      <c r="OKU277" s="592"/>
      <c r="OKV277" s="592"/>
      <c r="OKW277" s="592"/>
      <c r="OKX277" s="592"/>
      <c r="OKY277" s="592"/>
      <c r="OKZ277" s="592"/>
      <c r="OLA277" s="592"/>
      <c r="OLB277" s="592"/>
      <c r="OLC277" s="592"/>
      <c r="OLD277" s="592"/>
      <c r="OLE277" s="592"/>
      <c r="OLF277" s="592"/>
      <c r="OLG277" s="592"/>
      <c r="OLH277" s="592"/>
      <c r="OLI277" s="592"/>
      <c r="OLJ277" s="592"/>
      <c r="OLK277" s="592"/>
      <c r="OLL277" s="592"/>
      <c r="OLM277" s="592"/>
      <c r="OLN277" s="592"/>
      <c r="OLO277" s="592"/>
      <c r="OLP277" s="592"/>
      <c r="OLQ277" s="592"/>
      <c r="OLR277" s="592"/>
      <c r="OLS277" s="592"/>
      <c r="OLT277" s="592"/>
      <c r="OLU277" s="592"/>
      <c r="OLV277" s="592"/>
      <c r="OLW277" s="592"/>
      <c r="OLX277" s="592"/>
      <c r="OLY277" s="592"/>
      <c r="OLZ277" s="592"/>
      <c r="OMA277" s="592"/>
      <c r="OMB277" s="592"/>
      <c r="OMC277" s="592"/>
      <c r="OMD277" s="592"/>
      <c r="OME277" s="592"/>
      <c r="OMF277" s="592"/>
      <c r="OMG277" s="592"/>
      <c r="OMH277" s="592"/>
      <c r="OMI277" s="592"/>
      <c r="OMJ277" s="592"/>
      <c r="OMK277" s="592"/>
      <c r="OML277" s="592"/>
      <c r="OMM277" s="592"/>
      <c r="OMN277" s="592"/>
      <c r="OMO277" s="592"/>
      <c r="OMP277" s="592"/>
      <c r="OMQ277" s="592"/>
      <c r="OMR277" s="592"/>
      <c r="OMS277" s="592"/>
      <c r="OMT277" s="592"/>
      <c r="OMU277" s="592"/>
      <c r="OMV277" s="592"/>
      <c r="OMW277" s="592"/>
      <c r="OMX277" s="592"/>
      <c r="OMY277" s="592"/>
      <c r="OMZ277" s="592"/>
      <c r="ONA277" s="592"/>
      <c r="ONB277" s="592"/>
      <c r="ONC277" s="592"/>
      <c r="OND277" s="592"/>
      <c r="ONE277" s="592"/>
      <c r="ONF277" s="592"/>
      <c r="ONG277" s="592"/>
      <c r="ONH277" s="592"/>
      <c r="ONI277" s="592"/>
      <c r="ONJ277" s="592"/>
      <c r="ONK277" s="592"/>
      <c r="ONL277" s="592"/>
      <c r="ONM277" s="592"/>
      <c r="ONN277" s="592"/>
      <c r="ONO277" s="592"/>
      <c r="ONP277" s="592"/>
      <c r="ONQ277" s="592"/>
      <c r="ONR277" s="592"/>
      <c r="ONS277" s="592"/>
      <c r="ONT277" s="592"/>
      <c r="ONU277" s="592"/>
      <c r="ONV277" s="592"/>
      <c r="ONW277" s="592"/>
      <c r="ONX277" s="592"/>
      <c r="ONY277" s="592"/>
      <c r="ONZ277" s="592"/>
      <c r="OOA277" s="592"/>
      <c r="OOB277" s="592"/>
      <c r="OOC277" s="592"/>
      <c r="OOD277" s="592"/>
      <c r="OOE277" s="592"/>
      <c r="OOF277" s="592"/>
      <c r="OOG277" s="592"/>
      <c r="OOH277" s="592"/>
      <c r="OOI277" s="592"/>
      <c r="OOJ277" s="592"/>
      <c r="OOK277" s="592"/>
      <c r="OOL277" s="592"/>
      <c r="OOM277" s="592"/>
      <c r="OON277" s="592"/>
      <c r="OOO277" s="592"/>
      <c r="OOP277" s="592"/>
      <c r="OOQ277" s="592"/>
      <c r="OOR277" s="592"/>
      <c r="OOS277" s="592"/>
      <c r="OOT277" s="592"/>
      <c r="OOU277" s="592"/>
      <c r="OOV277" s="592"/>
      <c r="OOW277" s="592"/>
      <c r="OOX277" s="592"/>
      <c r="OOY277" s="592"/>
      <c r="OOZ277" s="592"/>
      <c r="OPA277" s="592"/>
      <c r="OPB277" s="592"/>
      <c r="OPC277" s="592"/>
      <c r="OPD277" s="592"/>
      <c r="OPE277" s="592"/>
      <c r="OPF277" s="592"/>
      <c r="OPG277" s="592"/>
      <c r="OPH277" s="592"/>
      <c r="OPI277" s="592"/>
      <c r="OPJ277" s="592"/>
      <c r="OPK277" s="592"/>
      <c r="OPL277" s="592"/>
      <c r="OPM277" s="592"/>
      <c r="OPN277" s="592"/>
      <c r="OPO277" s="592"/>
      <c r="OPP277" s="592"/>
      <c r="OPQ277" s="592"/>
      <c r="OPR277" s="592"/>
      <c r="OPS277" s="592"/>
      <c r="OPT277" s="592"/>
      <c r="OPU277" s="592"/>
      <c r="OPV277" s="592"/>
      <c r="OPW277" s="592"/>
      <c r="OPX277" s="592"/>
      <c r="OPY277" s="592"/>
      <c r="OPZ277" s="592"/>
      <c r="OQA277" s="592"/>
      <c r="OQB277" s="592"/>
      <c r="OQC277" s="592"/>
      <c r="OQD277" s="592"/>
      <c r="OQE277" s="592"/>
      <c r="OQF277" s="592"/>
      <c r="OQG277" s="592"/>
      <c r="OQH277" s="592"/>
      <c r="OQI277" s="592"/>
      <c r="OQJ277" s="592"/>
      <c r="OQK277" s="592"/>
      <c r="OQL277" s="592"/>
      <c r="OQM277" s="592"/>
      <c r="OQN277" s="592"/>
      <c r="OQO277" s="592"/>
      <c r="OQP277" s="592"/>
      <c r="OQQ277" s="592"/>
      <c r="OQR277" s="592"/>
      <c r="OQS277" s="592"/>
      <c r="OQT277" s="592"/>
      <c r="OQU277" s="592"/>
      <c r="OQV277" s="592"/>
      <c r="OQW277" s="592"/>
      <c r="OQX277" s="592"/>
      <c r="OQY277" s="592"/>
      <c r="OQZ277" s="592"/>
      <c r="ORA277" s="592"/>
      <c r="ORB277" s="592"/>
      <c r="ORC277" s="592"/>
      <c r="ORD277" s="592"/>
      <c r="ORE277" s="592"/>
      <c r="ORF277" s="592"/>
      <c r="ORG277" s="592"/>
      <c r="ORH277" s="592"/>
      <c r="ORI277" s="592"/>
      <c r="ORJ277" s="592"/>
      <c r="ORK277" s="592"/>
      <c r="ORL277" s="592"/>
      <c r="ORM277" s="592"/>
      <c r="ORN277" s="592"/>
      <c r="ORO277" s="592"/>
      <c r="ORP277" s="592"/>
      <c r="ORQ277" s="592"/>
      <c r="ORR277" s="592"/>
      <c r="ORS277" s="592"/>
      <c r="ORT277" s="592"/>
      <c r="ORU277" s="592"/>
      <c r="ORV277" s="592"/>
      <c r="ORW277" s="592"/>
      <c r="ORX277" s="592"/>
      <c r="ORY277" s="592"/>
      <c r="ORZ277" s="592"/>
      <c r="OSA277" s="592"/>
      <c r="OSB277" s="592"/>
      <c r="OSC277" s="592"/>
      <c r="OSD277" s="592"/>
      <c r="OSE277" s="592"/>
      <c r="OSF277" s="592"/>
      <c r="OSG277" s="592"/>
      <c r="OSH277" s="592"/>
      <c r="OSI277" s="592"/>
      <c r="OSJ277" s="592"/>
      <c r="OSK277" s="592"/>
      <c r="OSL277" s="592"/>
      <c r="OSM277" s="592"/>
      <c r="OSN277" s="592"/>
      <c r="OSO277" s="592"/>
      <c r="OSP277" s="592"/>
      <c r="OSQ277" s="592"/>
      <c r="OSR277" s="592"/>
      <c r="OSS277" s="592"/>
      <c r="OST277" s="592"/>
      <c r="OSU277" s="592"/>
      <c r="OSV277" s="592"/>
      <c r="OSW277" s="592"/>
      <c r="OSX277" s="592"/>
      <c r="OSY277" s="592"/>
      <c r="OSZ277" s="592"/>
      <c r="OTA277" s="592"/>
      <c r="OTB277" s="592"/>
      <c r="OTC277" s="592"/>
      <c r="OTD277" s="592"/>
      <c r="OTE277" s="592"/>
      <c r="OTF277" s="592"/>
      <c r="OTG277" s="592"/>
      <c r="OTH277" s="592"/>
      <c r="OTI277" s="592"/>
      <c r="OTJ277" s="592"/>
      <c r="OTK277" s="592"/>
      <c r="OTL277" s="592"/>
      <c r="OTM277" s="592"/>
      <c r="OTN277" s="592"/>
      <c r="OTO277" s="592"/>
      <c r="OTP277" s="592"/>
      <c r="OTQ277" s="592"/>
      <c r="OTR277" s="592"/>
      <c r="OTS277" s="592"/>
      <c r="OTT277" s="592"/>
      <c r="OTU277" s="592"/>
      <c r="OTV277" s="592"/>
      <c r="OTW277" s="592"/>
      <c r="OTX277" s="592"/>
      <c r="OTY277" s="592"/>
      <c r="OTZ277" s="592"/>
      <c r="OUA277" s="592"/>
      <c r="OUB277" s="592"/>
      <c r="OUC277" s="592"/>
      <c r="OUD277" s="592"/>
      <c r="OUE277" s="592"/>
      <c r="OUF277" s="592"/>
      <c r="OUG277" s="592"/>
      <c r="OUH277" s="592"/>
      <c r="OUI277" s="592"/>
      <c r="OUJ277" s="592"/>
      <c r="OUK277" s="592"/>
      <c r="OUL277" s="592"/>
      <c r="OUM277" s="592"/>
      <c r="OUN277" s="592"/>
      <c r="OUO277" s="592"/>
      <c r="OUP277" s="592"/>
      <c r="OUQ277" s="592"/>
      <c r="OUR277" s="592"/>
      <c r="OUS277" s="592"/>
      <c r="OUT277" s="592"/>
      <c r="OUU277" s="592"/>
      <c r="OUV277" s="592"/>
      <c r="OUW277" s="592"/>
      <c r="OUX277" s="592"/>
      <c r="OUY277" s="592"/>
      <c r="OUZ277" s="592"/>
      <c r="OVA277" s="592"/>
      <c r="OVB277" s="592"/>
      <c r="OVC277" s="592"/>
      <c r="OVD277" s="592"/>
      <c r="OVE277" s="592"/>
      <c r="OVF277" s="592"/>
      <c r="OVG277" s="592"/>
      <c r="OVH277" s="592"/>
      <c r="OVI277" s="592"/>
      <c r="OVJ277" s="592"/>
      <c r="OVK277" s="592"/>
      <c r="OVL277" s="592"/>
      <c r="OVM277" s="592"/>
      <c r="OVN277" s="592"/>
      <c r="OVO277" s="592"/>
      <c r="OVP277" s="592"/>
      <c r="OVQ277" s="592"/>
      <c r="OVR277" s="592"/>
      <c r="OVS277" s="592"/>
      <c r="OVT277" s="592"/>
      <c r="OVU277" s="592"/>
      <c r="OVV277" s="592"/>
      <c r="OVW277" s="592"/>
      <c r="OVX277" s="592"/>
      <c r="OVY277" s="592"/>
      <c r="OVZ277" s="592"/>
      <c r="OWA277" s="592"/>
      <c r="OWB277" s="592"/>
      <c r="OWC277" s="592"/>
      <c r="OWD277" s="592"/>
      <c r="OWE277" s="592"/>
      <c r="OWF277" s="592"/>
      <c r="OWG277" s="592"/>
      <c r="OWH277" s="592"/>
      <c r="OWI277" s="592"/>
      <c r="OWJ277" s="592"/>
      <c r="OWK277" s="592"/>
      <c r="OWL277" s="592"/>
      <c r="OWM277" s="592"/>
      <c r="OWN277" s="592"/>
      <c r="OWO277" s="592"/>
      <c r="OWP277" s="592"/>
      <c r="OWQ277" s="592"/>
      <c r="OWR277" s="592"/>
      <c r="OWS277" s="592"/>
      <c r="OWT277" s="592"/>
      <c r="OWU277" s="592"/>
      <c r="OWV277" s="592"/>
      <c r="OWW277" s="592"/>
      <c r="OWX277" s="592"/>
      <c r="OWY277" s="592"/>
      <c r="OWZ277" s="592"/>
      <c r="OXA277" s="592"/>
      <c r="OXB277" s="592"/>
      <c r="OXC277" s="592"/>
      <c r="OXD277" s="592"/>
      <c r="OXE277" s="592"/>
      <c r="OXF277" s="592"/>
      <c r="OXG277" s="592"/>
      <c r="OXH277" s="592"/>
      <c r="OXI277" s="592"/>
      <c r="OXJ277" s="592"/>
      <c r="OXK277" s="592"/>
      <c r="OXL277" s="592"/>
      <c r="OXM277" s="592"/>
      <c r="OXN277" s="592"/>
      <c r="OXO277" s="592"/>
      <c r="OXP277" s="592"/>
      <c r="OXQ277" s="592"/>
      <c r="OXR277" s="592"/>
      <c r="OXS277" s="592"/>
      <c r="OXT277" s="592"/>
      <c r="OXU277" s="592"/>
      <c r="OXV277" s="592"/>
      <c r="OXW277" s="592"/>
      <c r="OXX277" s="592"/>
      <c r="OXY277" s="592"/>
      <c r="OXZ277" s="592"/>
      <c r="OYA277" s="592"/>
      <c r="OYB277" s="592"/>
      <c r="OYC277" s="592"/>
      <c r="OYD277" s="592"/>
      <c r="OYE277" s="592"/>
      <c r="OYF277" s="592"/>
      <c r="OYG277" s="592"/>
      <c r="OYH277" s="592"/>
      <c r="OYI277" s="592"/>
      <c r="OYJ277" s="592"/>
      <c r="OYK277" s="592"/>
      <c r="OYL277" s="592"/>
      <c r="OYM277" s="592"/>
      <c r="OYN277" s="592"/>
      <c r="OYO277" s="592"/>
      <c r="OYP277" s="592"/>
      <c r="OYQ277" s="592"/>
      <c r="OYR277" s="592"/>
      <c r="OYS277" s="592"/>
      <c r="OYT277" s="592"/>
      <c r="OYU277" s="592"/>
      <c r="OYV277" s="592"/>
      <c r="OYW277" s="592"/>
      <c r="OYX277" s="592"/>
      <c r="OYY277" s="592"/>
      <c r="OYZ277" s="592"/>
      <c r="OZA277" s="592"/>
      <c r="OZB277" s="592"/>
      <c r="OZC277" s="592"/>
      <c r="OZD277" s="592"/>
      <c r="OZE277" s="592"/>
      <c r="OZF277" s="592"/>
      <c r="OZG277" s="592"/>
      <c r="OZH277" s="592"/>
      <c r="OZI277" s="592"/>
      <c r="OZJ277" s="592"/>
      <c r="OZK277" s="592"/>
      <c r="OZL277" s="592"/>
      <c r="OZM277" s="592"/>
      <c r="OZN277" s="592"/>
      <c r="OZO277" s="592"/>
      <c r="OZP277" s="592"/>
      <c r="OZQ277" s="592"/>
      <c r="OZR277" s="592"/>
      <c r="OZS277" s="592"/>
      <c r="OZT277" s="592"/>
      <c r="OZU277" s="592"/>
      <c r="OZV277" s="592"/>
      <c r="OZW277" s="592"/>
      <c r="OZX277" s="592"/>
      <c r="OZY277" s="592"/>
      <c r="OZZ277" s="592"/>
      <c r="PAA277" s="592"/>
      <c r="PAB277" s="592"/>
      <c r="PAC277" s="592"/>
      <c r="PAD277" s="592"/>
      <c r="PAE277" s="592"/>
      <c r="PAF277" s="592"/>
      <c r="PAG277" s="592"/>
      <c r="PAH277" s="592"/>
      <c r="PAI277" s="592"/>
      <c r="PAJ277" s="592"/>
      <c r="PAK277" s="592"/>
      <c r="PAL277" s="592"/>
      <c r="PAM277" s="592"/>
      <c r="PAN277" s="592"/>
      <c r="PAO277" s="592"/>
      <c r="PAP277" s="592"/>
      <c r="PAQ277" s="592"/>
      <c r="PAR277" s="592"/>
      <c r="PAS277" s="592"/>
      <c r="PAT277" s="592"/>
      <c r="PAU277" s="592"/>
      <c r="PAV277" s="592"/>
      <c r="PAW277" s="592"/>
      <c r="PAX277" s="592"/>
      <c r="PAY277" s="592"/>
      <c r="PAZ277" s="592"/>
      <c r="PBA277" s="592"/>
      <c r="PBB277" s="592"/>
      <c r="PBC277" s="592"/>
      <c r="PBD277" s="592"/>
      <c r="PBE277" s="592"/>
      <c r="PBF277" s="592"/>
      <c r="PBG277" s="592"/>
      <c r="PBH277" s="592"/>
      <c r="PBI277" s="592"/>
      <c r="PBJ277" s="592"/>
      <c r="PBK277" s="592"/>
      <c r="PBL277" s="592"/>
      <c r="PBM277" s="592"/>
      <c r="PBN277" s="592"/>
      <c r="PBO277" s="592"/>
      <c r="PBP277" s="592"/>
      <c r="PBQ277" s="592"/>
      <c r="PBR277" s="592"/>
      <c r="PBS277" s="592"/>
      <c r="PBT277" s="592"/>
      <c r="PBU277" s="592"/>
      <c r="PBV277" s="592"/>
      <c r="PBW277" s="592"/>
      <c r="PBX277" s="592"/>
      <c r="PBY277" s="592"/>
      <c r="PBZ277" s="592"/>
      <c r="PCA277" s="592"/>
      <c r="PCB277" s="592"/>
      <c r="PCC277" s="592"/>
      <c r="PCD277" s="592"/>
      <c r="PCE277" s="592"/>
      <c r="PCF277" s="592"/>
      <c r="PCG277" s="592"/>
      <c r="PCH277" s="592"/>
      <c r="PCI277" s="592"/>
      <c r="PCJ277" s="592"/>
      <c r="PCK277" s="592"/>
      <c r="PCL277" s="592"/>
      <c r="PCM277" s="592"/>
      <c r="PCN277" s="592"/>
      <c r="PCO277" s="592"/>
      <c r="PCP277" s="592"/>
      <c r="PCQ277" s="592"/>
      <c r="PCR277" s="592"/>
      <c r="PCS277" s="592"/>
      <c r="PCT277" s="592"/>
      <c r="PCU277" s="592"/>
      <c r="PCV277" s="592"/>
      <c r="PCW277" s="592"/>
      <c r="PCX277" s="592"/>
      <c r="PCY277" s="592"/>
      <c r="PCZ277" s="592"/>
      <c r="PDA277" s="592"/>
      <c r="PDB277" s="592"/>
      <c r="PDC277" s="592"/>
      <c r="PDD277" s="592"/>
      <c r="PDE277" s="592"/>
      <c r="PDF277" s="592"/>
      <c r="PDG277" s="592"/>
      <c r="PDH277" s="592"/>
      <c r="PDI277" s="592"/>
      <c r="PDJ277" s="592"/>
      <c r="PDK277" s="592"/>
      <c r="PDL277" s="592"/>
      <c r="PDM277" s="592"/>
      <c r="PDN277" s="592"/>
      <c r="PDO277" s="592"/>
      <c r="PDP277" s="592"/>
      <c r="PDQ277" s="592"/>
      <c r="PDR277" s="592"/>
      <c r="PDS277" s="592"/>
      <c r="PDT277" s="592"/>
      <c r="PDU277" s="592"/>
      <c r="PDV277" s="592"/>
      <c r="PDW277" s="592"/>
      <c r="PDX277" s="592"/>
      <c r="PDY277" s="592"/>
      <c r="PDZ277" s="592"/>
      <c r="PEA277" s="592"/>
      <c r="PEB277" s="592"/>
      <c r="PEC277" s="592"/>
      <c r="PED277" s="592"/>
      <c r="PEE277" s="592"/>
      <c r="PEF277" s="592"/>
      <c r="PEG277" s="592"/>
      <c r="PEH277" s="592"/>
      <c r="PEI277" s="592"/>
      <c r="PEJ277" s="592"/>
      <c r="PEK277" s="592"/>
      <c r="PEL277" s="592"/>
      <c r="PEM277" s="592"/>
      <c r="PEN277" s="592"/>
      <c r="PEO277" s="592"/>
      <c r="PEP277" s="592"/>
      <c r="PEQ277" s="592"/>
      <c r="PER277" s="592"/>
      <c r="PES277" s="592"/>
      <c r="PET277" s="592"/>
      <c r="PEU277" s="592"/>
      <c r="PEV277" s="592"/>
      <c r="PEW277" s="592"/>
      <c r="PEX277" s="592"/>
      <c r="PEY277" s="592"/>
      <c r="PEZ277" s="592"/>
      <c r="PFA277" s="592"/>
      <c r="PFB277" s="592"/>
      <c r="PFC277" s="592"/>
      <c r="PFD277" s="592"/>
      <c r="PFE277" s="592"/>
      <c r="PFF277" s="592"/>
      <c r="PFG277" s="592"/>
      <c r="PFH277" s="592"/>
      <c r="PFI277" s="592"/>
      <c r="PFJ277" s="592"/>
      <c r="PFK277" s="592"/>
      <c r="PFL277" s="592"/>
      <c r="PFM277" s="592"/>
      <c r="PFN277" s="592"/>
      <c r="PFO277" s="592"/>
      <c r="PFP277" s="592"/>
      <c r="PFQ277" s="592"/>
      <c r="PFR277" s="592"/>
      <c r="PFS277" s="592"/>
      <c r="PFT277" s="592"/>
      <c r="PFU277" s="592"/>
      <c r="PFV277" s="592"/>
      <c r="PFW277" s="592"/>
      <c r="PFX277" s="592"/>
      <c r="PFY277" s="592"/>
      <c r="PFZ277" s="592"/>
      <c r="PGA277" s="592"/>
      <c r="PGB277" s="592"/>
      <c r="PGC277" s="592"/>
      <c r="PGD277" s="592"/>
      <c r="PGE277" s="592"/>
      <c r="PGF277" s="592"/>
      <c r="PGG277" s="592"/>
      <c r="PGH277" s="592"/>
      <c r="PGI277" s="592"/>
      <c r="PGJ277" s="592"/>
      <c r="PGK277" s="592"/>
      <c r="PGL277" s="592"/>
      <c r="PGM277" s="592"/>
      <c r="PGN277" s="592"/>
      <c r="PGO277" s="592"/>
      <c r="PGP277" s="592"/>
      <c r="PGQ277" s="592"/>
      <c r="PGR277" s="592"/>
      <c r="PGS277" s="592"/>
      <c r="PGT277" s="592"/>
      <c r="PGU277" s="592"/>
      <c r="PGV277" s="592"/>
      <c r="PGW277" s="592"/>
      <c r="PGX277" s="592"/>
      <c r="PGY277" s="592"/>
      <c r="PGZ277" s="592"/>
      <c r="PHA277" s="592"/>
      <c r="PHB277" s="592"/>
      <c r="PHC277" s="592"/>
      <c r="PHD277" s="592"/>
      <c r="PHE277" s="592"/>
      <c r="PHF277" s="592"/>
      <c r="PHG277" s="592"/>
      <c r="PHH277" s="592"/>
      <c r="PHI277" s="592"/>
      <c r="PHJ277" s="592"/>
      <c r="PHK277" s="592"/>
      <c r="PHL277" s="592"/>
      <c r="PHM277" s="592"/>
      <c r="PHN277" s="592"/>
      <c r="PHO277" s="592"/>
      <c r="PHP277" s="592"/>
      <c r="PHQ277" s="592"/>
      <c r="PHR277" s="592"/>
      <c r="PHS277" s="592"/>
      <c r="PHT277" s="592"/>
      <c r="PHU277" s="592"/>
      <c r="PHV277" s="592"/>
      <c r="PHW277" s="592"/>
      <c r="PHX277" s="592"/>
      <c r="PHY277" s="592"/>
      <c r="PHZ277" s="592"/>
      <c r="PIA277" s="592"/>
      <c r="PIB277" s="592"/>
      <c r="PIC277" s="592"/>
      <c r="PID277" s="592"/>
      <c r="PIE277" s="592"/>
      <c r="PIF277" s="592"/>
      <c r="PIG277" s="592"/>
      <c r="PIH277" s="592"/>
      <c r="PII277" s="592"/>
      <c r="PIJ277" s="592"/>
      <c r="PIK277" s="592"/>
      <c r="PIL277" s="592"/>
      <c r="PIM277" s="592"/>
      <c r="PIN277" s="592"/>
      <c r="PIO277" s="592"/>
      <c r="PIP277" s="592"/>
      <c r="PIQ277" s="592"/>
      <c r="PIR277" s="592"/>
      <c r="PIS277" s="592"/>
      <c r="PIT277" s="592"/>
      <c r="PIU277" s="592"/>
      <c r="PIV277" s="592"/>
      <c r="PIW277" s="592"/>
      <c r="PIX277" s="592"/>
      <c r="PIY277" s="592"/>
      <c r="PIZ277" s="592"/>
      <c r="PJA277" s="592"/>
      <c r="PJB277" s="592"/>
      <c r="PJC277" s="592"/>
      <c r="PJD277" s="592"/>
      <c r="PJE277" s="592"/>
      <c r="PJF277" s="592"/>
      <c r="PJG277" s="592"/>
      <c r="PJH277" s="592"/>
      <c r="PJI277" s="592"/>
      <c r="PJJ277" s="592"/>
      <c r="PJK277" s="592"/>
      <c r="PJL277" s="592"/>
      <c r="PJM277" s="592"/>
      <c r="PJN277" s="592"/>
      <c r="PJO277" s="592"/>
      <c r="PJP277" s="592"/>
      <c r="PJQ277" s="592"/>
      <c r="PJR277" s="592"/>
      <c r="PJS277" s="592"/>
      <c r="PJT277" s="592"/>
      <c r="PJU277" s="592"/>
      <c r="PJV277" s="592"/>
      <c r="PJW277" s="592"/>
      <c r="PJX277" s="592"/>
      <c r="PJY277" s="592"/>
      <c r="PJZ277" s="592"/>
      <c r="PKA277" s="592"/>
      <c r="PKB277" s="592"/>
      <c r="PKC277" s="592"/>
      <c r="PKD277" s="592"/>
      <c r="PKE277" s="592"/>
      <c r="PKF277" s="592"/>
      <c r="PKG277" s="592"/>
      <c r="PKH277" s="592"/>
      <c r="PKI277" s="592"/>
      <c r="PKJ277" s="592"/>
      <c r="PKK277" s="592"/>
      <c r="PKL277" s="592"/>
      <c r="PKM277" s="592"/>
      <c r="PKN277" s="592"/>
      <c r="PKO277" s="592"/>
      <c r="PKP277" s="592"/>
      <c r="PKQ277" s="592"/>
      <c r="PKR277" s="592"/>
      <c r="PKS277" s="592"/>
      <c r="PKT277" s="592"/>
      <c r="PKU277" s="592"/>
      <c r="PKV277" s="592"/>
      <c r="PKW277" s="592"/>
      <c r="PKX277" s="592"/>
      <c r="PKY277" s="592"/>
      <c r="PKZ277" s="592"/>
      <c r="PLA277" s="592"/>
      <c r="PLB277" s="592"/>
      <c r="PLC277" s="592"/>
      <c r="PLD277" s="592"/>
      <c r="PLE277" s="592"/>
      <c r="PLF277" s="592"/>
      <c r="PLG277" s="592"/>
      <c r="PLH277" s="592"/>
      <c r="PLI277" s="592"/>
      <c r="PLJ277" s="592"/>
      <c r="PLK277" s="592"/>
      <c r="PLL277" s="592"/>
      <c r="PLM277" s="592"/>
      <c r="PLN277" s="592"/>
      <c r="PLO277" s="592"/>
      <c r="PLP277" s="592"/>
      <c r="PLQ277" s="592"/>
      <c r="PLR277" s="592"/>
      <c r="PLS277" s="592"/>
      <c r="PLT277" s="592"/>
      <c r="PLU277" s="592"/>
      <c r="PLV277" s="592"/>
      <c r="PLW277" s="592"/>
      <c r="PLX277" s="592"/>
      <c r="PLY277" s="592"/>
      <c r="PLZ277" s="592"/>
      <c r="PMA277" s="592"/>
      <c r="PMB277" s="592"/>
      <c r="PMC277" s="592"/>
      <c r="PMD277" s="592"/>
      <c r="PME277" s="592"/>
      <c r="PMF277" s="592"/>
      <c r="PMG277" s="592"/>
      <c r="PMH277" s="592"/>
      <c r="PMI277" s="592"/>
      <c r="PMJ277" s="592"/>
      <c r="PMK277" s="592"/>
      <c r="PML277" s="592"/>
      <c r="PMM277" s="592"/>
      <c r="PMN277" s="592"/>
      <c r="PMO277" s="592"/>
      <c r="PMP277" s="592"/>
      <c r="PMQ277" s="592"/>
      <c r="PMR277" s="592"/>
      <c r="PMS277" s="592"/>
      <c r="PMT277" s="592"/>
      <c r="PMU277" s="592"/>
      <c r="PMV277" s="592"/>
      <c r="PMW277" s="592"/>
      <c r="PMX277" s="592"/>
      <c r="PMY277" s="592"/>
      <c r="PMZ277" s="592"/>
      <c r="PNA277" s="592"/>
      <c r="PNB277" s="592"/>
      <c r="PNC277" s="592"/>
      <c r="PND277" s="592"/>
      <c r="PNE277" s="592"/>
      <c r="PNF277" s="592"/>
      <c r="PNG277" s="592"/>
      <c r="PNH277" s="592"/>
      <c r="PNI277" s="592"/>
      <c r="PNJ277" s="592"/>
      <c r="PNK277" s="592"/>
      <c r="PNL277" s="592"/>
      <c r="PNM277" s="592"/>
      <c r="PNN277" s="592"/>
      <c r="PNO277" s="592"/>
      <c r="PNP277" s="592"/>
      <c r="PNQ277" s="592"/>
      <c r="PNR277" s="592"/>
      <c r="PNS277" s="592"/>
      <c r="PNT277" s="592"/>
      <c r="PNU277" s="592"/>
      <c r="PNV277" s="592"/>
      <c r="PNW277" s="592"/>
      <c r="PNX277" s="592"/>
      <c r="PNY277" s="592"/>
      <c r="PNZ277" s="592"/>
      <c r="POA277" s="592"/>
      <c r="POB277" s="592"/>
      <c r="POC277" s="592"/>
      <c r="POD277" s="592"/>
      <c r="POE277" s="592"/>
      <c r="POF277" s="592"/>
      <c r="POG277" s="592"/>
      <c r="POH277" s="592"/>
      <c r="POI277" s="592"/>
      <c r="POJ277" s="592"/>
      <c r="POK277" s="592"/>
      <c r="POL277" s="592"/>
      <c r="POM277" s="592"/>
      <c r="PON277" s="592"/>
      <c r="POO277" s="592"/>
      <c r="POP277" s="592"/>
      <c r="POQ277" s="592"/>
      <c r="POR277" s="592"/>
      <c r="POS277" s="592"/>
      <c r="POT277" s="592"/>
      <c r="POU277" s="592"/>
      <c r="POV277" s="592"/>
      <c r="POW277" s="592"/>
      <c r="POX277" s="592"/>
      <c r="POY277" s="592"/>
      <c r="POZ277" s="592"/>
      <c r="PPA277" s="592"/>
      <c r="PPB277" s="592"/>
      <c r="PPC277" s="592"/>
      <c r="PPD277" s="592"/>
      <c r="PPE277" s="592"/>
      <c r="PPF277" s="592"/>
      <c r="PPG277" s="592"/>
      <c r="PPH277" s="592"/>
      <c r="PPI277" s="592"/>
      <c r="PPJ277" s="592"/>
      <c r="PPK277" s="592"/>
      <c r="PPL277" s="592"/>
      <c r="PPM277" s="592"/>
      <c r="PPN277" s="592"/>
      <c r="PPO277" s="592"/>
      <c r="PPP277" s="592"/>
      <c r="PPQ277" s="592"/>
      <c r="PPR277" s="592"/>
      <c r="PPS277" s="592"/>
      <c r="PPT277" s="592"/>
      <c r="PPU277" s="592"/>
      <c r="PPV277" s="592"/>
      <c r="PPW277" s="592"/>
      <c r="PPX277" s="592"/>
      <c r="PPY277" s="592"/>
      <c r="PPZ277" s="592"/>
      <c r="PQA277" s="592"/>
      <c r="PQB277" s="592"/>
      <c r="PQC277" s="592"/>
      <c r="PQD277" s="592"/>
      <c r="PQE277" s="592"/>
      <c r="PQF277" s="592"/>
      <c r="PQG277" s="592"/>
      <c r="PQH277" s="592"/>
      <c r="PQI277" s="592"/>
      <c r="PQJ277" s="592"/>
      <c r="PQK277" s="592"/>
      <c r="PQL277" s="592"/>
      <c r="PQM277" s="592"/>
      <c r="PQN277" s="592"/>
      <c r="PQO277" s="592"/>
      <c r="PQP277" s="592"/>
      <c r="PQQ277" s="592"/>
      <c r="PQR277" s="592"/>
      <c r="PQS277" s="592"/>
      <c r="PQT277" s="592"/>
      <c r="PQU277" s="592"/>
      <c r="PQV277" s="592"/>
      <c r="PQW277" s="592"/>
      <c r="PQX277" s="592"/>
      <c r="PQY277" s="592"/>
      <c r="PQZ277" s="592"/>
      <c r="PRA277" s="592"/>
      <c r="PRB277" s="592"/>
      <c r="PRC277" s="592"/>
      <c r="PRD277" s="592"/>
      <c r="PRE277" s="592"/>
      <c r="PRF277" s="592"/>
      <c r="PRG277" s="592"/>
      <c r="PRH277" s="592"/>
      <c r="PRI277" s="592"/>
      <c r="PRJ277" s="592"/>
      <c r="PRK277" s="592"/>
      <c r="PRL277" s="592"/>
      <c r="PRM277" s="592"/>
      <c r="PRN277" s="592"/>
      <c r="PRO277" s="592"/>
      <c r="PRP277" s="592"/>
      <c r="PRQ277" s="592"/>
      <c r="PRR277" s="592"/>
      <c r="PRS277" s="592"/>
      <c r="PRT277" s="592"/>
      <c r="PRU277" s="592"/>
      <c r="PRV277" s="592"/>
      <c r="PRW277" s="592"/>
      <c r="PRX277" s="592"/>
      <c r="PRY277" s="592"/>
      <c r="PRZ277" s="592"/>
      <c r="PSA277" s="592"/>
      <c r="PSB277" s="592"/>
      <c r="PSC277" s="592"/>
      <c r="PSD277" s="592"/>
      <c r="PSE277" s="592"/>
      <c r="PSF277" s="592"/>
      <c r="PSG277" s="592"/>
      <c r="PSH277" s="592"/>
      <c r="PSI277" s="592"/>
      <c r="PSJ277" s="592"/>
      <c r="PSK277" s="592"/>
      <c r="PSL277" s="592"/>
      <c r="PSM277" s="592"/>
      <c r="PSN277" s="592"/>
      <c r="PSO277" s="592"/>
      <c r="PSP277" s="592"/>
      <c r="PSQ277" s="592"/>
      <c r="PSR277" s="592"/>
      <c r="PSS277" s="592"/>
      <c r="PST277" s="592"/>
      <c r="PSU277" s="592"/>
      <c r="PSV277" s="592"/>
      <c r="PSW277" s="592"/>
      <c r="PSX277" s="592"/>
      <c r="PSY277" s="592"/>
      <c r="PSZ277" s="592"/>
      <c r="PTA277" s="592"/>
      <c r="PTB277" s="592"/>
      <c r="PTC277" s="592"/>
      <c r="PTD277" s="592"/>
      <c r="PTE277" s="592"/>
      <c r="PTF277" s="592"/>
      <c r="PTG277" s="592"/>
      <c r="PTH277" s="592"/>
      <c r="PTI277" s="592"/>
      <c r="PTJ277" s="592"/>
      <c r="PTK277" s="592"/>
      <c r="PTL277" s="592"/>
      <c r="PTM277" s="592"/>
      <c r="PTN277" s="592"/>
      <c r="PTO277" s="592"/>
      <c r="PTP277" s="592"/>
      <c r="PTQ277" s="592"/>
      <c r="PTR277" s="592"/>
      <c r="PTS277" s="592"/>
      <c r="PTT277" s="592"/>
      <c r="PTU277" s="592"/>
      <c r="PTV277" s="592"/>
      <c r="PTW277" s="592"/>
      <c r="PTX277" s="592"/>
      <c r="PTY277" s="592"/>
      <c r="PTZ277" s="592"/>
      <c r="PUA277" s="592"/>
      <c r="PUB277" s="592"/>
      <c r="PUC277" s="592"/>
      <c r="PUD277" s="592"/>
      <c r="PUE277" s="592"/>
      <c r="PUF277" s="592"/>
      <c r="PUG277" s="592"/>
      <c r="PUH277" s="592"/>
      <c r="PUI277" s="592"/>
      <c r="PUJ277" s="592"/>
      <c r="PUK277" s="592"/>
      <c r="PUL277" s="592"/>
      <c r="PUM277" s="592"/>
      <c r="PUN277" s="592"/>
      <c r="PUO277" s="592"/>
      <c r="PUP277" s="592"/>
      <c r="PUQ277" s="592"/>
      <c r="PUR277" s="592"/>
      <c r="PUS277" s="592"/>
      <c r="PUT277" s="592"/>
      <c r="PUU277" s="592"/>
      <c r="PUV277" s="592"/>
      <c r="PUW277" s="592"/>
      <c r="PUX277" s="592"/>
      <c r="PUY277" s="592"/>
      <c r="PUZ277" s="592"/>
      <c r="PVA277" s="592"/>
      <c r="PVB277" s="592"/>
      <c r="PVC277" s="592"/>
      <c r="PVD277" s="592"/>
      <c r="PVE277" s="592"/>
      <c r="PVF277" s="592"/>
      <c r="PVG277" s="592"/>
      <c r="PVH277" s="592"/>
      <c r="PVI277" s="592"/>
      <c r="PVJ277" s="592"/>
      <c r="PVK277" s="592"/>
      <c r="PVL277" s="592"/>
      <c r="PVM277" s="592"/>
      <c r="PVN277" s="592"/>
      <c r="PVO277" s="592"/>
      <c r="PVP277" s="592"/>
      <c r="PVQ277" s="592"/>
      <c r="PVR277" s="592"/>
      <c r="PVS277" s="592"/>
      <c r="PVT277" s="592"/>
      <c r="PVU277" s="592"/>
      <c r="PVV277" s="592"/>
      <c r="PVW277" s="592"/>
      <c r="PVX277" s="592"/>
      <c r="PVY277" s="592"/>
      <c r="PVZ277" s="592"/>
      <c r="PWA277" s="592"/>
      <c r="PWB277" s="592"/>
      <c r="PWC277" s="592"/>
      <c r="PWD277" s="592"/>
      <c r="PWE277" s="592"/>
      <c r="PWF277" s="592"/>
      <c r="PWG277" s="592"/>
      <c r="PWH277" s="592"/>
      <c r="PWI277" s="592"/>
      <c r="PWJ277" s="592"/>
      <c r="PWK277" s="592"/>
      <c r="PWL277" s="592"/>
      <c r="PWM277" s="592"/>
      <c r="PWN277" s="592"/>
      <c r="PWO277" s="592"/>
      <c r="PWP277" s="592"/>
      <c r="PWQ277" s="592"/>
      <c r="PWR277" s="592"/>
      <c r="PWS277" s="592"/>
      <c r="PWT277" s="592"/>
      <c r="PWU277" s="592"/>
      <c r="PWV277" s="592"/>
      <c r="PWW277" s="592"/>
      <c r="PWX277" s="592"/>
      <c r="PWY277" s="592"/>
      <c r="PWZ277" s="592"/>
      <c r="PXA277" s="592"/>
      <c r="PXB277" s="592"/>
      <c r="PXC277" s="592"/>
      <c r="PXD277" s="592"/>
      <c r="PXE277" s="592"/>
      <c r="PXF277" s="592"/>
      <c r="PXG277" s="592"/>
      <c r="PXH277" s="592"/>
      <c r="PXI277" s="592"/>
      <c r="PXJ277" s="592"/>
      <c r="PXK277" s="592"/>
      <c r="PXL277" s="592"/>
      <c r="PXM277" s="592"/>
      <c r="PXN277" s="592"/>
      <c r="PXO277" s="592"/>
      <c r="PXP277" s="592"/>
      <c r="PXQ277" s="592"/>
      <c r="PXR277" s="592"/>
      <c r="PXS277" s="592"/>
      <c r="PXT277" s="592"/>
      <c r="PXU277" s="592"/>
      <c r="PXV277" s="592"/>
      <c r="PXW277" s="592"/>
      <c r="PXX277" s="592"/>
      <c r="PXY277" s="592"/>
      <c r="PXZ277" s="592"/>
      <c r="PYA277" s="592"/>
      <c r="PYB277" s="592"/>
      <c r="PYC277" s="592"/>
      <c r="PYD277" s="592"/>
      <c r="PYE277" s="592"/>
      <c r="PYF277" s="592"/>
      <c r="PYG277" s="592"/>
      <c r="PYH277" s="592"/>
      <c r="PYI277" s="592"/>
      <c r="PYJ277" s="592"/>
      <c r="PYK277" s="592"/>
      <c r="PYL277" s="592"/>
      <c r="PYM277" s="592"/>
      <c r="PYN277" s="592"/>
      <c r="PYO277" s="592"/>
      <c r="PYP277" s="592"/>
      <c r="PYQ277" s="592"/>
      <c r="PYR277" s="592"/>
      <c r="PYS277" s="592"/>
      <c r="PYT277" s="592"/>
      <c r="PYU277" s="592"/>
      <c r="PYV277" s="592"/>
      <c r="PYW277" s="592"/>
      <c r="PYX277" s="592"/>
      <c r="PYY277" s="592"/>
      <c r="PYZ277" s="592"/>
      <c r="PZA277" s="592"/>
      <c r="PZB277" s="592"/>
      <c r="PZC277" s="592"/>
      <c r="PZD277" s="592"/>
      <c r="PZE277" s="592"/>
      <c r="PZF277" s="592"/>
      <c r="PZG277" s="592"/>
      <c r="PZH277" s="592"/>
      <c r="PZI277" s="592"/>
      <c r="PZJ277" s="592"/>
      <c r="PZK277" s="592"/>
      <c r="PZL277" s="592"/>
      <c r="PZM277" s="592"/>
      <c r="PZN277" s="592"/>
      <c r="PZO277" s="592"/>
      <c r="PZP277" s="592"/>
      <c r="PZQ277" s="592"/>
      <c r="PZR277" s="592"/>
      <c r="PZS277" s="592"/>
      <c r="PZT277" s="592"/>
      <c r="PZU277" s="592"/>
      <c r="PZV277" s="592"/>
      <c r="PZW277" s="592"/>
      <c r="PZX277" s="592"/>
      <c r="PZY277" s="592"/>
      <c r="PZZ277" s="592"/>
      <c r="QAA277" s="592"/>
      <c r="QAB277" s="592"/>
      <c r="QAC277" s="592"/>
      <c r="QAD277" s="592"/>
      <c r="QAE277" s="592"/>
      <c r="QAF277" s="592"/>
      <c r="QAG277" s="592"/>
      <c r="QAH277" s="592"/>
      <c r="QAI277" s="592"/>
      <c r="QAJ277" s="592"/>
      <c r="QAK277" s="592"/>
      <c r="QAL277" s="592"/>
      <c r="QAM277" s="592"/>
      <c r="QAN277" s="592"/>
      <c r="QAO277" s="592"/>
      <c r="QAP277" s="592"/>
      <c r="QAQ277" s="592"/>
      <c r="QAR277" s="592"/>
      <c r="QAS277" s="592"/>
      <c r="QAT277" s="592"/>
      <c r="QAU277" s="592"/>
      <c r="QAV277" s="592"/>
      <c r="QAW277" s="592"/>
      <c r="QAX277" s="592"/>
      <c r="QAY277" s="592"/>
      <c r="QAZ277" s="592"/>
      <c r="QBA277" s="592"/>
      <c r="QBB277" s="592"/>
      <c r="QBC277" s="592"/>
      <c r="QBD277" s="592"/>
      <c r="QBE277" s="592"/>
      <c r="QBF277" s="592"/>
      <c r="QBG277" s="592"/>
      <c r="QBH277" s="592"/>
      <c r="QBI277" s="592"/>
      <c r="QBJ277" s="592"/>
      <c r="QBK277" s="592"/>
      <c r="QBL277" s="592"/>
      <c r="QBM277" s="592"/>
      <c r="QBN277" s="592"/>
      <c r="QBO277" s="592"/>
      <c r="QBP277" s="592"/>
      <c r="QBQ277" s="592"/>
      <c r="QBR277" s="592"/>
      <c r="QBS277" s="592"/>
      <c r="QBT277" s="592"/>
      <c r="QBU277" s="592"/>
      <c r="QBV277" s="592"/>
      <c r="QBW277" s="592"/>
      <c r="QBX277" s="592"/>
      <c r="QBY277" s="592"/>
      <c r="QBZ277" s="592"/>
      <c r="QCA277" s="592"/>
      <c r="QCB277" s="592"/>
      <c r="QCC277" s="592"/>
      <c r="QCD277" s="592"/>
      <c r="QCE277" s="592"/>
      <c r="QCF277" s="592"/>
      <c r="QCG277" s="592"/>
      <c r="QCH277" s="592"/>
      <c r="QCI277" s="592"/>
      <c r="QCJ277" s="592"/>
      <c r="QCK277" s="592"/>
      <c r="QCL277" s="592"/>
      <c r="QCM277" s="592"/>
      <c r="QCN277" s="592"/>
      <c r="QCO277" s="592"/>
      <c r="QCP277" s="592"/>
      <c r="QCQ277" s="592"/>
      <c r="QCR277" s="592"/>
      <c r="QCS277" s="592"/>
      <c r="QCT277" s="592"/>
      <c r="QCU277" s="592"/>
      <c r="QCV277" s="592"/>
      <c r="QCW277" s="592"/>
      <c r="QCX277" s="592"/>
      <c r="QCY277" s="592"/>
      <c r="QCZ277" s="592"/>
      <c r="QDA277" s="592"/>
      <c r="QDB277" s="592"/>
      <c r="QDC277" s="592"/>
      <c r="QDD277" s="592"/>
      <c r="QDE277" s="592"/>
      <c r="QDF277" s="592"/>
      <c r="QDG277" s="592"/>
      <c r="QDH277" s="592"/>
      <c r="QDI277" s="592"/>
      <c r="QDJ277" s="592"/>
      <c r="QDK277" s="592"/>
      <c r="QDL277" s="592"/>
      <c r="QDM277" s="592"/>
      <c r="QDN277" s="592"/>
      <c r="QDO277" s="592"/>
      <c r="QDP277" s="592"/>
      <c r="QDQ277" s="592"/>
      <c r="QDR277" s="592"/>
      <c r="QDS277" s="592"/>
      <c r="QDT277" s="592"/>
      <c r="QDU277" s="592"/>
      <c r="QDV277" s="592"/>
      <c r="QDW277" s="592"/>
      <c r="QDX277" s="592"/>
      <c r="QDY277" s="592"/>
      <c r="QDZ277" s="592"/>
      <c r="QEA277" s="592"/>
      <c r="QEB277" s="592"/>
      <c r="QEC277" s="592"/>
      <c r="QED277" s="592"/>
      <c r="QEE277" s="592"/>
      <c r="QEF277" s="592"/>
      <c r="QEG277" s="592"/>
      <c r="QEH277" s="592"/>
      <c r="QEI277" s="592"/>
      <c r="QEJ277" s="592"/>
      <c r="QEK277" s="592"/>
      <c r="QEL277" s="592"/>
      <c r="QEM277" s="592"/>
      <c r="QEN277" s="592"/>
      <c r="QEO277" s="592"/>
      <c r="QEP277" s="592"/>
      <c r="QEQ277" s="592"/>
      <c r="QER277" s="592"/>
      <c r="QES277" s="592"/>
      <c r="QET277" s="592"/>
      <c r="QEU277" s="592"/>
      <c r="QEV277" s="592"/>
      <c r="QEW277" s="592"/>
      <c r="QEX277" s="592"/>
      <c r="QEY277" s="592"/>
      <c r="QEZ277" s="592"/>
      <c r="QFA277" s="592"/>
      <c r="QFB277" s="592"/>
      <c r="QFC277" s="592"/>
      <c r="QFD277" s="592"/>
      <c r="QFE277" s="592"/>
      <c r="QFF277" s="592"/>
      <c r="QFG277" s="592"/>
      <c r="QFH277" s="592"/>
      <c r="QFI277" s="592"/>
      <c r="QFJ277" s="592"/>
      <c r="QFK277" s="592"/>
      <c r="QFL277" s="592"/>
      <c r="QFM277" s="592"/>
      <c r="QFN277" s="592"/>
      <c r="QFO277" s="592"/>
      <c r="QFP277" s="592"/>
      <c r="QFQ277" s="592"/>
      <c r="QFR277" s="592"/>
      <c r="QFS277" s="592"/>
      <c r="QFT277" s="592"/>
      <c r="QFU277" s="592"/>
      <c r="QFV277" s="592"/>
      <c r="QFW277" s="592"/>
      <c r="QFX277" s="592"/>
      <c r="QFY277" s="592"/>
      <c r="QFZ277" s="592"/>
      <c r="QGA277" s="592"/>
      <c r="QGB277" s="592"/>
      <c r="QGC277" s="592"/>
      <c r="QGD277" s="592"/>
      <c r="QGE277" s="592"/>
      <c r="QGF277" s="592"/>
      <c r="QGG277" s="592"/>
      <c r="QGH277" s="592"/>
      <c r="QGI277" s="592"/>
      <c r="QGJ277" s="592"/>
      <c r="QGK277" s="592"/>
      <c r="QGL277" s="592"/>
      <c r="QGM277" s="592"/>
      <c r="QGN277" s="592"/>
      <c r="QGO277" s="592"/>
      <c r="QGP277" s="592"/>
      <c r="QGQ277" s="592"/>
      <c r="QGR277" s="592"/>
      <c r="QGS277" s="592"/>
      <c r="QGT277" s="592"/>
      <c r="QGU277" s="592"/>
      <c r="QGV277" s="592"/>
      <c r="QGW277" s="592"/>
      <c r="QGX277" s="592"/>
      <c r="QGY277" s="592"/>
      <c r="QGZ277" s="592"/>
      <c r="QHA277" s="592"/>
      <c r="QHB277" s="592"/>
      <c r="QHC277" s="592"/>
      <c r="QHD277" s="592"/>
      <c r="QHE277" s="592"/>
      <c r="QHF277" s="592"/>
      <c r="QHG277" s="592"/>
      <c r="QHH277" s="592"/>
      <c r="QHI277" s="592"/>
      <c r="QHJ277" s="592"/>
      <c r="QHK277" s="592"/>
      <c r="QHL277" s="592"/>
      <c r="QHM277" s="592"/>
      <c r="QHN277" s="592"/>
      <c r="QHO277" s="592"/>
      <c r="QHP277" s="592"/>
      <c r="QHQ277" s="592"/>
      <c r="QHR277" s="592"/>
      <c r="QHS277" s="592"/>
      <c r="QHT277" s="592"/>
      <c r="QHU277" s="592"/>
      <c r="QHV277" s="592"/>
      <c r="QHW277" s="592"/>
      <c r="QHX277" s="592"/>
      <c r="QHY277" s="592"/>
      <c r="QHZ277" s="592"/>
      <c r="QIA277" s="592"/>
      <c r="QIB277" s="592"/>
      <c r="QIC277" s="592"/>
      <c r="QID277" s="592"/>
      <c r="QIE277" s="592"/>
      <c r="QIF277" s="592"/>
      <c r="QIG277" s="592"/>
      <c r="QIH277" s="592"/>
      <c r="QII277" s="592"/>
      <c r="QIJ277" s="592"/>
      <c r="QIK277" s="592"/>
      <c r="QIL277" s="592"/>
      <c r="QIM277" s="592"/>
      <c r="QIN277" s="592"/>
      <c r="QIO277" s="592"/>
      <c r="QIP277" s="592"/>
      <c r="QIQ277" s="592"/>
      <c r="QIR277" s="592"/>
      <c r="QIS277" s="592"/>
      <c r="QIT277" s="592"/>
      <c r="QIU277" s="592"/>
      <c r="QIV277" s="592"/>
      <c r="QIW277" s="592"/>
      <c r="QIX277" s="592"/>
      <c r="QIY277" s="592"/>
      <c r="QIZ277" s="592"/>
      <c r="QJA277" s="592"/>
      <c r="QJB277" s="592"/>
      <c r="QJC277" s="592"/>
      <c r="QJD277" s="592"/>
      <c r="QJE277" s="592"/>
      <c r="QJF277" s="592"/>
      <c r="QJG277" s="592"/>
      <c r="QJH277" s="592"/>
      <c r="QJI277" s="592"/>
      <c r="QJJ277" s="592"/>
      <c r="QJK277" s="592"/>
      <c r="QJL277" s="592"/>
      <c r="QJM277" s="592"/>
      <c r="QJN277" s="592"/>
      <c r="QJO277" s="592"/>
      <c r="QJP277" s="592"/>
      <c r="QJQ277" s="592"/>
      <c r="QJR277" s="592"/>
      <c r="QJS277" s="592"/>
      <c r="QJT277" s="592"/>
      <c r="QJU277" s="592"/>
      <c r="QJV277" s="592"/>
      <c r="QJW277" s="592"/>
      <c r="QJX277" s="592"/>
      <c r="QJY277" s="592"/>
      <c r="QJZ277" s="592"/>
      <c r="QKA277" s="592"/>
      <c r="QKB277" s="592"/>
      <c r="QKC277" s="592"/>
      <c r="QKD277" s="592"/>
      <c r="QKE277" s="592"/>
      <c r="QKF277" s="592"/>
      <c r="QKG277" s="592"/>
      <c r="QKH277" s="592"/>
      <c r="QKI277" s="592"/>
      <c r="QKJ277" s="592"/>
      <c r="QKK277" s="592"/>
      <c r="QKL277" s="592"/>
      <c r="QKM277" s="592"/>
      <c r="QKN277" s="592"/>
      <c r="QKO277" s="592"/>
      <c r="QKP277" s="592"/>
      <c r="QKQ277" s="592"/>
      <c r="QKR277" s="592"/>
      <c r="QKS277" s="592"/>
      <c r="QKT277" s="592"/>
      <c r="QKU277" s="592"/>
      <c r="QKV277" s="592"/>
      <c r="QKW277" s="592"/>
      <c r="QKX277" s="592"/>
      <c r="QKY277" s="592"/>
      <c r="QKZ277" s="592"/>
      <c r="QLA277" s="592"/>
      <c r="QLB277" s="592"/>
      <c r="QLC277" s="592"/>
      <c r="QLD277" s="592"/>
      <c r="QLE277" s="592"/>
      <c r="QLF277" s="592"/>
      <c r="QLG277" s="592"/>
      <c r="QLH277" s="592"/>
      <c r="QLI277" s="592"/>
      <c r="QLJ277" s="592"/>
      <c r="QLK277" s="592"/>
      <c r="QLL277" s="592"/>
      <c r="QLM277" s="592"/>
      <c r="QLN277" s="592"/>
      <c r="QLO277" s="592"/>
      <c r="QLP277" s="592"/>
      <c r="QLQ277" s="592"/>
      <c r="QLR277" s="592"/>
      <c r="QLS277" s="592"/>
      <c r="QLT277" s="592"/>
      <c r="QLU277" s="592"/>
      <c r="QLV277" s="592"/>
      <c r="QLW277" s="592"/>
      <c r="QLX277" s="592"/>
      <c r="QLY277" s="592"/>
      <c r="QLZ277" s="592"/>
      <c r="QMA277" s="592"/>
      <c r="QMB277" s="592"/>
      <c r="QMC277" s="592"/>
      <c r="QMD277" s="592"/>
      <c r="QME277" s="592"/>
      <c r="QMF277" s="592"/>
      <c r="QMG277" s="592"/>
      <c r="QMH277" s="592"/>
      <c r="QMI277" s="592"/>
      <c r="QMJ277" s="592"/>
      <c r="QMK277" s="592"/>
      <c r="QML277" s="592"/>
      <c r="QMM277" s="592"/>
      <c r="QMN277" s="592"/>
      <c r="QMO277" s="592"/>
      <c r="QMP277" s="592"/>
      <c r="QMQ277" s="592"/>
      <c r="QMR277" s="592"/>
      <c r="QMS277" s="592"/>
      <c r="QMT277" s="592"/>
      <c r="QMU277" s="592"/>
      <c r="QMV277" s="592"/>
      <c r="QMW277" s="592"/>
      <c r="QMX277" s="592"/>
      <c r="QMY277" s="592"/>
      <c r="QMZ277" s="592"/>
      <c r="QNA277" s="592"/>
      <c r="QNB277" s="592"/>
      <c r="QNC277" s="592"/>
      <c r="QND277" s="592"/>
      <c r="QNE277" s="592"/>
      <c r="QNF277" s="592"/>
      <c r="QNG277" s="592"/>
      <c r="QNH277" s="592"/>
      <c r="QNI277" s="592"/>
      <c r="QNJ277" s="592"/>
      <c r="QNK277" s="592"/>
      <c r="QNL277" s="592"/>
      <c r="QNM277" s="592"/>
      <c r="QNN277" s="592"/>
      <c r="QNO277" s="592"/>
      <c r="QNP277" s="592"/>
      <c r="QNQ277" s="592"/>
      <c r="QNR277" s="592"/>
      <c r="QNS277" s="592"/>
      <c r="QNT277" s="592"/>
      <c r="QNU277" s="592"/>
      <c r="QNV277" s="592"/>
      <c r="QNW277" s="592"/>
      <c r="QNX277" s="592"/>
      <c r="QNY277" s="592"/>
      <c r="QNZ277" s="592"/>
      <c r="QOA277" s="592"/>
      <c r="QOB277" s="592"/>
      <c r="QOC277" s="592"/>
      <c r="QOD277" s="592"/>
      <c r="QOE277" s="592"/>
      <c r="QOF277" s="592"/>
      <c r="QOG277" s="592"/>
      <c r="QOH277" s="592"/>
      <c r="QOI277" s="592"/>
      <c r="QOJ277" s="592"/>
      <c r="QOK277" s="592"/>
      <c r="QOL277" s="592"/>
      <c r="QOM277" s="592"/>
      <c r="QON277" s="592"/>
      <c r="QOO277" s="592"/>
      <c r="QOP277" s="592"/>
      <c r="QOQ277" s="592"/>
      <c r="QOR277" s="592"/>
      <c r="QOS277" s="592"/>
      <c r="QOT277" s="592"/>
      <c r="QOU277" s="592"/>
      <c r="QOV277" s="592"/>
      <c r="QOW277" s="592"/>
      <c r="QOX277" s="592"/>
      <c r="QOY277" s="592"/>
      <c r="QOZ277" s="592"/>
      <c r="QPA277" s="592"/>
      <c r="QPB277" s="592"/>
      <c r="QPC277" s="592"/>
      <c r="QPD277" s="592"/>
      <c r="QPE277" s="592"/>
      <c r="QPF277" s="592"/>
      <c r="QPG277" s="592"/>
      <c r="QPH277" s="592"/>
      <c r="QPI277" s="592"/>
      <c r="QPJ277" s="592"/>
      <c r="QPK277" s="592"/>
      <c r="QPL277" s="592"/>
      <c r="QPM277" s="592"/>
      <c r="QPN277" s="592"/>
      <c r="QPO277" s="592"/>
      <c r="QPP277" s="592"/>
      <c r="QPQ277" s="592"/>
      <c r="QPR277" s="592"/>
      <c r="QPS277" s="592"/>
      <c r="QPT277" s="592"/>
      <c r="QPU277" s="592"/>
      <c r="QPV277" s="592"/>
      <c r="QPW277" s="592"/>
      <c r="QPX277" s="592"/>
      <c r="QPY277" s="592"/>
      <c r="QPZ277" s="592"/>
      <c r="QQA277" s="592"/>
      <c r="QQB277" s="592"/>
      <c r="QQC277" s="592"/>
      <c r="QQD277" s="592"/>
      <c r="QQE277" s="592"/>
      <c r="QQF277" s="592"/>
      <c r="QQG277" s="592"/>
      <c r="QQH277" s="592"/>
      <c r="QQI277" s="592"/>
      <c r="QQJ277" s="592"/>
      <c r="QQK277" s="592"/>
      <c r="QQL277" s="592"/>
      <c r="QQM277" s="592"/>
      <c r="QQN277" s="592"/>
      <c r="QQO277" s="592"/>
      <c r="QQP277" s="592"/>
      <c r="QQQ277" s="592"/>
      <c r="QQR277" s="592"/>
      <c r="QQS277" s="592"/>
      <c r="QQT277" s="592"/>
      <c r="QQU277" s="592"/>
      <c r="QQV277" s="592"/>
      <c r="QQW277" s="592"/>
      <c r="QQX277" s="592"/>
      <c r="QQY277" s="592"/>
      <c r="QQZ277" s="592"/>
      <c r="QRA277" s="592"/>
      <c r="QRB277" s="592"/>
      <c r="QRC277" s="592"/>
      <c r="QRD277" s="592"/>
      <c r="QRE277" s="592"/>
      <c r="QRF277" s="592"/>
      <c r="QRG277" s="592"/>
      <c r="QRH277" s="592"/>
      <c r="QRI277" s="592"/>
      <c r="QRJ277" s="592"/>
      <c r="QRK277" s="592"/>
      <c r="QRL277" s="592"/>
      <c r="QRM277" s="592"/>
      <c r="QRN277" s="592"/>
      <c r="QRO277" s="592"/>
      <c r="QRP277" s="592"/>
      <c r="QRQ277" s="592"/>
      <c r="QRR277" s="592"/>
      <c r="QRS277" s="592"/>
      <c r="QRT277" s="592"/>
      <c r="QRU277" s="592"/>
      <c r="QRV277" s="592"/>
      <c r="QRW277" s="592"/>
      <c r="QRX277" s="592"/>
      <c r="QRY277" s="592"/>
      <c r="QRZ277" s="592"/>
      <c r="QSA277" s="592"/>
      <c r="QSB277" s="592"/>
      <c r="QSC277" s="592"/>
      <c r="QSD277" s="592"/>
      <c r="QSE277" s="592"/>
      <c r="QSF277" s="592"/>
      <c r="QSG277" s="592"/>
      <c r="QSH277" s="592"/>
      <c r="QSI277" s="592"/>
      <c r="QSJ277" s="592"/>
      <c r="QSK277" s="592"/>
      <c r="QSL277" s="592"/>
      <c r="QSM277" s="592"/>
      <c r="QSN277" s="592"/>
      <c r="QSO277" s="592"/>
      <c r="QSP277" s="592"/>
      <c r="QSQ277" s="592"/>
      <c r="QSR277" s="592"/>
      <c r="QSS277" s="592"/>
      <c r="QST277" s="592"/>
      <c r="QSU277" s="592"/>
      <c r="QSV277" s="592"/>
      <c r="QSW277" s="592"/>
      <c r="QSX277" s="592"/>
      <c r="QSY277" s="592"/>
      <c r="QSZ277" s="592"/>
      <c r="QTA277" s="592"/>
      <c r="QTB277" s="592"/>
      <c r="QTC277" s="592"/>
      <c r="QTD277" s="592"/>
      <c r="QTE277" s="592"/>
      <c r="QTF277" s="592"/>
      <c r="QTG277" s="592"/>
      <c r="QTH277" s="592"/>
      <c r="QTI277" s="592"/>
      <c r="QTJ277" s="592"/>
      <c r="QTK277" s="592"/>
      <c r="QTL277" s="592"/>
      <c r="QTM277" s="592"/>
      <c r="QTN277" s="592"/>
      <c r="QTO277" s="592"/>
      <c r="QTP277" s="592"/>
      <c r="QTQ277" s="592"/>
      <c r="QTR277" s="592"/>
      <c r="QTS277" s="592"/>
      <c r="QTT277" s="592"/>
      <c r="QTU277" s="592"/>
      <c r="QTV277" s="592"/>
      <c r="QTW277" s="592"/>
      <c r="QTX277" s="592"/>
      <c r="QTY277" s="592"/>
      <c r="QTZ277" s="592"/>
      <c r="QUA277" s="592"/>
      <c r="QUB277" s="592"/>
      <c r="QUC277" s="592"/>
      <c r="QUD277" s="592"/>
      <c r="QUE277" s="592"/>
      <c r="QUF277" s="592"/>
      <c r="QUG277" s="592"/>
      <c r="QUH277" s="592"/>
      <c r="QUI277" s="592"/>
      <c r="QUJ277" s="592"/>
      <c r="QUK277" s="592"/>
      <c r="QUL277" s="592"/>
      <c r="QUM277" s="592"/>
      <c r="QUN277" s="592"/>
      <c r="QUO277" s="592"/>
      <c r="QUP277" s="592"/>
      <c r="QUQ277" s="592"/>
      <c r="QUR277" s="592"/>
      <c r="QUS277" s="592"/>
      <c r="QUT277" s="592"/>
      <c r="QUU277" s="592"/>
      <c r="QUV277" s="592"/>
      <c r="QUW277" s="592"/>
      <c r="QUX277" s="592"/>
      <c r="QUY277" s="592"/>
      <c r="QUZ277" s="592"/>
      <c r="QVA277" s="592"/>
      <c r="QVB277" s="592"/>
      <c r="QVC277" s="592"/>
      <c r="QVD277" s="592"/>
      <c r="QVE277" s="592"/>
      <c r="QVF277" s="592"/>
      <c r="QVG277" s="592"/>
      <c r="QVH277" s="592"/>
      <c r="QVI277" s="592"/>
      <c r="QVJ277" s="592"/>
      <c r="QVK277" s="592"/>
      <c r="QVL277" s="592"/>
      <c r="QVM277" s="592"/>
      <c r="QVN277" s="592"/>
      <c r="QVO277" s="592"/>
      <c r="QVP277" s="592"/>
      <c r="QVQ277" s="592"/>
      <c r="QVR277" s="592"/>
      <c r="QVS277" s="592"/>
      <c r="QVT277" s="592"/>
      <c r="QVU277" s="592"/>
      <c r="QVV277" s="592"/>
      <c r="QVW277" s="592"/>
      <c r="QVX277" s="592"/>
      <c r="QVY277" s="592"/>
      <c r="QVZ277" s="592"/>
      <c r="QWA277" s="592"/>
      <c r="QWB277" s="592"/>
      <c r="QWC277" s="592"/>
      <c r="QWD277" s="592"/>
      <c r="QWE277" s="592"/>
      <c r="QWF277" s="592"/>
      <c r="QWG277" s="592"/>
      <c r="QWH277" s="592"/>
      <c r="QWI277" s="592"/>
      <c r="QWJ277" s="592"/>
      <c r="QWK277" s="592"/>
      <c r="QWL277" s="592"/>
      <c r="QWM277" s="592"/>
      <c r="QWN277" s="592"/>
      <c r="QWO277" s="592"/>
      <c r="QWP277" s="592"/>
      <c r="QWQ277" s="592"/>
      <c r="QWR277" s="592"/>
      <c r="QWS277" s="592"/>
      <c r="QWT277" s="592"/>
      <c r="QWU277" s="592"/>
      <c r="QWV277" s="592"/>
      <c r="QWW277" s="592"/>
      <c r="QWX277" s="592"/>
      <c r="QWY277" s="592"/>
      <c r="QWZ277" s="592"/>
      <c r="QXA277" s="592"/>
      <c r="QXB277" s="592"/>
      <c r="QXC277" s="592"/>
      <c r="QXD277" s="592"/>
      <c r="QXE277" s="592"/>
      <c r="QXF277" s="592"/>
      <c r="QXG277" s="592"/>
      <c r="QXH277" s="592"/>
      <c r="QXI277" s="592"/>
      <c r="QXJ277" s="592"/>
      <c r="QXK277" s="592"/>
      <c r="QXL277" s="592"/>
      <c r="QXM277" s="592"/>
      <c r="QXN277" s="592"/>
      <c r="QXO277" s="592"/>
      <c r="QXP277" s="592"/>
      <c r="QXQ277" s="592"/>
      <c r="QXR277" s="592"/>
      <c r="QXS277" s="592"/>
      <c r="QXT277" s="592"/>
      <c r="QXU277" s="592"/>
      <c r="QXV277" s="592"/>
      <c r="QXW277" s="592"/>
      <c r="QXX277" s="592"/>
      <c r="QXY277" s="592"/>
      <c r="QXZ277" s="592"/>
      <c r="QYA277" s="592"/>
      <c r="QYB277" s="592"/>
      <c r="QYC277" s="592"/>
      <c r="QYD277" s="592"/>
      <c r="QYE277" s="592"/>
      <c r="QYF277" s="592"/>
      <c r="QYG277" s="592"/>
      <c r="QYH277" s="592"/>
      <c r="QYI277" s="592"/>
      <c r="QYJ277" s="592"/>
      <c r="QYK277" s="592"/>
      <c r="QYL277" s="592"/>
      <c r="QYM277" s="592"/>
      <c r="QYN277" s="592"/>
      <c r="QYO277" s="592"/>
      <c r="QYP277" s="592"/>
      <c r="QYQ277" s="592"/>
      <c r="QYR277" s="592"/>
      <c r="QYS277" s="592"/>
      <c r="QYT277" s="592"/>
      <c r="QYU277" s="592"/>
      <c r="QYV277" s="592"/>
      <c r="QYW277" s="592"/>
      <c r="QYX277" s="592"/>
      <c r="QYY277" s="592"/>
      <c r="QYZ277" s="592"/>
      <c r="QZA277" s="592"/>
      <c r="QZB277" s="592"/>
      <c r="QZC277" s="592"/>
      <c r="QZD277" s="592"/>
      <c r="QZE277" s="592"/>
      <c r="QZF277" s="592"/>
      <c r="QZG277" s="592"/>
      <c r="QZH277" s="592"/>
      <c r="QZI277" s="592"/>
      <c r="QZJ277" s="592"/>
      <c r="QZK277" s="592"/>
      <c r="QZL277" s="592"/>
      <c r="QZM277" s="592"/>
      <c r="QZN277" s="592"/>
      <c r="QZO277" s="592"/>
      <c r="QZP277" s="592"/>
      <c r="QZQ277" s="592"/>
      <c r="QZR277" s="592"/>
      <c r="QZS277" s="592"/>
      <c r="QZT277" s="592"/>
      <c r="QZU277" s="592"/>
      <c r="QZV277" s="592"/>
      <c r="QZW277" s="592"/>
      <c r="QZX277" s="592"/>
      <c r="QZY277" s="592"/>
      <c r="QZZ277" s="592"/>
      <c r="RAA277" s="592"/>
      <c r="RAB277" s="592"/>
      <c r="RAC277" s="592"/>
      <c r="RAD277" s="592"/>
      <c r="RAE277" s="592"/>
      <c r="RAF277" s="592"/>
      <c r="RAG277" s="592"/>
      <c r="RAH277" s="592"/>
      <c r="RAI277" s="592"/>
      <c r="RAJ277" s="592"/>
      <c r="RAK277" s="592"/>
      <c r="RAL277" s="592"/>
      <c r="RAM277" s="592"/>
      <c r="RAN277" s="592"/>
      <c r="RAO277" s="592"/>
      <c r="RAP277" s="592"/>
      <c r="RAQ277" s="592"/>
      <c r="RAR277" s="592"/>
      <c r="RAS277" s="592"/>
      <c r="RAT277" s="592"/>
      <c r="RAU277" s="592"/>
      <c r="RAV277" s="592"/>
      <c r="RAW277" s="592"/>
      <c r="RAX277" s="592"/>
      <c r="RAY277" s="592"/>
      <c r="RAZ277" s="592"/>
      <c r="RBA277" s="592"/>
      <c r="RBB277" s="592"/>
      <c r="RBC277" s="592"/>
      <c r="RBD277" s="592"/>
      <c r="RBE277" s="592"/>
      <c r="RBF277" s="592"/>
      <c r="RBG277" s="592"/>
      <c r="RBH277" s="592"/>
      <c r="RBI277" s="592"/>
      <c r="RBJ277" s="592"/>
      <c r="RBK277" s="592"/>
      <c r="RBL277" s="592"/>
      <c r="RBM277" s="592"/>
      <c r="RBN277" s="592"/>
      <c r="RBO277" s="592"/>
      <c r="RBP277" s="592"/>
      <c r="RBQ277" s="592"/>
      <c r="RBR277" s="592"/>
      <c r="RBS277" s="592"/>
      <c r="RBT277" s="592"/>
      <c r="RBU277" s="592"/>
      <c r="RBV277" s="592"/>
      <c r="RBW277" s="592"/>
      <c r="RBX277" s="592"/>
      <c r="RBY277" s="592"/>
      <c r="RBZ277" s="592"/>
      <c r="RCA277" s="592"/>
      <c r="RCB277" s="592"/>
      <c r="RCC277" s="592"/>
      <c r="RCD277" s="592"/>
      <c r="RCE277" s="592"/>
      <c r="RCF277" s="592"/>
      <c r="RCG277" s="592"/>
      <c r="RCH277" s="592"/>
      <c r="RCI277" s="592"/>
      <c r="RCJ277" s="592"/>
      <c r="RCK277" s="592"/>
      <c r="RCL277" s="592"/>
      <c r="RCM277" s="592"/>
      <c r="RCN277" s="592"/>
      <c r="RCO277" s="592"/>
      <c r="RCP277" s="592"/>
      <c r="RCQ277" s="592"/>
      <c r="RCR277" s="592"/>
      <c r="RCS277" s="592"/>
      <c r="RCT277" s="592"/>
      <c r="RCU277" s="592"/>
      <c r="RCV277" s="592"/>
      <c r="RCW277" s="592"/>
      <c r="RCX277" s="592"/>
      <c r="RCY277" s="592"/>
      <c r="RCZ277" s="592"/>
      <c r="RDA277" s="592"/>
      <c r="RDB277" s="592"/>
      <c r="RDC277" s="592"/>
      <c r="RDD277" s="592"/>
      <c r="RDE277" s="592"/>
      <c r="RDF277" s="592"/>
      <c r="RDG277" s="592"/>
      <c r="RDH277" s="592"/>
      <c r="RDI277" s="592"/>
      <c r="RDJ277" s="592"/>
      <c r="RDK277" s="592"/>
      <c r="RDL277" s="592"/>
      <c r="RDM277" s="592"/>
      <c r="RDN277" s="592"/>
      <c r="RDO277" s="592"/>
      <c r="RDP277" s="592"/>
      <c r="RDQ277" s="592"/>
      <c r="RDR277" s="592"/>
      <c r="RDS277" s="592"/>
      <c r="RDT277" s="592"/>
      <c r="RDU277" s="592"/>
      <c r="RDV277" s="592"/>
      <c r="RDW277" s="592"/>
      <c r="RDX277" s="592"/>
      <c r="RDY277" s="592"/>
      <c r="RDZ277" s="592"/>
      <c r="REA277" s="592"/>
      <c r="REB277" s="592"/>
      <c r="REC277" s="592"/>
      <c r="RED277" s="592"/>
      <c r="REE277" s="592"/>
      <c r="REF277" s="592"/>
      <c r="REG277" s="592"/>
      <c r="REH277" s="592"/>
      <c r="REI277" s="592"/>
      <c r="REJ277" s="592"/>
      <c r="REK277" s="592"/>
      <c r="REL277" s="592"/>
      <c r="REM277" s="592"/>
      <c r="REN277" s="592"/>
      <c r="REO277" s="592"/>
      <c r="REP277" s="592"/>
      <c r="REQ277" s="592"/>
      <c r="RER277" s="592"/>
      <c r="RES277" s="592"/>
      <c r="RET277" s="592"/>
      <c r="REU277" s="592"/>
      <c r="REV277" s="592"/>
      <c r="REW277" s="592"/>
      <c r="REX277" s="592"/>
      <c r="REY277" s="592"/>
      <c r="REZ277" s="592"/>
      <c r="RFA277" s="592"/>
      <c r="RFB277" s="592"/>
      <c r="RFC277" s="592"/>
      <c r="RFD277" s="592"/>
      <c r="RFE277" s="592"/>
      <c r="RFF277" s="592"/>
      <c r="RFG277" s="592"/>
      <c r="RFH277" s="592"/>
      <c r="RFI277" s="592"/>
      <c r="RFJ277" s="592"/>
      <c r="RFK277" s="592"/>
      <c r="RFL277" s="592"/>
      <c r="RFM277" s="592"/>
      <c r="RFN277" s="592"/>
      <c r="RFO277" s="592"/>
      <c r="RFP277" s="592"/>
      <c r="RFQ277" s="592"/>
      <c r="RFR277" s="592"/>
      <c r="RFS277" s="592"/>
      <c r="RFT277" s="592"/>
      <c r="RFU277" s="592"/>
      <c r="RFV277" s="592"/>
      <c r="RFW277" s="592"/>
      <c r="RFX277" s="592"/>
      <c r="RFY277" s="592"/>
      <c r="RFZ277" s="592"/>
      <c r="RGA277" s="592"/>
      <c r="RGB277" s="592"/>
      <c r="RGC277" s="592"/>
      <c r="RGD277" s="592"/>
      <c r="RGE277" s="592"/>
      <c r="RGF277" s="592"/>
      <c r="RGG277" s="592"/>
      <c r="RGH277" s="592"/>
      <c r="RGI277" s="592"/>
      <c r="RGJ277" s="592"/>
      <c r="RGK277" s="592"/>
      <c r="RGL277" s="592"/>
      <c r="RGM277" s="592"/>
      <c r="RGN277" s="592"/>
      <c r="RGO277" s="592"/>
      <c r="RGP277" s="592"/>
      <c r="RGQ277" s="592"/>
      <c r="RGR277" s="592"/>
      <c r="RGS277" s="592"/>
      <c r="RGT277" s="592"/>
      <c r="RGU277" s="592"/>
      <c r="RGV277" s="592"/>
      <c r="RGW277" s="592"/>
      <c r="RGX277" s="592"/>
      <c r="RGY277" s="592"/>
      <c r="RGZ277" s="592"/>
      <c r="RHA277" s="592"/>
      <c r="RHB277" s="592"/>
      <c r="RHC277" s="592"/>
      <c r="RHD277" s="592"/>
      <c r="RHE277" s="592"/>
      <c r="RHF277" s="592"/>
      <c r="RHG277" s="592"/>
      <c r="RHH277" s="592"/>
      <c r="RHI277" s="592"/>
      <c r="RHJ277" s="592"/>
      <c r="RHK277" s="592"/>
      <c r="RHL277" s="592"/>
      <c r="RHM277" s="592"/>
      <c r="RHN277" s="592"/>
      <c r="RHO277" s="592"/>
      <c r="RHP277" s="592"/>
      <c r="RHQ277" s="592"/>
      <c r="RHR277" s="592"/>
      <c r="RHS277" s="592"/>
      <c r="RHT277" s="592"/>
      <c r="RHU277" s="592"/>
      <c r="RHV277" s="592"/>
      <c r="RHW277" s="592"/>
      <c r="RHX277" s="592"/>
      <c r="RHY277" s="592"/>
      <c r="RHZ277" s="592"/>
      <c r="RIA277" s="592"/>
      <c r="RIB277" s="592"/>
      <c r="RIC277" s="592"/>
      <c r="RID277" s="592"/>
      <c r="RIE277" s="592"/>
      <c r="RIF277" s="592"/>
      <c r="RIG277" s="592"/>
      <c r="RIH277" s="592"/>
      <c r="RII277" s="592"/>
      <c r="RIJ277" s="592"/>
      <c r="RIK277" s="592"/>
      <c r="RIL277" s="592"/>
      <c r="RIM277" s="592"/>
      <c r="RIN277" s="592"/>
      <c r="RIO277" s="592"/>
      <c r="RIP277" s="592"/>
      <c r="RIQ277" s="592"/>
      <c r="RIR277" s="592"/>
      <c r="RIS277" s="592"/>
      <c r="RIT277" s="592"/>
      <c r="RIU277" s="592"/>
      <c r="RIV277" s="592"/>
      <c r="RIW277" s="592"/>
      <c r="RIX277" s="592"/>
      <c r="RIY277" s="592"/>
      <c r="RIZ277" s="592"/>
      <c r="RJA277" s="592"/>
      <c r="RJB277" s="592"/>
      <c r="RJC277" s="592"/>
      <c r="RJD277" s="592"/>
      <c r="RJE277" s="592"/>
      <c r="RJF277" s="592"/>
      <c r="RJG277" s="592"/>
      <c r="RJH277" s="592"/>
      <c r="RJI277" s="592"/>
      <c r="RJJ277" s="592"/>
      <c r="RJK277" s="592"/>
      <c r="RJL277" s="592"/>
      <c r="RJM277" s="592"/>
      <c r="RJN277" s="592"/>
      <c r="RJO277" s="592"/>
      <c r="RJP277" s="592"/>
      <c r="RJQ277" s="592"/>
      <c r="RJR277" s="592"/>
      <c r="RJS277" s="592"/>
      <c r="RJT277" s="592"/>
      <c r="RJU277" s="592"/>
      <c r="RJV277" s="592"/>
      <c r="RJW277" s="592"/>
      <c r="RJX277" s="592"/>
      <c r="RJY277" s="592"/>
      <c r="RJZ277" s="592"/>
      <c r="RKA277" s="592"/>
      <c r="RKB277" s="592"/>
      <c r="RKC277" s="592"/>
      <c r="RKD277" s="592"/>
      <c r="RKE277" s="592"/>
      <c r="RKF277" s="592"/>
      <c r="RKG277" s="592"/>
      <c r="RKH277" s="592"/>
      <c r="RKI277" s="592"/>
      <c r="RKJ277" s="592"/>
      <c r="RKK277" s="592"/>
      <c r="RKL277" s="592"/>
      <c r="RKM277" s="592"/>
      <c r="RKN277" s="592"/>
      <c r="RKO277" s="592"/>
      <c r="RKP277" s="592"/>
      <c r="RKQ277" s="592"/>
      <c r="RKR277" s="592"/>
      <c r="RKS277" s="592"/>
      <c r="RKT277" s="592"/>
      <c r="RKU277" s="592"/>
      <c r="RKV277" s="592"/>
      <c r="RKW277" s="592"/>
      <c r="RKX277" s="592"/>
      <c r="RKY277" s="592"/>
      <c r="RKZ277" s="592"/>
      <c r="RLA277" s="592"/>
      <c r="RLB277" s="592"/>
      <c r="RLC277" s="592"/>
      <c r="RLD277" s="592"/>
      <c r="RLE277" s="592"/>
      <c r="RLF277" s="592"/>
      <c r="RLG277" s="592"/>
      <c r="RLH277" s="592"/>
      <c r="RLI277" s="592"/>
      <c r="RLJ277" s="592"/>
      <c r="RLK277" s="592"/>
      <c r="RLL277" s="592"/>
      <c r="RLM277" s="592"/>
      <c r="RLN277" s="592"/>
      <c r="RLO277" s="592"/>
      <c r="RLP277" s="592"/>
      <c r="RLQ277" s="592"/>
      <c r="RLR277" s="592"/>
      <c r="RLS277" s="592"/>
      <c r="RLT277" s="592"/>
      <c r="RLU277" s="592"/>
      <c r="RLV277" s="592"/>
      <c r="RLW277" s="592"/>
      <c r="RLX277" s="592"/>
      <c r="RLY277" s="592"/>
      <c r="RLZ277" s="592"/>
      <c r="RMA277" s="592"/>
      <c r="RMB277" s="592"/>
      <c r="RMC277" s="592"/>
      <c r="RMD277" s="592"/>
      <c r="RME277" s="592"/>
      <c r="RMF277" s="592"/>
      <c r="RMG277" s="592"/>
      <c r="RMH277" s="592"/>
      <c r="RMI277" s="592"/>
      <c r="RMJ277" s="592"/>
      <c r="RMK277" s="592"/>
      <c r="RML277" s="592"/>
      <c r="RMM277" s="592"/>
      <c r="RMN277" s="592"/>
      <c r="RMO277" s="592"/>
      <c r="RMP277" s="592"/>
      <c r="RMQ277" s="592"/>
      <c r="RMR277" s="592"/>
      <c r="RMS277" s="592"/>
      <c r="RMT277" s="592"/>
      <c r="RMU277" s="592"/>
      <c r="RMV277" s="592"/>
      <c r="RMW277" s="592"/>
      <c r="RMX277" s="592"/>
      <c r="RMY277" s="592"/>
      <c r="RMZ277" s="592"/>
      <c r="RNA277" s="592"/>
      <c r="RNB277" s="592"/>
      <c r="RNC277" s="592"/>
      <c r="RND277" s="592"/>
      <c r="RNE277" s="592"/>
      <c r="RNF277" s="592"/>
      <c r="RNG277" s="592"/>
      <c r="RNH277" s="592"/>
      <c r="RNI277" s="592"/>
      <c r="RNJ277" s="592"/>
      <c r="RNK277" s="592"/>
      <c r="RNL277" s="592"/>
      <c r="RNM277" s="592"/>
      <c r="RNN277" s="592"/>
      <c r="RNO277" s="592"/>
      <c r="RNP277" s="592"/>
      <c r="RNQ277" s="592"/>
      <c r="RNR277" s="592"/>
      <c r="RNS277" s="592"/>
      <c r="RNT277" s="592"/>
      <c r="RNU277" s="592"/>
      <c r="RNV277" s="592"/>
      <c r="RNW277" s="592"/>
      <c r="RNX277" s="592"/>
      <c r="RNY277" s="592"/>
      <c r="RNZ277" s="592"/>
      <c r="ROA277" s="592"/>
      <c r="ROB277" s="592"/>
      <c r="ROC277" s="592"/>
      <c r="ROD277" s="592"/>
      <c r="ROE277" s="592"/>
      <c r="ROF277" s="592"/>
      <c r="ROG277" s="592"/>
      <c r="ROH277" s="592"/>
      <c r="ROI277" s="592"/>
      <c r="ROJ277" s="592"/>
      <c r="ROK277" s="592"/>
      <c r="ROL277" s="592"/>
      <c r="ROM277" s="592"/>
      <c r="RON277" s="592"/>
      <c r="ROO277" s="592"/>
      <c r="ROP277" s="592"/>
      <c r="ROQ277" s="592"/>
      <c r="ROR277" s="592"/>
      <c r="ROS277" s="592"/>
      <c r="ROT277" s="592"/>
      <c r="ROU277" s="592"/>
      <c r="ROV277" s="592"/>
      <c r="ROW277" s="592"/>
      <c r="ROX277" s="592"/>
      <c r="ROY277" s="592"/>
      <c r="ROZ277" s="592"/>
      <c r="RPA277" s="592"/>
      <c r="RPB277" s="592"/>
      <c r="RPC277" s="592"/>
      <c r="RPD277" s="592"/>
      <c r="RPE277" s="592"/>
      <c r="RPF277" s="592"/>
      <c r="RPG277" s="592"/>
      <c r="RPH277" s="592"/>
      <c r="RPI277" s="592"/>
      <c r="RPJ277" s="592"/>
      <c r="RPK277" s="592"/>
      <c r="RPL277" s="592"/>
      <c r="RPM277" s="592"/>
      <c r="RPN277" s="592"/>
      <c r="RPO277" s="592"/>
      <c r="RPP277" s="592"/>
      <c r="RPQ277" s="592"/>
      <c r="RPR277" s="592"/>
      <c r="RPS277" s="592"/>
      <c r="RPT277" s="592"/>
      <c r="RPU277" s="592"/>
      <c r="RPV277" s="592"/>
      <c r="RPW277" s="592"/>
      <c r="RPX277" s="592"/>
      <c r="RPY277" s="592"/>
      <c r="RPZ277" s="592"/>
      <c r="RQA277" s="592"/>
      <c r="RQB277" s="592"/>
      <c r="RQC277" s="592"/>
      <c r="RQD277" s="592"/>
      <c r="RQE277" s="592"/>
      <c r="RQF277" s="592"/>
      <c r="RQG277" s="592"/>
      <c r="RQH277" s="592"/>
      <c r="RQI277" s="592"/>
      <c r="RQJ277" s="592"/>
      <c r="RQK277" s="592"/>
      <c r="RQL277" s="592"/>
      <c r="RQM277" s="592"/>
      <c r="RQN277" s="592"/>
      <c r="RQO277" s="592"/>
      <c r="RQP277" s="592"/>
      <c r="RQQ277" s="592"/>
      <c r="RQR277" s="592"/>
      <c r="RQS277" s="592"/>
      <c r="RQT277" s="592"/>
      <c r="RQU277" s="592"/>
      <c r="RQV277" s="592"/>
      <c r="RQW277" s="592"/>
      <c r="RQX277" s="592"/>
      <c r="RQY277" s="592"/>
      <c r="RQZ277" s="592"/>
      <c r="RRA277" s="592"/>
      <c r="RRB277" s="592"/>
      <c r="RRC277" s="592"/>
      <c r="RRD277" s="592"/>
      <c r="RRE277" s="592"/>
      <c r="RRF277" s="592"/>
      <c r="RRG277" s="592"/>
      <c r="RRH277" s="592"/>
      <c r="RRI277" s="592"/>
      <c r="RRJ277" s="592"/>
      <c r="RRK277" s="592"/>
      <c r="RRL277" s="592"/>
      <c r="RRM277" s="592"/>
      <c r="RRN277" s="592"/>
      <c r="RRO277" s="592"/>
      <c r="RRP277" s="592"/>
      <c r="RRQ277" s="592"/>
      <c r="RRR277" s="592"/>
      <c r="RRS277" s="592"/>
      <c r="RRT277" s="592"/>
      <c r="RRU277" s="592"/>
      <c r="RRV277" s="592"/>
      <c r="RRW277" s="592"/>
      <c r="RRX277" s="592"/>
      <c r="RRY277" s="592"/>
      <c r="RRZ277" s="592"/>
      <c r="RSA277" s="592"/>
      <c r="RSB277" s="592"/>
      <c r="RSC277" s="592"/>
      <c r="RSD277" s="592"/>
      <c r="RSE277" s="592"/>
      <c r="RSF277" s="592"/>
      <c r="RSG277" s="592"/>
      <c r="RSH277" s="592"/>
      <c r="RSI277" s="592"/>
      <c r="RSJ277" s="592"/>
      <c r="RSK277" s="592"/>
      <c r="RSL277" s="592"/>
      <c r="RSM277" s="592"/>
      <c r="RSN277" s="592"/>
      <c r="RSO277" s="592"/>
      <c r="RSP277" s="592"/>
      <c r="RSQ277" s="592"/>
      <c r="RSR277" s="592"/>
      <c r="RSS277" s="592"/>
      <c r="RST277" s="592"/>
      <c r="RSU277" s="592"/>
      <c r="RSV277" s="592"/>
      <c r="RSW277" s="592"/>
      <c r="RSX277" s="592"/>
      <c r="RSY277" s="592"/>
      <c r="RSZ277" s="592"/>
      <c r="RTA277" s="592"/>
      <c r="RTB277" s="592"/>
      <c r="RTC277" s="592"/>
      <c r="RTD277" s="592"/>
      <c r="RTE277" s="592"/>
      <c r="RTF277" s="592"/>
      <c r="RTG277" s="592"/>
      <c r="RTH277" s="592"/>
      <c r="RTI277" s="592"/>
      <c r="RTJ277" s="592"/>
      <c r="RTK277" s="592"/>
      <c r="RTL277" s="592"/>
      <c r="RTM277" s="592"/>
      <c r="RTN277" s="592"/>
      <c r="RTO277" s="592"/>
      <c r="RTP277" s="592"/>
      <c r="RTQ277" s="592"/>
      <c r="RTR277" s="592"/>
      <c r="RTS277" s="592"/>
      <c r="RTT277" s="592"/>
      <c r="RTU277" s="592"/>
      <c r="RTV277" s="592"/>
      <c r="RTW277" s="592"/>
      <c r="RTX277" s="592"/>
      <c r="RTY277" s="592"/>
      <c r="RTZ277" s="592"/>
      <c r="RUA277" s="592"/>
      <c r="RUB277" s="592"/>
      <c r="RUC277" s="592"/>
      <c r="RUD277" s="592"/>
      <c r="RUE277" s="592"/>
      <c r="RUF277" s="592"/>
      <c r="RUG277" s="592"/>
      <c r="RUH277" s="592"/>
      <c r="RUI277" s="592"/>
      <c r="RUJ277" s="592"/>
      <c r="RUK277" s="592"/>
      <c r="RUL277" s="592"/>
      <c r="RUM277" s="592"/>
      <c r="RUN277" s="592"/>
      <c r="RUO277" s="592"/>
      <c r="RUP277" s="592"/>
      <c r="RUQ277" s="592"/>
      <c r="RUR277" s="592"/>
      <c r="RUS277" s="592"/>
      <c r="RUT277" s="592"/>
      <c r="RUU277" s="592"/>
      <c r="RUV277" s="592"/>
      <c r="RUW277" s="592"/>
      <c r="RUX277" s="592"/>
      <c r="RUY277" s="592"/>
      <c r="RUZ277" s="592"/>
      <c r="RVA277" s="592"/>
      <c r="RVB277" s="592"/>
      <c r="RVC277" s="592"/>
      <c r="RVD277" s="592"/>
      <c r="RVE277" s="592"/>
      <c r="RVF277" s="592"/>
      <c r="RVG277" s="592"/>
      <c r="RVH277" s="592"/>
      <c r="RVI277" s="592"/>
      <c r="RVJ277" s="592"/>
      <c r="RVK277" s="592"/>
      <c r="RVL277" s="592"/>
      <c r="RVM277" s="592"/>
      <c r="RVN277" s="592"/>
      <c r="RVO277" s="592"/>
      <c r="RVP277" s="592"/>
      <c r="RVQ277" s="592"/>
      <c r="RVR277" s="592"/>
      <c r="RVS277" s="592"/>
      <c r="RVT277" s="592"/>
      <c r="RVU277" s="592"/>
      <c r="RVV277" s="592"/>
      <c r="RVW277" s="592"/>
      <c r="RVX277" s="592"/>
      <c r="RVY277" s="592"/>
      <c r="RVZ277" s="592"/>
      <c r="RWA277" s="592"/>
      <c r="RWB277" s="592"/>
      <c r="RWC277" s="592"/>
      <c r="RWD277" s="592"/>
      <c r="RWE277" s="592"/>
      <c r="RWF277" s="592"/>
      <c r="RWG277" s="592"/>
      <c r="RWH277" s="592"/>
      <c r="RWI277" s="592"/>
      <c r="RWJ277" s="592"/>
      <c r="RWK277" s="592"/>
      <c r="RWL277" s="592"/>
      <c r="RWM277" s="592"/>
      <c r="RWN277" s="592"/>
      <c r="RWO277" s="592"/>
      <c r="RWP277" s="592"/>
      <c r="RWQ277" s="592"/>
      <c r="RWR277" s="592"/>
      <c r="RWS277" s="592"/>
      <c r="RWT277" s="592"/>
      <c r="RWU277" s="592"/>
      <c r="RWV277" s="592"/>
      <c r="RWW277" s="592"/>
      <c r="RWX277" s="592"/>
      <c r="RWY277" s="592"/>
      <c r="RWZ277" s="592"/>
      <c r="RXA277" s="592"/>
      <c r="RXB277" s="592"/>
      <c r="RXC277" s="592"/>
      <c r="RXD277" s="592"/>
      <c r="RXE277" s="592"/>
      <c r="RXF277" s="592"/>
      <c r="RXG277" s="592"/>
      <c r="RXH277" s="592"/>
      <c r="RXI277" s="592"/>
      <c r="RXJ277" s="592"/>
      <c r="RXK277" s="592"/>
      <c r="RXL277" s="592"/>
      <c r="RXM277" s="592"/>
      <c r="RXN277" s="592"/>
      <c r="RXO277" s="592"/>
      <c r="RXP277" s="592"/>
      <c r="RXQ277" s="592"/>
      <c r="RXR277" s="592"/>
      <c r="RXS277" s="592"/>
      <c r="RXT277" s="592"/>
      <c r="RXU277" s="592"/>
      <c r="RXV277" s="592"/>
      <c r="RXW277" s="592"/>
      <c r="RXX277" s="592"/>
      <c r="RXY277" s="592"/>
      <c r="RXZ277" s="592"/>
      <c r="RYA277" s="592"/>
      <c r="RYB277" s="592"/>
      <c r="RYC277" s="592"/>
      <c r="RYD277" s="592"/>
      <c r="RYE277" s="592"/>
      <c r="RYF277" s="592"/>
      <c r="RYG277" s="592"/>
      <c r="RYH277" s="592"/>
      <c r="RYI277" s="592"/>
      <c r="RYJ277" s="592"/>
      <c r="RYK277" s="592"/>
      <c r="RYL277" s="592"/>
      <c r="RYM277" s="592"/>
      <c r="RYN277" s="592"/>
      <c r="RYO277" s="592"/>
      <c r="RYP277" s="592"/>
      <c r="RYQ277" s="592"/>
      <c r="RYR277" s="592"/>
      <c r="RYS277" s="592"/>
      <c r="RYT277" s="592"/>
      <c r="RYU277" s="592"/>
      <c r="RYV277" s="592"/>
      <c r="RYW277" s="592"/>
      <c r="RYX277" s="592"/>
      <c r="RYY277" s="592"/>
      <c r="RYZ277" s="592"/>
      <c r="RZA277" s="592"/>
      <c r="RZB277" s="592"/>
      <c r="RZC277" s="592"/>
      <c r="RZD277" s="592"/>
      <c r="RZE277" s="592"/>
      <c r="RZF277" s="592"/>
      <c r="RZG277" s="592"/>
      <c r="RZH277" s="592"/>
      <c r="RZI277" s="592"/>
      <c r="RZJ277" s="592"/>
      <c r="RZK277" s="592"/>
      <c r="RZL277" s="592"/>
      <c r="RZM277" s="592"/>
      <c r="RZN277" s="592"/>
      <c r="RZO277" s="592"/>
      <c r="RZP277" s="592"/>
      <c r="RZQ277" s="592"/>
      <c r="RZR277" s="592"/>
      <c r="RZS277" s="592"/>
      <c r="RZT277" s="592"/>
      <c r="RZU277" s="592"/>
      <c r="RZV277" s="592"/>
      <c r="RZW277" s="592"/>
      <c r="RZX277" s="592"/>
      <c r="RZY277" s="592"/>
      <c r="RZZ277" s="592"/>
      <c r="SAA277" s="592"/>
      <c r="SAB277" s="592"/>
      <c r="SAC277" s="592"/>
      <c r="SAD277" s="592"/>
      <c r="SAE277" s="592"/>
      <c r="SAF277" s="592"/>
      <c r="SAG277" s="592"/>
      <c r="SAH277" s="592"/>
      <c r="SAI277" s="592"/>
      <c r="SAJ277" s="592"/>
      <c r="SAK277" s="592"/>
      <c r="SAL277" s="592"/>
      <c r="SAM277" s="592"/>
      <c r="SAN277" s="592"/>
      <c r="SAO277" s="592"/>
      <c r="SAP277" s="592"/>
      <c r="SAQ277" s="592"/>
      <c r="SAR277" s="592"/>
      <c r="SAS277" s="592"/>
      <c r="SAT277" s="592"/>
      <c r="SAU277" s="592"/>
      <c r="SAV277" s="592"/>
      <c r="SAW277" s="592"/>
      <c r="SAX277" s="592"/>
      <c r="SAY277" s="592"/>
      <c r="SAZ277" s="592"/>
      <c r="SBA277" s="592"/>
      <c r="SBB277" s="592"/>
      <c r="SBC277" s="592"/>
      <c r="SBD277" s="592"/>
      <c r="SBE277" s="592"/>
      <c r="SBF277" s="592"/>
      <c r="SBG277" s="592"/>
      <c r="SBH277" s="592"/>
      <c r="SBI277" s="592"/>
      <c r="SBJ277" s="592"/>
      <c r="SBK277" s="592"/>
      <c r="SBL277" s="592"/>
      <c r="SBM277" s="592"/>
      <c r="SBN277" s="592"/>
      <c r="SBO277" s="592"/>
      <c r="SBP277" s="592"/>
      <c r="SBQ277" s="592"/>
      <c r="SBR277" s="592"/>
      <c r="SBS277" s="592"/>
      <c r="SBT277" s="592"/>
      <c r="SBU277" s="592"/>
      <c r="SBV277" s="592"/>
      <c r="SBW277" s="592"/>
      <c r="SBX277" s="592"/>
      <c r="SBY277" s="592"/>
      <c r="SBZ277" s="592"/>
      <c r="SCA277" s="592"/>
      <c r="SCB277" s="592"/>
      <c r="SCC277" s="592"/>
      <c r="SCD277" s="592"/>
      <c r="SCE277" s="592"/>
      <c r="SCF277" s="592"/>
      <c r="SCG277" s="592"/>
      <c r="SCH277" s="592"/>
      <c r="SCI277" s="592"/>
      <c r="SCJ277" s="592"/>
      <c r="SCK277" s="592"/>
      <c r="SCL277" s="592"/>
      <c r="SCM277" s="592"/>
      <c r="SCN277" s="592"/>
      <c r="SCO277" s="592"/>
      <c r="SCP277" s="592"/>
      <c r="SCQ277" s="592"/>
      <c r="SCR277" s="592"/>
      <c r="SCS277" s="592"/>
      <c r="SCT277" s="592"/>
      <c r="SCU277" s="592"/>
      <c r="SCV277" s="592"/>
      <c r="SCW277" s="592"/>
      <c r="SCX277" s="592"/>
      <c r="SCY277" s="592"/>
      <c r="SCZ277" s="592"/>
      <c r="SDA277" s="592"/>
      <c r="SDB277" s="592"/>
      <c r="SDC277" s="592"/>
      <c r="SDD277" s="592"/>
      <c r="SDE277" s="592"/>
      <c r="SDF277" s="592"/>
      <c r="SDG277" s="592"/>
      <c r="SDH277" s="592"/>
      <c r="SDI277" s="592"/>
      <c r="SDJ277" s="592"/>
      <c r="SDK277" s="592"/>
      <c r="SDL277" s="592"/>
      <c r="SDM277" s="592"/>
      <c r="SDN277" s="592"/>
      <c r="SDO277" s="592"/>
      <c r="SDP277" s="592"/>
      <c r="SDQ277" s="592"/>
      <c r="SDR277" s="592"/>
      <c r="SDS277" s="592"/>
      <c r="SDT277" s="592"/>
      <c r="SDU277" s="592"/>
      <c r="SDV277" s="592"/>
      <c r="SDW277" s="592"/>
      <c r="SDX277" s="592"/>
      <c r="SDY277" s="592"/>
      <c r="SDZ277" s="592"/>
      <c r="SEA277" s="592"/>
      <c r="SEB277" s="592"/>
      <c r="SEC277" s="592"/>
      <c r="SED277" s="592"/>
      <c r="SEE277" s="592"/>
      <c r="SEF277" s="592"/>
      <c r="SEG277" s="592"/>
      <c r="SEH277" s="592"/>
      <c r="SEI277" s="592"/>
      <c r="SEJ277" s="592"/>
      <c r="SEK277" s="592"/>
      <c r="SEL277" s="592"/>
      <c r="SEM277" s="592"/>
      <c r="SEN277" s="592"/>
      <c r="SEO277" s="592"/>
      <c r="SEP277" s="592"/>
      <c r="SEQ277" s="592"/>
      <c r="SER277" s="592"/>
      <c r="SES277" s="592"/>
      <c r="SET277" s="592"/>
      <c r="SEU277" s="592"/>
      <c r="SEV277" s="592"/>
      <c r="SEW277" s="592"/>
      <c r="SEX277" s="592"/>
      <c r="SEY277" s="592"/>
      <c r="SEZ277" s="592"/>
      <c r="SFA277" s="592"/>
      <c r="SFB277" s="592"/>
      <c r="SFC277" s="592"/>
      <c r="SFD277" s="592"/>
      <c r="SFE277" s="592"/>
      <c r="SFF277" s="592"/>
      <c r="SFG277" s="592"/>
      <c r="SFH277" s="592"/>
      <c r="SFI277" s="592"/>
      <c r="SFJ277" s="592"/>
      <c r="SFK277" s="592"/>
      <c r="SFL277" s="592"/>
      <c r="SFM277" s="592"/>
      <c r="SFN277" s="592"/>
      <c r="SFO277" s="592"/>
      <c r="SFP277" s="592"/>
      <c r="SFQ277" s="592"/>
      <c r="SFR277" s="592"/>
      <c r="SFS277" s="592"/>
      <c r="SFT277" s="592"/>
      <c r="SFU277" s="592"/>
      <c r="SFV277" s="592"/>
      <c r="SFW277" s="592"/>
      <c r="SFX277" s="592"/>
      <c r="SFY277" s="592"/>
      <c r="SFZ277" s="592"/>
      <c r="SGA277" s="592"/>
      <c r="SGB277" s="592"/>
      <c r="SGC277" s="592"/>
      <c r="SGD277" s="592"/>
      <c r="SGE277" s="592"/>
      <c r="SGF277" s="592"/>
      <c r="SGG277" s="592"/>
      <c r="SGH277" s="592"/>
      <c r="SGI277" s="592"/>
      <c r="SGJ277" s="592"/>
      <c r="SGK277" s="592"/>
      <c r="SGL277" s="592"/>
      <c r="SGM277" s="592"/>
      <c r="SGN277" s="592"/>
      <c r="SGO277" s="592"/>
      <c r="SGP277" s="592"/>
      <c r="SGQ277" s="592"/>
      <c r="SGR277" s="592"/>
      <c r="SGS277" s="592"/>
      <c r="SGT277" s="592"/>
      <c r="SGU277" s="592"/>
      <c r="SGV277" s="592"/>
      <c r="SGW277" s="592"/>
      <c r="SGX277" s="592"/>
      <c r="SGY277" s="592"/>
      <c r="SGZ277" s="592"/>
      <c r="SHA277" s="592"/>
      <c r="SHB277" s="592"/>
      <c r="SHC277" s="592"/>
      <c r="SHD277" s="592"/>
      <c r="SHE277" s="592"/>
      <c r="SHF277" s="592"/>
      <c r="SHG277" s="592"/>
      <c r="SHH277" s="592"/>
      <c r="SHI277" s="592"/>
      <c r="SHJ277" s="592"/>
      <c r="SHK277" s="592"/>
      <c r="SHL277" s="592"/>
      <c r="SHM277" s="592"/>
      <c r="SHN277" s="592"/>
      <c r="SHO277" s="592"/>
      <c r="SHP277" s="592"/>
      <c r="SHQ277" s="592"/>
      <c r="SHR277" s="592"/>
      <c r="SHS277" s="592"/>
      <c r="SHT277" s="592"/>
      <c r="SHU277" s="592"/>
      <c r="SHV277" s="592"/>
      <c r="SHW277" s="592"/>
      <c r="SHX277" s="592"/>
      <c r="SHY277" s="592"/>
      <c r="SHZ277" s="592"/>
      <c r="SIA277" s="592"/>
      <c r="SIB277" s="592"/>
      <c r="SIC277" s="592"/>
      <c r="SID277" s="592"/>
      <c r="SIE277" s="592"/>
      <c r="SIF277" s="592"/>
      <c r="SIG277" s="592"/>
      <c r="SIH277" s="592"/>
      <c r="SII277" s="592"/>
      <c r="SIJ277" s="592"/>
      <c r="SIK277" s="592"/>
      <c r="SIL277" s="592"/>
      <c r="SIM277" s="592"/>
      <c r="SIN277" s="592"/>
      <c r="SIO277" s="592"/>
      <c r="SIP277" s="592"/>
      <c r="SIQ277" s="592"/>
      <c r="SIR277" s="592"/>
      <c r="SIS277" s="592"/>
      <c r="SIT277" s="592"/>
      <c r="SIU277" s="592"/>
      <c r="SIV277" s="592"/>
      <c r="SIW277" s="592"/>
      <c r="SIX277" s="592"/>
      <c r="SIY277" s="592"/>
      <c r="SIZ277" s="592"/>
      <c r="SJA277" s="592"/>
      <c r="SJB277" s="592"/>
      <c r="SJC277" s="592"/>
      <c r="SJD277" s="592"/>
      <c r="SJE277" s="592"/>
      <c r="SJF277" s="592"/>
      <c r="SJG277" s="592"/>
      <c r="SJH277" s="592"/>
      <c r="SJI277" s="592"/>
      <c r="SJJ277" s="592"/>
      <c r="SJK277" s="592"/>
      <c r="SJL277" s="592"/>
      <c r="SJM277" s="592"/>
      <c r="SJN277" s="592"/>
      <c r="SJO277" s="592"/>
      <c r="SJP277" s="592"/>
      <c r="SJQ277" s="592"/>
      <c r="SJR277" s="592"/>
      <c r="SJS277" s="592"/>
      <c r="SJT277" s="592"/>
      <c r="SJU277" s="592"/>
      <c r="SJV277" s="592"/>
      <c r="SJW277" s="592"/>
      <c r="SJX277" s="592"/>
      <c r="SJY277" s="592"/>
      <c r="SJZ277" s="592"/>
      <c r="SKA277" s="592"/>
      <c r="SKB277" s="592"/>
      <c r="SKC277" s="592"/>
      <c r="SKD277" s="592"/>
      <c r="SKE277" s="592"/>
      <c r="SKF277" s="592"/>
      <c r="SKG277" s="592"/>
      <c r="SKH277" s="592"/>
      <c r="SKI277" s="592"/>
      <c r="SKJ277" s="592"/>
      <c r="SKK277" s="592"/>
      <c r="SKL277" s="592"/>
      <c r="SKM277" s="592"/>
      <c r="SKN277" s="592"/>
      <c r="SKO277" s="592"/>
      <c r="SKP277" s="592"/>
      <c r="SKQ277" s="592"/>
      <c r="SKR277" s="592"/>
      <c r="SKS277" s="592"/>
      <c r="SKT277" s="592"/>
      <c r="SKU277" s="592"/>
      <c r="SKV277" s="592"/>
      <c r="SKW277" s="592"/>
      <c r="SKX277" s="592"/>
      <c r="SKY277" s="592"/>
      <c r="SKZ277" s="592"/>
      <c r="SLA277" s="592"/>
      <c r="SLB277" s="592"/>
      <c r="SLC277" s="592"/>
      <c r="SLD277" s="592"/>
      <c r="SLE277" s="592"/>
      <c r="SLF277" s="592"/>
      <c r="SLG277" s="592"/>
      <c r="SLH277" s="592"/>
      <c r="SLI277" s="592"/>
      <c r="SLJ277" s="592"/>
      <c r="SLK277" s="592"/>
      <c r="SLL277" s="592"/>
      <c r="SLM277" s="592"/>
      <c r="SLN277" s="592"/>
      <c r="SLO277" s="592"/>
      <c r="SLP277" s="592"/>
      <c r="SLQ277" s="592"/>
      <c r="SLR277" s="592"/>
      <c r="SLS277" s="592"/>
      <c r="SLT277" s="592"/>
      <c r="SLU277" s="592"/>
      <c r="SLV277" s="592"/>
      <c r="SLW277" s="592"/>
      <c r="SLX277" s="592"/>
      <c r="SLY277" s="592"/>
      <c r="SLZ277" s="592"/>
      <c r="SMA277" s="592"/>
      <c r="SMB277" s="592"/>
      <c r="SMC277" s="592"/>
      <c r="SMD277" s="592"/>
      <c r="SME277" s="592"/>
      <c r="SMF277" s="592"/>
      <c r="SMG277" s="592"/>
      <c r="SMH277" s="592"/>
      <c r="SMI277" s="592"/>
      <c r="SMJ277" s="592"/>
      <c r="SMK277" s="592"/>
      <c r="SML277" s="592"/>
      <c r="SMM277" s="592"/>
      <c r="SMN277" s="592"/>
      <c r="SMO277" s="592"/>
      <c r="SMP277" s="592"/>
      <c r="SMQ277" s="592"/>
      <c r="SMR277" s="592"/>
      <c r="SMS277" s="592"/>
      <c r="SMT277" s="592"/>
      <c r="SMU277" s="592"/>
      <c r="SMV277" s="592"/>
      <c r="SMW277" s="592"/>
      <c r="SMX277" s="592"/>
      <c r="SMY277" s="592"/>
      <c r="SMZ277" s="592"/>
      <c r="SNA277" s="592"/>
      <c r="SNB277" s="592"/>
      <c r="SNC277" s="592"/>
      <c r="SND277" s="592"/>
      <c r="SNE277" s="592"/>
      <c r="SNF277" s="592"/>
      <c r="SNG277" s="592"/>
      <c r="SNH277" s="592"/>
      <c r="SNI277" s="592"/>
      <c r="SNJ277" s="592"/>
      <c r="SNK277" s="592"/>
      <c r="SNL277" s="592"/>
      <c r="SNM277" s="592"/>
      <c r="SNN277" s="592"/>
      <c r="SNO277" s="592"/>
      <c r="SNP277" s="592"/>
      <c r="SNQ277" s="592"/>
      <c r="SNR277" s="592"/>
      <c r="SNS277" s="592"/>
      <c r="SNT277" s="592"/>
      <c r="SNU277" s="592"/>
      <c r="SNV277" s="592"/>
      <c r="SNW277" s="592"/>
      <c r="SNX277" s="592"/>
      <c r="SNY277" s="592"/>
      <c r="SNZ277" s="592"/>
      <c r="SOA277" s="592"/>
      <c r="SOB277" s="592"/>
      <c r="SOC277" s="592"/>
      <c r="SOD277" s="592"/>
      <c r="SOE277" s="592"/>
      <c r="SOF277" s="592"/>
      <c r="SOG277" s="592"/>
      <c r="SOH277" s="592"/>
      <c r="SOI277" s="592"/>
      <c r="SOJ277" s="592"/>
      <c r="SOK277" s="592"/>
      <c r="SOL277" s="592"/>
      <c r="SOM277" s="592"/>
      <c r="SON277" s="592"/>
      <c r="SOO277" s="592"/>
      <c r="SOP277" s="592"/>
      <c r="SOQ277" s="592"/>
      <c r="SOR277" s="592"/>
      <c r="SOS277" s="592"/>
      <c r="SOT277" s="592"/>
      <c r="SOU277" s="592"/>
      <c r="SOV277" s="592"/>
      <c r="SOW277" s="592"/>
      <c r="SOX277" s="592"/>
      <c r="SOY277" s="592"/>
      <c r="SOZ277" s="592"/>
      <c r="SPA277" s="592"/>
      <c r="SPB277" s="592"/>
      <c r="SPC277" s="592"/>
      <c r="SPD277" s="592"/>
      <c r="SPE277" s="592"/>
      <c r="SPF277" s="592"/>
      <c r="SPG277" s="592"/>
      <c r="SPH277" s="592"/>
      <c r="SPI277" s="592"/>
      <c r="SPJ277" s="592"/>
      <c r="SPK277" s="592"/>
      <c r="SPL277" s="592"/>
      <c r="SPM277" s="592"/>
      <c r="SPN277" s="592"/>
      <c r="SPO277" s="592"/>
      <c r="SPP277" s="592"/>
      <c r="SPQ277" s="592"/>
      <c r="SPR277" s="592"/>
      <c r="SPS277" s="592"/>
      <c r="SPT277" s="592"/>
      <c r="SPU277" s="592"/>
      <c r="SPV277" s="592"/>
      <c r="SPW277" s="592"/>
      <c r="SPX277" s="592"/>
      <c r="SPY277" s="592"/>
      <c r="SPZ277" s="592"/>
      <c r="SQA277" s="592"/>
      <c r="SQB277" s="592"/>
      <c r="SQC277" s="592"/>
      <c r="SQD277" s="592"/>
      <c r="SQE277" s="592"/>
      <c r="SQF277" s="592"/>
      <c r="SQG277" s="592"/>
      <c r="SQH277" s="592"/>
      <c r="SQI277" s="592"/>
      <c r="SQJ277" s="592"/>
      <c r="SQK277" s="592"/>
      <c r="SQL277" s="592"/>
      <c r="SQM277" s="592"/>
      <c r="SQN277" s="592"/>
      <c r="SQO277" s="592"/>
      <c r="SQP277" s="592"/>
      <c r="SQQ277" s="592"/>
      <c r="SQR277" s="592"/>
      <c r="SQS277" s="592"/>
      <c r="SQT277" s="592"/>
      <c r="SQU277" s="592"/>
      <c r="SQV277" s="592"/>
      <c r="SQW277" s="592"/>
      <c r="SQX277" s="592"/>
      <c r="SQY277" s="592"/>
      <c r="SQZ277" s="592"/>
      <c r="SRA277" s="592"/>
      <c r="SRB277" s="592"/>
      <c r="SRC277" s="592"/>
      <c r="SRD277" s="592"/>
      <c r="SRE277" s="592"/>
      <c r="SRF277" s="592"/>
      <c r="SRG277" s="592"/>
      <c r="SRH277" s="592"/>
      <c r="SRI277" s="592"/>
      <c r="SRJ277" s="592"/>
      <c r="SRK277" s="592"/>
      <c r="SRL277" s="592"/>
      <c r="SRM277" s="592"/>
      <c r="SRN277" s="592"/>
      <c r="SRO277" s="592"/>
      <c r="SRP277" s="592"/>
      <c r="SRQ277" s="592"/>
      <c r="SRR277" s="592"/>
      <c r="SRS277" s="592"/>
      <c r="SRT277" s="592"/>
      <c r="SRU277" s="592"/>
      <c r="SRV277" s="592"/>
      <c r="SRW277" s="592"/>
      <c r="SRX277" s="592"/>
      <c r="SRY277" s="592"/>
      <c r="SRZ277" s="592"/>
      <c r="SSA277" s="592"/>
      <c r="SSB277" s="592"/>
      <c r="SSC277" s="592"/>
      <c r="SSD277" s="592"/>
      <c r="SSE277" s="592"/>
      <c r="SSF277" s="592"/>
      <c r="SSG277" s="592"/>
      <c r="SSH277" s="592"/>
      <c r="SSI277" s="592"/>
      <c r="SSJ277" s="592"/>
      <c r="SSK277" s="592"/>
      <c r="SSL277" s="592"/>
      <c r="SSM277" s="592"/>
      <c r="SSN277" s="592"/>
      <c r="SSO277" s="592"/>
      <c r="SSP277" s="592"/>
      <c r="SSQ277" s="592"/>
      <c r="SSR277" s="592"/>
      <c r="SSS277" s="592"/>
      <c r="SST277" s="592"/>
      <c r="SSU277" s="592"/>
      <c r="SSV277" s="592"/>
      <c r="SSW277" s="592"/>
      <c r="SSX277" s="592"/>
      <c r="SSY277" s="592"/>
      <c r="SSZ277" s="592"/>
      <c r="STA277" s="592"/>
      <c r="STB277" s="592"/>
      <c r="STC277" s="592"/>
      <c r="STD277" s="592"/>
      <c r="STE277" s="592"/>
      <c r="STF277" s="592"/>
      <c r="STG277" s="592"/>
      <c r="STH277" s="592"/>
      <c r="STI277" s="592"/>
      <c r="STJ277" s="592"/>
      <c r="STK277" s="592"/>
      <c r="STL277" s="592"/>
      <c r="STM277" s="592"/>
      <c r="STN277" s="592"/>
      <c r="STO277" s="592"/>
      <c r="STP277" s="592"/>
      <c r="STQ277" s="592"/>
      <c r="STR277" s="592"/>
      <c r="STS277" s="592"/>
      <c r="STT277" s="592"/>
      <c r="STU277" s="592"/>
      <c r="STV277" s="592"/>
      <c r="STW277" s="592"/>
      <c r="STX277" s="592"/>
      <c r="STY277" s="592"/>
      <c r="STZ277" s="592"/>
      <c r="SUA277" s="592"/>
      <c r="SUB277" s="592"/>
      <c r="SUC277" s="592"/>
      <c r="SUD277" s="592"/>
      <c r="SUE277" s="592"/>
      <c r="SUF277" s="592"/>
      <c r="SUG277" s="592"/>
      <c r="SUH277" s="592"/>
      <c r="SUI277" s="592"/>
      <c r="SUJ277" s="592"/>
      <c r="SUK277" s="592"/>
      <c r="SUL277" s="592"/>
      <c r="SUM277" s="592"/>
      <c r="SUN277" s="592"/>
      <c r="SUO277" s="592"/>
      <c r="SUP277" s="592"/>
      <c r="SUQ277" s="592"/>
      <c r="SUR277" s="592"/>
      <c r="SUS277" s="592"/>
      <c r="SUT277" s="592"/>
      <c r="SUU277" s="592"/>
      <c r="SUV277" s="592"/>
      <c r="SUW277" s="592"/>
      <c r="SUX277" s="592"/>
      <c r="SUY277" s="592"/>
      <c r="SUZ277" s="592"/>
      <c r="SVA277" s="592"/>
      <c r="SVB277" s="592"/>
      <c r="SVC277" s="592"/>
      <c r="SVD277" s="592"/>
      <c r="SVE277" s="592"/>
      <c r="SVF277" s="592"/>
      <c r="SVG277" s="592"/>
      <c r="SVH277" s="592"/>
      <c r="SVI277" s="592"/>
      <c r="SVJ277" s="592"/>
      <c r="SVK277" s="592"/>
      <c r="SVL277" s="592"/>
      <c r="SVM277" s="592"/>
      <c r="SVN277" s="592"/>
      <c r="SVO277" s="592"/>
      <c r="SVP277" s="592"/>
      <c r="SVQ277" s="592"/>
      <c r="SVR277" s="592"/>
      <c r="SVS277" s="592"/>
      <c r="SVT277" s="592"/>
      <c r="SVU277" s="592"/>
      <c r="SVV277" s="592"/>
      <c r="SVW277" s="592"/>
      <c r="SVX277" s="592"/>
      <c r="SVY277" s="592"/>
      <c r="SVZ277" s="592"/>
      <c r="SWA277" s="592"/>
      <c r="SWB277" s="592"/>
      <c r="SWC277" s="592"/>
      <c r="SWD277" s="592"/>
      <c r="SWE277" s="592"/>
      <c r="SWF277" s="592"/>
      <c r="SWG277" s="592"/>
      <c r="SWH277" s="592"/>
      <c r="SWI277" s="592"/>
      <c r="SWJ277" s="592"/>
      <c r="SWK277" s="592"/>
      <c r="SWL277" s="592"/>
      <c r="SWM277" s="592"/>
      <c r="SWN277" s="592"/>
      <c r="SWO277" s="592"/>
      <c r="SWP277" s="592"/>
      <c r="SWQ277" s="592"/>
      <c r="SWR277" s="592"/>
      <c r="SWS277" s="592"/>
      <c r="SWT277" s="592"/>
      <c r="SWU277" s="592"/>
      <c r="SWV277" s="592"/>
      <c r="SWW277" s="592"/>
      <c r="SWX277" s="592"/>
      <c r="SWY277" s="592"/>
      <c r="SWZ277" s="592"/>
      <c r="SXA277" s="592"/>
      <c r="SXB277" s="592"/>
      <c r="SXC277" s="592"/>
      <c r="SXD277" s="592"/>
      <c r="SXE277" s="592"/>
      <c r="SXF277" s="592"/>
      <c r="SXG277" s="592"/>
      <c r="SXH277" s="592"/>
      <c r="SXI277" s="592"/>
      <c r="SXJ277" s="592"/>
      <c r="SXK277" s="592"/>
      <c r="SXL277" s="592"/>
      <c r="SXM277" s="592"/>
      <c r="SXN277" s="592"/>
      <c r="SXO277" s="592"/>
      <c r="SXP277" s="592"/>
      <c r="SXQ277" s="592"/>
      <c r="SXR277" s="592"/>
      <c r="SXS277" s="592"/>
      <c r="SXT277" s="592"/>
      <c r="SXU277" s="592"/>
      <c r="SXV277" s="592"/>
      <c r="SXW277" s="592"/>
      <c r="SXX277" s="592"/>
      <c r="SXY277" s="592"/>
      <c r="SXZ277" s="592"/>
      <c r="SYA277" s="592"/>
      <c r="SYB277" s="592"/>
      <c r="SYC277" s="592"/>
      <c r="SYD277" s="592"/>
      <c r="SYE277" s="592"/>
      <c r="SYF277" s="592"/>
      <c r="SYG277" s="592"/>
      <c r="SYH277" s="592"/>
      <c r="SYI277" s="592"/>
      <c r="SYJ277" s="592"/>
      <c r="SYK277" s="592"/>
      <c r="SYL277" s="592"/>
      <c r="SYM277" s="592"/>
      <c r="SYN277" s="592"/>
      <c r="SYO277" s="592"/>
      <c r="SYP277" s="592"/>
      <c r="SYQ277" s="592"/>
      <c r="SYR277" s="592"/>
      <c r="SYS277" s="592"/>
      <c r="SYT277" s="592"/>
      <c r="SYU277" s="592"/>
      <c r="SYV277" s="592"/>
      <c r="SYW277" s="592"/>
      <c r="SYX277" s="592"/>
      <c r="SYY277" s="592"/>
      <c r="SYZ277" s="592"/>
      <c r="SZA277" s="592"/>
      <c r="SZB277" s="592"/>
      <c r="SZC277" s="592"/>
      <c r="SZD277" s="592"/>
      <c r="SZE277" s="592"/>
      <c r="SZF277" s="592"/>
      <c r="SZG277" s="592"/>
      <c r="SZH277" s="592"/>
      <c r="SZI277" s="592"/>
      <c r="SZJ277" s="592"/>
      <c r="SZK277" s="592"/>
      <c r="SZL277" s="592"/>
      <c r="SZM277" s="592"/>
      <c r="SZN277" s="592"/>
      <c r="SZO277" s="592"/>
      <c r="SZP277" s="592"/>
      <c r="SZQ277" s="592"/>
      <c r="SZR277" s="592"/>
      <c r="SZS277" s="592"/>
      <c r="SZT277" s="592"/>
      <c r="SZU277" s="592"/>
      <c r="SZV277" s="592"/>
      <c r="SZW277" s="592"/>
      <c r="SZX277" s="592"/>
      <c r="SZY277" s="592"/>
      <c r="SZZ277" s="592"/>
      <c r="TAA277" s="592"/>
      <c r="TAB277" s="592"/>
      <c r="TAC277" s="592"/>
      <c r="TAD277" s="592"/>
      <c r="TAE277" s="592"/>
      <c r="TAF277" s="592"/>
      <c r="TAG277" s="592"/>
      <c r="TAH277" s="592"/>
      <c r="TAI277" s="592"/>
      <c r="TAJ277" s="592"/>
      <c r="TAK277" s="592"/>
      <c r="TAL277" s="592"/>
      <c r="TAM277" s="592"/>
      <c r="TAN277" s="592"/>
      <c r="TAO277" s="592"/>
      <c r="TAP277" s="592"/>
      <c r="TAQ277" s="592"/>
      <c r="TAR277" s="592"/>
      <c r="TAS277" s="592"/>
      <c r="TAT277" s="592"/>
      <c r="TAU277" s="592"/>
      <c r="TAV277" s="592"/>
      <c r="TAW277" s="592"/>
      <c r="TAX277" s="592"/>
      <c r="TAY277" s="592"/>
      <c r="TAZ277" s="592"/>
      <c r="TBA277" s="592"/>
      <c r="TBB277" s="592"/>
      <c r="TBC277" s="592"/>
      <c r="TBD277" s="592"/>
      <c r="TBE277" s="592"/>
      <c r="TBF277" s="592"/>
      <c r="TBG277" s="592"/>
      <c r="TBH277" s="592"/>
      <c r="TBI277" s="592"/>
      <c r="TBJ277" s="592"/>
      <c r="TBK277" s="592"/>
      <c r="TBL277" s="592"/>
      <c r="TBM277" s="592"/>
      <c r="TBN277" s="592"/>
      <c r="TBO277" s="592"/>
      <c r="TBP277" s="592"/>
      <c r="TBQ277" s="592"/>
      <c r="TBR277" s="592"/>
      <c r="TBS277" s="592"/>
      <c r="TBT277" s="592"/>
      <c r="TBU277" s="592"/>
      <c r="TBV277" s="592"/>
      <c r="TBW277" s="592"/>
      <c r="TBX277" s="592"/>
      <c r="TBY277" s="592"/>
      <c r="TBZ277" s="592"/>
      <c r="TCA277" s="592"/>
      <c r="TCB277" s="592"/>
      <c r="TCC277" s="592"/>
      <c r="TCD277" s="592"/>
      <c r="TCE277" s="592"/>
      <c r="TCF277" s="592"/>
      <c r="TCG277" s="592"/>
      <c r="TCH277" s="592"/>
      <c r="TCI277" s="592"/>
      <c r="TCJ277" s="592"/>
      <c r="TCK277" s="592"/>
      <c r="TCL277" s="592"/>
      <c r="TCM277" s="592"/>
      <c r="TCN277" s="592"/>
      <c r="TCO277" s="592"/>
      <c r="TCP277" s="592"/>
      <c r="TCQ277" s="592"/>
      <c r="TCR277" s="592"/>
      <c r="TCS277" s="592"/>
      <c r="TCT277" s="592"/>
      <c r="TCU277" s="592"/>
      <c r="TCV277" s="592"/>
      <c r="TCW277" s="592"/>
      <c r="TCX277" s="592"/>
      <c r="TCY277" s="592"/>
      <c r="TCZ277" s="592"/>
      <c r="TDA277" s="592"/>
      <c r="TDB277" s="592"/>
      <c r="TDC277" s="592"/>
      <c r="TDD277" s="592"/>
      <c r="TDE277" s="592"/>
      <c r="TDF277" s="592"/>
      <c r="TDG277" s="592"/>
      <c r="TDH277" s="592"/>
      <c r="TDI277" s="592"/>
      <c r="TDJ277" s="592"/>
      <c r="TDK277" s="592"/>
      <c r="TDL277" s="592"/>
      <c r="TDM277" s="592"/>
      <c r="TDN277" s="592"/>
      <c r="TDO277" s="592"/>
      <c r="TDP277" s="592"/>
      <c r="TDQ277" s="592"/>
      <c r="TDR277" s="592"/>
      <c r="TDS277" s="592"/>
      <c r="TDT277" s="592"/>
      <c r="TDU277" s="592"/>
      <c r="TDV277" s="592"/>
      <c r="TDW277" s="592"/>
      <c r="TDX277" s="592"/>
      <c r="TDY277" s="592"/>
      <c r="TDZ277" s="592"/>
      <c r="TEA277" s="592"/>
      <c r="TEB277" s="592"/>
      <c r="TEC277" s="592"/>
      <c r="TED277" s="592"/>
      <c r="TEE277" s="592"/>
      <c r="TEF277" s="592"/>
      <c r="TEG277" s="592"/>
      <c r="TEH277" s="592"/>
      <c r="TEI277" s="592"/>
      <c r="TEJ277" s="592"/>
      <c r="TEK277" s="592"/>
      <c r="TEL277" s="592"/>
      <c r="TEM277" s="592"/>
      <c r="TEN277" s="592"/>
      <c r="TEO277" s="592"/>
      <c r="TEP277" s="592"/>
      <c r="TEQ277" s="592"/>
      <c r="TER277" s="592"/>
      <c r="TES277" s="592"/>
      <c r="TET277" s="592"/>
      <c r="TEU277" s="592"/>
      <c r="TEV277" s="592"/>
      <c r="TEW277" s="592"/>
      <c r="TEX277" s="592"/>
      <c r="TEY277" s="592"/>
      <c r="TEZ277" s="592"/>
      <c r="TFA277" s="592"/>
      <c r="TFB277" s="592"/>
      <c r="TFC277" s="592"/>
      <c r="TFD277" s="592"/>
      <c r="TFE277" s="592"/>
      <c r="TFF277" s="592"/>
      <c r="TFG277" s="592"/>
      <c r="TFH277" s="592"/>
      <c r="TFI277" s="592"/>
      <c r="TFJ277" s="592"/>
      <c r="TFK277" s="592"/>
      <c r="TFL277" s="592"/>
      <c r="TFM277" s="592"/>
      <c r="TFN277" s="592"/>
      <c r="TFO277" s="592"/>
      <c r="TFP277" s="592"/>
      <c r="TFQ277" s="592"/>
      <c r="TFR277" s="592"/>
      <c r="TFS277" s="592"/>
      <c r="TFT277" s="592"/>
      <c r="TFU277" s="592"/>
      <c r="TFV277" s="592"/>
      <c r="TFW277" s="592"/>
      <c r="TFX277" s="592"/>
      <c r="TFY277" s="592"/>
      <c r="TFZ277" s="592"/>
      <c r="TGA277" s="592"/>
      <c r="TGB277" s="592"/>
      <c r="TGC277" s="592"/>
      <c r="TGD277" s="592"/>
      <c r="TGE277" s="592"/>
      <c r="TGF277" s="592"/>
      <c r="TGG277" s="592"/>
      <c r="TGH277" s="592"/>
      <c r="TGI277" s="592"/>
      <c r="TGJ277" s="592"/>
      <c r="TGK277" s="592"/>
      <c r="TGL277" s="592"/>
      <c r="TGM277" s="592"/>
      <c r="TGN277" s="592"/>
      <c r="TGO277" s="592"/>
      <c r="TGP277" s="592"/>
      <c r="TGQ277" s="592"/>
      <c r="TGR277" s="592"/>
      <c r="TGS277" s="592"/>
      <c r="TGT277" s="592"/>
      <c r="TGU277" s="592"/>
      <c r="TGV277" s="592"/>
      <c r="TGW277" s="592"/>
      <c r="TGX277" s="592"/>
      <c r="TGY277" s="592"/>
      <c r="TGZ277" s="592"/>
      <c r="THA277" s="592"/>
      <c r="THB277" s="592"/>
      <c r="THC277" s="592"/>
      <c r="THD277" s="592"/>
      <c r="THE277" s="592"/>
      <c r="THF277" s="592"/>
      <c r="THG277" s="592"/>
      <c r="THH277" s="592"/>
      <c r="THI277" s="592"/>
      <c r="THJ277" s="592"/>
      <c r="THK277" s="592"/>
      <c r="THL277" s="592"/>
      <c r="THM277" s="592"/>
      <c r="THN277" s="592"/>
      <c r="THO277" s="592"/>
      <c r="THP277" s="592"/>
      <c r="THQ277" s="592"/>
      <c r="THR277" s="592"/>
      <c r="THS277" s="592"/>
      <c r="THT277" s="592"/>
      <c r="THU277" s="592"/>
      <c r="THV277" s="592"/>
      <c r="THW277" s="592"/>
      <c r="THX277" s="592"/>
      <c r="THY277" s="592"/>
      <c r="THZ277" s="592"/>
      <c r="TIA277" s="592"/>
      <c r="TIB277" s="592"/>
      <c r="TIC277" s="592"/>
      <c r="TID277" s="592"/>
      <c r="TIE277" s="592"/>
      <c r="TIF277" s="592"/>
      <c r="TIG277" s="592"/>
      <c r="TIH277" s="592"/>
      <c r="TII277" s="592"/>
      <c r="TIJ277" s="592"/>
      <c r="TIK277" s="592"/>
      <c r="TIL277" s="592"/>
      <c r="TIM277" s="592"/>
      <c r="TIN277" s="592"/>
      <c r="TIO277" s="592"/>
      <c r="TIP277" s="592"/>
      <c r="TIQ277" s="592"/>
      <c r="TIR277" s="592"/>
      <c r="TIS277" s="592"/>
      <c r="TIT277" s="592"/>
      <c r="TIU277" s="592"/>
      <c r="TIV277" s="592"/>
      <c r="TIW277" s="592"/>
      <c r="TIX277" s="592"/>
      <c r="TIY277" s="592"/>
      <c r="TIZ277" s="592"/>
      <c r="TJA277" s="592"/>
      <c r="TJB277" s="592"/>
      <c r="TJC277" s="592"/>
      <c r="TJD277" s="592"/>
      <c r="TJE277" s="592"/>
      <c r="TJF277" s="592"/>
      <c r="TJG277" s="592"/>
      <c r="TJH277" s="592"/>
      <c r="TJI277" s="592"/>
      <c r="TJJ277" s="592"/>
      <c r="TJK277" s="592"/>
      <c r="TJL277" s="592"/>
      <c r="TJM277" s="592"/>
      <c r="TJN277" s="592"/>
      <c r="TJO277" s="592"/>
      <c r="TJP277" s="592"/>
      <c r="TJQ277" s="592"/>
      <c r="TJR277" s="592"/>
      <c r="TJS277" s="592"/>
      <c r="TJT277" s="592"/>
      <c r="TJU277" s="592"/>
      <c r="TJV277" s="592"/>
      <c r="TJW277" s="592"/>
      <c r="TJX277" s="592"/>
      <c r="TJY277" s="592"/>
      <c r="TJZ277" s="592"/>
      <c r="TKA277" s="592"/>
      <c r="TKB277" s="592"/>
      <c r="TKC277" s="592"/>
      <c r="TKD277" s="592"/>
      <c r="TKE277" s="592"/>
      <c r="TKF277" s="592"/>
      <c r="TKG277" s="592"/>
      <c r="TKH277" s="592"/>
      <c r="TKI277" s="592"/>
      <c r="TKJ277" s="592"/>
      <c r="TKK277" s="592"/>
      <c r="TKL277" s="592"/>
      <c r="TKM277" s="592"/>
      <c r="TKN277" s="592"/>
      <c r="TKO277" s="592"/>
      <c r="TKP277" s="592"/>
      <c r="TKQ277" s="592"/>
      <c r="TKR277" s="592"/>
      <c r="TKS277" s="592"/>
      <c r="TKT277" s="592"/>
      <c r="TKU277" s="592"/>
      <c r="TKV277" s="592"/>
      <c r="TKW277" s="592"/>
      <c r="TKX277" s="592"/>
      <c r="TKY277" s="592"/>
      <c r="TKZ277" s="592"/>
      <c r="TLA277" s="592"/>
      <c r="TLB277" s="592"/>
      <c r="TLC277" s="592"/>
      <c r="TLD277" s="592"/>
      <c r="TLE277" s="592"/>
      <c r="TLF277" s="592"/>
      <c r="TLG277" s="592"/>
      <c r="TLH277" s="592"/>
      <c r="TLI277" s="592"/>
      <c r="TLJ277" s="592"/>
      <c r="TLK277" s="592"/>
      <c r="TLL277" s="592"/>
      <c r="TLM277" s="592"/>
      <c r="TLN277" s="592"/>
      <c r="TLO277" s="592"/>
      <c r="TLP277" s="592"/>
      <c r="TLQ277" s="592"/>
      <c r="TLR277" s="592"/>
      <c r="TLS277" s="592"/>
      <c r="TLT277" s="592"/>
      <c r="TLU277" s="592"/>
      <c r="TLV277" s="592"/>
      <c r="TLW277" s="592"/>
      <c r="TLX277" s="592"/>
      <c r="TLY277" s="592"/>
      <c r="TLZ277" s="592"/>
      <c r="TMA277" s="592"/>
      <c r="TMB277" s="592"/>
      <c r="TMC277" s="592"/>
      <c r="TMD277" s="592"/>
      <c r="TME277" s="592"/>
      <c r="TMF277" s="592"/>
      <c r="TMG277" s="592"/>
      <c r="TMH277" s="592"/>
      <c r="TMI277" s="592"/>
      <c r="TMJ277" s="592"/>
      <c r="TMK277" s="592"/>
      <c r="TML277" s="592"/>
      <c r="TMM277" s="592"/>
      <c r="TMN277" s="592"/>
      <c r="TMO277" s="592"/>
      <c r="TMP277" s="592"/>
      <c r="TMQ277" s="592"/>
      <c r="TMR277" s="592"/>
      <c r="TMS277" s="592"/>
      <c r="TMT277" s="592"/>
      <c r="TMU277" s="592"/>
      <c r="TMV277" s="592"/>
      <c r="TMW277" s="592"/>
      <c r="TMX277" s="592"/>
      <c r="TMY277" s="592"/>
      <c r="TMZ277" s="592"/>
      <c r="TNA277" s="592"/>
      <c r="TNB277" s="592"/>
      <c r="TNC277" s="592"/>
      <c r="TND277" s="592"/>
      <c r="TNE277" s="592"/>
      <c r="TNF277" s="592"/>
      <c r="TNG277" s="592"/>
      <c r="TNH277" s="592"/>
      <c r="TNI277" s="592"/>
      <c r="TNJ277" s="592"/>
      <c r="TNK277" s="592"/>
      <c r="TNL277" s="592"/>
      <c r="TNM277" s="592"/>
      <c r="TNN277" s="592"/>
      <c r="TNO277" s="592"/>
      <c r="TNP277" s="592"/>
      <c r="TNQ277" s="592"/>
      <c r="TNR277" s="592"/>
      <c r="TNS277" s="592"/>
      <c r="TNT277" s="592"/>
      <c r="TNU277" s="592"/>
      <c r="TNV277" s="592"/>
      <c r="TNW277" s="592"/>
      <c r="TNX277" s="592"/>
      <c r="TNY277" s="592"/>
      <c r="TNZ277" s="592"/>
      <c r="TOA277" s="592"/>
      <c r="TOB277" s="592"/>
      <c r="TOC277" s="592"/>
      <c r="TOD277" s="592"/>
      <c r="TOE277" s="592"/>
      <c r="TOF277" s="592"/>
      <c r="TOG277" s="592"/>
      <c r="TOH277" s="592"/>
      <c r="TOI277" s="592"/>
      <c r="TOJ277" s="592"/>
      <c r="TOK277" s="592"/>
      <c r="TOL277" s="592"/>
      <c r="TOM277" s="592"/>
      <c r="TON277" s="592"/>
      <c r="TOO277" s="592"/>
      <c r="TOP277" s="592"/>
      <c r="TOQ277" s="592"/>
      <c r="TOR277" s="592"/>
      <c r="TOS277" s="592"/>
      <c r="TOT277" s="592"/>
      <c r="TOU277" s="592"/>
      <c r="TOV277" s="592"/>
      <c r="TOW277" s="592"/>
      <c r="TOX277" s="592"/>
      <c r="TOY277" s="592"/>
      <c r="TOZ277" s="592"/>
      <c r="TPA277" s="592"/>
      <c r="TPB277" s="592"/>
      <c r="TPC277" s="592"/>
      <c r="TPD277" s="592"/>
      <c r="TPE277" s="592"/>
      <c r="TPF277" s="592"/>
      <c r="TPG277" s="592"/>
      <c r="TPH277" s="592"/>
      <c r="TPI277" s="592"/>
      <c r="TPJ277" s="592"/>
      <c r="TPK277" s="592"/>
      <c r="TPL277" s="592"/>
      <c r="TPM277" s="592"/>
      <c r="TPN277" s="592"/>
      <c r="TPO277" s="592"/>
      <c r="TPP277" s="592"/>
      <c r="TPQ277" s="592"/>
      <c r="TPR277" s="592"/>
      <c r="TPS277" s="592"/>
      <c r="TPT277" s="592"/>
      <c r="TPU277" s="592"/>
      <c r="TPV277" s="592"/>
      <c r="TPW277" s="592"/>
      <c r="TPX277" s="592"/>
      <c r="TPY277" s="592"/>
      <c r="TPZ277" s="592"/>
      <c r="TQA277" s="592"/>
      <c r="TQB277" s="592"/>
      <c r="TQC277" s="592"/>
      <c r="TQD277" s="592"/>
      <c r="TQE277" s="592"/>
      <c r="TQF277" s="592"/>
      <c r="TQG277" s="592"/>
      <c r="TQH277" s="592"/>
      <c r="TQI277" s="592"/>
      <c r="TQJ277" s="592"/>
      <c r="TQK277" s="592"/>
      <c r="TQL277" s="592"/>
      <c r="TQM277" s="592"/>
      <c r="TQN277" s="592"/>
      <c r="TQO277" s="592"/>
      <c r="TQP277" s="592"/>
      <c r="TQQ277" s="592"/>
      <c r="TQR277" s="592"/>
      <c r="TQS277" s="592"/>
      <c r="TQT277" s="592"/>
      <c r="TQU277" s="592"/>
      <c r="TQV277" s="592"/>
      <c r="TQW277" s="592"/>
      <c r="TQX277" s="592"/>
      <c r="TQY277" s="592"/>
      <c r="TQZ277" s="592"/>
      <c r="TRA277" s="592"/>
      <c r="TRB277" s="592"/>
      <c r="TRC277" s="592"/>
      <c r="TRD277" s="592"/>
      <c r="TRE277" s="592"/>
      <c r="TRF277" s="592"/>
      <c r="TRG277" s="592"/>
      <c r="TRH277" s="592"/>
      <c r="TRI277" s="592"/>
      <c r="TRJ277" s="592"/>
      <c r="TRK277" s="592"/>
      <c r="TRL277" s="592"/>
      <c r="TRM277" s="592"/>
      <c r="TRN277" s="592"/>
      <c r="TRO277" s="592"/>
      <c r="TRP277" s="592"/>
      <c r="TRQ277" s="592"/>
      <c r="TRR277" s="592"/>
      <c r="TRS277" s="592"/>
      <c r="TRT277" s="592"/>
      <c r="TRU277" s="592"/>
      <c r="TRV277" s="592"/>
      <c r="TRW277" s="592"/>
      <c r="TRX277" s="592"/>
      <c r="TRY277" s="592"/>
      <c r="TRZ277" s="592"/>
      <c r="TSA277" s="592"/>
      <c r="TSB277" s="592"/>
      <c r="TSC277" s="592"/>
      <c r="TSD277" s="592"/>
      <c r="TSE277" s="592"/>
      <c r="TSF277" s="592"/>
      <c r="TSG277" s="592"/>
      <c r="TSH277" s="592"/>
      <c r="TSI277" s="592"/>
      <c r="TSJ277" s="592"/>
      <c r="TSK277" s="592"/>
      <c r="TSL277" s="592"/>
      <c r="TSM277" s="592"/>
      <c r="TSN277" s="592"/>
      <c r="TSO277" s="592"/>
      <c r="TSP277" s="592"/>
      <c r="TSQ277" s="592"/>
      <c r="TSR277" s="592"/>
      <c r="TSS277" s="592"/>
      <c r="TST277" s="592"/>
      <c r="TSU277" s="592"/>
      <c r="TSV277" s="592"/>
      <c r="TSW277" s="592"/>
      <c r="TSX277" s="592"/>
      <c r="TSY277" s="592"/>
      <c r="TSZ277" s="592"/>
      <c r="TTA277" s="592"/>
      <c r="TTB277" s="592"/>
      <c r="TTC277" s="592"/>
      <c r="TTD277" s="592"/>
      <c r="TTE277" s="592"/>
      <c r="TTF277" s="592"/>
      <c r="TTG277" s="592"/>
      <c r="TTH277" s="592"/>
      <c r="TTI277" s="592"/>
      <c r="TTJ277" s="592"/>
      <c r="TTK277" s="592"/>
      <c r="TTL277" s="592"/>
      <c r="TTM277" s="592"/>
      <c r="TTN277" s="592"/>
      <c r="TTO277" s="592"/>
      <c r="TTP277" s="592"/>
      <c r="TTQ277" s="592"/>
      <c r="TTR277" s="592"/>
      <c r="TTS277" s="592"/>
      <c r="TTT277" s="592"/>
      <c r="TTU277" s="592"/>
      <c r="TTV277" s="592"/>
      <c r="TTW277" s="592"/>
      <c r="TTX277" s="592"/>
      <c r="TTY277" s="592"/>
      <c r="TTZ277" s="592"/>
      <c r="TUA277" s="592"/>
      <c r="TUB277" s="592"/>
      <c r="TUC277" s="592"/>
      <c r="TUD277" s="592"/>
      <c r="TUE277" s="592"/>
      <c r="TUF277" s="592"/>
      <c r="TUG277" s="592"/>
      <c r="TUH277" s="592"/>
      <c r="TUI277" s="592"/>
      <c r="TUJ277" s="592"/>
      <c r="TUK277" s="592"/>
      <c r="TUL277" s="592"/>
      <c r="TUM277" s="592"/>
      <c r="TUN277" s="592"/>
      <c r="TUO277" s="592"/>
      <c r="TUP277" s="592"/>
      <c r="TUQ277" s="592"/>
      <c r="TUR277" s="592"/>
      <c r="TUS277" s="592"/>
      <c r="TUT277" s="592"/>
      <c r="TUU277" s="592"/>
      <c r="TUV277" s="592"/>
      <c r="TUW277" s="592"/>
      <c r="TUX277" s="592"/>
      <c r="TUY277" s="592"/>
      <c r="TUZ277" s="592"/>
      <c r="TVA277" s="592"/>
      <c r="TVB277" s="592"/>
      <c r="TVC277" s="592"/>
      <c r="TVD277" s="592"/>
      <c r="TVE277" s="592"/>
      <c r="TVF277" s="592"/>
      <c r="TVG277" s="592"/>
      <c r="TVH277" s="592"/>
      <c r="TVI277" s="592"/>
      <c r="TVJ277" s="592"/>
      <c r="TVK277" s="592"/>
      <c r="TVL277" s="592"/>
      <c r="TVM277" s="592"/>
      <c r="TVN277" s="592"/>
      <c r="TVO277" s="592"/>
      <c r="TVP277" s="592"/>
      <c r="TVQ277" s="592"/>
      <c r="TVR277" s="592"/>
      <c r="TVS277" s="592"/>
      <c r="TVT277" s="592"/>
      <c r="TVU277" s="592"/>
      <c r="TVV277" s="592"/>
      <c r="TVW277" s="592"/>
      <c r="TVX277" s="592"/>
      <c r="TVY277" s="592"/>
      <c r="TVZ277" s="592"/>
      <c r="TWA277" s="592"/>
      <c r="TWB277" s="592"/>
      <c r="TWC277" s="592"/>
      <c r="TWD277" s="592"/>
      <c r="TWE277" s="592"/>
      <c r="TWF277" s="592"/>
      <c r="TWG277" s="592"/>
      <c r="TWH277" s="592"/>
      <c r="TWI277" s="592"/>
      <c r="TWJ277" s="592"/>
      <c r="TWK277" s="592"/>
      <c r="TWL277" s="592"/>
      <c r="TWM277" s="592"/>
      <c r="TWN277" s="592"/>
      <c r="TWO277" s="592"/>
      <c r="TWP277" s="592"/>
      <c r="TWQ277" s="592"/>
      <c r="TWR277" s="592"/>
      <c r="TWS277" s="592"/>
      <c r="TWT277" s="592"/>
      <c r="TWU277" s="592"/>
      <c r="TWV277" s="592"/>
      <c r="TWW277" s="592"/>
      <c r="TWX277" s="592"/>
      <c r="TWY277" s="592"/>
      <c r="TWZ277" s="592"/>
      <c r="TXA277" s="592"/>
      <c r="TXB277" s="592"/>
      <c r="TXC277" s="592"/>
      <c r="TXD277" s="592"/>
      <c r="TXE277" s="592"/>
      <c r="TXF277" s="592"/>
      <c r="TXG277" s="592"/>
      <c r="TXH277" s="592"/>
      <c r="TXI277" s="592"/>
      <c r="TXJ277" s="592"/>
      <c r="TXK277" s="592"/>
      <c r="TXL277" s="592"/>
      <c r="TXM277" s="592"/>
      <c r="TXN277" s="592"/>
      <c r="TXO277" s="592"/>
      <c r="TXP277" s="592"/>
      <c r="TXQ277" s="592"/>
      <c r="TXR277" s="592"/>
      <c r="TXS277" s="592"/>
      <c r="TXT277" s="592"/>
      <c r="TXU277" s="592"/>
      <c r="TXV277" s="592"/>
      <c r="TXW277" s="592"/>
      <c r="TXX277" s="592"/>
      <c r="TXY277" s="592"/>
      <c r="TXZ277" s="592"/>
      <c r="TYA277" s="592"/>
      <c r="TYB277" s="592"/>
      <c r="TYC277" s="592"/>
      <c r="TYD277" s="592"/>
      <c r="TYE277" s="592"/>
      <c r="TYF277" s="592"/>
      <c r="TYG277" s="592"/>
      <c r="TYH277" s="592"/>
      <c r="TYI277" s="592"/>
      <c r="TYJ277" s="592"/>
      <c r="TYK277" s="592"/>
      <c r="TYL277" s="592"/>
      <c r="TYM277" s="592"/>
      <c r="TYN277" s="592"/>
      <c r="TYO277" s="592"/>
      <c r="TYP277" s="592"/>
      <c r="TYQ277" s="592"/>
      <c r="TYR277" s="592"/>
      <c r="TYS277" s="592"/>
      <c r="TYT277" s="592"/>
      <c r="TYU277" s="592"/>
      <c r="TYV277" s="592"/>
      <c r="TYW277" s="592"/>
      <c r="TYX277" s="592"/>
      <c r="TYY277" s="592"/>
      <c r="TYZ277" s="592"/>
      <c r="TZA277" s="592"/>
      <c r="TZB277" s="592"/>
      <c r="TZC277" s="592"/>
      <c r="TZD277" s="592"/>
      <c r="TZE277" s="592"/>
      <c r="TZF277" s="592"/>
      <c r="TZG277" s="592"/>
      <c r="TZH277" s="592"/>
      <c r="TZI277" s="592"/>
      <c r="TZJ277" s="592"/>
      <c r="TZK277" s="592"/>
      <c r="TZL277" s="592"/>
      <c r="TZM277" s="592"/>
      <c r="TZN277" s="592"/>
      <c r="TZO277" s="592"/>
      <c r="TZP277" s="592"/>
      <c r="TZQ277" s="592"/>
      <c r="TZR277" s="592"/>
      <c r="TZS277" s="592"/>
      <c r="TZT277" s="592"/>
      <c r="TZU277" s="592"/>
      <c r="TZV277" s="592"/>
      <c r="TZW277" s="592"/>
      <c r="TZX277" s="592"/>
      <c r="TZY277" s="592"/>
      <c r="TZZ277" s="592"/>
      <c r="UAA277" s="592"/>
      <c r="UAB277" s="592"/>
      <c r="UAC277" s="592"/>
      <c r="UAD277" s="592"/>
      <c r="UAE277" s="592"/>
      <c r="UAF277" s="592"/>
      <c r="UAG277" s="592"/>
      <c r="UAH277" s="592"/>
      <c r="UAI277" s="592"/>
      <c r="UAJ277" s="592"/>
      <c r="UAK277" s="592"/>
      <c r="UAL277" s="592"/>
      <c r="UAM277" s="592"/>
      <c r="UAN277" s="592"/>
      <c r="UAO277" s="592"/>
      <c r="UAP277" s="592"/>
      <c r="UAQ277" s="592"/>
      <c r="UAR277" s="592"/>
      <c r="UAS277" s="592"/>
      <c r="UAT277" s="592"/>
      <c r="UAU277" s="592"/>
      <c r="UAV277" s="592"/>
      <c r="UAW277" s="592"/>
      <c r="UAX277" s="592"/>
      <c r="UAY277" s="592"/>
      <c r="UAZ277" s="592"/>
      <c r="UBA277" s="592"/>
      <c r="UBB277" s="592"/>
      <c r="UBC277" s="592"/>
      <c r="UBD277" s="592"/>
      <c r="UBE277" s="592"/>
      <c r="UBF277" s="592"/>
      <c r="UBG277" s="592"/>
      <c r="UBH277" s="592"/>
      <c r="UBI277" s="592"/>
      <c r="UBJ277" s="592"/>
      <c r="UBK277" s="592"/>
      <c r="UBL277" s="592"/>
      <c r="UBM277" s="592"/>
      <c r="UBN277" s="592"/>
      <c r="UBO277" s="592"/>
      <c r="UBP277" s="592"/>
      <c r="UBQ277" s="592"/>
      <c r="UBR277" s="592"/>
      <c r="UBS277" s="592"/>
      <c r="UBT277" s="592"/>
      <c r="UBU277" s="592"/>
      <c r="UBV277" s="592"/>
      <c r="UBW277" s="592"/>
      <c r="UBX277" s="592"/>
      <c r="UBY277" s="592"/>
      <c r="UBZ277" s="592"/>
      <c r="UCA277" s="592"/>
      <c r="UCB277" s="592"/>
      <c r="UCC277" s="592"/>
      <c r="UCD277" s="592"/>
      <c r="UCE277" s="592"/>
      <c r="UCF277" s="592"/>
      <c r="UCG277" s="592"/>
      <c r="UCH277" s="592"/>
      <c r="UCI277" s="592"/>
      <c r="UCJ277" s="592"/>
      <c r="UCK277" s="592"/>
      <c r="UCL277" s="592"/>
      <c r="UCM277" s="592"/>
      <c r="UCN277" s="592"/>
      <c r="UCO277" s="592"/>
      <c r="UCP277" s="592"/>
      <c r="UCQ277" s="592"/>
      <c r="UCR277" s="592"/>
      <c r="UCS277" s="592"/>
      <c r="UCT277" s="592"/>
      <c r="UCU277" s="592"/>
      <c r="UCV277" s="592"/>
      <c r="UCW277" s="592"/>
      <c r="UCX277" s="592"/>
      <c r="UCY277" s="592"/>
      <c r="UCZ277" s="592"/>
      <c r="UDA277" s="592"/>
      <c r="UDB277" s="592"/>
      <c r="UDC277" s="592"/>
      <c r="UDD277" s="592"/>
      <c r="UDE277" s="592"/>
      <c r="UDF277" s="592"/>
      <c r="UDG277" s="592"/>
      <c r="UDH277" s="592"/>
      <c r="UDI277" s="592"/>
      <c r="UDJ277" s="592"/>
      <c r="UDK277" s="592"/>
      <c r="UDL277" s="592"/>
      <c r="UDM277" s="592"/>
      <c r="UDN277" s="592"/>
      <c r="UDO277" s="592"/>
      <c r="UDP277" s="592"/>
      <c r="UDQ277" s="592"/>
      <c r="UDR277" s="592"/>
      <c r="UDS277" s="592"/>
      <c r="UDT277" s="592"/>
      <c r="UDU277" s="592"/>
      <c r="UDV277" s="592"/>
      <c r="UDW277" s="592"/>
      <c r="UDX277" s="592"/>
      <c r="UDY277" s="592"/>
      <c r="UDZ277" s="592"/>
      <c r="UEA277" s="592"/>
      <c r="UEB277" s="592"/>
      <c r="UEC277" s="592"/>
      <c r="UED277" s="592"/>
      <c r="UEE277" s="592"/>
      <c r="UEF277" s="592"/>
      <c r="UEG277" s="592"/>
      <c r="UEH277" s="592"/>
      <c r="UEI277" s="592"/>
      <c r="UEJ277" s="592"/>
      <c r="UEK277" s="592"/>
      <c r="UEL277" s="592"/>
      <c r="UEM277" s="592"/>
      <c r="UEN277" s="592"/>
      <c r="UEO277" s="592"/>
      <c r="UEP277" s="592"/>
      <c r="UEQ277" s="592"/>
      <c r="UER277" s="592"/>
      <c r="UES277" s="592"/>
      <c r="UET277" s="592"/>
      <c r="UEU277" s="592"/>
      <c r="UEV277" s="592"/>
      <c r="UEW277" s="592"/>
      <c r="UEX277" s="592"/>
      <c r="UEY277" s="592"/>
      <c r="UEZ277" s="592"/>
      <c r="UFA277" s="592"/>
      <c r="UFB277" s="592"/>
      <c r="UFC277" s="592"/>
      <c r="UFD277" s="592"/>
      <c r="UFE277" s="592"/>
      <c r="UFF277" s="592"/>
      <c r="UFG277" s="592"/>
      <c r="UFH277" s="592"/>
      <c r="UFI277" s="592"/>
      <c r="UFJ277" s="592"/>
      <c r="UFK277" s="592"/>
      <c r="UFL277" s="592"/>
      <c r="UFM277" s="592"/>
      <c r="UFN277" s="592"/>
      <c r="UFO277" s="592"/>
      <c r="UFP277" s="592"/>
      <c r="UFQ277" s="592"/>
      <c r="UFR277" s="592"/>
      <c r="UFS277" s="592"/>
      <c r="UFT277" s="592"/>
      <c r="UFU277" s="592"/>
      <c r="UFV277" s="592"/>
      <c r="UFW277" s="592"/>
      <c r="UFX277" s="592"/>
      <c r="UFY277" s="592"/>
      <c r="UFZ277" s="592"/>
      <c r="UGA277" s="592"/>
      <c r="UGB277" s="592"/>
      <c r="UGC277" s="592"/>
      <c r="UGD277" s="592"/>
      <c r="UGE277" s="592"/>
      <c r="UGF277" s="592"/>
      <c r="UGG277" s="592"/>
      <c r="UGH277" s="592"/>
      <c r="UGI277" s="592"/>
      <c r="UGJ277" s="592"/>
      <c r="UGK277" s="592"/>
      <c r="UGL277" s="592"/>
      <c r="UGM277" s="592"/>
      <c r="UGN277" s="592"/>
      <c r="UGO277" s="592"/>
      <c r="UGP277" s="592"/>
      <c r="UGQ277" s="592"/>
      <c r="UGR277" s="592"/>
      <c r="UGS277" s="592"/>
      <c r="UGT277" s="592"/>
      <c r="UGU277" s="592"/>
      <c r="UGV277" s="592"/>
      <c r="UGW277" s="592"/>
      <c r="UGX277" s="592"/>
      <c r="UGY277" s="592"/>
      <c r="UGZ277" s="592"/>
      <c r="UHA277" s="592"/>
      <c r="UHB277" s="592"/>
      <c r="UHC277" s="592"/>
      <c r="UHD277" s="592"/>
      <c r="UHE277" s="592"/>
      <c r="UHF277" s="592"/>
      <c r="UHG277" s="592"/>
      <c r="UHH277" s="592"/>
      <c r="UHI277" s="592"/>
      <c r="UHJ277" s="592"/>
      <c r="UHK277" s="592"/>
      <c r="UHL277" s="592"/>
      <c r="UHM277" s="592"/>
      <c r="UHN277" s="592"/>
      <c r="UHO277" s="592"/>
      <c r="UHP277" s="592"/>
      <c r="UHQ277" s="592"/>
      <c r="UHR277" s="592"/>
      <c r="UHS277" s="592"/>
      <c r="UHT277" s="592"/>
      <c r="UHU277" s="592"/>
      <c r="UHV277" s="592"/>
      <c r="UHW277" s="592"/>
      <c r="UHX277" s="592"/>
      <c r="UHY277" s="592"/>
      <c r="UHZ277" s="592"/>
      <c r="UIA277" s="592"/>
      <c r="UIB277" s="592"/>
      <c r="UIC277" s="592"/>
      <c r="UID277" s="592"/>
      <c r="UIE277" s="592"/>
      <c r="UIF277" s="592"/>
      <c r="UIG277" s="592"/>
      <c r="UIH277" s="592"/>
      <c r="UII277" s="592"/>
      <c r="UIJ277" s="592"/>
      <c r="UIK277" s="592"/>
      <c r="UIL277" s="592"/>
      <c r="UIM277" s="592"/>
      <c r="UIN277" s="592"/>
      <c r="UIO277" s="592"/>
      <c r="UIP277" s="592"/>
      <c r="UIQ277" s="592"/>
      <c r="UIR277" s="592"/>
      <c r="UIS277" s="592"/>
      <c r="UIT277" s="592"/>
      <c r="UIU277" s="592"/>
      <c r="UIV277" s="592"/>
      <c r="UIW277" s="592"/>
      <c r="UIX277" s="592"/>
      <c r="UIY277" s="592"/>
      <c r="UIZ277" s="592"/>
      <c r="UJA277" s="592"/>
      <c r="UJB277" s="592"/>
      <c r="UJC277" s="592"/>
      <c r="UJD277" s="592"/>
      <c r="UJE277" s="592"/>
      <c r="UJF277" s="592"/>
      <c r="UJG277" s="592"/>
      <c r="UJH277" s="592"/>
      <c r="UJI277" s="592"/>
      <c r="UJJ277" s="592"/>
      <c r="UJK277" s="592"/>
      <c r="UJL277" s="592"/>
      <c r="UJM277" s="592"/>
      <c r="UJN277" s="592"/>
      <c r="UJO277" s="592"/>
      <c r="UJP277" s="592"/>
      <c r="UJQ277" s="592"/>
      <c r="UJR277" s="592"/>
      <c r="UJS277" s="592"/>
      <c r="UJT277" s="592"/>
      <c r="UJU277" s="592"/>
      <c r="UJV277" s="592"/>
      <c r="UJW277" s="592"/>
      <c r="UJX277" s="592"/>
      <c r="UJY277" s="592"/>
      <c r="UJZ277" s="592"/>
      <c r="UKA277" s="592"/>
      <c r="UKB277" s="592"/>
      <c r="UKC277" s="592"/>
      <c r="UKD277" s="592"/>
      <c r="UKE277" s="592"/>
      <c r="UKF277" s="592"/>
      <c r="UKG277" s="592"/>
      <c r="UKH277" s="592"/>
      <c r="UKI277" s="592"/>
      <c r="UKJ277" s="592"/>
      <c r="UKK277" s="592"/>
      <c r="UKL277" s="592"/>
      <c r="UKM277" s="592"/>
      <c r="UKN277" s="592"/>
      <c r="UKO277" s="592"/>
      <c r="UKP277" s="592"/>
      <c r="UKQ277" s="592"/>
      <c r="UKR277" s="592"/>
      <c r="UKS277" s="592"/>
      <c r="UKT277" s="592"/>
      <c r="UKU277" s="592"/>
      <c r="UKV277" s="592"/>
      <c r="UKW277" s="592"/>
      <c r="UKX277" s="592"/>
      <c r="UKY277" s="592"/>
      <c r="UKZ277" s="592"/>
      <c r="ULA277" s="592"/>
      <c r="ULB277" s="592"/>
      <c r="ULC277" s="592"/>
      <c r="ULD277" s="592"/>
      <c r="ULE277" s="592"/>
      <c r="ULF277" s="592"/>
      <c r="ULG277" s="592"/>
      <c r="ULH277" s="592"/>
      <c r="ULI277" s="592"/>
      <c r="ULJ277" s="592"/>
      <c r="ULK277" s="592"/>
      <c r="ULL277" s="592"/>
      <c r="ULM277" s="592"/>
      <c r="ULN277" s="592"/>
      <c r="ULO277" s="592"/>
      <c r="ULP277" s="592"/>
      <c r="ULQ277" s="592"/>
      <c r="ULR277" s="592"/>
      <c r="ULS277" s="592"/>
      <c r="ULT277" s="592"/>
      <c r="ULU277" s="592"/>
      <c r="ULV277" s="592"/>
      <c r="ULW277" s="592"/>
      <c r="ULX277" s="592"/>
      <c r="ULY277" s="592"/>
      <c r="ULZ277" s="592"/>
      <c r="UMA277" s="592"/>
      <c r="UMB277" s="592"/>
      <c r="UMC277" s="592"/>
      <c r="UMD277" s="592"/>
      <c r="UME277" s="592"/>
      <c r="UMF277" s="592"/>
      <c r="UMG277" s="592"/>
      <c r="UMH277" s="592"/>
      <c r="UMI277" s="592"/>
      <c r="UMJ277" s="592"/>
      <c r="UMK277" s="592"/>
      <c r="UML277" s="592"/>
      <c r="UMM277" s="592"/>
      <c r="UMN277" s="592"/>
      <c r="UMO277" s="592"/>
      <c r="UMP277" s="592"/>
      <c r="UMQ277" s="592"/>
      <c r="UMR277" s="592"/>
      <c r="UMS277" s="592"/>
      <c r="UMT277" s="592"/>
      <c r="UMU277" s="592"/>
      <c r="UMV277" s="592"/>
      <c r="UMW277" s="592"/>
      <c r="UMX277" s="592"/>
      <c r="UMY277" s="592"/>
      <c r="UMZ277" s="592"/>
      <c r="UNA277" s="592"/>
      <c r="UNB277" s="592"/>
      <c r="UNC277" s="592"/>
      <c r="UND277" s="592"/>
      <c r="UNE277" s="592"/>
      <c r="UNF277" s="592"/>
      <c r="UNG277" s="592"/>
      <c r="UNH277" s="592"/>
      <c r="UNI277" s="592"/>
      <c r="UNJ277" s="592"/>
      <c r="UNK277" s="592"/>
      <c r="UNL277" s="592"/>
      <c r="UNM277" s="592"/>
      <c r="UNN277" s="592"/>
      <c r="UNO277" s="592"/>
      <c r="UNP277" s="592"/>
      <c r="UNQ277" s="592"/>
      <c r="UNR277" s="592"/>
      <c r="UNS277" s="592"/>
      <c r="UNT277" s="592"/>
      <c r="UNU277" s="592"/>
      <c r="UNV277" s="592"/>
      <c r="UNW277" s="592"/>
      <c r="UNX277" s="592"/>
      <c r="UNY277" s="592"/>
      <c r="UNZ277" s="592"/>
      <c r="UOA277" s="592"/>
      <c r="UOB277" s="592"/>
      <c r="UOC277" s="592"/>
      <c r="UOD277" s="592"/>
      <c r="UOE277" s="592"/>
      <c r="UOF277" s="592"/>
      <c r="UOG277" s="592"/>
      <c r="UOH277" s="592"/>
      <c r="UOI277" s="592"/>
      <c r="UOJ277" s="592"/>
      <c r="UOK277" s="592"/>
      <c r="UOL277" s="592"/>
      <c r="UOM277" s="592"/>
      <c r="UON277" s="592"/>
      <c r="UOO277" s="592"/>
      <c r="UOP277" s="592"/>
      <c r="UOQ277" s="592"/>
      <c r="UOR277" s="592"/>
      <c r="UOS277" s="592"/>
      <c r="UOT277" s="592"/>
      <c r="UOU277" s="592"/>
      <c r="UOV277" s="592"/>
      <c r="UOW277" s="592"/>
      <c r="UOX277" s="592"/>
      <c r="UOY277" s="592"/>
      <c r="UOZ277" s="592"/>
      <c r="UPA277" s="592"/>
      <c r="UPB277" s="592"/>
      <c r="UPC277" s="592"/>
      <c r="UPD277" s="592"/>
      <c r="UPE277" s="592"/>
      <c r="UPF277" s="592"/>
      <c r="UPG277" s="592"/>
      <c r="UPH277" s="592"/>
      <c r="UPI277" s="592"/>
      <c r="UPJ277" s="592"/>
      <c r="UPK277" s="592"/>
      <c r="UPL277" s="592"/>
      <c r="UPM277" s="592"/>
      <c r="UPN277" s="592"/>
      <c r="UPO277" s="592"/>
      <c r="UPP277" s="592"/>
      <c r="UPQ277" s="592"/>
      <c r="UPR277" s="592"/>
      <c r="UPS277" s="592"/>
      <c r="UPT277" s="592"/>
      <c r="UPU277" s="592"/>
      <c r="UPV277" s="592"/>
      <c r="UPW277" s="592"/>
      <c r="UPX277" s="592"/>
      <c r="UPY277" s="592"/>
      <c r="UPZ277" s="592"/>
      <c r="UQA277" s="592"/>
      <c r="UQB277" s="592"/>
      <c r="UQC277" s="592"/>
      <c r="UQD277" s="592"/>
      <c r="UQE277" s="592"/>
      <c r="UQF277" s="592"/>
      <c r="UQG277" s="592"/>
      <c r="UQH277" s="592"/>
      <c r="UQI277" s="592"/>
      <c r="UQJ277" s="592"/>
      <c r="UQK277" s="592"/>
      <c r="UQL277" s="592"/>
      <c r="UQM277" s="592"/>
      <c r="UQN277" s="592"/>
      <c r="UQO277" s="592"/>
      <c r="UQP277" s="592"/>
      <c r="UQQ277" s="592"/>
      <c r="UQR277" s="592"/>
      <c r="UQS277" s="592"/>
      <c r="UQT277" s="592"/>
      <c r="UQU277" s="592"/>
      <c r="UQV277" s="592"/>
      <c r="UQW277" s="592"/>
      <c r="UQX277" s="592"/>
      <c r="UQY277" s="592"/>
      <c r="UQZ277" s="592"/>
      <c r="URA277" s="592"/>
      <c r="URB277" s="592"/>
      <c r="URC277" s="592"/>
      <c r="URD277" s="592"/>
      <c r="URE277" s="592"/>
      <c r="URF277" s="592"/>
      <c r="URG277" s="592"/>
      <c r="URH277" s="592"/>
      <c r="URI277" s="592"/>
      <c r="URJ277" s="592"/>
      <c r="URK277" s="592"/>
      <c r="URL277" s="592"/>
      <c r="URM277" s="592"/>
      <c r="URN277" s="592"/>
      <c r="URO277" s="592"/>
      <c r="URP277" s="592"/>
      <c r="URQ277" s="592"/>
      <c r="URR277" s="592"/>
      <c r="URS277" s="592"/>
      <c r="URT277" s="592"/>
      <c r="URU277" s="592"/>
      <c r="URV277" s="592"/>
      <c r="URW277" s="592"/>
      <c r="URX277" s="592"/>
      <c r="URY277" s="592"/>
      <c r="URZ277" s="592"/>
      <c r="USA277" s="592"/>
      <c r="USB277" s="592"/>
      <c r="USC277" s="592"/>
      <c r="USD277" s="592"/>
      <c r="USE277" s="592"/>
      <c r="USF277" s="592"/>
      <c r="USG277" s="592"/>
      <c r="USH277" s="592"/>
      <c r="USI277" s="592"/>
      <c r="USJ277" s="592"/>
      <c r="USK277" s="592"/>
      <c r="USL277" s="592"/>
      <c r="USM277" s="592"/>
      <c r="USN277" s="592"/>
      <c r="USO277" s="592"/>
      <c r="USP277" s="592"/>
      <c r="USQ277" s="592"/>
      <c r="USR277" s="592"/>
      <c r="USS277" s="592"/>
      <c r="UST277" s="592"/>
      <c r="USU277" s="592"/>
      <c r="USV277" s="592"/>
      <c r="USW277" s="592"/>
      <c r="USX277" s="592"/>
      <c r="USY277" s="592"/>
      <c r="USZ277" s="592"/>
      <c r="UTA277" s="592"/>
      <c r="UTB277" s="592"/>
      <c r="UTC277" s="592"/>
      <c r="UTD277" s="592"/>
      <c r="UTE277" s="592"/>
      <c r="UTF277" s="592"/>
      <c r="UTG277" s="592"/>
      <c r="UTH277" s="592"/>
      <c r="UTI277" s="592"/>
      <c r="UTJ277" s="592"/>
      <c r="UTK277" s="592"/>
      <c r="UTL277" s="592"/>
      <c r="UTM277" s="592"/>
      <c r="UTN277" s="592"/>
      <c r="UTO277" s="592"/>
      <c r="UTP277" s="592"/>
      <c r="UTQ277" s="592"/>
      <c r="UTR277" s="592"/>
      <c r="UTS277" s="592"/>
      <c r="UTT277" s="592"/>
      <c r="UTU277" s="592"/>
      <c r="UTV277" s="592"/>
      <c r="UTW277" s="592"/>
      <c r="UTX277" s="592"/>
      <c r="UTY277" s="592"/>
      <c r="UTZ277" s="592"/>
      <c r="UUA277" s="592"/>
      <c r="UUB277" s="592"/>
      <c r="UUC277" s="592"/>
      <c r="UUD277" s="592"/>
      <c r="UUE277" s="592"/>
      <c r="UUF277" s="592"/>
      <c r="UUG277" s="592"/>
      <c r="UUH277" s="592"/>
      <c r="UUI277" s="592"/>
      <c r="UUJ277" s="592"/>
      <c r="UUK277" s="592"/>
      <c r="UUL277" s="592"/>
      <c r="UUM277" s="592"/>
      <c r="UUN277" s="592"/>
      <c r="UUO277" s="592"/>
      <c r="UUP277" s="592"/>
      <c r="UUQ277" s="592"/>
      <c r="UUR277" s="592"/>
      <c r="UUS277" s="592"/>
      <c r="UUT277" s="592"/>
      <c r="UUU277" s="592"/>
      <c r="UUV277" s="592"/>
      <c r="UUW277" s="592"/>
      <c r="UUX277" s="592"/>
      <c r="UUY277" s="592"/>
      <c r="UUZ277" s="592"/>
      <c r="UVA277" s="592"/>
      <c r="UVB277" s="592"/>
      <c r="UVC277" s="592"/>
      <c r="UVD277" s="592"/>
      <c r="UVE277" s="592"/>
      <c r="UVF277" s="592"/>
      <c r="UVG277" s="592"/>
      <c r="UVH277" s="592"/>
      <c r="UVI277" s="592"/>
      <c r="UVJ277" s="592"/>
      <c r="UVK277" s="592"/>
      <c r="UVL277" s="592"/>
      <c r="UVM277" s="592"/>
      <c r="UVN277" s="592"/>
      <c r="UVO277" s="592"/>
      <c r="UVP277" s="592"/>
      <c r="UVQ277" s="592"/>
      <c r="UVR277" s="592"/>
      <c r="UVS277" s="592"/>
      <c r="UVT277" s="592"/>
      <c r="UVU277" s="592"/>
      <c r="UVV277" s="592"/>
      <c r="UVW277" s="592"/>
      <c r="UVX277" s="592"/>
      <c r="UVY277" s="592"/>
      <c r="UVZ277" s="592"/>
      <c r="UWA277" s="592"/>
      <c r="UWB277" s="592"/>
      <c r="UWC277" s="592"/>
      <c r="UWD277" s="592"/>
      <c r="UWE277" s="592"/>
      <c r="UWF277" s="592"/>
      <c r="UWG277" s="592"/>
      <c r="UWH277" s="592"/>
      <c r="UWI277" s="592"/>
      <c r="UWJ277" s="592"/>
      <c r="UWK277" s="592"/>
      <c r="UWL277" s="592"/>
      <c r="UWM277" s="592"/>
      <c r="UWN277" s="592"/>
      <c r="UWO277" s="592"/>
      <c r="UWP277" s="592"/>
      <c r="UWQ277" s="592"/>
      <c r="UWR277" s="592"/>
      <c r="UWS277" s="592"/>
      <c r="UWT277" s="592"/>
      <c r="UWU277" s="592"/>
      <c r="UWV277" s="592"/>
      <c r="UWW277" s="592"/>
      <c r="UWX277" s="592"/>
      <c r="UWY277" s="592"/>
      <c r="UWZ277" s="592"/>
      <c r="UXA277" s="592"/>
      <c r="UXB277" s="592"/>
      <c r="UXC277" s="592"/>
      <c r="UXD277" s="592"/>
      <c r="UXE277" s="592"/>
      <c r="UXF277" s="592"/>
      <c r="UXG277" s="592"/>
      <c r="UXH277" s="592"/>
      <c r="UXI277" s="592"/>
      <c r="UXJ277" s="592"/>
      <c r="UXK277" s="592"/>
      <c r="UXL277" s="592"/>
      <c r="UXM277" s="592"/>
      <c r="UXN277" s="592"/>
      <c r="UXO277" s="592"/>
      <c r="UXP277" s="592"/>
      <c r="UXQ277" s="592"/>
      <c r="UXR277" s="592"/>
      <c r="UXS277" s="592"/>
      <c r="UXT277" s="592"/>
      <c r="UXU277" s="592"/>
      <c r="UXV277" s="592"/>
      <c r="UXW277" s="592"/>
      <c r="UXX277" s="592"/>
      <c r="UXY277" s="592"/>
      <c r="UXZ277" s="592"/>
      <c r="UYA277" s="592"/>
      <c r="UYB277" s="592"/>
      <c r="UYC277" s="592"/>
      <c r="UYD277" s="592"/>
      <c r="UYE277" s="592"/>
      <c r="UYF277" s="592"/>
      <c r="UYG277" s="592"/>
      <c r="UYH277" s="592"/>
      <c r="UYI277" s="592"/>
      <c r="UYJ277" s="592"/>
      <c r="UYK277" s="592"/>
      <c r="UYL277" s="592"/>
      <c r="UYM277" s="592"/>
      <c r="UYN277" s="592"/>
      <c r="UYO277" s="592"/>
      <c r="UYP277" s="592"/>
      <c r="UYQ277" s="592"/>
      <c r="UYR277" s="592"/>
      <c r="UYS277" s="592"/>
      <c r="UYT277" s="592"/>
      <c r="UYU277" s="592"/>
      <c r="UYV277" s="592"/>
      <c r="UYW277" s="592"/>
      <c r="UYX277" s="592"/>
      <c r="UYY277" s="592"/>
      <c r="UYZ277" s="592"/>
      <c r="UZA277" s="592"/>
      <c r="UZB277" s="592"/>
      <c r="UZC277" s="592"/>
      <c r="UZD277" s="592"/>
      <c r="UZE277" s="592"/>
      <c r="UZF277" s="592"/>
      <c r="UZG277" s="592"/>
      <c r="UZH277" s="592"/>
      <c r="UZI277" s="592"/>
      <c r="UZJ277" s="592"/>
      <c r="UZK277" s="592"/>
      <c r="UZL277" s="592"/>
      <c r="UZM277" s="592"/>
      <c r="UZN277" s="592"/>
      <c r="UZO277" s="592"/>
      <c r="UZP277" s="592"/>
      <c r="UZQ277" s="592"/>
      <c r="UZR277" s="592"/>
      <c r="UZS277" s="592"/>
      <c r="UZT277" s="592"/>
      <c r="UZU277" s="592"/>
      <c r="UZV277" s="592"/>
      <c r="UZW277" s="592"/>
      <c r="UZX277" s="592"/>
      <c r="UZY277" s="592"/>
      <c r="UZZ277" s="592"/>
      <c r="VAA277" s="592"/>
      <c r="VAB277" s="592"/>
      <c r="VAC277" s="592"/>
      <c r="VAD277" s="592"/>
      <c r="VAE277" s="592"/>
      <c r="VAF277" s="592"/>
      <c r="VAG277" s="592"/>
      <c r="VAH277" s="592"/>
      <c r="VAI277" s="592"/>
      <c r="VAJ277" s="592"/>
      <c r="VAK277" s="592"/>
      <c r="VAL277" s="592"/>
      <c r="VAM277" s="592"/>
      <c r="VAN277" s="592"/>
      <c r="VAO277" s="592"/>
      <c r="VAP277" s="592"/>
      <c r="VAQ277" s="592"/>
      <c r="VAR277" s="592"/>
      <c r="VAS277" s="592"/>
      <c r="VAT277" s="592"/>
      <c r="VAU277" s="592"/>
      <c r="VAV277" s="592"/>
      <c r="VAW277" s="592"/>
      <c r="VAX277" s="592"/>
      <c r="VAY277" s="592"/>
      <c r="VAZ277" s="592"/>
      <c r="VBA277" s="592"/>
      <c r="VBB277" s="592"/>
      <c r="VBC277" s="592"/>
      <c r="VBD277" s="592"/>
      <c r="VBE277" s="592"/>
      <c r="VBF277" s="592"/>
      <c r="VBG277" s="592"/>
      <c r="VBH277" s="592"/>
      <c r="VBI277" s="592"/>
      <c r="VBJ277" s="592"/>
      <c r="VBK277" s="592"/>
      <c r="VBL277" s="592"/>
      <c r="VBM277" s="592"/>
      <c r="VBN277" s="592"/>
      <c r="VBO277" s="592"/>
      <c r="VBP277" s="592"/>
      <c r="VBQ277" s="592"/>
      <c r="VBR277" s="592"/>
      <c r="VBS277" s="592"/>
      <c r="VBT277" s="592"/>
      <c r="VBU277" s="592"/>
      <c r="VBV277" s="592"/>
      <c r="VBW277" s="592"/>
      <c r="VBX277" s="592"/>
      <c r="VBY277" s="592"/>
      <c r="VBZ277" s="592"/>
      <c r="VCA277" s="592"/>
      <c r="VCB277" s="592"/>
      <c r="VCC277" s="592"/>
      <c r="VCD277" s="592"/>
      <c r="VCE277" s="592"/>
      <c r="VCF277" s="592"/>
      <c r="VCG277" s="592"/>
      <c r="VCH277" s="592"/>
      <c r="VCI277" s="592"/>
      <c r="VCJ277" s="592"/>
      <c r="VCK277" s="592"/>
      <c r="VCL277" s="592"/>
      <c r="VCM277" s="592"/>
      <c r="VCN277" s="592"/>
      <c r="VCO277" s="592"/>
      <c r="VCP277" s="592"/>
      <c r="VCQ277" s="592"/>
      <c r="VCR277" s="592"/>
      <c r="VCS277" s="592"/>
      <c r="VCT277" s="592"/>
      <c r="VCU277" s="592"/>
      <c r="VCV277" s="592"/>
      <c r="VCW277" s="592"/>
      <c r="VCX277" s="592"/>
      <c r="VCY277" s="592"/>
      <c r="VCZ277" s="592"/>
      <c r="VDA277" s="592"/>
      <c r="VDB277" s="592"/>
      <c r="VDC277" s="592"/>
      <c r="VDD277" s="592"/>
      <c r="VDE277" s="592"/>
      <c r="VDF277" s="592"/>
      <c r="VDG277" s="592"/>
      <c r="VDH277" s="592"/>
      <c r="VDI277" s="592"/>
      <c r="VDJ277" s="592"/>
      <c r="VDK277" s="592"/>
      <c r="VDL277" s="592"/>
      <c r="VDM277" s="592"/>
      <c r="VDN277" s="592"/>
      <c r="VDO277" s="592"/>
      <c r="VDP277" s="592"/>
      <c r="VDQ277" s="592"/>
      <c r="VDR277" s="592"/>
      <c r="VDS277" s="592"/>
      <c r="VDT277" s="592"/>
      <c r="VDU277" s="592"/>
      <c r="VDV277" s="592"/>
      <c r="VDW277" s="592"/>
      <c r="VDX277" s="592"/>
      <c r="VDY277" s="592"/>
      <c r="VDZ277" s="592"/>
      <c r="VEA277" s="592"/>
      <c r="VEB277" s="592"/>
      <c r="VEC277" s="592"/>
      <c r="VED277" s="592"/>
      <c r="VEE277" s="592"/>
      <c r="VEF277" s="592"/>
      <c r="VEG277" s="592"/>
      <c r="VEH277" s="592"/>
      <c r="VEI277" s="592"/>
      <c r="VEJ277" s="592"/>
      <c r="VEK277" s="592"/>
      <c r="VEL277" s="592"/>
      <c r="VEM277" s="592"/>
      <c r="VEN277" s="592"/>
      <c r="VEO277" s="592"/>
      <c r="VEP277" s="592"/>
      <c r="VEQ277" s="592"/>
      <c r="VER277" s="592"/>
      <c r="VES277" s="592"/>
      <c r="VET277" s="592"/>
      <c r="VEU277" s="592"/>
      <c r="VEV277" s="592"/>
      <c r="VEW277" s="592"/>
      <c r="VEX277" s="592"/>
      <c r="VEY277" s="592"/>
      <c r="VEZ277" s="592"/>
      <c r="VFA277" s="592"/>
      <c r="VFB277" s="592"/>
      <c r="VFC277" s="592"/>
      <c r="VFD277" s="592"/>
      <c r="VFE277" s="592"/>
      <c r="VFF277" s="592"/>
      <c r="VFG277" s="592"/>
      <c r="VFH277" s="592"/>
      <c r="VFI277" s="592"/>
      <c r="VFJ277" s="592"/>
      <c r="VFK277" s="592"/>
      <c r="VFL277" s="592"/>
      <c r="VFM277" s="592"/>
      <c r="VFN277" s="592"/>
      <c r="VFO277" s="592"/>
      <c r="VFP277" s="592"/>
      <c r="VFQ277" s="592"/>
      <c r="VFR277" s="592"/>
      <c r="VFS277" s="592"/>
      <c r="VFT277" s="592"/>
      <c r="VFU277" s="592"/>
      <c r="VFV277" s="592"/>
      <c r="VFW277" s="592"/>
      <c r="VFX277" s="592"/>
      <c r="VFY277" s="592"/>
      <c r="VFZ277" s="592"/>
      <c r="VGA277" s="592"/>
      <c r="VGB277" s="592"/>
      <c r="VGC277" s="592"/>
      <c r="VGD277" s="592"/>
      <c r="VGE277" s="592"/>
      <c r="VGF277" s="592"/>
      <c r="VGG277" s="592"/>
      <c r="VGH277" s="592"/>
      <c r="VGI277" s="592"/>
      <c r="VGJ277" s="592"/>
      <c r="VGK277" s="592"/>
      <c r="VGL277" s="592"/>
      <c r="VGM277" s="592"/>
      <c r="VGN277" s="592"/>
      <c r="VGO277" s="592"/>
      <c r="VGP277" s="592"/>
      <c r="VGQ277" s="592"/>
      <c r="VGR277" s="592"/>
      <c r="VGS277" s="592"/>
      <c r="VGT277" s="592"/>
      <c r="VGU277" s="592"/>
      <c r="VGV277" s="592"/>
      <c r="VGW277" s="592"/>
      <c r="VGX277" s="592"/>
      <c r="VGY277" s="592"/>
      <c r="VGZ277" s="592"/>
      <c r="VHA277" s="592"/>
      <c r="VHB277" s="592"/>
      <c r="VHC277" s="592"/>
      <c r="VHD277" s="592"/>
      <c r="VHE277" s="592"/>
      <c r="VHF277" s="592"/>
      <c r="VHG277" s="592"/>
      <c r="VHH277" s="592"/>
      <c r="VHI277" s="592"/>
      <c r="VHJ277" s="592"/>
      <c r="VHK277" s="592"/>
      <c r="VHL277" s="592"/>
      <c r="VHM277" s="592"/>
      <c r="VHN277" s="592"/>
      <c r="VHO277" s="592"/>
      <c r="VHP277" s="592"/>
      <c r="VHQ277" s="592"/>
      <c r="VHR277" s="592"/>
      <c r="VHS277" s="592"/>
      <c r="VHT277" s="592"/>
      <c r="VHU277" s="592"/>
      <c r="VHV277" s="592"/>
      <c r="VHW277" s="592"/>
      <c r="VHX277" s="592"/>
      <c r="VHY277" s="592"/>
      <c r="VHZ277" s="592"/>
      <c r="VIA277" s="592"/>
      <c r="VIB277" s="592"/>
      <c r="VIC277" s="592"/>
      <c r="VID277" s="592"/>
      <c r="VIE277" s="592"/>
      <c r="VIF277" s="592"/>
      <c r="VIG277" s="592"/>
      <c r="VIH277" s="592"/>
      <c r="VII277" s="592"/>
      <c r="VIJ277" s="592"/>
      <c r="VIK277" s="592"/>
      <c r="VIL277" s="592"/>
      <c r="VIM277" s="592"/>
      <c r="VIN277" s="592"/>
      <c r="VIO277" s="592"/>
      <c r="VIP277" s="592"/>
      <c r="VIQ277" s="592"/>
      <c r="VIR277" s="592"/>
      <c r="VIS277" s="592"/>
      <c r="VIT277" s="592"/>
      <c r="VIU277" s="592"/>
      <c r="VIV277" s="592"/>
      <c r="VIW277" s="592"/>
      <c r="VIX277" s="592"/>
      <c r="VIY277" s="592"/>
      <c r="VIZ277" s="592"/>
      <c r="VJA277" s="592"/>
      <c r="VJB277" s="592"/>
      <c r="VJC277" s="592"/>
      <c r="VJD277" s="592"/>
      <c r="VJE277" s="592"/>
      <c r="VJF277" s="592"/>
      <c r="VJG277" s="592"/>
      <c r="VJH277" s="592"/>
      <c r="VJI277" s="592"/>
      <c r="VJJ277" s="592"/>
      <c r="VJK277" s="592"/>
      <c r="VJL277" s="592"/>
      <c r="VJM277" s="592"/>
      <c r="VJN277" s="592"/>
      <c r="VJO277" s="592"/>
      <c r="VJP277" s="592"/>
      <c r="VJQ277" s="592"/>
      <c r="VJR277" s="592"/>
      <c r="VJS277" s="592"/>
      <c r="VJT277" s="592"/>
      <c r="VJU277" s="592"/>
      <c r="VJV277" s="592"/>
      <c r="VJW277" s="592"/>
      <c r="VJX277" s="592"/>
      <c r="VJY277" s="592"/>
      <c r="VJZ277" s="592"/>
      <c r="VKA277" s="592"/>
      <c r="VKB277" s="592"/>
      <c r="VKC277" s="592"/>
      <c r="VKD277" s="592"/>
      <c r="VKE277" s="592"/>
      <c r="VKF277" s="592"/>
      <c r="VKG277" s="592"/>
      <c r="VKH277" s="592"/>
      <c r="VKI277" s="592"/>
      <c r="VKJ277" s="592"/>
      <c r="VKK277" s="592"/>
      <c r="VKL277" s="592"/>
      <c r="VKM277" s="592"/>
      <c r="VKN277" s="592"/>
      <c r="VKO277" s="592"/>
      <c r="VKP277" s="592"/>
      <c r="VKQ277" s="592"/>
      <c r="VKR277" s="592"/>
      <c r="VKS277" s="592"/>
      <c r="VKT277" s="592"/>
      <c r="VKU277" s="592"/>
      <c r="VKV277" s="592"/>
      <c r="VKW277" s="592"/>
      <c r="VKX277" s="592"/>
      <c r="VKY277" s="592"/>
      <c r="VKZ277" s="592"/>
      <c r="VLA277" s="592"/>
      <c r="VLB277" s="592"/>
      <c r="VLC277" s="592"/>
      <c r="VLD277" s="592"/>
      <c r="VLE277" s="592"/>
      <c r="VLF277" s="592"/>
      <c r="VLG277" s="592"/>
      <c r="VLH277" s="592"/>
      <c r="VLI277" s="592"/>
      <c r="VLJ277" s="592"/>
      <c r="VLK277" s="592"/>
      <c r="VLL277" s="592"/>
      <c r="VLM277" s="592"/>
      <c r="VLN277" s="592"/>
      <c r="VLO277" s="592"/>
      <c r="VLP277" s="592"/>
      <c r="VLQ277" s="592"/>
      <c r="VLR277" s="592"/>
      <c r="VLS277" s="592"/>
      <c r="VLT277" s="592"/>
      <c r="VLU277" s="592"/>
      <c r="VLV277" s="592"/>
      <c r="VLW277" s="592"/>
      <c r="VLX277" s="592"/>
      <c r="VLY277" s="592"/>
      <c r="VLZ277" s="592"/>
      <c r="VMA277" s="592"/>
      <c r="VMB277" s="592"/>
      <c r="VMC277" s="592"/>
      <c r="VMD277" s="592"/>
      <c r="VME277" s="592"/>
      <c r="VMF277" s="592"/>
      <c r="VMG277" s="592"/>
      <c r="VMH277" s="592"/>
      <c r="VMI277" s="592"/>
      <c r="VMJ277" s="592"/>
      <c r="VMK277" s="592"/>
      <c r="VML277" s="592"/>
      <c r="VMM277" s="592"/>
      <c r="VMN277" s="592"/>
      <c r="VMO277" s="592"/>
      <c r="VMP277" s="592"/>
      <c r="VMQ277" s="592"/>
      <c r="VMR277" s="592"/>
      <c r="VMS277" s="592"/>
      <c r="VMT277" s="592"/>
      <c r="VMU277" s="592"/>
      <c r="VMV277" s="592"/>
      <c r="VMW277" s="592"/>
      <c r="VMX277" s="592"/>
      <c r="VMY277" s="592"/>
      <c r="VMZ277" s="592"/>
      <c r="VNA277" s="592"/>
      <c r="VNB277" s="592"/>
      <c r="VNC277" s="592"/>
      <c r="VND277" s="592"/>
      <c r="VNE277" s="592"/>
      <c r="VNF277" s="592"/>
      <c r="VNG277" s="592"/>
      <c r="VNH277" s="592"/>
      <c r="VNI277" s="592"/>
      <c r="VNJ277" s="592"/>
      <c r="VNK277" s="592"/>
      <c r="VNL277" s="592"/>
      <c r="VNM277" s="592"/>
      <c r="VNN277" s="592"/>
      <c r="VNO277" s="592"/>
      <c r="VNP277" s="592"/>
      <c r="VNQ277" s="592"/>
      <c r="VNR277" s="592"/>
      <c r="VNS277" s="592"/>
      <c r="VNT277" s="592"/>
      <c r="VNU277" s="592"/>
      <c r="VNV277" s="592"/>
      <c r="VNW277" s="592"/>
      <c r="VNX277" s="592"/>
      <c r="VNY277" s="592"/>
      <c r="VNZ277" s="592"/>
      <c r="VOA277" s="592"/>
      <c r="VOB277" s="592"/>
      <c r="VOC277" s="592"/>
      <c r="VOD277" s="592"/>
      <c r="VOE277" s="592"/>
      <c r="VOF277" s="592"/>
      <c r="VOG277" s="592"/>
      <c r="VOH277" s="592"/>
      <c r="VOI277" s="592"/>
      <c r="VOJ277" s="592"/>
      <c r="VOK277" s="592"/>
      <c r="VOL277" s="592"/>
      <c r="VOM277" s="592"/>
      <c r="VON277" s="592"/>
      <c r="VOO277" s="592"/>
      <c r="VOP277" s="592"/>
      <c r="VOQ277" s="592"/>
      <c r="VOR277" s="592"/>
      <c r="VOS277" s="592"/>
      <c r="VOT277" s="592"/>
      <c r="VOU277" s="592"/>
      <c r="VOV277" s="592"/>
      <c r="VOW277" s="592"/>
      <c r="VOX277" s="592"/>
      <c r="VOY277" s="592"/>
      <c r="VOZ277" s="592"/>
      <c r="VPA277" s="592"/>
      <c r="VPB277" s="592"/>
      <c r="VPC277" s="592"/>
      <c r="VPD277" s="592"/>
      <c r="VPE277" s="592"/>
      <c r="VPF277" s="592"/>
      <c r="VPG277" s="592"/>
      <c r="VPH277" s="592"/>
      <c r="VPI277" s="592"/>
      <c r="VPJ277" s="592"/>
      <c r="VPK277" s="592"/>
      <c r="VPL277" s="592"/>
      <c r="VPM277" s="592"/>
      <c r="VPN277" s="592"/>
      <c r="VPO277" s="592"/>
      <c r="VPP277" s="592"/>
      <c r="VPQ277" s="592"/>
      <c r="VPR277" s="592"/>
      <c r="VPS277" s="592"/>
      <c r="VPT277" s="592"/>
      <c r="VPU277" s="592"/>
      <c r="VPV277" s="592"/>
      <c r="VPW277" s="592"/>
      <c r="VPX277" s="592"/>
      <c r="VPY277" s="592"/>
      <c r="VPZ277" s="592"/>
      <c r="VQA277" s="592"/>
      <c r="VQB277" s="592"/>
      <c r="VQC277" s="592"/>
      <c r="VQD277" s="592"/>
      <c r="VQE277" s="592"/>
      <c r="VQF277" s="592"/>
      <c r="VQG277" s="592"/>
      <c r="VQH277" s="592"/>
      <c r="VQI277" s="592"/>
      <c r="VQJ277" s="592"/>
      <c r="VQK277" s="592"/>
      <c r="VQL277" s="592"/>
      <c r="VQM277" s="592"/>
      <c r="VQN277" s="592"/>
      <c r="VQO277" s="592"/>
      <c r="VQP277" s="592"/>
      <c r="VQQ277" s="592"/>
      <c r="VQR277" s="592"/>
      <c r="VQS277" s="592"/>
      <c r="VQT277" s="592"/>
      <c r="VQU277" s="592"/>
      <c r="VQV277" s="592"/>
      <c r="VQW277" s="592"/>
      <c r="VQX277" s="592"/>
      <c r="VQY277" s="592"/>
      <c r="VQZ277" s="592"/>
      <c r="VRA277" s="592"/>
      <c r="VRB277" s="592"/>
      <c r="VRC277" s="592"/>
      <c r="VRD277" s="592"/>
      <c r="VRE277" s="592"/>
      <c r="VRF277" s="592"/>
      <c r="VRG277" s="592"/>
      <c r="VRH277" s="592"/>
      <c r="VRI277" s="592"/>
      <c r="VRJ277" s="592"/>
      <c r="VRK277" s="592"/>
      <c r="VRL277" s="592"/>
      <c r="VRM277" s="592"/>
      <c r="VRN277" s="592"/>
      <c r="VRO277" s="592"/>
      <c r="VRP277" s="592"/>
      <c r="VRQ277" s="592"/>
      <c r="VRR277" s="592"/>
      <c r="VRS277" s="592"/>
      <c r="VRT277" s="592"/>
      <c r="VRU277" s="592"/>
      <c r="VRV277" s="592"/>
      <c r="VRW277" s="592"/>
      <c r="VRX277" s="592"/>
      <c r="VRY277" s="592"/>
      <c r="VRZ277" s="592"/>
      <c r="VSA277" s="592"/>
      <c r="VSB277" s="592"/>
      <c r="VSC277" s="592"/>
      <c r="VSD277" s="592"/>
      <c r="VSE277" s="592"/>
      <c r="VSF277" s="592"/>
      <c r="VSG277" s="592"/>
      <c r="VSH277" s="592"/>
      <c r="VSI277" s="592"/>
      <c r="VSJ277" s="592"/>
      <c r="VSK277" s="592"/>
      <c r="VSL277" s="592"/>
      <c r="VSM277" s="592"/>
      <c r="VSN277" s="592"/>
      <c r="VSO277" s="592"/>
      <c r="VSP277" s="592"/>
      <c r="VSQ277" s="592"/>
      <c r="VSR277" s="592"/>
      <c r="VSS277" s="592"/>
      <c r="VST277" s="592"/>
      <c r="VSU277" s="592"/>
      <c r="VSV277" s="592"/>
      <c r="VSW277" s="592"/>
      <c r="VSX277" s="592"/>
      <c r="VSY277" s="592"/>
      <c r="VSZ277" s="592"/>
      <c r="VTA277" s="592"/>
      <c r="VTB277" s="592"/>
      <c r="VTC277" s="592"/>
      <c r="VTD277" s="592"/>
      <c r="VTE277" s="592"/>
      <c r="VTF277" s="592"/>
      <c r="VTG277" s="592"/>
      <c r="VTH277" s="592"/>
      <c r="VTI277" s="592"/>
      <c r="VTJ277" s="592"/>
      <c r="VTK277" s="592"/>
      <c r="VTL277" s="592"/>
      <c r="VTM277" s="592"/>
      <c r="VTN277" s="592"/>
      <c r="VTO277" s="592"/>
      <c r="VTP277" s="592"/>
      <c r="VTQ277" s="592"/>
      <c r="VTR277" s="592"/>
      <c r="VTS277" s="592"/>
      <c r="VTT277" s="592"/>
      <c r="VTU277" s="592"/>
      <c r="VTV277" s="592"/>
      <c r="VTW277" s="592"/>
      <c r="VTX277" s="592"/>
      <c r="VTY277" s="592"/>
      <c r="VTZ277" s="592"/>
      <c r="VUA277" s="592"/>
      <c r="VUB277" s="592"/>
      <c r="VUC277" s="592"/>
      <c r="VUD277" s="592"/>
      <c r="VUE277" s="592"/>
      <c r="VUF277" s="592"/>
      <c r="VUG277" s="592"/>
      <c r="VUH277" s="592"/>
      <c r="VUI277" s="592"/>
      <c r="VUJ277" s="592"/>
      <c r="VUK277" s="592"/>
      <c r="VUL277" s="592"/>
      <c r="VUM277" s="592"/>
      <c r="VUN277" s="592"/>
      <c r="VUO277" s="592"/>
      <c r="VUP277" s="592"/>
      <c r="VUQ277" s="592"/>
      <c r="VUR277" s="592"/>
      <c r="VUS277" s="592"/>
      <c r="VUT277" s="592"/>
      <c r="VUU277" s="592"/>
      <c r="VUV277" s="592"/>
      <c r="VUW277" s="592"/>
      <c r="VUX277" s="592"/>
      <c r="VUY277" s="592"/>
      <c r="VUZ277" s="592"/>
      <c r="VVA277" s="592"/>
      <c r="VVB277" s="592"/>
      <c r="VVC277" s="592"/>
      <c r="VVD277" s="592"/>
      <c r="VVE277" s="592"/>
      <c r="VVF277" s="592"/>
      <c r="VVG277" s="592"/>
      <c r="VVH277" s="592"/>
      <c r="VVI277" s="592"/>
      <c r="VVJ277" s="592"/>
      <c r="VVK277" s="592"/>
      <c r="VVL277" s="592"/>
      <c r="VVM277" s="592"/>
      <c r="VVN277" s="592"/>
      <c r="VVO277" s="592"/>
      <c r="VVP277" s="592"/>
      <c r="VVQ277" s="592"/>
      <c r="VVR277" s="592"/>
      <c r="VVS277" s="592"/>
      <c r="VVT277" s="592"/>
      <c r="VVU277" s="592"/>
      <c r="VVV277" s="592"/>
      <c r="VVW277" s="592"/>
      <c r="VVX277" s="592"/>
      <c r="VVY277" s="592"/>
      <c r="VVZ277" s="592"/>
      <c r="VWA277" s="592"/>
      <c r="VWB277" s="592"/>
      <c r="VWC277" s="592"/>
      <c r="VWD277" s="592"/>
      <c r="VWE277" s="592"/>
      <c r="VWF277" s="592"/>
      <c r="VWG277" s="592"/>
      <c r="VWH277" s="592"/>
      <c r="VWI277" s="592"/>
      <c r="VWJ277" s="592"/>
      <c r="VWK277" s="592"/>
      <c r="VWL277" s="592"/>
      <c r="VWM277" s="592"/>
      <c r="VWN277" s="592"/>
      <c r="VWO277" s="592"/>
      <c r="VWP277" s="592"/>
      <c r="VWQ277" s="592"/>
      <c r="VWR277" s="592"/>
      <c r="VWS277" s="592"/>
      <c r="VWT277" s="592"/>
      <c r="VWU277" s="592"/>
      <c r="VWV277" s="592"/>
      <c r="VWW277" s="592"/>
      <c r="VWX277" s="592"/>
      <c r="VWY277" s="592"/>
      <c r="VWZ277" s="592"/>
      <c r="VXA277" s="592"/>
      <c r="VXB277" s="592"/>
      <c r="VXC277" s="592"/>
      <c r="VXD277" s="592"/>
      <c r="VXE277" s="592"/>
      <c r="VXF277" s="592"/>
      <c r="VXG277" s="592"/>
      <c r="VXH277" s="592"/>
      <c r="VXI277" s="592"/>
      <c r="VXJ277" s="592"/>
      <c r="VXK277" s="592"/>
      <c r="VXL277" s="592"/>
      <c r="VXM277" s="592"/>
      <c r="VXN277" s="592"/>
      <c r="VXO277" s="592"/>
      <c r="VXP277" s="592"/>
      <c r="VXQ277" s="592"/>
      <c r="VXR277" s="592"/>
      <c r="VXS277" s="592"/>
      <c r="VXT277" s="592"/>
      <c r="VXU277" s="592"/>
      <c r="VXV277" s="592"/>
      <c r="VXW277" s="592"/>
      <c r="VXX277" s="592"/>
      <c r="VXY277" s="592"/>
      <c r="VXZ277" s="592"/>
      <c r="VYA277" s="592"/>
      <c r="VYB277" s="592"/>
      <c r="VYC277" s="592"/>
      <c r="VYD277" s="592"/>
      <c r="VYE277" s="592"/>
      <c r="VYF277" s="592"/>
      <c r="VYG277" s="592"/>
      <c r="VYH277" s="592"/>
      <c r="VYI277" s="592"/>
      <c r="VYJ277" s="592"/>
      <c r="VYK277" s="592"/>
      <c r="VYL277" s="592"/>
      <c r="VYM277" s="592"/>
      <c r="VYN277" s="592"/>
      <c r="VYO277" s="592"/>
      <c r="VYP277" s="592"/>
      <c r="VYQ277" s="592"/>
      <c r="VYR277" s="592"/>
      <c r="VYS277" s="592"/>
      <c r="VYT277" s="592"/>
      <c r="VYU277" s="592"/>
      <c r="VYV277" s="592"/>
      <c r="VYW277" s="592"/>
      <c r="VYX277" s="592"/>
      <c r="VYY277" s="592"/>
      <c r="VYZ277" s="592"/>
      <c r="VZA277" s="592"/>
      <c r="VZB277" s="592"/>
      <c r="VZC277" s="592"/>
      <c r="VZD277" s="592"/>
      <c r="VZE277" s="592"/>
      <c r="VZF277" s="592"/>
      <c r="VZG277" s="592"/>
      <c r="VZH277" s="592"/>
      <c r="VZI277" s="592"/>
      <c r="VZJ277" s="592"/>
      <c r="VZK277" s="592"/>
      <c r="VZL277" s="592"/>
      <c r="VZM277" s="592"/>
      <c r="VZN277" s="592"/>
      <c r="VZO277" s="592"/>
      <c r="VZP277" s="592"/>
      <c r="VZQ277" s="592"/>
      <c r="VZR277" s="592"/>
      <c r="VZS277" s="592"/>
      <c r="VZT277" s="592"/>
      <c r="VZU277" s="592"/>
      <c r="VZV277" s="592"/>
      <c r="VZW277" s="592"/>
      <c r="VZX277" s="592"/>
      <c r="VZY277" s="592"/>
      <c r="VZZ277" s="592"/>
      <c r="WAA277" s="592"/>
      <c r="WAB277" s="592"/>
      <c r="WAC277" s="592"/>
      <c r="WAD277" s="592"/>
      <c r="WAE277" s="592"/>
      <c r="WAF277" s="592"/>
      <c r="WAG277" s="592"/>
      <c r="WAH277" s="592"/>
      <c r="WAI277" s="592"/>
      <c r="WAJ277" s="592"/>
      <c r="WAK277" s="592"/>
      <c r="WAL277" s="592"/>
      <c r="WAM277" s="592"/>
      <c r="WAN277" s="592"/>
      <c r="WAO277" s="592"/>
      <c r="WAP277" s="592"/>
      <c r="WAQ277" s="592"/>
      <c r="WAR277" s="592"/>
      <c r="WAS277" s="592"/>
      <c r="WAT277" s="592"/>
      <c r="WAU277" s="592"/>
      <c r="WAV277" s="592"/>
      <c r="WAW277" s="592"/>
      <c r="WAX277" s="592"/>
      <c r="WAY277" s="592"/>
      <c r="WAZ277" s="592"/>
      <c r="WBA277" s="592"/>
      <c r="WBB277" s="592"/>
      <c r="WBC277" s="592"/>
      <c r="WBD277" s="592"/>
      <c r="WBE277" s="592"/>
      <c r="WBF277" s="592"/>
      <c r="WBG277" s="592"/>
      <c r="WBH277" s="592"/>
      <c r="WBI277" s="592"/>
      <c r="WBJ277" s="592"/>
      <c r="WBK277" s="592"/>
      <c r="WBL277" s="592"/>
      <c r="WBM277" s="592"/>
      <c r="WBN277" s="592"/>
      <c r="WBO277" s="592"/>
      <c r="WBP277" s="592"/>
      <c r="WBQ277" s="592"/>
      <c r="WBR277" s="592"/>
      <c r="WBS277" s="592"/>
      <c r="WBT277" s="592"/>
      <c r="WBU277" s="592"/>
      <c r="WBV277" s="592"/>
      <c r="WBW277" s="592"/>
      <c r="WBX277" s="592"/>
      <c r="WBY277" s="592"/>
      <c r="WBZ277" s="592"/>
      <c r="WCA277" s="592"/>
      <c r="WCB277" s="592"/>
      <c r="WCC277" s="592"/>
      <c r="WCD277" s="592"/>
      <c r="WCE277" s="592"/>
      <c r="WCF277" s="592"/>
      <c r="WCG277" s="592"/>
      <c r="WCH277" s="592"/>
      <c r="WCI277" s="592"/>
      <c r="WCJ277" s="592"/>
      <c r="WCK277" s="592"/>
      <c r="WCL277" s="592"/>
      <c r="WCM277" s="592"/>
      <c r="WCN277" s="592"/>
      <c r="WCO277" s="592"/>
      <c r="WCP277" s="592"/>
      <c r="WCQ277" s="592"/>
      <c r="WCR277" s="592"/>
      <c r="WCS277" s="592"/>
      <c r="WCT277" s="592"/>
      <c r="WCU277" s="592"/>
      <c r="WCV277" s="592"/>
      <c r="WCW277" s="592"/>
      <c r="WCX277" s="592"/>
      <c r="WCY277" s="592"/>
      <c r="WCZ277" s="592"/>
      <c r="WDA277" s="592"/>
      <c r="WDB277" s="592"/>
      <c r="WDC277" s="592"/>
      <c r="WDD277" s="592"/>
      <c r="WDE277" s="592"/>
      <c r="WDF277" s="592"/>
      <c r="WDG277" s="592"/>
      <c r="WDH277" s="592"/>
      <c r="WDI277" s="592"/>
      <c r="WDJ277" s="592"/>
      <c r="WDK277" s="592"/>
      <c r="WDL277" s="592"/>
      <c r="WDM277" s="592"/>
      <c r="WDN277" s="592"/>
      <c r="WDO277" s="592"/>
      <c r="WDP277" s="592"/>
      <c r="WDQ277" s="592"/>
      <c r="WDR277" s="592"/>
      <c r="WDS277" s="592"/>
      <c r="WDT277" s="592"/>
      <c r="WDU277" s="592"/>
      <c r="WDV277" s="592"/>
      <c r="WDW277" s="592"/>
      <c r="WDX277" s="592"/>
      <c r="WDY277" s="592"/>
      <c r="WDZ277" s="592"/>
      <c r="WEA277" s="592"/>
      <c r="WEB277" s="592"/>
      <c r="WEC277" s="592"/>
      <c r="WED277" s="592"/>
      <c r="WEE277" s="592"/>
      <c r="WEF277" s="592"/>
      <c r="WEG277" s="592"/>
      <c r="WEH277" s="592"/>
      <c r="WEI277" s="592"/>
      <c r="WEJ277" s="592"/>
      <c r="WEK277" s="592"/>
      <c r="WEL277" s="592"/>
      <c r="WEM277" s="592"/>
      <c r="WEN277" s="592"/>
      <c r="WEO277" s="592"/>
      <c r="WEP277" s="592"/>
      <c r="WEQ277" s="592"/>
      <c r="WER277" s="592"/>
      <c r="WES277" s="592"/>
      <c r="WET277" s="592"/>
      <c r="WEU277" s="592"/>
      <c r="WEV277" s="592"/>
      <c r="WEW277" s="592"/>
      <c r="WEX277" s="592"/>
      <c r="WEY277" s="592"/>
      <c r="WEZ277" s="592"/>
      <c r="WFA277" s="592"/>
      <c r="WFB277" s="592"/>
      <c r="WFC277" s="592"/>
      <c r="WFD277" s="592"/>
      <c r="WFE277" s="592"/>
      <c r="WFF277" s="592"/>
      <c r="WFG277" s="592"/>
      <c r="WFH277" s="592"/>
      <c r="WFI277" s="592"/>
      <c r="WFJ277" s="592"/>
      <c r="WFK277" s="592"/>
      <c r="WFL277" s="592"/>
      <c r="WFM277" s="592"/>
      <c r="WFN277" s="592"/>
      <c r="WFO277" s="592"/>
      <c r="WFP277" s="592"/>
      <c r="WFQ277" s="592"/>
      <c r="WFR277" s="592"/>
      <c r="WFS277" s="592"/>
      <c r="WFT277" s="592"/>
      <c r="WFU277" s="592"/>
      <c r="WFV277" s="592"/>
      <c r="WFW277" s="592"/>
      <c r="WFX277" s="592"/>
      <c r="WFY277" s="592"/>
      <c r="WFZ277" s="592"/>
      <c r="WGA277" s="592"/>
      <c r="WGB277" s="592"/>
      <c r="WGC277" s="592"/>
      <c r="WGD277" s="592"/>
      <c r="WGE277" s="592"/>
      <c r="WGF277" s="592"/>
      <c r="WGG277" s="592"/>
      <c r="WGH277" s="592"/>
      <c r="WGI277" s="592"/>
      <c r="WGJ277" s="592"/>
      <c r="WGK277" s="592"/>
      <c r="WGL277" s="592"/>
      <c r="WGM277" s="592"/>
      <c r="WGN277" s="592"/>
      <c r="WGO277" s="592"/>
      <c r="WGP277" s="592"/>
      <c r="WGQ277" s="592"/>
      <c r="WGR277" s="592"/>
      <c r="WGS277" s="592"/>
      <c r="WGT277" s="592"/>
      <c r="WGU277" s="592"/>
      <c r="WGV277" s="592"/>
      <c r="WGW277" s="592"/>
      <c r="WGX277" s="592"/>
      <c r="WGY277" s="592"/>
      <c r="WGZ277" s="592"/>
      <c r="WHA277" s="592"/>
      <c r="WHB277" s="592"/>
      <c r="WHC277" s="592"/>
      <c r="WHD277" s="592"/>
      <c r="WHE277" s="592"/>
      <c r="WHF277" s="592"/>
      <c r="WHG277" s="592"/>
      <c r="WHH277" s="592"/>
      <c r="WHI277" s="592"/>
      <c r="WHJ277" s="592"/>
      <c r="WHK277" s="592"/>
      <c r="WHL277" s="592"/>
      <c r="WHM277" s="592"/>
      <c r="WHN277" s="592"/>
      <c r="WHO277" s="592"/>
      <c r="WHP277" s="592"/>
      <c r="WHQ277" s="592"/>
      <c r="WHR277" s="592"/>
      <c r="WHS277" s="592"/>
      <c r="WHT277" s="592"/>
      <c r="WHU277" s="592"/>
      <c r="WHV277" s="592"/>
      <c r="WHW277" s="592"/>
      <c r="WHX277" s="592"/>
      <c r="WHY277" s="592"/>
      <c r="WHZ277" s="592"/>
      <c r="WIA277" s="592"/>
      <c r="WIB277" s="592"/>
      <c r="WIC277" s="592"/>
      <c r="WID277" s="592"/>
      <c r="WIE277" s="592"/>
      <c r="WIF277" s="592"/>
      <c r="WIG277" s="592"/>
      <c r="WIH277" s="592"/>
      <c r="WII277" s="592"/>
      <c r="WIJ277" s="592"/>
      <c r="WIK277" s="592"/>
      <c r="WIL277" s="592"/>
      <c r="WIM277" s="592"/>
      <c r="WIN277" s="592"/>
      <c r="WIO277" s="592"/>
      <c r="WIP277" s="592"/>
      <c r="WIQ277" s="592"/>
      <c r="WIR277" s="592"/>
      <c r="WIS277" s="592"/>
      <c r="WIT277" s="592"/>
      <c r="WIU277" s="592"/>
      <c r="WIV277" s="592"/>
      <c r="WIW277" s="592"/>
      <c r="WIX277" s="592"/>
      <c r="WIY277" s="592"/>
      <c r="WIZ277" s="592"/>
      <c r="WJA277" s="592"/>
      <c r="WJB277" s="592"/>
      <c r="WJC277" s="592"/>
      <c r="WJD277" s="592"/>
      <c r="WJE277" s="592"/>
      <c r="WJF277" s="592"/>
      <c r="WJG277" s="592"/>
      <c r="WJH277" s="592"/>
      <c r="WJI277" s="592"/>
      <c r="WJJ277" s="592"/>
      <c r="WJK277" s="592"/>
      <c r="WJL277" s="592"/>
      <c r="WJM277" s="592"/>
      <c r="WJN277" s="592"/>
      <c r="WJO277" s="592"/>
      <c r="WJP277" s="592"/>
      <c r="WJQ277" s="592"/>
      <c r="WJR277" s="592"/>
      <c r="WJS277" s="592"/>
      <c r="WJT277" s="592"/>
      <c r="WJU277" s="592"/>
      <c r="WJV277" s="592"/>
      <c r="WJW277" s="592"/>
      <c r="WJX277" s="592"/>
      <c r="WJY277" s="592"/>
      <c r="WJZ277" s="592"/>
      <c r="WKA277" s="592"/>
      <c r="WKB277" s="592"/>
      <c r="WKC277" s="592"/>
      <c r="WKD277" s="592"/>
      <c r="WKE277" s="592"/>
      <c r="WKF277" s="592"/>
      <c r="WKG277" s="592"/>
      <c r="WKH277" s="592"/>
      <c r="WKI277" s="592"/>
      <c r="WKJ277" s="592"/>
      <c r="WKK277" s="592"/>
      <c r="WKL277" s="592"/>
      <c r="WKM277" s="592"/>
      <c r="WKN277" s="592"/>
      <c r="WKO277" s="592"/>
      <c r="WKP277" s="592"/>
      <c r="WKQ277" s="592"/>
      <c r="WKR277" s="592"/>
      <c r="WKS277" s="592"/>
      <c r="WKT277" s="592"/>
      <c r="WKU277" s="592"/>
      <c r="WKV277" s="592"/>
      <c r="WKW277" s="592"/>
      <c r="WKX277" s="592"/>
      <c r="WKY277" s="592"/>
      <c r="WKZ277" s="592"/>
      <c r="WLA277" s="592"/>
      <c r="WLB277" s="592"/>
      <c r="WLC277" s="592"/>
      <c r="WLD277" s="592"/>
      <c r="WLE277" s="592"/>
      <c r="WLF277" s="592"/>
      <c r="WLG277" s="592"/>
      <c r="WLH277" s="592"/>
      <c r="WLI277" s="592"/>
      <c r="WLJ277" s="592"/>
      <c r="WLK277" s="592"/>
      <c r="WLL277" s="592"/>
      <c r="WLM277" s="592"/>
      <c r="WLN277" s="592"/>
      <c r="WLO277" s="592"/>
      <c r="WLP277" s="592"/>
      <c r="WLQ277" s="592"/>
      <c r="WLR277" s="592"/>
      <c r="WLS277" s="592"/>
      <c r="WLT277" s="592"/>
      <c r="WLU277" s="592"/>
      <c r="WLV277" s="592"/>
      <c r="WLW277" s="592"/>
      <c r="WLX277" s="592"/>
      <c r="WLY277" s="592"/>
      <c r="WLZ277" s="592"/>
      <c r="WMA277" s="592"/>
      <c r="WMB277" s="592"/>
      <c r="WMC277" s="592"/>
      <c r="WMD277" s="592"/>
      <c r="WME277" s="592"/>
      <c r="WMF277" s="592"/>
      <c r="WMG277" s="592"/>
      <c r="WMH277" s="592"/>
      <c r="WMI277" s="592"/>
      <c r="WMJ277" s="592"/>
      <c r="WMK277" s="592"/>
      <c r="WML277" s="592"/>
      <c r="WMM277" s="592"/>
      <c r="WMN277" s="592"/>
      <c r="WMO277" s="592"/>
      <c r="WMP277" s="592"/>
      <c r="WMQ277" s="592"/>
      <c r="WMR277" s="592"/>
      <c r="WMS277" s="592"/>
      <c r="WMT277" s="592"/>
      <c r="WMU277" s="592"/>
      <c r="WMV277" s="592"/>
      <c r="WMW277" s="592"/>
      <c r="WMX277" s="592"/>
      <c r="WMY277" s="592"/>
      <c r="WMZ277" s="592"/>
      <c r="WNA277" s="592"/>
      <c r="WNB277" s="592"/>
      <c r="WNC277" s="592"/>
      <c r="WND277" s="592"/>
      <c r="WNE277" s="592"/>
      <c r="WNF277" s="592"/>
      <c r="WNG277" s="592"/>
      <c r="WNH277" s="592"/>
      <c r="WNI277" s="592"/>
      <c r="WNJ277" s="592"/>
      <c r="WNK277" s="592"/>
      <c r="WNL277" s="592"/>
      <c r="WNM277" s="592"/>
      <c r="WNN277" s="592"/>
      <c r="WNO277" s="592"/>
      <c r="WNP277" s="592"/>
      <c r="WNQ277" s="592"/>
      <c r="WNR277" s="592"/>
      <c r="WNS277" s="592"/>
      <c r="WNT277" s="592"/>
      <c r="WNU277" s="592"/>
      <c r="WNV277" s="592"/>
      <c r="WNW277" s="592"/>
      <c r="WNX277" s="592"/>
      <c r="WNY277" s="592"/>
      <c r="WNZ277" s="592"/>
      <c r="WOA277" s="592"/>
      <c r="WOB277" s="592"/>
      <c r="WOC277" s="592"/>
      <c r="WOD277" s="592"/>
      <c r="WOE277" s="592"/>
      <c r="WOF277" s="592"/>
      <c r="WOG277" s="592"/>
      <c r="WOH277" s="592"/>
      <c r="WOI277" s="592"/>
      <c r="WOJ277" s="592"/>
      <c r="WOK277" s="592"/>
      <c r="WOL277" s="592"/>
      <c r="WOM277" s="592"/>
      <c r="WON277" s="592"/>
      <c r="WOO277" s="592"/>
      <c r="WOP277" s="592"/>
      <c r="WOQ277" s="592"/>
      <c r="WOR277" s="592"/>
      <c r="WOS277" s="592"/>
      <c r="WOT277" s="592"/>
      <c r="WOU277" s="592"/>
      <c r="WOV277" s="592"/>
      <c r="WOW277" s="592"/>
      <c r="WOX277" s="592"/>
      <c r="WOY277" s="592"/>
      <c r="WOZ277" s="592"/>
      <c r="WPA277" s="592"/>
      <c r="WPB277" s="592"/>
      <c r="WPC277" s="592"/>
      <c r="WPD277" s="592"/>
      <c r="WPE277" s="592"/>
      <c r="WPF277" s="592"/>
      <c r="WPG277" s="592"/>
      <c r="WPH277" s="592"/>
      <c r="WPI277" s="592"/>
      <c r="WPJ277" s="592"/>
      <c r="WPK277" s="592"/>
      <c r="WPL277" s="592"/>
      <c r="WPM277" s="592"/>
      <c r="WPN277" s="592"/>
      <c r="WPO277" s="592"/>
      <c r="WPP277" s="592"/>
      <c r="WPQ277" s="592"/>
      <c r="WPR277" s="592"/>
      <c r="WPS277" s="592"/>
      <c r="WPT277" s="592"/>
      <c r="WPU277" s="592"/>
      <c r="WPV277" s="592"/>
      <c r="WPW277" s="592"/>
      <c r="WPX277" s="592"/>
      <c r="WPY277" s="592"/>
      <c r="WPZ277" s="592"/>
      <c r="WQA277" s="592"/>
      <c r="WQB277" s="592"/>
      <c r="WQC277" s="592"/>
      <c r="WQD277" s="592"/>
      <c r="WQE277" s="592"/>
      <c r="WQF277" s="592"/>
      <c r="WQG277" s="592"/>
      <c r="WQH277" s="592"/>
      <c r="WQI277" s="592"/>
      <c r="WQJ277" s="592"/>
      <c r="WQK277" s="592"/>
      <c r="WQL277" s="592"/>
      <c r="WQM277" s="592"/>
      <c r="WQN277" s="592"/>
      <c r="WQO277" s="592"/>
      <c r="WQP277" s="592"/>
      <c r="WQQ277" s="592"/>
      <c r="WQR277" s="592"/>
      <c r="WQS277" s="592"/>
      <c r="WQT277" s="592"/>
      <c r="WQU277" s="592"/>
      <c r="WQV277" s="592"/>
      <c r="WQW277" s="592"/>
      <c r="WQX277" s="592"/>
      <c r="WQY277" s="592"/>
      <c r="WQZ277" s="592"/>
      <c r="WRA277" s="592"/>
      <c r="WRB277" s="592"/>
      <c r="WRC277" s="592"/>
      <c r="WRD277" s="592"/>
      <c r="WRE277" s="592"/>
      <c r="WRF277" s="592"/>
      <c r="WRG277" s="592"/>
      <c r="WRH277" s="592"/>
      <c r="WRI277" s="592"/>
      <c r="WRJ277" s="592"/>
      <c r="WRK277" s="592"/>
      <c r="WRL277" s="592"/>
      <c r="WRM277" s="592"/>
      <c r="WRN277" s="592"/>
      <c r="WRO277" s="592"/>
      <c r="WRP277" s="592"/>
      <c r="WRQ277" s="592"/>
      <c r="WRR277" s="592"/>
      <c r="WRS277" s="592"/>
      <c r="WRT277" s="592"/>
      <c r="WRU277" s="592"/>
      <c r="WRV277" s="592"/>
      <c r="WRW277" s="592"/>
      <c r="WRX277" s="592"/>
      <c r="WRY277" s="592"/>
      <c r="WRZ277" s="592"/>
      <c r="WSA277" s="592"/>
      <c r="WSB277" s="592"/>
      <c r="WSC277" s="592"/>
      <c r="WSD277" s="592"/>
      <c r="WSE277" s="592"/>
      <c r="WSF277" s="592"/>
      <c r="WSG277" s="592"/>
      <c r="WSH277" s="592"/>
      <c r="WSI277" s="592"/>
      <c r="WSJ277" s="592"/>
      <c r="WSK277" s="592"/>
      <c r="WSL277" s="592"/>
      <c r="WSM277" s="592"/>
      <c r="WSN277" s="592"/>
      <c r="WSO277" s="592"/>
      <c r="WSP277" s="592"/>
      <c r="WSQ277" s="592"/>
      <c r="WSR277" s="592"/>
      <c r="WSS277" s="592"/>
      <c r="WST277" s="592"/>
      <c r="WSU277" s="592"/>
      <c r="WSV277" s="592"/>
      <c r="WSW277" s="592"/>
      <c r="WSX277" s="592"/>
      <c r="WSY277" s="592"/>
      <c r="WSZ277" s="592"/>
      <c r="WTA277" s="592"/>
      <c r="WTB277" s="592"/>
      <c r="WTC277" s="592"/>
      <c r="WTD277" s="592"/>
      <c r="WTE277" s="592"/>
      <c r="WTF277" s="592"/>
      <c r="WTG277" s="592"/>
      <c r="WTH277" s="592"/>
      <c r="WTI277" s="592"/>
      <c r="WTJ277" s="592"/>
      <c r="WTK277" s="592"/>
      <c r="WTL277" s="592"/>
      <c r="WTM277" s="592"/>
      <c r="WTN277" s="592"/>
      <c r="WTO277" s="592"/>
      <c r="WTP277" s="592"/>
      <c r="WTQ277" s="592"/>
      <c r="WTR277" s="592"/>
      <c r="WTS277" s="592"/>
      <c r="WTT277" s="592"/>
      <c r="WTU277" s="592"/>
      <c r="WTV277" s="592"/>
      <c r="WTW277" s="592"/>
      <c r="WTX277" s="592"/>
      <c r="WTY277" s="592"/>
      <c r="WTZ277" s="592"/>
      <c r="WUA277" s="592"/>
      <c r="WUB277" s="592"/>
      <c r="WUC277" s="592"/>
      <c r="WUD277" s="592"/>
      <c r="WUE277" s="592"/>
      <c r="WUF277" s="592"/>
      <c r="WUG277" s="592"/>
      <c r="WUH277" s="592"/>
      <c r="WUI277" s="592"/>
      <c r="WUJ277" s="592"/>
      <c r="WUK277" s="592"/>
      <c r="WUL277" s="592"/>
      <c r="WUM277" s="592"/>
      <c r="WUN277" s="592"/>
      <c r="WUO277" s="592"/>
      <c r="WUP277" s="592"/>
      <c r="WUQ277" s="592"/>
      <c r="WUR277" s="592"/>
      <c r="WUS277" s="592"/>
      <c r="WUT277" s="592"/>
      <c r="WUU277" s="592"/>
      <c r="WUV277" s="592"/>
      <c r="WUW277" s="592"/>
      <c r="WUX277" s="592"/>
      <c r="WUY277" s="592"/>
      <c r="WUZ277" s="592"/>
      <c r="WVA277" s="592"/>
      <c r="WVB277" s="592"/>
      <c r="WVC277" s="592"/>
      <c r="WVD277" s="592"/>
      <c r="WVE277" s="592"/>
      <c r="WVF277" s="592"/>
      <c r="WVG277" s="592"/>
      <c r="WVH277" s="592"/>
      <c r="WVI277" s="592"/>
      <c r="WVJ277" s="592"/>
      <c r="WVK277" s="592"/>
      <c r="WVL277" s="592"/>
      <c r="WVM277" s="592"/>
      <c r="WVN277" s="592"/>
      <c r="WVO277" s="592"/>
      <c r="WVP277" s="592"/>
      <c r="WVQ277" s="592"/>
      <c r="WVR277" s="592"/>
      <c r="WVS277" s="592"/>
      <c r="WVT277" s="592"/>
      <c r="WVU277" s="592"/>
      <c r="WVV277" s="592"/>
      <c r="WVW277" s="592"/>
      <c r="WVX277" s="592"/>
      <c r="WVY277" s="592"/>
      <c r="WVZ277" s="592"/>
      <c r="WWA277" s="592"/>
      <c r="WWB277" s="592"/>
      <c r="WWC277" s="592"/>
      <c r="WWD277" s="592"/>
      <c r="WWE277" s="592"/>
      <c r="WWF277" s="592"/>
      <c r="WWG277" s="592"/>
      <c r="WWH277" s="592"/>
      <c r="WWI277" s="592"/>
      <c r="WWJ277" s="592"/>
      <c r="WWK277" s="592"/>
      <c r="WWL277" s="592"/>
      <c r="WWM277" s="592"/>
      <c r="WWN277" s="592"/>
      <c r="WWO277" s="592"/>
      <c r="WWP277" s="592"/>
      <c r="WWQ277" s="592"/>
      <c r="WWR277" s="592"/>
      <c r="WWS277" s="592"/>
      <c r="WWT277" s="592"/>
      <c r="WWU277" s="592"/>
      <c r="WWV277" s="592"/>
      <c r="WWW277" s="592"/>
      <c r="WWX277" s="592"/>
      <c r="WWY277" s="592"/>
      <c r="WWZ277" s="592"/>
      <c r="WXA277" s="592"/>
      <c r="WXB277" s="592"/>
      <c r="WXC277" s="592"/>
      <c r="WXD277" s="592"/>
      <c r="WXE277" s="592"/>
      <c r="WXF277" s="592"/>
      <c r="WXG277" s="592"/>
      <c r="WXH277" s="592"/>
      <c r="WXI277" s="592"/>
      <c r="WXJ277" s="592"/>
      <c r="WXK277" s="592"/>
      <c r="WXL277" s="592"/>
      <c r="WXM277" s="592"/>
      <c r="WXN277" s="592"/>
      <c r="WXO277" s="592"/>
      <c r="WXP277" s="592"/>
      <c r="WXQ277" s="592"/>
      <c r="WXR277" s="592"/>
      <c r="WXS277" s="592"/>
      <c r="WXT277" s="592"/>
      <c r="WXU277" s="592"/>
      <c r="WXV277" s="592"/>
      <c r="WXW277" s="592"/>
      <c r="WXX277" s="592"/>
      <c r="WXY277" s="592"/>
      <c r="WXZ277" s="592"/>
      <c r="WYA277" s="592"/>
      <c r="WYB277" s="592"/>
      <c r="WYC277" s="592"/>
      <c r="WYD277" s="592"/>
      <c r="WYE277" s="592"/>
      <c r="WYF277" s="592"/>
      <c r="WYG277" s="592"/>
      <c r="WYH277" s="592"/>
      <c r="WYI277" s="592"/>
      <c r="WYJ277" s="592"/>
      <c r="WYK277" s="592"/>
      <c r="WYL277" s="592"/>
      <c r="WYM277" s="592"/>
      <c r="WYN277" s="592"/>
      <c r="WYO277" s="592"/>
      <c r="WYP277" s="592"/>
      <c r="WYQ277" s="592"/>
      <c r="WYR277" s="592"/>
      <c r="WYS277" s="592"/>
      <c r="WYT277" s="592"/>
      <c r="WYU277" s="592"/>
      <c r="WYV277" s="592"/>
      <c r="WYW277" s="592"/>
      <c r="WYX277" s="592"/>
      <c r="WYY277" s="592"/>
      <c r="WYZ277" s="592"/>
      <c r="WZA277" s="592"/>
      <c r="WZB277" s="592"/>
      <c r="WZC277" s="592"/>
      <c r="WZD277" s="592"/>
      <c r="WZE277" s="592"/>
      <c r="WZF277" s="592"/>
      <c r="WZG277" s="592"/>
      <c r="WZH277" s="592"/>
      <c r="WZI277" s="592"/>
      <c r="WZJ277" s="592"/>
      <c r="WZK277" s="592"/>
      <c r="WZL277" s="592"/>
      <c r="WZM277" s="592"/>
      <c r="WZN277" s="592"/>
      <c r="WZO277" s="592"/>
      <c r="WZP277" s="592"/>
      <c r="WZQ277" s="592"/>
      <c r="WZR277" s="592"/>
      <c r="WZS277" s="592"/>
      <c r="WZT277" s="592"/>
      <c r="WZU277" s="592"/>
      <c r="WZV277" s="592"/>
      <c r="WZW277" s="592"/>
      <c r="WZX277" s="592"/>
      <c r="WZY277" s="592"/>
      <c r="WZZ277" s="592"/>
      <c r="XAA277" s="592"/>
      <c r="XAB277" s="592"/>
      <c r="XAC277" s="592"/>
      <c r="XAD277" s="592"/>
      <c r="XAE277" s="592"/>
      <c r="XAF277" s="592"/>
      <c r="XAG277" s="592"/>
      <c r="XAH277" s="592"/>
      <c r="XAI277" s="592"/>
      <c r="XAJ277" s="592"/>
      <c r="XAK277" s="592"/>
      <c r="XAL277" s="592"/>
      <c r="XAM277" s="592"/>
      <c r="XAN277" s="592"/>
      <c r="XAO277" s="592"/>
      <c r="XAP277" s="592"/>
      <c r="XAQ277" s="592"/>
      <c r="XAR277" s="592"/>
      <c r="XAS277" s="592"/>
      <c r="XAT277" s="592"/>
      <c r="XAU277" s="592"/>
      <c r="XAV277" s="592"/>
      <c r="XAW277" s="592"/>
      <c r="XAX277" s="592"/>
      <c r="XAY277" s="592"/>
      <c r="XAZ277" s="592"/>
      <c r="XBA277" s="592"/>
      <c r="XBB277" s="592"/>
      <c r="XBC277" s="592"/>
      <c r="XBD277" s="592"/>
      <c r="XBE277" s="592"/>
      <c r="XBF277" s="592"/>
      <c r="XBG277" s="592"/>
      <c r="XBH277" s="592"/>
      <c r="XBI277" s="592"/>
      <c r="XBJ277" s="592"/>
      <c r="XBK277" s="592"/>
      <c r="XBL277" s="592"/>
      <c r="XBM277" s="592"/>
      <c r="XBN277" s="592"/>
      <c r="XBO277" s="592"/>
      <c r="XBP277" s="592"/>
      <c r="XBQ277" s="592"/>
      <c r="XBR277" s="592"/>
      <c r="XBS277" s="592"/>
      <c r="XBT277" s="592"/>
      <c r="XBU277" s="592"/>
      <c r="XBV277" s="592"/>
      <c r="XBW277" s="592"/>
      <c r="XBX277" s="592"/>
      <c r="XBY277" s="592"/>
      <c r="XBZ277" s="592"/>
      <c r="XCA277" s="592"/>
      <c r="XCB277" s="592"/>
      <c r="XCC277" s="592"/>
      <c r="XCD277" s="592"/>
      <c r="XCE277" s="592"/>
      <c r="XCF277" s="592"/>
      <c r="XCG277" s="592"/>
      <c r="XCH277" s="592"/>
      <c r="XCI277" s="592"/>
      <c r="XCJ277" s="592"/>
      <c r="XCK277" s="592"/>
      <c r="XCL277" s="592"/>
      <c r="XCM277" s="592"/>
      <c r="XCN277" s="592"/>
      <c r="XCO277" s="592"/>
      <c r="XCP277" s="592"/>
      <c r="XCQ277" s="592"/>
      <c r="XCR277" s="592"/>
      <c r="XCS277" s="592"/>
      <c r="XCT277" s="592"/>
      <c r="XCU277" s="592"/>
      <c r="XCV277" s="592"/>
      <c r="XCW277" s="592"/>
      <c r="XCX277" s="592"/>
      <c r="XCY277" s="592"/>
      <c r="XCZ277" s="592"/>
      <c r="XDA277" s="592"/>
      <c r="XDB277" s="592"/>
      <c r="XDC277" s="592"/>
      <c r="XDD277" s="592"/>
      <c r="XDE277" s="592"/>
      <c r="XDF277" s="592"/>
      <c r="XDG277" s="592"/>
      <c r="XDH277" s="592"/>
      <c r="XDI277" s="592"/>
      <c r="XDJ277" s="592"/>
      <c r="XDK277" s="592"/>
      <c r="XDL277" s="592"/>
      <c r="XDM277" s="592"/>
      <c r="XDN277" s="592"/>
      <c r="XDO277" s="592"/>
      <c r="XDP277" s="592"/>
      <c r="XDQ277" s="592"/>
      <c r="XDR277" s="592"/>
      <c r="XDS277" s="592"/>
      <c r="XDT277" s="592"/>
      <c r="XDU277" s="592"/>
      <c r="XDV277" s="592"/>
      <c r="XDW277" s="592"/>
      <c r="XDX277" s="592"/>
      <c r="XDY277" s="592"/>
      <c r="XDZ277" s="592"/>
      <c r="XEA277" s="592"/>
      <c r="XEB277" s="592"/>
      <c r="XEC277" s="592"/>
      <c r="XED277" s="592"/>
      <c r="XEE277" s="592"/>
      <c r="XEF277" s="592"/>
      <c r="XEG277" s="592"/>
      <c r="XEH277" s="592"/>
      <c r="XEI277" s="592"/>
      <c r="XEJ277" s="592"/>
      <c r="XEK277" s="592"/>
      <c r="XEL277" s="592"/>
      <c r="XEM277" s="592"/>
      <c r="XEN277" s="592"/>
      <c r="XEO277" s="592"/>
      <c r="XEP277" s="592"/>
      <c r="XEQ277" s="592"/>
      <c r="XER277" s="592"/>
      <c r="XES277" s="592"/>
      <c r="XET277" s="592"/>
      <c r="XEU277" s="592"/>
      <c r="XEV277" s="592"/>
      <c r="XEW277" s="592"/>
      <c r="XEX277" s="592"/>
      <c r="XEY277" s="592"/>
      <c r="XEZ277" s="592"/>
      <c r="XFA277" s="592"/>
      <c r="XFB277" s="592"/>
      <c r="XFC277" s="592"/>
      <c r="XFD277" s="592"/>
    </row>
    <row r="278" spans="1:16384" s="593" customFormat="1" ht="15" customHeight="1" x14ac:dyDescent="0.2">
      <c r="A278" s="598">
        <v>62008045</v>
      </c>
      <c r="B278" s="598" t="s">
        <v>627</v>
      </c>
      <c r="C278" s="598" t="s">
        <v>773</v>
      </c>
      <c r="D278" s="599" t="s">
        <v>718</v>
      </c>
      <c r="E278" s="600" t="s">
        <v>983</v>
      </c>
      <c r="F278" s="600" t="str">
        <f t="shared" si="112"/>
        <v>08/19/20</v>
      </c>
      <c r="G278" s="602"/>
      <c r="H278" s="602" t="s">
        <v>685</v>
      </c>
      <c r="I278" s="603"/>
      <c r="J278" s="604">
        <v>23.30359</v>
      </c>
      <c r="K278" s="604">
        <v>42.401127000000002</v>
      </c>
      <c r="L278" s="604">
        <v>29.385119</v>
      </c>
      <c r="M278" s="604">
        <v>24.402097000000001</v>
      </c>
      <c r="N278" s="605">
        <v>4250</v>
      </c>
      <c r="O278" s="605">
        <v>30.36</v>
      </c>
      <c r="P278" s="605">
        <v>0.3201</v>
      </c>
      <c r="Q278" s="605">
        <v>1.9560000000000001E-2</v>
      </c>
      <c r="R278" s="606">
        <v>3.5791004599999998</v>
      </c>
      <c r="S278" s="606">
        <f>R278+R277</f>
        <v>3.5791004599999998</v>
      </c>
      <c r="T278" s="607">
        <v>95.2</v>
      </c>
      <c r="U278" s="607">
        <v>94.1</v>
      </c>
      <c r="V278" s="608">
        <v>5</v>
      </c>
      <c r="W278" s="608">
        <v>807</v>
      </c>
      <c r="X278" s="608">
        <f>W278-V278</f>
        <v>802</v>
      </c>
      <c r="Y278" s="608">
        <f t="shared" ref="Y278:Y290" si="113">X278/$R278</f>
        <v>224.07865019804447</v>
      </c>
      <c r="Z278" s="609">
        <v>4.0579669999999997</v>
      </c>
      <c r="AA278" s="608">
        <v>29.02</v>
      </c>
      <c r="AB278" s="608">
        <f>AA278-Z278</f>
        <v>24.962032999999998</v>
      </c>
      <c r="AC278" s="610">
        <f t="shared" ref="AC278:AC290" si="114">AB278/$R278</f>
        <v>6.974387357654666</v>
      </c>
      <c r="AD278" s="609">
        <v>3.6920329999999999</v>
      </c>
      <c r="AE278" s="608">
        <v>0.72</v>
      </c>
      <c r="AF278" s="608">
        <f>AE278-AD278</f>
        <v>-2.9720329999999997</v>
      </c>
      <c r="AG278" s="610">
        <f t="shared" ref="AG278:AG290" si="115">AF278/$R278</f>
        <v>-0.83038546506738731</v>
      </c>
      <c r="AH278" s="609">
        <v>0</v>
      </c>
      <c r="AI278" s="608">
        <v>0</v>
      </c>
      <c r="AJ278" s="608">
        <f>AI278-AH278</f>
        <v>0</v>
      </c>
      <c r="AK278" s="610">
        <f t="shared" ref="AK278:AK290" si="116">AJ278/$R278</f>
        <v>0</v>
      </c>
      <c r="AL278" s="609">
        <v>0</v>
      </c>
      <c r="AM278" s="608">
        <v>0</v>
      </c>
      <c r="AN278" s="608">
        <f>AM278-AL278</f>
        <v>0</v>
      </c>
      <c r="AO278" s="610">
        <f t="shared" ref="AO278:AO290" si="117">AN278/$R278</f>
        <v>0</v>
      </c>
      <c r="AP278" s="611">
        <v>95.2</v>
      </c>
      <c r="AQ278" s="611">
        <v>94.1</v>
      </c>
      <c r="AR278" s="611">
        <f>AQ278-AP278</f>
        <v>-1.1000000000000085</v>
      </c>
      <c r="AS278" s="609">
        <v>2.2999999999999998</v>
      </c>
      <c r="AT278" s="608">
        <v>3</v>
      </c>
      <c r="AU278" s="612">
        <f>AT278-AS278</f>
        <v>0.70000000000000018</v>
      </c>
      <c r="AV278" s="611"/>
      <c r="AW278" s="611"/>
      <c r="AX278" s="611"/>
      <c r="AY278" s="611"/>
      <c r="AZ278" s="602" t="s">
        <v>686</v>
      </c>
      <c r="BA278" s="593">
        <v>2419.8130004499999</v>
      </c>
      <c r="BB278" s="593">
        <v>-2.1629607000000002</v>
      </c>
      <c r="BC278" s="593">
        <v>2004.52792995</v>
      </c>
      <c r="BD278" s="593">
        <v>2048.8436120000001</v>
      </c>
      <c r="BE278" s="593">
        <v>3.2097126600000001</v>
      </c>
      <c r="BF278" s="593">
        <v>3.2585519600000001</v>
      </c>
      <c r="BG278" s="593">
        <v>-0.33179986</v>
      </c>
      <c r="BH278" s="593">
        <v>3.5790653300000002</v>
      </c>
      <c r="BI278" s="593">
        <v>3.5909802000000002</v>
      </c>
      <c r="BJ278" s="593">
        <v>-1.18476107</v>
      </c>
      <c r="BK278" s="593">
        <v>-1.4988036899999999</v>
      </c>
      <c r="BL278" s="593">
        <v>0.59039366000000004</v>
      </c>
    </row>
    <row r="279" spans="1:16384" s="593" customFormat="1" ht="15" customHeight="1" x14ac:dyDescent="0.2">
      <c r="A279" s="598">
        <f>A278</f>
        <v>62008045</v>
      </c>
      <c r="B279" s="598" t="s">
        <v>628</v>
      </c>
      <c r="C279" s="598" t="s">
        <v>774</v>
      </c>
      <c r="D279" s="599" t="s">
        <v>718</v>
      </c>
      <c r="E279" s="600" t="s">
        <v>983</v>
      </c>
      <c r="F279" s="600" t="str">
        <f t="shared" si="112"/>
        <v>08/19/20</v>
      </c>
      <c r="G279" s="602"/>
      <c r="H279" s="602" t="s">
        <v>685</v>
      </c>
      <c r="I279" s="603"/>
      <c r="J279" s="604">
        <v>20.302488</v>
      </c>
      <c r="K279" s="604">
        <v>50.730953</v>
      </c>
      <c r="L279" s="604">
        <v>29.378250999999999</v>
      </c>
      <c r="M279" s="604">
        <v>26.171475999999998</v>
      </c>
      <c r="N279" s="605">
        <v>4250</v>
      </c>
      <c r="O279" s="605">
        <v>30.36</v>
      </c>
      <c r="P279" s="605">
        <v>0.3201</v>
      </c>
      <c r="Q279" s="605">
        <v>1.9560000000000001E-2</v>
      </c>
      <c r="R279" s="606">
        <v>3.8394098900000002</v>
      </c>
      <c r="S279" s="606">
        <f>R279+R278</f>
        <v>7.41851035</v>
      </c>
      <c r="T279" s="607">
        <v>94.1</v>
      </c>
      <c r="U279" s="607">
        <v>93.1</v>
      </c>
      <c r="V279" s="608">
        <v>807</v>
      </c>
      <c r="W279" s="608">
        <v>1464</v>
      </c>
      <c r="X279" s="608">
        <f>W279-V279</f>
        <v>657</v>
      </c>
      <c r="Y279" s="608">
        <f t="shared" si="113"/>
        <v>171.1200467840645</v>
      </c>
      <c r="Z279" s="609">
        <v>29.03</v>
      </c>
      <c r="AA279" s="608">
        <v>65.87</v>
      </c>
      <c r="AB279" s="608">
        <f>AA279-Z279</f>
        <v>36.840000000000003</v>
      </c>
      <c r="AC279" s="610">
        <f t="shared" si="114"/>
        <v>9.595224541133847</v>
      </c>
      <c r="AD279" s="609">
        <v>0.72</v>
      </c>
      <c r="AE279" s="608">
        <v>-0.39</v>
      </c>
      <c r="AF279" s="608">
        <f>AE279-AD279</f>
        <v>-1.1099999999999999</v>
      </c>
      <c r="AG279" s="610">
        <f t="shared" si="115"/>
        <v>-0.28910692835663865</v>
      </c>
      <c r="AH279" s="609">
        <v>0</v>
      </c>
      <c r="AI279" s="608">
        <v>0</v>
      </c>
      <c r="AJ279" s="608">
        <f>AI279-AH279</f>
        <v>0</v>
      </c>
      <c r="AK279" s="610">
        <f t="shared" si="116"/>
        <v>0</v>
      </c>
      <c r="AL279" s="609">
        <v>0</v>
      </c>
      <c r="AM279" s="608">
        <v>0</v>
      </c>
      <c r="AN279" s="608">
        <f>AM279-AL279</f>
        <v>0</v>
      </c>
      <c r="AO279" s="610">
        <f t="shared" si="117"/>
        <v>0</v>
      </c>
      <c r="AP279" s="611">
        <v>94.1</v>
      </c>
      <c r="AQ279" s="611">
        <v>93.1</v>
      </c>
      <c r="AR279" s="611">
        <f>AQ279-AP279</f>
        <v>-1</v>
      </c>
      <c r="AS279" s="609">
        <v>3</v>
      </c>
      <c r="AT279" s="608">
        <v>4.2</v>
      </c>
      <c r="AU279" s="612">
        <f>AT279-AS279</f>
        <v>1.2000000000000002</v>
      </c>
      <c r="AV279" s="611"/>
      <c r="AW279" s="611"/>
      <c r="AX279" s="611"/>
      <c r="AY279" s="611"/>
      <c r="AZ279" s="602" t="s">
        <v>686</v>
      </c>
      <c r="BA279" s="593">
        <v>1482.63712255</v>
      </c>
      <c r="BB279" s="593">
        <v>-2.04304402</v>
      </c>
      <c r="BC279" s="593">
        <v>3346.3540986500002</v>
      </c>
      <c r="BD279" s="593">
        <v>3416.14749562</v>
      </c>
      <c r="BE279" s="593">
        <v>2.9537422699999998</v>
      </c>
      <c r="BF279" s="593">
        <v>3.01865644</v>
      </c>
      <c r="BG279" s="593">
        <v>-0.53180295</v>
      </c>
      <c r="BH279" s="593">
        <v>3.8393043200000001</v>
      </c>
      <c r="BI279" s="593">
        <v>3.8598310200000001</v>
      </c>
      <c r="BJ279" s="593">
        <v>-1.6542020200000001</v>
      </c>
      <c r="BK279" s="593">
        <v>-2.1504324700000002</v>
      </c>
      <c r="BL279" s="593">
        <v>0.71450621000000003</v>
      </c>
    </row>
    <row r="280" spans="1:16384" s="593" customFormat="1" ht="15" customHeight="1" x14ac:dyDescent="0.2">
      <c r="A280" s="598">
        <f>A279</f>
        <v>62008045</v>
      </c>
      <c r="B280" s="598" t="s">
        <v>629</v>
      </c>
      <c r="C280" s="598" t="s">
        <v>775</v>
      </c>
      <c r="D280" s="599" t="s">
        <v>718</v>
      </c>
      <c r="E280" s="600" t="s">
        <v>983</v>
      </c>
      <c r="F280" s="600" t="str">
        <f t="shared" si="112"/>
        <v>08/19/20</v>
      </c>
      <c r="G280" s="602"/>
      <c r="H280" s="602" t="s">
        <v>685</v>
      </c>
      <c r="I280" s="603"/>
      <c r="J280" s="614">
        <f>AVERAGE(J278:J279)</f>
        <v>21.803038999999998</v>
      </c>
      <c r="K280" s="614">
        <f>AVERAGE(K278:K279)</f>
        <v>46.566040000000001</v>
      </c>
      <c r="L280" s="614">
        <f>AVERAGE(L278:L279)</f>
        <v>29.381684999999997</v>
      </c>
      <c r="M280" s="614">
        <f>AVERAGE(M278:M279)</f>
        <v>25.286786499999998</v>
      </c>
      <c r="N280" s="615"/>
      <c r="O280" s="605"/>
      <c r="P280" s="616"/>
      <c r="Q280" s="617"/>
      <c r="R280" s="618">
        <f>R279+R278</f>
        <v>7.41851035</v>
      </c>
      <c r="S280" s="618">
        <f>S279</f>
        <v>7.41851035</v>
      </c>
      <c r="T280" s="619">
        <f>T278</f>
        <v>95.2</v>
      </c>
      <c r="U280" s="619">
        <f>U279</f>
        <v>93.1</v>
      </c>
      <c r="V280" s="620">
        <f>V278</f>
        <v>5</v>
      </c>
      <c r="W280" s="620">
        <f>W279</f>
        <v>1464</v>
      </c>
      <c r="X280" s="620">
        <f>SUM(X278:X279)</f>
        <v>1459</v>
      </c>
      <c r="Y280" s="620">
        <f t="shared" si="113"/>
        <v>196.67021156073469</v>
      </c>
      <c r="Z280" s="620">
        <f>Z278</f>
        <v>4.0579669999999997</v>
      </c>
      <c r="AA280" s="620">
        <f>AA279</f>
        <v>65.87</v>
      </c>
      <c r="AB280" s="620">
        <f>SUM(AB278:AB279)</f>
        <v>61.802033000000002</v>
      </c>
      <c r="AC280" s="621">
        <f t="shared" si="114"/>
        <v>8.330787460584995</v>
      </c>
      <c r="AD280" s="620">
        <f>AD278</f>
        <v>3.6920329999999999</v>
      </c>
      <c r="AE280" s="620">
        <f>AE279</f>
        <v>-0.39</v>
      </c>
      <c r="AF280" s="620">
        <f>SUM(AF278:AF279)</f>
        <v>-4.0820329999999991</v>
      </c>
      <c r="AG280" s="621">
        <f t="shared" si="115"/>
        <v>-0.55024968725695711</v>
      </c>
      <c r="AH280" s="620">
        <f>AH278</f>
        <v>0</v>
      </c>
      <c r="AI280" s="620">
        <f>AI279</f>
        <v>0</v>
      </c>
      <c r="AJ280" s="620">
        <f>SUM(AJ278:AJ279)</f>
        <v>0</v>
      </c>
      <c r="AK280" s="621">
        <f t="shared" si="116"/>
        <v>0</v>
      </c>
      <c r="AL280" s="620">
        <f>AL278</f>
        <v>0</v>
      </c>
      <c r="AM280" s="620">
        <f>AM279</f>
        <v>0</v>
      </c>
      <c r="AN280" s="620">
        <f>SUM(AN278:AN279)</f>
        <v>0</v>
      </c>
      <c r="AO280" s="621">
        <f t="shared" si="117"/>
        <v>0</v>
      </c>
      <c r="AP280" s="622"/>
      <c r="AQ280" s="622"/>
      <c r="AR280" s="622">
        <f>SUM(AR278:AR279)</f>
        <v>-2.1000000000000085</v>
      </c>
      <c r="AS280" s="620">
        <f>AS278</f>
        <v>2.2999999999999998</v>
      </c>
      <c r="AT280" s="620">
        <f>AT279</f>
        <v>4.2</v>
      </c>
      <c r="AU280" s="623">
        <f>SUM(AU278:AU279)</f>
        <v>1.9000000000000004</v>
      </c>
      <c r="AV280" s="622"/>
      <c r="AW280" s="622"/>
      <c r="AX280" s="622"/>
      <c r="AY280" s="622"/>
      <c r="AZ280" s="602" t="s">
        <v>686</v>
      </c>
    </row>
    <row r="281" spans="1:16384" s="593" customFormat="1" ht="15" customHeight="1" x14ac:dyDescent="0.2">
      <c r="A281" s="598">
        <f t="shared" ref="A281:A287" si="118">A280</f>
        <v>62008045</v>
      </c>
      <c r="B281" s="598" t="s">
        <v>630</v>
      </c>
      <c r="C281" s="598" t="s">
        <v>776</v>
      </c>
      <c r="D281" s="599" t="s">
        <v>718</v>
      </c>
      <c r="E281" s="600" t="s">
        <v>983</v>
      </c>
      <c r="F281" s="600" t="str">
        <f t="shared" si="112"/>
        <v>08/19/20</v>
      </c>
      <c r="G281" s="602"/>
      <c r="H281" s="602" t="s">
        <v>685</v>
      </c>
      <c r="I281" s="603"/>
      <c r="J281" s="604">
        <v>24.739173999999998</v>
      </c>
      <c r="K281" s="604">
        <v>39.838622999999998</v>
      </c>
      <c r="L281" s="604">
        <v>29.390377000000001</v>
      </c>
      <c r="M281" s="604">
        <v>27.769884000000001</v>
      </c>
      <c r="N281" s="605">
        <v>4250</v>
      </c>
      <c r="O281" s="605">
        <v>30.36</v>
      </c>
      <c r="P281" s="605">
        <v>0.3201</v>
      </c>
      <c r="Q281" s="605">
        <v>1.9560000000000001E-2</v>
      </c>
      <c r="R281" s="606">
        <v>10.24515727</v>
      </c>
      <c r="S281" s="606">
        <f>R281+R280</f>
        <v>17.663667619999998</v>
      </c>
      <c r="T281" s="607">
        <v>93.1</v>
      </c>
      <c r="U281" s="607">
        <v>89.8</v>
      </c>
      <c r="V281" s="608">
        <v>1464</v>
      </c>
      <c r="W281" s="608">
        <v>3708</v>
      </c>
      <c r="X281" s="608">
        <f>W281-V281</f>
        <v>2244</v>
      </c>
      <c r="Y281" s="608">
        <f t="shared" si="113"/>
        <v>219.03031265033962</v>
      </c>
      <c r="Z281" s="609">
        <v>66.56</v>
      </c>
      <c r="AA281" s="608">
        <v>98.441261999999995</v>
      </c>
      <c r="AB281" s="608">
        <f>AA281-Z281</f>
        <v>31.881261999999992</v>
      </c>
      <c r="AC281" s="610">
        <f t="shared" si="114"/>
        <v>3.1118372475701381</v>
      </c>
      <c r="AD281" s="609">
        <v>-0.4</v>
      </c>
      <c r="AE281" s="608">
        <v>-1.22</v>
      </c>
      <c r="AF281" s="608">
        <f>AE281-AD281</f>
        <v>-0.82</v>
      </c>
      <c r="AG281" s="610">
        <f t="shared" si="115"/>
        <v>-8.003781478310093E-2</v>
      </c>
      <c r="AH281" s="609">
        <v>0</v>
      </c>
      <c r="AI281" s="608">
        <v>0</v>
      </c>
      <c r="AJ281" s="608">
        <f>AI281-AH281</f>
        <v>0</v>
      </c>
      <c r="AK281" s="610">
        <f t="shared" si="116"/>
        <v>0</v>
      </c>
      <c r="AL281" s="609">
        <v>0</v>
      </c>
      <c r="AM281" s="608">
        <v>0</v>
      </c>
      <c r="AN281" s="608">
        <f>AM281-AL281</f>
        <v>0</v>
      </c>
      <c r="AO281" s="610">
        <f t="shared" si="117"/>
        <v>0</v>
      </c>
      <c r="AP281" s="611">
        <v>93.1</v>
      </c>
      <c r="AQ281" s="611">
        <v>89.8</v>
      </c>
      <c r="AR281" s="611">
        <f>AQ281-AP281</f>
        <v>-3.2999999999999972</v>
      </c>
      <c r="AS281" s="609">
        <v>4.2</v>
      </c>
      <c r="AT281" s="608">
        <v>5.2</v>
      </c>
      <c r="AU281" s="612">
        <f>AT281-AS281</f>
        <v>1</v>
      </c>
      <c r="AV281" s="611"/>
      <c r="AW281" s="611"/>
      <c r="AX281" s="611"/>
      <c r="AY281" s="611"/>
      <c r="AZ281" s="602" t="s">
        <v>686</v>
      </c>
      <c r="BA281" s="593">
        <v>1945.3449062300001</v>
      </c>
      <c r="BB281" s="593">
        <v>-0.68006911000000003</v>
      </c>
      <c r="BC281" s="593">
        <v>1297.83854286</v>
      </c>
      <c r="BD281" s="593">
        <v>1306.7251771900001</v>
      </c>
      <c r="BE281" s="593">
        <v>7.9726337300000001</v>
      </c>
      <c r="BF281" s="593">
        <v>8.0200686399999999</v>
      </c>
      <c r="BG281" s="593">
        <v>-0.11167848</v>
      </c>
      <c r="BH281" s="593">
        <v>10.24522591</v>
      </c>
      <c r="BI281" s="593">
        <v>10.25668042</v>
      </c>
      <c r="BJ281" s="593">
        <v>-0.48262864</v>
      </c>
      <c r="BK281" s="593">
        <v>-0.5914526</v>
      </c>
      <c r="BL281" s="593">
        <v>0.28276665000000001</v>
      </c>
    </row>
    <row r="282" spans="1:16384" s="593" customFormat="1" ht="15" customHeight="1" x14ac:dyDescent="0.2">
      <c r="A282" s="598">
        <f t="shared" si="118"/>
        <v>62008045</v>
      </c>
      <c r="B282" s="598" t="s">
        <v>631</v>
      </c>
      <c r="C282" s="598" t="s">
        <v>777</v>
      </c>
      <c r="D282" s="599" t="s">
        <v>718</v>
      </c>
      <c r="E282" s="600" t="s">
        <v>983</v>
      </c>
      <c r="F282" s="600" t="str">
        <f t="shared" si="112"/>
        <v>08/19/20</v>
      </c>
      <c r="G282" s="602"/>
      <c r="H282" s="602" t="s">
        <v>685</v>
      </c>
      <c r="I282" s="603"/>
      <c r="J282" s="604">
        <v>21.190607</v>
      </c>
      <c r="K282" s="604">
        <v>50.028081999999998</v>
      </c>
      <c r="L282" s="604">
        <v>29.372858000000001</v>
      </c>
      <c r="M282" s="604">
        <v>27.834071000000002</v>
      </c>
      <c r="N282" s="605">
        <v>4250</v>
      </c>
      <c r="O282" s="605">
        <v>30.36</v>
      </c>
      <c r="P282" s="605">
        <v>0.3201</v>
      </c>
      <c r="Q282" s="605">
        <v>1.9560000000000001E-2</v>
      </c>
      <c r="R282" s="606">
        <v>3.5799333500000001</v>
      </c>
      <c r="S282" s="606">
        <f>R282+R281</f>
        <v>13.825090620000001</v>
      </c>
      <c r="T282" s="607">
        <v>89.8</v>
      </c>
      <c r="U282" s="607">
        <v>88.7</v>
      </c>
      <c r="V282" s="608">
        <v>3712</v>
      </c>
      <c r="W282" s="608">
        <v>4438</v>
      </c>
      <c r="X282" s="608">
        <f>W282-V282</f>
        <v>726</v>
      </c>
      <c r="Y282" s="608">
        <f t="shared" si="113"/>
        <v>202.7970716270458</v>
      </c>
      <c r="Z282" s="609">
        <v>101.61703</v>
      </c>
      <c r="AA282" s="608">
        <v>123.626868</v>
      </c>
      <c r="AB282" s="608">
        <f>AA282-Z282</f>
        <v>22.009838000000002</v>
      </c>
      <c r="AC282" s="610">
        <f t="shared" si="114"/>
        <v>6.1481139027350888</v>
      </c>
      <c r="AD282" s="609">
        <v>-0.28999999999999998</v>
      </c>
      <c r="AE282" s="608">
        <v>-1.34</v>
      </c>
      <c r="AF282" s="608">
        <f>AE282-AD282</f>
        <v>-1.05</v>
      </c>
      <c r="AG282" s="610">
        <f t="shared" si="115"/>
        <v>-0.29330154987382656</v>
      </c>
      <c r="AH282" s="609">
        <v>0</v>
      </c>
      <c r="AI282" s="608">
        <v>0</v>
      </c>
      <c r="AJ282" s="608">
        <f>AI282-AH282</f>
        <v>0</v>
      </c>
      <c r="AK282" s="610">
        <f t="shared" si="116"/>
        <v>0</v>
      </c>
      <c r="AL282" s="609">
        <v>0</v>
      </c>
      <c r="AM282" s="608">
        <v>0</v>
      </c>
      <c r="AN282" s="608">
        <f>AM282-AL282</f>
        <v>0</v>
      </c>
      <c r="AO282" s="610">
        <f t="shared" si="117"/>
        <v>0</v>
      </c>
      <c r="AP282" s="611">
        <v>89.8</v>
      </c>
      <c r="AQ282" s="611">
        <v>88.7</v>
      </c>
      <c r="AR282" s="611">
        <f>AQ282-AP282</f>
        <v>-1.0999999999999943</v>
      </c>
      <c r="AS282" s="609">
        <v>6.1</v>
      </c>
      <c r="AT282" s="608">
        <v>6.8</v>
      </c>
      <c r="AU282" s="612">
        <f>AT282-AS282</f>
        <v>0.70000000000000018</v>
      </c>
      <c r="AV282" s="611"/>
      <c r="AW282" s="611"/>
      <c r="AX282" s="611"/>
      <c r="AY282" s="611"/>
      <c r="AZ282" s="602" t="s">
        <v>686</v>
      </c>
      <c r="BA282" s="593">
        <v>2410.5855604600001</v>
      </c>
      <c r="BB282" s="593">
        <v>-2.1508129399999998</v>
      </c>
      <c r="BC282" s="593">
        <v>2004.5897519</v>
      </c>
      <c r="BD282" s="593">
        <v>2048.6524334300002</v>
      </c>
      <c r="BE282" s="593">
        <v>3.21015301</v>
      </c>
      <c r="BF282" s="593">
        <v>3.2582846700000001</v>
      </c>
      <c r="BG282" s="593">
        <v>-0.30755698999999997</v>
      </c>
      <c r="BH282" s="593">
        <v>3.5799352099999999</v>
      </c>
      <c r="BI282" s="593">
        <v>3.5909795199999999</v>
      </c>
      <c r="BJ282" s="593">
        <v>-1.18718905</v>
      </c>
      <c r="BK282" s="593">
        <v>-1.47720878</v>
      </c>
      <c r="BL282" s="593">
        <v>0.59036175000000002</v>
      </c>
    </row>
    <row r="283" spans="1:16384" s="593" customFormat="1" ht="15" customHeight="1" x14ac:dyDescent="0.2">
      <c r="A283" s="598">
        <f t="shared" si="118"/>
        <v>62008045</v>
      </c>
      <c r="B283" s="598" t="s">
        <v>225</v>
      </c>
      <c r="C283" s="598" t="s">
        <v>778</v>
      </c>
      <c r="D283" s="599" t="s">
        <v>718</v>
      </c>
      <c r="E283" s="600" t="s">
        <v>983</v>
      </c>
      <c r="F283" s="600" t="str">
        <f t="shared" si="112"/>
        <v>08/19/20</v>
      </c>
      <c r="G283" s="602"/>
      <c r="H283" s="602" t="s">
        <v>685</v>
      </c>
      <c r="I283" s="603"/>
      <c r="J283" s="604">
        <v>19.452938</v>
      </c>
      <c r="K283" s="604">
        <v>55.699120999999998</v>
      </c>
      <c r="L283" s="604">
        <v>29.370123</v>
      </c>
      <c r="M283" s="604">
        <v>26.914760000000001</v>
      </c>
      <c r="N283" s="605">
        <v>4250</v>
      </c>
      <c r="O283" s="605">
        <v>30.36</v>
      </c>
      <c r="P283" s="605">
        <v>0.3201</v>
      </c>
      <c r="Q283" s="605">
        <v>1.9560000000000001E-2</v>
      </c>
      <c r="R283" s="606">
        <v>3.8394667099999999</v>
      </c>
      <c r="S283" s="606">
        <f>R283+R282</f>
        <v>7.4194000600000001</v>
      </c>
      <c r="T283" s="607">
        <v>88.7</v>
      </c>
      <c r="U283" s="607">
        <v>87.7</v>
      </c>
      <c r="V283" s="608">
        <v>4438</v>
      </c>
      <c r="W283" s="608">
        <v>5075</v>
      </c>
      <c r="X283" s="608">
        <f>W283-V283</f>
        <v>637</v>
      </c>
      <c r="Y283" s="608">
        <f t="shared" si="113"/>
        <v>165.90845763577411</v>
      </c>
      <c r="Z283" s="609">
        <v>123.636909</v>
      </c>
      <c r="AA283" s="608">
        <v>160.18</v>
      </c>
      <c r="AB283" s="608">
        <f>AA283-Z283</f>
        <v>36.543091000000004</v>
      </c>
      <c r="AC283" s="610">
        <f t="shared" si="114"/>
        <v>9.5177517504768279</v>
      </c>
      <c r="AD283" s="609">
        <v>-1.34</v>
      </c>
      <c r="AE283" s="608">
        <v>-2.23</v>
      </c>
      <c r="AF283" s="608">
        <f>AE283-AD283</f>
        <v>-0.8899999999999999</v>
      </c>
      <c r="AG283" s="610">
        <f t="shared" si="115"/>
        <v>-0.23180302558216476</v>
      </c>
      <c r="AH283" s="609">
        <v>0</v>
      </c>
      <c r="AI283" s="608">
        <v>0</v>
      </c>
      <c r="AJ283" s="608">
        <f>AI283-AH283</f>
        <v>0</v>
      </c>
      <c r="AK283" s="610">
        <f t="shared" si="116"/>
        <v>0</v>
      </c>
      <c r="AL283" s="609">
        <v>0</v>
      </c>
      <c r="AM283" s="608">
        <v>0</v>
      </c>
      <c r="AN283" s="608">
        <f>AM283-AL283</f>
        <v>0</v>
      </c>
      <c r="AO283" s="610">
        <f t="shared" si="117"/>
        <v>0</v>
      </c>
      <c r="AP283" s="611">
        <v>88.7</v>
      </c>
      <c r="AQ283" s="611">
        <v>87.7</v>
      </c>
      <c r="AR283" s="611">
        <f>AQ283-AP283</f>
        <v>-1</v>
      </c>
      <c r="AS283" s="609">
        <v>6.8</v>
      </c>
      <c r="AT283" s="608">
        <v>8</v>
      </c>
      <c r="AU283" s="612">
        <f>AT283-AS283</f>
        <v>1.2000000000000002</v>
      </c>
      <c r="AV283" s="611"/>
      <c r="AW283" s="611"/>
      <c r="AX283" s="611"/>
      <c r="AY283" s="611"/>
      <c r="AZ283" s="602" t="s">
        <v>686</v>
      </c>
      <c r="BA283" s="593">
        <v>1481.6617625700001</v>
      </c>
      <c r="BB283" s="593">
        <v>-2.01920944</v>
      </c>
      <c r="BC283" s="593">
        <v>3347.0161163299999</v>
      </c>
      <c r="BD283" s="593">
        <v>3415.9921523100002</v>
      </c>
      <c r="BE283" s="593">
        <v>2.9543292299999999</v>
      </c>
      <c r="BF283" s="593">
        <v>3.0184207600000001</v>
      </c>
      <c r="BG283" s="593">
        <v>-0.52912669999999995</v>
      </c>
      <c r="BH283" s="593">
        <v>3.8394058900000001</v>
      </c>
      <c r="BI283" s="593">
        <v>3.85982928</v>
      </c>
      <c r="BJ283" s="593">
        <v>-1.6288048399999999</v>
      </c>
      <c r="BK283" s="593">
        <v>-2.1233463700000001</v>
      </c>
      <c r="BL283" s="593">
        <v>0.71451739000000003</v>
      </c>
    </row>
    <row r="284" spans="1:16384" s="593" customFormat="1" ht="15" customHeight="1" x14ac:dyDescent="0.2">
      <c r="A284" s="598">
        <f t="shared" si="118"/>
        <v>62008045</v>
      </c>
      <c r="B284" s="598" t="s">
        <v>632</v>
      </c>
      <c r="C284" s="598" t="s">
        <v>779</v>
      </c>
      <c r="D284" s="599" t="s">
        <v>718</v>
      </c>
      <c r="E284" s="600" t="s">
        <v>983</v>
      </c>
      <c r="F284" s="600" t="str">
        <f t="shared" si="112"/>
        <v>08/19/20</v>
      </c>
      <c r="G284" s="602"/>
      <c r="H284" s="602" t="s">
        <v>685</v>
      </c>
      <c r="I284" s="603"/>
      <c r="J284" s="614">
        <f>AVERAGE(J282:J283)</f>
        <v>20.321772500000002</v>
      </c>
      <c r="K284" s="614">
        <f>AVERAGE(K282:K283)</f>
        <v>52.863601500000001</v>
      </c>
      <c r="L284" s="614">
        <f>AVERAGE(L282:L283)</f>
        <v>29.3714905</v>
      </c>
      <c r="M284" s="614">
        <f>AVERAGE(M282:M283)</f>
        <v>27.374415500000001</v>
      </c>
      <c r="N284" s="615"/>
      <c r="O284" s="605"/>
      <c r="P284" s="616"/>
      <c r="Q284" s="617"/>
      <c r="R284" s="618">
        <f>R283+R282</f>
        <v>7.4194000600000001</v>
      </c>
      <c r="S284" s="618">
        <f>S283</f>
        <v>7.4194000600000001</v>
      </c>
      <c r="T284" s="619">
        <f>T282</f>
        <v>89.8</v>
      </c>
      <c r="U284" s="619">
        <f>U283</f>
        <v>87.7</v>
      </c>
      <c r="V284" s="620">
        <f>V282</f>
        <v>3712</v>
      </c>
      <c r="W284" s="620">
        <f>W283</f>
        <v>5075</v>
      </c>
      <c r="X284" s="620">
        <f>SUM(X282:X283)</f>
        <v>1363</v>
      </c>
      <c r="Y284" s="620">
        <f t="shared" si="113"/>
        <v>183.70757594651124</v>
      </c>
      <c r="Z284" s="620">
        <f>Z282</f>
        <v>101.61703</v>
      </c>
      <c r="AA284" s="620">
        <f>AA283</f>
        <v>160.18</v>
      </c>
      <c r="AB284" s="620">
        <f>SUM(AB282:AB283)</f>
        <v>58.552929000000006</v>
      </c>
      <c r="AC284" s="621">
        <f t="shared" si="114"/>
        <v>7.8918684161101842</v>
      </c>
      <c r="AD284" s="620">
        <f>AD282</f>
        <v>-0.28999999999999998</v>
      </c>
      <c r="AE284" s="620">
        <f>AE283</f>
        <v>-2.23</v>
      </c>
      <c r="AF284" s="620">
        <f>SUM(AF282:AF283)</f>
        <v>-1.94</v>
      </c>
      <c r="AG284" s="621">
        <f t="shared" si="115"/>
        <v>-0.26147666715791035</v>
      </c>
      <c r="AH284" s="620">
        <f>AH282</f>
        <v>0</v>
      </c>
      <c r="AI284" s="620">
        <f>AI283</f>
        <v>0</v>
      </c>
      <c r="AJ284" s="620">
        <f>SUM(AJ282:AJ283)</f>
        <v>0</v>
      </c>
      <c r="AK284" s="621">
        <f t="shared" si="116"/>
        <v>0</v>
      </c>
      <c r="AL284" s="620">
        <f>AL282</f>
        <v>0</v>
      </c>
      <c r="AM284" s="620">
        <f>AM283</f>
        <v>0</v>
      </c>
      <c r="AN284" s="620">
        <f>SUM(AN282:AN283)</f>
        <v>0</v>
      </c>
      <c r="AO284" s="621">
        <f t="shared" si="117"/>
        <v>0</v>
      </c>
      <c r="AP284" s="622"/>
      <c r="AQ284" s="622"/>
      <c r="AR284" s="622">
        <f>SUM(AR282:AR283)</f>
        <v>-2.0999999999999943</v>
      </c>
      <c r="AS284" s="620">
        <f>AS282</f>
        <v>6.1</v>
      </c>
      <c r="AT284" s="620">
        <f>AT283</f>
        <v>8</v>
      </c>
      <c r="AU284" s="623">
        <f>SUM(AU282:AU283)</f>
        <v>1.9000000000000004</v>
      </c>
      <c r="AV284" s="622"/>
      <c r="AW284" s="622"/>
      <c r="AX284" s="622"/>
      <c r="AY284" s="622"/>
      <c r="AZ284" s="602" t="s">
        <v>686</v>
      </c>
    </row>
    <row r="285" spans="1:16384" s="593" customFormat="1" ht="15" customHeight="1" x14ac:dyDescent="0.2">
      <c r="A285" s="598">
        <f t="shared" si="118"/>
        <v>62008045</v>
      </c>
      <c r="B285" s="598" t="s">
        <v>633</v>
      </c>
      <c r="C285" s="598" t="s">
        <v>780</v>
      </c>
      <c r="D285" s="599" t="s">
        <v>718</v>
      </c>
      <c r="E285" s="600" t="s">
        <v>983</v>
      </c>
      <c r="F285" s="600" t="str">
        <f t="shared" si="112"/>
        <v>08/19/20</v>
      </c>
      <c r="G285" s="602"/>
      <c r="H285" s="602" t="s">
        <v>685</v>
      </c>
      <c r="I285" s="603"/>
      <c r="J285" s="604">
        <v>23.309612999999999</v>
      </c>
      <c r="K285" s="604">
        <v>43.502445000000002</v>
      </c>
      <c r="L285" s="604">
        <v>29.371283999999999</v>
      </c>
      <c r="M285" s="604">
        <v>29.343288000000001</v>
      </c>
      <c r="N285" s="605">
        <v>4250</v>
      </c>
      <c r="O285" s="605">
        <v>30.36</v>
      </c>
      <c r="P285" s="605">
        <v>0.3201</v>
      </c>
      <c r="Q285" s="605">
        <v>1.9560000000000001E-2</v>
      </c>
      <c r="R285" s="606">
        <v>1.76635159</v>
      </c>
      <c r="S285" s="606">
        <f>R285+R284</f>
        <v>9.1857516500000003</v>
      </c>
      <c r="T285" s="607">
        <v>87.7</v>
      </c>
      <c r="U285" s="607">
        <v>84</v>
      </c>
      <c r="V285" s="608">
        <v>5081</v>
      </c>
      <c r="W285" s="608">
        <v>7457</v>
      </c>
      <c r="X285" s="608">
        <f>W285-V285-X286</f>
        <v>540</v>
      </c>
      <c r="Y285" s="608">
        <f t="shared" si="113"/>
        <v>305.7149001688843</v>
      </c>
      <c r="Z285" s="609">
        <v>164.18</v>
      </c>
      <c r="AA285" s="608">
        <v>189.17632</v>
      </c>
      <c r="AB285" s="608">
        <f>AA285-Z285-AB286</f>
        <v>9.9298890000000029</v>
      </c>
      <c r="AC285" s="610">
        <f t="shared" si="114"/>
        <v>5.6216944894872274</v>
      </c>
      <c r="AD285" s="609">
        <v>-2.3199999999999998</v>
      </c>
      <c r="AE285" s="608">
        <v>-2.84</v>
      </c>
      <c r="AF285" s="608">
        <f>AE285-AD285-AF286</f>
        <v>-0.20000000000000018</v>
      </c>
      <c r="AG285" s="610">
        <f t="shared" si="115"/>
        <v>-0.11322774080329057</v>
      </c>
      <c r="AH285" s="609">
        <v>0</v>
      </c>
      <c r="AI285" s="608">
        <v>0</v>
      </c>
      <c r="AJ285" s="608">
        <f>AI285-AH285-AJ286</f>
        <v>0</v>
      </c>
      <c r="AK285" s="610">
        <f t="shared" si="116"/>
        <v>0</v>
      </c>
      <c r="AL285" s="609">
        <v>0</v>
      </c>
      <c r="AM285" s="608">
        <v>0</v>
      </c>
      <c r="AN285" s="608">
        <f>AM285-AL285-AN286</f>
        <v>0</v>
      </c>
      <c r="AO285" s="610">
        <f t="shared" si="117"/>
        <v>0</v>
      </c>
      <c r="AP285" s="611">
        <v>87.7</v>
      </c>
      <c r="AQ285" s="611">
        <v>84</v>
      </c>
      <c r="AR285" s="611">
        <f>AQ285-AP285-AR286</f>
        <v>-0.90000000000000568</v>
      </c>
      <c r="AS285" s="609">
        <v>8.1</v>
      </c>
      <c r="AT285" s="608">
        <v>8.9</v>
      </c>
      <c r="AU285" s="612">
        <f>AT285-AS285-AU286</f>
        <v>0.30000000000000071</v>
      </c>
      <c r="AV285" s="611"/>
      <c r="AW285" s="611"/>
      <c r="AX285" s="611"/>
      <c r="AY285" s="611"/>
      <c r="AZ285" s="602" t="s">
        <v>686</v>
      </c>
      <c r="BA285" s="593">
        <v>5560.2062733299999</v>
      </c>
      <c r="BB285" s="593">
        <v>-1.07079543</v>
      </c>
      <c r="BC285" s="593">
        <v>2432.9490718000002</v>
      </c>
      <c r="BD285" s="593">
        <v>2459.2829613200001</v>
      </c>
      <c r="BE285" s="593">
        <v>3.1686036400000002</v>
      </c>
      <c r="BF285" s="593">
        <v>3.2077227399999999</v>
      </c>
      <c r="BG285" s="593">
        <v>-0.32646965</v>
      </c>
      <c r="BH285" s="593">
        <v>1.76631939</v>
      </c>
      <c r="BI285" s="593">
        <v>1.77210478</v>
      </c>
      <c r="BJ285" s="593">
        <v>-0.90408474000000005</v>
      </c>
      <c r="BK285" s="593">
        <v>-1.2195288200000001</v>
      </c>
      <c r="BL285" s="593">
        <v>0.81478229999999996</v>
      </c>
    </row>
    <row r="286" spans="1:16384" s="593" customFormat="1" ht="15" customHeight="1" x14ac:dyDescent="0.2">
      <c r="A286" s="598">
        <f t="shared" si="118"/>
        <v>62008045</v>
      </c>
      <c r="B286" s="598" t="s">
        <v>634</v>
      </c>
      <c r="C286" s="598" t="s">
        <v>781</v>
      </c>
      <c r="D286" s="599" t="s">
        <v>718</v>
      </c>
      <c r="E286" s="600" t="s">
        <v>983</v>
      </c>
      <c r="F286" s="600" t="str">
        <f t="shared" si="112"/>
        <v>08/19/20</v>
      </c>
      <c r="G286" s="602"/>
      <c r="H286" s="602" t="s">
        <v>685</v>
      </c>
      <c r="I286" s="603"/>
      <c r="J286" s="604">
        <v>27.547806999999999</v>
      </c>
      <c r="K286" s="604">
        <v>34.108272999999997</v>
      </c>
      <c r="L286" s="604">
        <v>29.400653999999999</v>
      </c>
      <c r="M286" s="604">
        <v>29.604623</v>
      </c>
      <c r="N286" s="605">
        <v>4250</v>
      </c>
      <c r="O286" s="605">
        <v>30.36</v>
      </c>
      <c r="P286" s="605">
        <v>0.3201</v>
      </c>
      <c r="Q286" s="605">
        <v>1.9560000000000001E-2</v>
      </c>
      <c r="R286" s="606">
        <v>6.2273526099999996</v>
      </c>
      <c r="S286" s="606">
        <f>R286+R285</f>
        <v>7.9937041999999998</v>
      </c>
      <c r="T286" s="607">
        <v>87.1</v>
      </c>
      <c r="U286" s="607">
        <v>84.3</v>
      </c>
      <c r="V286" s="608">
        <v>5445</v>
      </c>
      <c r="W286" s="608">
        <v>7281</v>
      </c>
      <c r="X286" s="608">
        <f>W286-V286</f>
        <v>1836</v>
      </c>
      <c r="Y286" s="608">
        <f t="shared" si="113"/>
        <v>294.82833476487531</v>
      </c>
      <c r="Z286" s="609">
        <v>169.69</v>
      </c>
      <c r="AA286" s="608">
        <v>184.75643099999999</v>
      </c>
      <c r="AB286" s="608">
        <f>AA286-Z286</f>
        <v>15.066430999999994</v>
      </c>
      <c r="AC286" s="610">
        <f t="shared" si="114"/>
        <v>2.4193958401851274</v>
      </c>
      <c r="AD286" s="609">
        <v>-2.4300000000000002</v>
      </c>
      <c r="AE286" s="608">
        <v>-2.75</v>
      </c>
      <c r="AF286" s="608">
        <f>AE286-AD286</f>
        <v>-0.31999999999999984</v>
      </c>
      <c r="AG286" s="610">
        <f t="shared" si="115"/>
        <v>-5.1386202137668875E-2</v>
      </c>
      <c r="AH286" s="609">
        <v>0</v>
      </c>
      <c r="AI286" s="608">
        <v>0</v>
      </c>
      <c r="AJ286" s="608">
        <f>AI286-AH286</f>
        <v>0</v>
      </c>
      <c r="AK286" s="610">
        <f t="shared" si="116"/>
        <v>0</v>
      </c>
      <c r="AL286" s="609">
        <v>0</v>
      </c>
      <c r="AM286" s="608">
        <v>0</v>
      </c>
      <c r="AN286" s="608">
        <f>AM286-AL286</f>
        <v>0</v>
      </c>
      <c r="AO286" s="610">
        <f t="shared" si="117"/>
        <v>0</v>
      </c>
      <c r="AP286" s="611">
        <v>87.1</v>
      </c>
      <c r="AQ286" s="611">
        <v>84.3</v>
      </c>
      <c r="AR286" s="611">
        <f>AQ286-AP286</f>
        <v>-2.7999999999999972</v>
      </c>
      <c r="AS286" s="609">
        <v>8.3000000000000007</v>
      </c>
      <c r="AT286" s="608">
        <v>8.8000000000000007</v>
      </c>
      <c r="AU286" s="612">
        <f>AT286-AS286</f>
        <v>0.5</v>
      </c>
      <c r="AV286" s="611"/>
      <c r="AW286" s="611"/>
      <c r="AX286" s="611"/>
      <c r="AY286" s="611"/>
      <c r="AZ286" s="602" t="s">
        <v>686</v>
      </c>
      <c r="BA286" s="593">
        <v>11811.94560184</v>
      </c>
      <c r="BB286" s="593">
        <v>-9.6381374199999996</v>
      </c>
      <c r="BC286" s="593">
        <v>1028.57060374</v>
      </c>
      <c r="BD286" s="593">
        <v>1138.27955114</v>
      </c>
      <c r="BE286" s="593">
        <v>6.9203888400000002</v>
      </c>
      <c r="BF286" s="593">
        <v>7.0840900400000004</v>
      </c>
      <c r="BG286" s="593">
        <v>-0.11910658</v>
      </c>
      <c r="BH286" s="593">
        <v>6.2274322199999999</v>
      </c>
      <c r="BI286" s="593">
        <v>6.2348583499999997</v>
      </c>
      <c r="BJ286" s="593">
        <v>-2.2435673399999998</v>
      </c>
      <c r="BK286" s="593">
        <v>-2.3108289100000001</v>
      </c>
      <c r="BL286" s="593">
        <v>0.34891735000000001</v>
      </c>
    </row>
    <row r="287" spans="1:16384" s="593" customFormat="1" ht="15" customHeight="1" x14ac:dyDescent="0.2">
      <c r="A287" s="598">
        <f t="shared" si="118"/>
        <v>62008045</v>
      </c>
      <c r="B287" s="598" t="s">
        <v>635</v>
      </c>
      <c r="C287" s="598" t="s">
        <v>782</v>
      </c>
      <c r="D287" s="599" t="s">
        <v>718</v>
      </c>
      <c r="E287" s="600" t="s">
        <v>983</v>
      </c>
      <c r="F287" s="600" t="str">
        <f t="shared" si="112"/>
        <v>08/19/20</v>
      </c>
      <c r="G287" s="602"/>
      <c r="H287" s="602" t="s">
        <v>685</v>
      </c>
      <c r="I287" s="603"/>
      <c r="J287" s="614">
        <f>AVERAGE(J285:J286)</f>
        <v>25.428709999999999</v>
      </c>
      <c r="K287" s="614">
        <f>AVERAGE(K285:K286)</f>
        <v>38.805358999999996</v>
      </c>
      <c r="L287" s="614">
        <f>AVERAGE(L285:L286)</f>
        <v>29.385968999999999</v>
      </c>
      <c r="M287" s="614">
        <f>AVERAGE(M285:M286)</f>
        <v>29.473955500000002</v>
      </c>
      <c r="N287" s="615"/>
      <c r="O287" s="605"/>
      <c r="P287" s="616"/>
      <c r="Q287" s="617"/>
      <c r="R287" s="618">
        <f>R286+R285</f>
        <v>7.9937041999999998</v>
      </c>
      <c r="S287" s="618">
        <f>S286</f>
        <v>7.9937041999999998</v>
      </c>
      <c r="T287" s="619">
        <f>T285</f>
        <v>87.7</v>
      </c>
      <c r="U287" s="619">
        <f>U286</f>
        <v>84.3</v>
      </c>
      <c r="V287" s="620">
        <f>V285</f>
        <v>5081</v>
      </c>
      <c r="W287" s="620">
        <f>W286</f>
        <v>7281</v>
      </c>
      <c r="X287" s="620">
        <f>SUM(X285:X286)</f>
        <v>2376</v>
      </c>
      <c r="Y287" s="620">
        <f t="shared" si="113"/>
        <v>297.23391566077714</v>
      </c>
      <c r="Z287" s="620">
        <f>Z285</f>
        <v>164.18</v>
      </c>
      <c r="AA287" s="620">
        <f>AA286</f>
        <v>184.75643099999999</v>
      </c>
      <c r="AB287" s="620">
        <f>SUM(AB285:AB286)</f>
        <v>24.996319999999997</v>
      </c>
      <c r="AC287" s="621">
        <f t="shared" si="114"/>
        <v>3.127000871510857</v>
      </c>
      <c r="AD287" s="620">
        <f>AD285</f>
        <v>-2.3199999999999998</v>
      </c>
      <c r="AE287" s="620">
        <f>AE286</f>
        <v>-2.75</v>
      </c>
      <c r="AF287" s="620">
        <f>SUM(AF285:AF286)</f>
        <v>-0.52</v>
      </c>
      <c r="AG287" s="621">
        <f t="shared" si="115"/>
        <v>-6.5051193663133042E-2</v>
      </c>
      <c r="AH287" s="620">
        <f>AH285</f>
        <v>0</v>
      </c>
      <c r="AI287" s="620">
        <f>AI286</f>
        <v>0</v>
      </c>
      <c r="AJ287" s="620">
        <f>SUM(AJ285:AJ286)</f>
        <v>0</v>
      </c>
      <c r="AK287" s="621">
        <f t="shared" si="116"/>
        <v>0</v>
      </c>
      <c r="AL287" s="620">
        <f>AL285</f>
        <v>0</v>
      </c>
      <c r="AM287" s="620">
        <f>AM286</f>
        <v>0</v>
      </c>
      <c r="AN287" s="620">
        <f>SUM(AN285:AN286)</f>
        <v>0</v>
      </c>
      <c r="AO287" s="621">
        <f t="shared" si="117"/>
        <v>0</v>
      </c>
      <c r="AP287" s="622"/>
      <c r="AQ287" s="622"/>
      <c r="AR287" s="622">
        <f>SUM(AR285:AR286)</f>
        <v>-3.7000000000000028</v>
      </c>
      <c r="AS287" s="620">
        <f>AS285</f>
        <v>8.1</v>
      </c>
      <c r="AT287" s="620">
        <f>AT286</f>
        <v>8.8000000000000007</v>
      </c>
      <c r="AU287" s="623">
        <f>SUM(AU285:AU286)</f>
        <v>0.80000000000000071</v>
      </c>
      <c r="AV287" s="622"/>
      <c r="AW287" s="622"/>
      <c r="AX287" s="622"/>
      <c r="AY287" s="622"/>
      <c r="AZ287" s="602" t="s">
        <v>686</v>
      </c>
    </row>
    <row r="288" spans="1:16384" s="593" customFormat="1" ht="15" customHeight="1" x14ac:dyDescent="0.2">
      <c r="A288" s="598">
        <v>62008046</v>
      </c>
      <c r="B288" s="598" t="s">
        <v>646</v>
      </c>
      <c r="C288" s="598" t="s">
        <v>773</v>
      </c>
      <c r="D288" s="599" t="s">
        <v>682</v>
      </c>
      <c r="E288" s="600" t="s">
        <v>984</v>
      </c>
      <c r="F288" s="600" t="str">
        <f t="shared" si="112"/>
        <v>08/19/20</v>
      </c>
      <c r="G288" s="602" t="s">
        <v>985</v>
      </c>
      <c r="H288" s="602" t="s">
        <v>685</v>
      </c>
      <c r="I288" s="603"/>
      <c r="J288" s="604">
        <v>24.963356000000001</v>
      </c>
      <c r="K288" s="604">
        <v>39.257254000000003</v>
      </c>
      <c r="L288" s="604">
        <v>29.374860000000002</v>
      </c>
      <c r="M288" s="604">
        <v>29.76108</v>
      </c>
      <c r="N288" s="605">
        <v>4250</v>
      </c>
      <c r="O288" s="605">
        <v>30.36</v>
      </c>
      <c r="P288" s="605">
        <v>0.3201</v>
      </c>
      <c r="Q288" s="605">
        <v>1.9560000000000001E-2</v>
      </c>
      <c r="R288" s="606">
        <v>10.245597419999999</v>
      </c>
      <c r="S288" s="606">
        <f>R288+R287</f>
        <v>18.239301619999999</v>
      </c>
      <c r="T288" s="607">
        <v>84</v>
      </c>
      <c r="U288" s="607">
        <v>80.599999999999994</v>
      </c>
      <c r="V288" s="608">
        <v>7460</v>
      </c>
      <c r="W288" s="608">
        <v>9654</v>
      </c>
      <c r="X288" s="608">
        <f>W288-V288</f>
        <v>2194</v>
      </c>
      <c r="Y288" s="608">
        <f t="shared" si="113"/>
        <v>214.14075822627825</v>
      </c>
      <c r="Z288" s="609">
        <v>192.08694</v>
      </c>
      <c r="AA288" s="608">
        <v>224.41</v>
      </c>
      <c r="AB288" s="608">
        <f>AA288-Z288</f>
        <v>32.323059999999998</v>
      </c>
      <c r="AC288" s="610">
        <f t="shared" si="114"/>
        <v>3.1548243284382336</v>
      </c>
      <c r="AD288" s="609">
        <v>-2.2200000000000002</v>
      </c>
      <c r="AE288" s="608">
        <v>-3.35</v>
      </c>
      <c r="AF288" s="608">
        <f>AE288-AD288</f>
        <v>-1.1299999999999999</v>
      </c>
      <c r="AG288" s="610">
        <f t="shared" si="115"/>
        <v>-0.11029127474735387</v>
      </c>
      <c r="AH288" s="609">
        <v>0</v>
      </c>
      <c r="AI288" s="608">
        <v>0</v>
      </c>
      <c r="AJ288" s="608">
        <f>AI288-AH288</f>
        <v>0</v>
      </c>
      <c r="AK288" s="610">
        <f t="shared" si="116"/>
        <v>0</v>
      </c>
      <c r="AL288" s="609">
        <v>0</v>
      </c>
      <c r="AM288" s="608">
        <v>0</v>
      </c>
      <c r="AN288" s="608">
        <f>AM288-AL288</f>
        <v>0</v>
      </c>
      <c r="AO288" s="610">
        <f t="shared" si="117"/>
        <v>0</v>
      </c>
      <c r="AP288" s="611">
        <v>84</v>
      </c>
      <c r="AQ288" s="611">
        <v>80.599999999999994</v>
      </c>
      <c r="AR288" s="611">
        <f>AQ288-AP288</f>
        <v>-3.4000000000000057</v>
      </c>
      <c r="AS288" s="609">
        <v>9.1999999999999993</v>
      </c>
      <c r="AT288" s="608">
        <v>10.3</v>
      </c>
      <c r="AU288" s="612">
        <f>AT288-AS288</f>
        <v>1.1000000000000014</v>
      </c>
      <c r="AV288" s="611"/>
      <c r="AW288" s="611"/>
      <c r="AX288" s="611"/>
      <c r="AY288" s="611"/>
      <c r="AZ288" s="602" t="s">
        <v>686</v>
      </c>
      <c r="BA288" s="593">
        <v>1945.66078874</v>
      </c>
      <c r="BB288" s="593">
        <v>-0.69616993999999999</v>
      </c>
      <c r="BC288" s="593">
        <v>1297.69420739</v>
      </c>
      <c r="BD288" s="593">
        <v>1306.79169832</v>
      </c>
      <c r="BE288" s="593">
        <v>7.9711489000000002</v>
      </c>
      <c r="BF288" s="593">
        <v>8.0202390599999998</v>
      </c>
      <c r="BG288" s="593">
        <v>-0.10733563</v>
      </c>
      <c r="BH288" s="593">
        <v>10.24567158</v>
      </c>
      <c r="BI288" s="593">
        <v>10.25668065</v>
      </c>
      <c r="BJ288" s="593">
        <v>-0.50785126999999997</v>
      </c>
      <c r="BK288" s="593">
        <v>-0.61207845999999999</v>
      </c>
      <c r="BL288" s="593">
        <v>0.28277702999999998</v>
      </c>
    </row>
    <row r="289" spans="1:16384" s="593" customFormat="1" ht="15" customHeight="1" x14ac:dyDescent="0.2">
      <c r="A289" s="598">
        <v>62008046</v>
      </c>
      <c r="B289" s="598" t="s">
        <v>646</v>
      </c>
      <c r="C289" s="598" t="s">
        <v>774</v>
      </c>
      <c r="D289" s="599" t="s">
        <v>682</v>
      </c>
      <c r="E289" s="600" t="s">
        <v>984</v>
      </c>
      <c r="F289" s="600" t="str">
        <f t="shared" si="112"/>
        <v>08/19/20</v>
      </c>
      <c r="G289" s="602" t="s">
        <v>985</v>
      </c>
      <c r="H289" s="602" t="s">
        <v>685</v>
      </c>
      <c r="I289" s="603"/>
      <c r="J289" s="604">
        <v>25.013974999999999</v>
      </c>
      <c r="K289" s="604">
        <v>38.724017000000003</v>
      </c>
      <c r="L289" s="604">
        <v>29.370013</v>
      </c>
      <c r="M289" s="604">
        <v>29.760051000000001</v>
      </c>
      <c r="N289" s="605">
        <v>4250</v>
      </c>
      <c r="O289" s="605">
        <v>30.36</v>
      </c>
      <c r="P289" s="605">
        <v>0.3201</v>
      </c>
      <c r="Q289" s="605">
        <v>1.9560000000000001E-2</v>
      </c>
      <c r="R289" s="606">
        <v>10.245029450000001</v>
      </c>
      <c r="S289" s="606">
        <f>R289+R288</f>
        <v>20.49062687</v>
      </c>
      <c r="T289" s="607">
        <v>80.599999999999994</v>
      </c>
      <c r="U289" s="607">
        <v>77.2</v>
      </c>
      <c r="V289" s="608">
        <v>9655</v>
      </c>
      <c r="W289" s="608">
        <v>11839</v>
      </c>
      <c r="X289" s="608">
        <f>W289-V289</f>
        <v>2184</v>
      </c>
      <c r="Y289" s="608">
        <f t="shared" si="113"/>
        <v>213.17654679850625</v>
      </c>
      <c r="Z289" s="609">
        <v>225.016694</v>
      </c>
      <c r="AA289" s="608">
        <v>256.756351</v>
      </c>
      <c r="AB289" s="608">
        <f>AA289-Z289</f>
        <v>31.739656999999994</v>
      </c>
      <c r="AC289" s="610">
        <f t="shared" si="114"/>
        <v>3.098054247174467</v>
      </c>
      <c r="AD289" s="609">
        <v>-3.36</v>
      </c>
      <c r="AE289" s="608">
        <v>-4.04</v>
      </c>
      <c r="AF289" s="608">
        <f>AE289-AD289</f>
        <v>-0.68000000000000016</v>
      </c>
      <c r="AG289" s="610">
        <f t="shared" si="115"/>
        <v>-6.637365010209903E-2</v>
      </c>
      <c r="AH289" s="609">
        <v>0</v>
      </c>
      <c r="AI289" s="608">
        <v>0</v>
      </c>
      <c r="AJ289" s="608">
        <f>AI289-AH289</f>
        <v>0</v>
      </c>
      <c r="AK289" s="610">
        <f t="shared" si="116"/>
        <v>0</v>
      </c>
      <c r="AL289" s="609">
        <v>0</v>
      </c>
      <c r="AM289" s="608">
        <v>0</v>
      </c>
      <c r="AN289" s="608">
        <f>AM289-AL289</f>
        <v>0</v>
      </c>
      <c r="AO289" s="610">
        <f t="shared" si="117"/>
        <v>0</v>
      </c>
      <c r="AP289" s="611">
        <v>80.599999999999994</v>
      </c>
      <c r="AQ289" s="611">
        <v>77.2</v>
      </c>
      <c r="AR289" s="611">
        <f>AQ289-AP289</f>
        <v>-3.3999999999999915</v>
      </c>
      <c r="AS289" s="609">
        <v>10.3</v>
      </c>
      <c r="AT289" s="608">
        <v>11.3</v>
      </c>
      <c r="AU289" s="612">
        <f>AT289-AS289</f>
        <v>1</v>
      </c>
      <c r="AV289" s="611"/>
      <c r="AW289" s="611"/>
      <c r="AX289" s="611"/>
      <c r="AY289" s="611"/>
      <c r="AZ289" s="602" t="s">
        <v>686</v>
      </c>
      <c r="BA289" s="593">
        <v>1941.80954569</v>
      </c>
      <c r="BB289" s="593">
        <v>-0.68344353000000002</v>
      </c>
      <c r="BC289" s="593">
        <v>1297.8217217700001</v>
      </c>
      <c r="BD289" s="593">
        <v>1306.7526380899999</v>
      </c>
      <c r="BE289" s="593">
        <v>7.9711247299999997</v>
      </c>
      <c r="BF289" s="593">
        <v>8.0201361999999996</v>
      </c>
      <c r="BG289" s="593">
        <v>-0.11287187999999999</v>
      </c>
      <c r="BH289" s="593">
        <v>10.24510343</v>
      </c>
      <c r="BI289" s="593">
        <v>10.256680340000001</v>
      </c>
      <c r="BJ289" s="593">
        <v>-0.50129672999999997</v>
      </c>
      <c r="BK289" s="593">
        <v>-0.61110514999999999</v>
      </c>
      <c r="BL289" s="593">
        <v>0.28277098000000001</v>
      </c>
    </row>
    <row r="290" spans="1:16384" s="593" customFormat="1" ht="15" customHeight="1" x14ac:dyDescent="0.2">
      <c r="A290" s="598">
        <v>62008046</v>
      </c>
      <c r="B290" s="598" t="s">
        <v>646</v>
      </c>
      <c r="C290" s="598" t="s">
        <v>776</v>
      </c>
      <c r="D290" s="599" t="s">
        <v>682</v>
      </c>
      <c r="E290" s="600" t="s">
        <v>984</v>
      </c>
      <c r="F290" s="600" t="str">
        <f t="shared" si="112"/>
        <v>08/19/20</v>
      </c>
      <c r="G290" s="602" t="s">
        <v>985</v>
      </c>
      <c r="H290" s="602" t="s">
        <v>685</v>
      </c>
      <c r="I290" s="603"/>
      <c r="J290" s="604" t="s">
        <v>691</v>
      </c>
      <c r="K290" s="604" t="s">
        <v>691</v>
      </c>
      <c r="L290" s="604" t="s">
        <v>691</v>
      </c>
      <c r="M290" s="604" t="s">
        <v>691</v>
      </c>
      <c r="N290" s="605">
        <v>4250</v>
      </c>
      <c r="O290" s="605">
        <v>30.36</v>
      </c>
      <c r="P290" s="605">
        <v>0.3201</v>
      </c>
      <c r="Q290" s="605">
        <v>1.9560000000000001E-2</v>
      </c>
      <c r="R290" s="606" t="s">
        <v>1015</v>
      </c>
      <c r="S290" s="606" t="e">
        <f>R290+R289</f>
        <v>#VALUE!</v>
      </c>
      <c r="T290" s="607">
        <v>77.2</v>
      </c>
      <c r="U290" s="607">
        <v>0</v>
      </c>
      <c r="V290" s="608">
        <v>11839</v>
      </c>
      <c r="W290" s="608">
        <v>7459</v>
      </c>
      <c r="X290" s="608">
        <f>W290-V290</f>
        <v>-4380</v>
      </c>
      <c r="Y290" s="608" t="e">
        <f t="shared" si="113"/>
        <v>#VALUE!</v>
      </c>
      <c r="Z290" s="609">
        <v>257.05</v>
      </c>
      <c r="AA290" s="608">
        <v>190.716846</v>
      </c>
      <c r="AB290" s="608">
        <f>AA290-Z290</f>
        <v>-66.333154000000007</v>
      </c>
      <c r="AC290" s="610" t="e">
        <f t="shared" si="114"/>
        <v>#VALUE!</v>
      </c>
      <c r="AD290" s="609">
        <v>16.78</v>
      </c>
      <c r="AE290" s="608">
        <v>-1.8</v>
      </c>
      <c r="AF290" s="608">
        <f>AE290-AD290</f>
        <v>-18.580000000000002</v>
      </c>
      <c r="AG290" s="610" t="e">
        <f t="shared" si="115"/>
        <v>#VALUE!</v>
      </c>
      <c r="AH290" s="609">
        <v>0</v>
      </c>
      <c r="AI290" s="608">
        <v>0</v>
      </c>
      <c r="AJ290" s="608">
        <f>AI290-AH290</f>
        <v>0</v>
      </c>
      <c r="AK290" s="610" t="e">
        <f t="shared" si="116"/>
        <v>#VALUE!</v>
      </c>
      <c r="AL290" s="609">
        <v>0</v>
      </c>
      <c r="AM290" s="608">
        <v>0</v>
      </c>
      <c r="AN290" s="608">
        <f>AM290-AL290</f>
        <v>0</v>
      </c>
      <c r="AO290" s="610" t="e">
        <f t="shared" si="117"/>
        <v>#VALUE!</v>
      </c>
      <c r="AP290" s="611">
        <v>77.2</v>
      </c>
      <c r="AQ290" s="611">
        <v>0</v>
      </c>
      <c r="AR290" s="611">
        <f>AQ290-AP290</f>
        <v>-77.2</v>
      </c>
      <c r="AS290" s="609">
        <v>12.5</v>
      </c>
      <c r="AT290" s="608">
        <v>9.1999999999999993</v>
      </c>
      <c r="AU290" s="612">
        <f>AT290-AS290</f>
        <v>-3.3000000000000007</v>
      </c>
      <c r="AV290" s="611"/>
      <c r="AW290" s="611"/>
      <c r="AX290" s="611"/>
      <c r="AY290" s="611"/>
      <c r="AZ290" s="602" t="s">
        <v>686</v>
      </c>
    </row>
    <row r="291" spans="1:16384" s="593" customFormat="1" ht="15" customHeight="1" x14ac:dyDescent="0.2">
      <c r="A291" s="594" t="s">
        <v>955</v>
      </c>
      <c r="B291" s="595"/>
      <c r="C291" s="596"/>
      <c r="D291" s="596"/>
      <c r="E291" s="596"/>
      <c r="F291" s="596"/>
      <c r="G291" s="596"/>
      <c r="H291" s="595"/>
      <c r="I291" s="595"/>
      <c r="J291" s="624"/>
      <c r="K291" s="625"/>
      <c r="L291" s="595"/>
      <c r="M291" s="595"/>
      <c r="N291" s="595"/>
      <c r="O291" s="595"/>
      <c r="P291" s="595"/>
      <c r="Q291" s="595"/>
      <c r="R291" s="595"/>
      <c r="S291" s="595"/>
      <c r="T291" s="595"/>
      <c r="U291" s="595"/>
      <c r="V291" s="595"/>
      <c r="W291" s="595"/>
      <c r="X291" s="595"/>
      <c r="Y291" s="595"/>
      <c r="Z291" s="595"/>
      <c r="AA291" s="595"/>
      <c r="AB291" s="595"/>
      <c r="AC291" s="595"/>
      <c r="AD291" s="595"/>
      <c r="AE291" s="595"/>
      <c r="AF291" s="595"/>
      <c r="AG291" s="595"/>
      <c r="AH291" s="595"/>
      <c r="AI291" s="595"/>
      <c r="AJ291" s="595"/>
      <c r="AK291" s="595"/>
      <c r="AL291" s="595"/>
      <c r="AM291" s="595"/>
      <c r="AN291" s="595"/>
      <c r="AO291" s="595"/>
      <c r="AP291" s="595"/>
      <c r="AQ291" s="595"/>
      <c r="AR291" s="595"/>
      <c r="AS291" s="595"/>
      <c r="AT291" s="595"/>
      <c r="AU291" s="595"/>
      <c r="AV291" s="595"/>
      <c r="AW291" s="595"/>
      <c r="AX291" s="595"/>
      <c r="AY291" s="595"/>
      <c r="AZ291" s="595"/>
      <c r="BA291" s="595"/>
      <c r="BB291" s="595"/>
      <c r="BC291" s="595"/>
      <c r="BD291" s="595"/>
      <c r="BE291" s="595"/>
      <c r="BF291" s="626"/>
      <c r="BG291" s="595"/>
      <c r="BH291" s="595"/>
      <c r="BI291" s="595"/>
      <c r="BJ291" s="595"/>
      <c r="BK291" s="595"/>
      <c r="BL291" s="595"/>
      <c r="BM291" s="595"/>
      <c r="BN291" s="595"/>
      <c r="BO291" s="595"/>
      <c r="BP291" s="595"/>
      <c r="BQ291" s="595"/>
      <c r="BR291" s="597"/>
      <c r="BS291" s="613"/>
      <c r="BT291" s="592"/>
      <c r="BU291" s="592"/>
      <c r="BV291" s="592"/>
      <c r="BW291" s="592"/>
      <c r="BX291" s="592"/>
      <c r="BY291" s="592"/>
      <c r="BZ291" s="592"/>
      <c r="CA291" s="592"/>
      <c r="CB291" s="592"/>
      <c r="CC291" s="592"/>
      <c r="CD291" s="592"/>
      <c r="CE291" s="592"/>
      <c r="CF291" s="592"/>
      <c r="CG291" s="592"/>
      <c r="CH291" s="592"/>
      <c r="CI291" s="592"/>
      <c r="CJ291" s="592"/>
      <c r="CK291" s="592"/>
      <c r="CL291" s="592"/>
      <c r="CM291" s="592"/>
      <c r="CN291" s="592"/>
      <c r="CO291" s="592"/>
      <c r="CP291" s="592"/>
      <c r="CQ291" s="592"/>
      <c r="CR291" s="592"/>
      <c r="CS291" s="592"/>
      <c r="CT291" s="592"/>
      <c r="CU291" s="592"/>
      <c r="CV291" s="592"/>
      <c r="CW291" s="592"/>
      <c r="CX291" s="592"/>
      <c r="CY291" s="592"/>
      <c r="CZ291" s="592"/>
      <c r="DA291" s="592"/>
      <c r="DB291" s="592"/>
      <c r="DC291" s="592"/>
      <c r="DD291" s="592"/>
      <c r="DE291" s="592"/>
      <c r="DF291" s="592"/>
      <c r="DG291" s="592"/>
      <c r="DH291" s="592"/>
      <c r="DI291" s="592"/>
      <c r="DJ291" s="592"/>
      <c r="DK291" s="592"/>
      <c r="DL291" s="592"/>
      <c r="DM291" s="592"/>
      <c r="DN291" s="592"/>
      <c r="DO291" s="592"/>
      <c r="DP291" s="592"/>
      <c r="DQ291" s="592"/>
      <c r="DR291" s="592"/>
      <c r="DS291" s="592"/>
      <c r="DT291" s="592"/>
      <c r="DU291" s="592"/>
      <c r="DV291" s="592"/>
      <c r="DW291" s="592"/>
      <c r="DX291" s="592"/>
      <c r="DY291" s="592"/>
      <c r="DZ291" s="592"/>
      <c r="EA291" s="592"/>
      <c r="EB291" s="592"/>
      <c r="EC291" s="592"/>
      <c r="ED291" s="592"/>
      <c r="EE291" s="592"/>
      <c r="EF291" s="592"/>
      <c r="EG291" s="592"/>
      <c r="EH291" s="592"/>
      <c r="EI291" s="592"/>
      <c r="EJ291" s="592"/>
      <c r="EK291" s="592"/>
      <c r="EL291" s="592"/>
      <c r="EM291" s="592"/>
      <c r="EN291" s="592"/>
      <c r="EO291" s="592"/>
      <c r="EP291" s="592"/>
      <c r="EQ291" s="592"/>
      <c r="ER291" s="592"/>
      <c r="ES291" s="592"/>
      <c r="ET291" s="592"/>
      <c r="EU291" s="592"/>
      <c r="EV291" s="592"/>
      <c r="EW291" s="592"/>
      <c r="EX291" s="592"/>
      <c r="EY291" s="592"/>
      <c r="EZ291" s="592"/>
      <c r="FA291" s="592"/>
      <c r="FB291" s="592"/>
      <c r="FC291" s="592"/>
      <c r="FD291" s="592"/>
      <c r="FE291" s="592"/>
      <c r="FF291" s="592"/>
      <c r="FG291" s="592"/>
      <c r="FH291" s="592"/>
      <c r="FI291" s="592"/>
      <c r="FJ291" s="592"/>
      <c r="FK291" s="592"/>
      <c r="FL291" s="592"/>
      <c r="FM291" s="592"/>
      <c r="FN291" s="592"/>
      <c r="FO291" s="592"/>
      <c r="FP291" s="592"/>
      <c r="FQ291" s="592"/>
      <c r="FR291" s="592"/>
      <c r="FS291" s="592"/>
      <c r="FT291" s="592"/>
      <c r="FU291" s="592"/>
      <c r="FV291" s="592"/>
      <c r="FW291" s="592"/>
      <c r="FX291" s="592"/>
      <c r="FY291" s="592"/>
      <c r="FZ291" s="592"/>
      <c r="GA291" s="592"/>
      <c r="GB291" s="592"/>
      <c r="GC291" s="592"/>
      <c r="GD291" s="592"/>
      <c r="GE291" s="592"/>
      <c r="GF291" s="592"/>
      <c r="GG291" s="592"/>
      <c r="GH291" s="592"/>
      <c r="GI291" s="592"/>
      <c r="GJ291" s="592"/>
      <c r="GK291" s="592"/>
      <c r="GL291" s="592"/>
      <c r="GM291" s="592"/>
      <c r="GN291" s="592"/>
      <c r="GO291" s="592"/>
      <c r="GP291" s="592"/>
      <c r="GQ291" s="592"/>
      <c r="GR291" s="592"/>
      <c r="GS291" s="592"/>
      <c r="GT291" s="592"/>
      <c r="GU291" s="592"/>
      <c r="GV291" s="592"/>
      <c r="GW291" s="592"/>
      <c r="GX291" s="592"/>
      <c r="GY291" s="592"/>
      <c r="GZ291" s="592"/>
      <c r="HA291" s="592"/>
      <c r="HB291" s="592"/>
      <c r="HC291" s="592"/>
      <c r="HD291" s="592"/>
      <c r="HE291" s="592"/>
      <c r="HF291" s="592"/>
      <c r="HG291" s="592"/>
      <c r="HH291" s="592"/>
      <c r="HI291" s="592"/>
      <c r="HJ291" s="592"/>
      <c r="HK291" s="592"/>
      <c r="HL291" s="592"/>
      <c r="HM291" s="592"/>
      <c r="HN291" s="592"/>
      <c r="HO291" s="592"/>
      <c r="HP291" s="592"/>
      <c r="HQ291" s="592"/>
      <c r="HR291" s="592"/>
      <c r="HS291" s="592"/>
      <c r="HT291" s="592"/>
      <c r="HU291" s="592"/>
      <c r="HV291" s="592"/>
      <c r="HW291" s="592"/>
      <c r="HX291" s="592"/>
      <c r="HY291" s="592"/>
      <c r="HZ291" s="592"/>
      <c r="IA291" s="592"/>
      <c r="IB291" s="592"/>
      <c r="IC291" s="592"/>
      <c r="ID291" s="592"/>
      <c r="IE291" s="592"/>
      <c r="IF291" s="592"/>
      <c r="IG291" s="592"/>
      <c r="IH291" s="592"/>
      <c r="II291" s="592"/>
      <c r="IJ291" s="592"/>
      <c r="IK291" s="592"/>
      <c r="IL291" s="592"/>
      <c r="IM291" s="592"/>
      <c r="IN291" s="592"/>
      <c r="IO291" s="592"/>
      <c r="IP291" s="592"/>
      <c r="IQ291" s="592"/>
      <c r="IR291" s="592"/>
      <c r="IS291" s="592"/>
      <c r="IT291" s="592"/>
      <c r="IU291" s="592"/>
      <c r="IV291" s="592"/>
      <c r="IW291" s="592"/>
      <c r="IX291" s="592"/>
      <c r="IY291" s="592"/>
      <c r="IZ291" s="592"/>
      <c r="JA291" s="592"/>
      <c r="JB291" s="592"/>
      <c r="JC291" s="592"/>
      <c r="JD291" s="592"/>
      <c r="JE291" s="592"/>
      <c r="JF291" s="592"/>
      <c r="JG291" s="592"/>
      <c r="JH291" s="592"/>
      <c r="JI291" s="592"/>
      <c r="JJ291" s="592"/>
      <c r="JK291" s="592"/>
      <c r="JL291" s="592"/>
      <c r="JM291" s="592"/>
      <c r="JN291" s="592"/>
      <c r="JO291" s="592"/>
      <c r="JP291" s="592"/>
      <c r="JQ291" s="592"/>
      <c r="JR291" s="592"/>
      <c r="JS291" s="592"/>
      <c r="JT291" s="592"/>
      <c r="JU291" s="592"/>
      <c r="JV291" s="592"/>
      <c r="JW291" s="592"/>
      <c r="JX291" s="592"/>
      <c r="JY291" s="592"/>
      <c r="JZ291" s="592"/>
      <c r="KA291" s="592"/>
      <c r="KB291" s="592"/>
      <c r="KC291" s="592"/>
      <c r="KD291" s="592"/>
      <c r="KE291" s="592"/>
      <c r="KF291" s="592"/>
      <c r="KG291" s="592"/>
      <c r="KH291" s="592"/>
      <c r="KI291" s="592"/>
      <c r="KJ291" s="592"/>
      <c r="KK291" s="592"/>
      <c r="KL291" s="592"/>
      <c r="KM291" s="592"/>
      <c r="KN291" s="592"/>
      <c r="KO291" s="592"/>
      <c r="KP291" s="592"/>
      <c r="KQ291" s="592"/>
      <c r="KR291" s="592"/>
      <c r="KS291" s="592"/>
      <c r="KT291" s="592"/>
      <c r="KU291" s="592"/>
      <c r="KV291" s="592"/>
      <c r="KW291" s="592"/>
      <c r="KX291" s="592"/>
      <c r="KY291" s="592"/>
      <c r="KZ291" s="592"/>
      <c r="LA291" s="592"/>
      <c r="LB291" s="592"/>
      <c r="LC291" s="592"/>
      <c r="LD291" s="592"/>
      <c r="LE291" s="592"/>
      <c r="LF291" s="592"/>
      <c r="LG291" s="592"/>
      <c r="LH291" s="592"/>
      <c r="LI291" s="592"/>
      <c r="LJ291" s="592"/>
      <c r="LK291" s="592"/>
      <c r="LL291" s="592"/>
      <c r="LM291" s="592"/>
      <c r="LN291" s="592"/>
      <c r="LO291" s="592"/>
      <c r="LP291" s="592"/>
      <c r="LQ291" s="592"/>
      <c r="LR291" s="592"/>
      <c r="LS291" s="592"/>
      <c r="LT291" s="592"/>
      <c r="LU291" s="592"/>
      <c r="LV291" s="592"/>
      <c r="LW291" s="592"/>
      <c r="LX291" s="592"/>
      <c r="LY291" s="592"/>
      <c r="LZ291" s="592"/>
      <c r="MA291" s="592"/>
      <c r="MB291" s="592"/>
      <c r="MC291" s="592"/>
      <c r="MD291" s="592"/>
      <c r="ME291" s="592"/>
      <c r="MF291" s="592"/>
      <c r="MG291" s="592"/>
      <c r="MH291" s="592"/>
      <c r="MI291" s="592"/>
      <c r="MJ291" s="592"/>
      <c r="MK291" s="592"/>
      <c r="ML291" s="592"/>
      <c r="MM291" s="592"/>
      <c r="MN291" s="592"/>
      <c r="MO291" s="592"/>
      <c r="MP291" s="592"/>
      <c r="MQ291" s="592"/>
      <c r="MR291" s="592"/>
      <c r="MS291" s="592"/>
      <c r="MT291" s="592"/>
      <c r="MU291" s="592"/>
      <c r="MV291" s="592"/>
      <c r="MW291" s="592"/>
      <c r="MX291" s="592"/>
      <c r="MY291" s="592"/>
      <c r="MZ291" s="592"/>
      <c r="NA291" s="592"/>
      <c r="NB291" s="592"/>
      <c r="NC291" s="592"/>
      <c r="ND291" s="592"/>
      <c r="NE291" s="592"/>
      <c r="NF291" s="592"/>
      <c r="NG291" s="592"/>
      <c r="NH291" s="592"/>
      <c r="NI291" s="592"/>
      <c r="NJ291" s="592"/>
      <c r="NK291" s="592"/>
      <c r="NL291" s="592"/>
      <c r="NM291" s="592"/>
      <c r="NN291" s="592"/>
      <c r="NO291" s="592"/>
      <c r="NP291" s="592"/>
      <c r="NQ291" s="592"/>
      <c r="NR291" s="592"/>
      <c r="NS291" s="592"/>
      <c r="NT291" s="592"/>
      <c r="NU291" s="592"/>
      <c r="NV291" s="592"/>
      <c r="NW291" s="592"/>
      <c r="NX291" s="592"/>
      <c r="NY291" s="592"/>
      <c r="NZ291" s="592"/>
      <c r="OA291" s="592"/>
      <c r="OB291" s="592"/>
      <c r="OC291" s="592"/>
      <c r="OD291" s="592"/>
      <c r="OE291" s="592"/>
      <c r="OF291" s="592"/>
      <c r="OG291" s="592"/>
      <c r="OH291" s="592"/>
      <c r="OI291" s="592"/>
      <c r="OJ291" s="592"/>
      <c r="OK291" s="592"/>
      <c r="OL291" s="592"/>
      <c r="OM291" s="592"/>
      <c r="ON291" s="592"/>
      <c r="OO291" s="592"/>
      <c r="OP291" s="592"/>
      <c r="OQ291" s="592"/>
      <c r="OR291" s="592"/>
      <c r="OS291" s="592"/>
      <c r="OT291" s="592"/>
      <c r="OU291" s="592"/>
      <c r="OV291" s="592"/>
      <c r="OW291" s="592"/>
      <c r="OX291" s="592"/>
      <c r="OY291" s="592"/>
      <c r="OZ291" s="592"/>
      <c r="PA291" s="592"/>
      <c r="PB291" s="592"/>
      <c r="PC291" s="592"/>
      <c r="PD291" s="592"/>
      <c r="PE291" s="592"/>
      <c r="PF291" s="592"/>
      <c r="PG291" s="592"/>
      <c r="PH291" s="592"/>
      <c r="PI291" s="592"/>
      <c r="PJ291" s="592"/>
      <c r="PK291" s="592"/>
      <c r="PL291" s="592"/>
      <c r="PM291" s="592"/>
      <c r="PN291" s="592"/>
      <c r="PO291" s="592"/>
      <c r="PP291" s="592"/>
      <c r="PQ291" s="592"/>
      <c r="PR291" s="592"/>
      <c r="PS291" s="592"/>
      <c r="PT291" s="592"/>
      <c r="PU291" s="592"/>
      <c r="PV291" s="592"/>
      <c r="PW291" s="592"/>
      <c r="PX291" s="592"/>
      <c r="PY291" s="592"/>
      <c r="PZ291" s="592"/>
      <c r="QA291" s="592"/>
      <c r="QB291" s="592"/>
      <c r="QC291" s="592"/>
      <c r="QD291" s="592"/>
      <c r="QE291" s="592"/>
      <c r="QF291" s="592"/>
      <c r="QG291" s="592"/>
      <c r="QH291" s="592"/>
      <c r="QI291" s="592"/>
      <c r="QJ291" s="592"/>
      <c r="QK291" s="592"/>
      <c r="QL291" s="592"/>
      <c r="QM291" s="592"/>
      <c r="QN291" s="592"/>
      <c r="QO291" s="592"/>
      <c r="QP291" s="592"/>
      <c r="QQ291" s="592"/>
      <c r="QR291" s="592"/>
      <c r="QS291" s="592"/>
      <c r="QT291" s="592"/>
      <c r="QU291" s="592"/>
      <c r="QV291" s="592"/>
      <c r="QW291" s="592"/>
      <c r="QX291" s="592"/>
      <c r="QY291" s="592"/>
      <c r="QZ291" s="592"/>
      <c r="RA291" s="592"/>
      <c r="RB291" s="592"/>
      <c r="RC291" s="592"/>
      <c r="RD291" s="592"/>
      <c r="RE291" s="592"/>
      <c r="RF291" s="592"/>
      <c r="RG291" s="592"/>
      <c r="RH291" s="592"/>
      <c r="RI291" s="592"/>
      <c r="RJ291" s="592"/>
      <c r="RK291" s="592"/>
      <c r="RL291" s="592"/>
      <c r="RM291" s="592"/>
      <c r="RN291" s="592"/>
      <c r="RO291" s="592"/>
      <c r="RP291" s="592"/>
      <c r="RQ291" s="592"/>
      <c r="RR291" s="592"/>
      <c r="RS291" s="592"/>
      <c r="RT291" s="592"/>
      <c r="RU291" s="592"/>
      <c r="RV291" s="592"/>
      <c r="RW291" s="592"/>
      <c r="RX291" s="592"/>
      <c r="RY291" s="592"/>
      <c r="RZ291" s="592"/>
      <c r="SA291" s="592"/>
      <c r="SB291" s="592"/>
      <c r="SC291" s="592"/>
      <c r="SD291" s="592"/>
      <c r="SE291" s="592"/>
      <c r="SF291" s="592"/>
      <c r="SG291" s="592"/>
      <c r="SH291" s="592"/>
      <c r="SI291" s="592"/>
      <c r="SJ291" s="592"/>
      <c r="SK291" s="592"/>
      <c r="SL291" s="592"/>
      <c r="SM291" s="592"/>
      <c r="SN291" s="592"/>
      <c r="SO291" s="592"/>
      <c r="SP291" s="592"/>
      <c r="SQ291" s="592"/>
      <c r="SR291" s="592"/>
      <c r="SS291" s="592"/>
      <c r="ST291" s="592"/>
      <c r="SU291" s="592"/>
      <c r="SV291" s="592"/>
      <c r="SW291" s="592"/>
      <c r="SX291" s="592"/>
      <c r="SY291" s="592"/>
      <c r="SZ291" s="592"/>
      <c r="TA291" s="592"/>
      <c r="TB291" s="592"/>
      <c r="TC291" s="592"/>
      <c r="TD291" s="592"/>
      <c r="TE291" s="592"/>
      <c r="TF291" s="592"/>
      <c r="TG291" s="592"/>
      <c r="TH291" s="592"/>
      <c r="TI291" s="592"/>
      <c r="TJ291" s="592"/>
      <c r="TK291" s="592"/>
      <c r="TL291" s="592"/>
      <c r="TM291" s="592"/>
      <c r="TN291" s="592"/>
      <c r="TO291" s="592"/>
      <c r="TP291" s="592"/>
      <c r="TQ291" s="592"/>
      <c r="TR291" s="592"/>
      <c r="TS291" s="592"/>
      <c r="TT291" s="592"/>
      <c r="TU291" s="592"/>
      <c r="TV291" s="592"/>
      <c r="TW291" s="592"/>
      <c r="TX291" s="592"/>
      <c r="TY291" s="592"/>
      <c r="TZ291" s="592"/>
      <c r="UA291" s="592"/>
      <c r="UB291" s="592"/>
      <c r="UC291" s="592"/>
      <c r="UD291" s="592"/>
      <c r="UE291" s="592"/>
      <c r="UF291" s="592"/>
      <c r="UG291" s="592"/>
      <c r="UH291" s="592"/>
      <c r="UI291" s="592"/>
      <c r="UJ291" s="592"/>
      <c r="UK291" s="592"/>
      <c r="UL291" s="592"/>
      <c r="UM291" s="592"/>
      <c r="UN291" s="592"/>
      <c r="UO291" s="592"/>
      <c r="UP291" s="592"/>
      <c r="UQ291" s="592"/>
      <c r="UR291" s="592"/>
      <c r="US291" s="592"/>
      <c r="UT291" s="592"/>
      <c r="UU291" s="592"/>
      <c r="UV291" s="592"/>
      <c r="UW291" s="592"/>
      <c r="UX291" s="592"/>
      <c r="UY291" s="592"/>
      <c r="UZ291" s="592"/>
      <c r="VA291" s="592"/>
      <c r="VB291" s="592"/>
      <c r="VC291" s="592"/>
      <c r="VD291" s="592"/>
      <c r="VE291" s="592"/>
      <c r="VF291" s="592"/>
      <c r="VG291" s="592"/>
      <c r="VH291" s="592"/>
      <c r="VI291" s="592"/>
      <c r="VJ291" s="592"/>
      <c r="VK291" s="592"/>
      <c r="VL291" s="592"/>
      <c r="VM291" s="592"/>
      <c r="VN291" s="592"/>
      <c r="VO291" s="592"/>
      <c r="VP291" s="592"/>
      <c r="VQ291" s="592"/>
      <c r="VR291" s="592"/>
      <c r="VS291" s="592"/>
      <c r="VT291" s="592"/>
      <c r="VU291" s="592"/>
      <c r="VV291" s="592"/>
      <c r="VW291" s="592"/>
      <c r="VX291" s="592"/>
      <c r="VY291" s="592"/>
      <c r="VZ291" s="592"/>
      <c r="WA291" s="592"/>
      <c r="WB291" s="592"/>
      <c r="WC291" s="592"/>
      <c r="WD291" s="592"/>
      <c r="WE291" s="592"/>
      <c r="WF291" s="592"/>
      <c r="WG291" s="592"/>
      <c r="WH291" s="592"/>
      <c r="WI291" s="592"/>
      <c r="WJ291" s="592"/>
      <c r="WK291" s="592"/>
      <c r="WL291" s="592"/>
      <c r="WM291" s="592"/>
      <c r="WN291" s="592"/>
      <c r="WO291" s="592"/>
      <c r="WP291" s="592"/>
      <c r="WQ291" s="592"/>
      <c r="WR291" s="592"/>
      <c r="WS291" s="592"/>
      <c r="WT291" s="592"/>
      <c r="WU291" s="592"/>
      <c r="WV291" s="592"/>
      <c r="WW291" s="592"/>
      <c r="WX291" s="592"/>
      <c r="WY291" s="592"/>
      <c r="WZ291" s="592"/>
      <c r="XA291" s="592"/>
      <c r="XB291" s="592"/>
      <c r="XC291" s="592"/>
      <c r="XD291" s="592"/>
      <c r="XE291" s="592"/>
      <c r="XF291" s="592"/>
      <c r="XG291" s="592"/>
      <c r="XH291" s="592"/>
      <c r="XI291" s="592"/>
      <c r="XJ291" s="592"/>
      <c r="XK291" s="592"/>
      <c r="XL291" s="592"/>
      <c r="XM291" s="592"/>
      <c r="XN291" s="592"/>
      <c r="XO291" s="592"/>
      <c r="XP291" s="592"/>
      <c r="XQ291" s="592"/>
      <c r="XR291" s="592"/>
      <c r="XS291" s="592"/>
      <c r="XT291" s="592"/>
      <c r="XU291" s="592"/>
      <c r="XV291" s="592"/>
      <c r="XW291" s="592"/>
      <c r="XX291" s="592"/>
      <c r="XY291" s="592"/>
      <c r="XZ291" s="592"/>
      <c r="YA291" s="592"/>
      <c r="YB291" s="592"/>
      <c r="YC291" s="592"/>
      <c r="YD291" s="592"/>
      <c r="YE291" s="592"/>
      <c r="YF291" s="592"/>
      <c r="YG291" s="592"/>
      <c r="YH291" s="592"/>
      <c r="YI291" s="592"/>
      <c r="YJ291" s="592"/>
      <c r="YK291" s="592"/>
      <c r="YL291" s="592"/>
      <c r="YM291" s="592"/>
      <c r="YN291" s="592"/>
      <c r="YO291" s="592"/>
      <c r="YP291" s="592"/>
      <c r="YQ291" s="592"/>
      <c r="YR291" s="592"/>
      <c r="YS291" s="592"/>
      <c r="YT291" s="592"/>
      <c r="YU291" s="592"/>
      <c r="YV291" s="592"/>
      <c r="YW291" s="592"/>
      <c r="YX291" s="592"/>
      <c r="YY291" s="592"/>
      <c r="YZ291" s="592"/>
      <c r="ZA291" s="592"/>
      <c r="ZB291" s="592"/>
      <c r="ZC291" s="592"/>
      <c r="ZD291" s="592"/>
      <c r="ZE291" s="592"/>
      <c r="ZF291" s="592"/>
      <c r="ZG291" s="592"/>
      <c r="ZH291" s="592"/>
      <c r="ZI291" s="592"/>
      <c r="ZJ291" s="592"/>
      <c r="ZK291" s="592"/>
      <c r="ZL291" s="592"/>
      <c r="ZM291" s="592"/>
      <c r="ZN291" s="592"/>
      <c r="ZO291" s="592"/>
      <c r="ZP291" s="592"/>
      <c r="ZQ291" s="592"/>
      <c r="ZR291" s="592"/>
      <c r="ZS291" s="592"/>
      <c r="ZT291" s="592"/>
      <c r="ZU291" s="592"/>
      <c r="ZV291" s="592"/>
      <c r="ZW291" s="592"/>
      <c r="ZX291" s="592"/>
      <c r="ZY291" s="592"/>
      <c r="ZZ291" s="592"/>
      <c r="AAA291" s="592"/>
      <c r="AAB291" s="592"/>
      <c r="AAC291" s="592"/>
      <c r="AAD291" s="592"/>
      <c r="AAE291" s="592"/>
      <c r="AAF291" s="592"/>
      <c r="AAG291" s="592"/>
      <c r="AAH291" s="592"/>
      <c r="AAI291" s="592"/>
      <c r="AAJ291" s="592"/>
      <c r="AAK291" s="592"/>
      <c r="AAL291" s="592"/>
      <c r="AAM291" s="592"/>
      <c r="AAN291" s="592"/>
      <c r="AAO291" s="592"/>
      <c r="AAP291" s="592"/>
      <c r="AAQ291" s="592"/>
      <c r="AAR291" s="592"/>
      <c r="AAS291" s="592"/>
      <c r="AAT291" s="592"/>
      <c r="AAU291" s="592"/>
      <c r="AAV291" s="592"/>
      <c r="AAW291" s="592"/>
      <c r="AAX291" s="592"/>
      <c r="AAY291" s="592"/>
      <c r="AAZ291" s="592"/>
      <c r="ABA291" s="592"/>
      <c r="ABB291" s="592"/>
      <c r="ABC291" s="592"/>
      <c r="ABD291" s="592"/>
      <c r="ABE291" s="592"/>
      <c r="ABF291" s="592"/>
      <c r="ABG291" s="592"/>
      <c r="ABH291" s="592"/>
      <c r="ABI291" s="592"/>
      <c r="ABJ291" s="592"/>
      <c r="ABK291" s="592"/>
      <c r="ABL291" s="592"/>
      <c r="ABM291" s="592"/>
      <c r="ABN291" s="592"/>
      <c r="ABO291" s="592"/>
      <c r="ABP291" s="592"/>
      <c r="ABQ291" s="592"/>
      <c r="ABR291" s="592"/>
      <c r="ABS291" s="592"/>
      <c r="ABT291" s="592"/>
      <c r="ABU291" s="592"/>
      <c r="ABV291" s="592"/>
      <c r="ABW291" s="592"/>
      <c r="ABX291" s="592"/>
      <c r="ABY291" s="592"/>
      <c r="ABZ291" s="592"/>
      <c r="ACA291" s="592"/>
      <c r="ACB291" s="592"/>
      <c r="ACC291" s="592"/>
      <c r="ACD291" s="592"/>
      <c r="ACE291" s="592"/>
      <c r="ACF291" s="592"/>
      <c r="ACG291" s="592"/>
      <c r="ACH291" s="592"/>
      <c r="ACI291" s="592"/>
      <c r="ACJ291" s="592"/>
      <c r="ACK291" s="592"/>
      <c r="ACL291" s="592"/>
      <c r="ACM291" s="592"/>
      <c r="ACN291" s="592"/>
      <c r="ACO291" s="592"/>
      <c r="ACP291" s="592"/>
      <c r="ACQ291" s="592"/>
      <c r="ACR291" s="592"/>
      <c r="ACS291" s="592"/>
      <c r="ACT291" s="592"/>
      <c r="ACU291" s="592"/>
      <c r="ACV291" s="592"/>
      <c r="ACW291" s="592"/>
      <c r="ACX291" s="592"/>
      <c r="ACY291" s="592"/>
      <c r="ACZ291" s="592"/>
      <c r="ADA291" s="592"/>
      <c r="ADB291" s="592"/>
      <c r="ADC291" s="592"/>
      <c r="ADD291" s="592"/>
      <c r="ADE291" s="592"/>
      <c r="ADF291" s="592"/>
      <c r="ADG291" s="592"/>
      <c r="ADH291" s="592"/>
      <c r="ADI291" s="592"/>
      <c r="ADJ291" s="592"/>
      <c r="ADK291" s="592"/>
      <c r="ADL291" s="592"/>
      <c r="ADM291" s="592"/>
      <c r="ADN291" s="592"/>
      <c r="ADO291" s="592"/>
      <c r="ADP291" s="592"/>
      <c r="ADQ291" s="592"/>
      <c r="ADR291" s="592"/>
      <c r="ADS291" s="592"/>
      <c r="ADT291" s="592"/>
      <c r="ADU291" s="592"/>
      <c r="ADV291" s="592"/>
      <c r="ADW291" s="592"/>
      <c r="ADX291" s="592"/>
      <c r="ADY291" s="592"/>
      <c r="ADZ291" s="592"/>
      <c r="AEA291" s="592"/>
      <c r="AEB291" s="592"/>
      <c r="AEC291" s="592"/>
      <c r="AED291" s="592"/>
      <c r="AEE291" s="592"/>
      <c r="AEF291" s="592"/>
      <c r="AEG291" s="592"/>
      <c r="AEH291" s="592"/>
      <c r="AEI291" s="592"/>
      <c r="AEJ291" s="592"/>
      <c r="AEK291" s="592"/>
      <c r="AEL291" s="592"/>
      <c r="AEM291" s="592"/>
      <c r="AEN291" s="592"/>
      <c r="AEO291" s="592"/>
      <c r="AEP291" s="592"/>
      <c r="AEQ291" s="592"/>
      <c r="AER291" s="592"/>
      <c r="AES291" s="592"/>
      <c r="AET291" s="592"/>
      <c r="AEU291" s="592"/>
      <c r="AEV291" s="592"/>
      <c r="AEW291" s="592"/>
      <c r="AEX291" s="592"/>
      <c r="AEY291" s="592"/>
      <c r="AEZ291" s="592"/>
      <c r="AFA291" s="592"/>
      <c r="AFB291" s="592"/>
      <c r="AFC291" s="592"/>
      <c r="AFD291" s="592"/>
      <c r="AFE291" s="592"/>
      <c r="AFF291" s="592"/>
      <c r="AFG291" s="592"/>
      <c r="AFH291" s="592"/>
      <c r="AFI291" s="592"/>
      <c r="AFJ291" s="592"/>
      <c r="AFK291" s="592"/>
      <c r="AFL291" s="592"/>
      <c r="AFM291" s="592"/>
      <c r="AFN291" s="592"/>
      <c r="AFO291" s="592"/>
      <c r="AFP291" s="592"/>
      <c r="AFQ291" s="592"/>
      <c r="AFR291" s="592"/>
      <c r="AFS291" s="592"/>
      <c r="AFT291" s="592"/>
      <c r="AFU291" s="592"/>
      <c r="AFV291" s="592"/>
      <c r="AFW291" s="592"/>
      <c r="AFX291" s="592"/>
      <c r="AFY291" s="592"/>
      <c r="AFZ291" s="592"/>
      <c r="AGA291" s="592"/>
      <c r="AGB291" s="592"/>
      <c r="AGC291" s="592"/>
      <c r="AGD291" s="592"/>
      <c r="AGE291" s="592"/>
      <c r="AGF291" s="592"/>
      <c r="AGG291" s="592"/>
      <c r="AGH291" s="592"/>
      <c r="AGI291" s="592"/>
      <c r="AGJ291" s="592"/>
      <c r="AGK291" s="592"/>
      <c r="AGL291" s="592"/>
      <c r="AGM291" s="592"/>
      <c r="AGN291" s="592"/>
      <c r="AGO291" s="592"/>
      <c r="AGP291" s="592"/>
      <c r="AGQ291" s="592"/>
      <c r="AGR291" s="592"/>
      <c r="AGS291" s="592"/>
      <c r="AGT291" s="592"/>
      <c r="AGU291" s="592"/>
      <c r="AGV291" s="592"/>
      <c r="AGW291" s="592"/>
      <c r="AGX291" s="592"/>
      <c r="AGY291" s="592"/>
      <c r="AGZ291" s="592"/>
      <c r="AHA291" s="592"/>
      <c r="AHB291" s="592"/>
      <c r="AHC291" s="592"/>
      <c r="AHD291" s="592"/>
      <c r="AHE291" s="592"/>
      <c r="AHF291" s="592"/>
      <c r="AHG291" s="592"/>
      <c r="AHH291" s="592"/>
      <c r="AHI291" s="592"/>
      <c r="AHJ291" s="592"/>
      <c r="AHK291" s="592"/>
      <c r="AHL291" s="592"/>
      <c r="AHM291" s="592"/>
      <c r="AHN291" s="592"/>
      <c r="AHO291" s="592"/>
      <c r="AHP291" s="592"/>
      <c r="AHQ291" s="592"/>
      <c r="AHR291" s="592"/>
      <c r="AHS291" s="592"/>
      <c r="AHT291" s="592"/>
      <c r="AHU291" s="592"/>
      <c r="AHV291" s="592"/>
      <c r="AHW291" s="592"/>
      <c r="AHX291" s="592"/>
      <c r="AHY291" s="592"/>
      <c r="AHZ291" s="592"/>
      <c r="AIA291" s="592"/>
      <c r="AIB291" s="592"/>
      <c r="AIC291" s="592"/>
      <c r="AID291" s="592"/>
      <c r="AIE291" s="592"/>
      <c r="AIF291" s="592"/>
      <c r="AIG291" s="592"/>
      <c r="AIH291" s="592"/>
      <c r="AII291" s="592"/>
      <c r="AIJ291" s="592"/>
      <c r="AIK291" s="592"/>
      <c r="AIL291" s="592"/>
      <c r="AIM291" s="592"/>
      <c r="AIN291" s="592"/>
      <c r="AIO291" s="592"/>
      <c r="AIP291" s="592"/>
      <c r="AIQ291" s="592"/>
      <c r="AIR291" s="592"/>
      <c r="AIS291" s="592"/>
      <c r="AIT291" s="592"/>
      <c r="AIU291" s="592"/>
      <c r="AIV291" s="592"/>
      <c r="AIW291" s="592"/>
      <c r="AIX291" s="592"/>
      <c r="AIY291" s="592"/>
      <c r="AIZ291" s="592"/>
      <c r="AJA291" s="592"/>
      <c r="AJB291" s="592"/>
      <c r="AJC291" s="592"/>
      <c r="AJD291" s="592"/>
      <c r="AJE291" s="592"/>
      <c r="AJF291" s="592"/>
      <c r="AJG291" s="592"/>
      <c r="AJH291" s="592"/>
      <c r="AJI291" s="592"/>
      <c r="AJJ291" s="592"/>
      <c r="AJK291" s="592"/>
      <c r="AJL291" s="592"/>
      <c r="AJM291" s="592"/>
      <c r="AJN291" s="592"/>
      <c r="AJO291" s="592"/>
      <c r="AJP291" s="592"/>
      <c r="AJQ291" s="592"/>
      <c r="AJR291" s="592"/>
      <c r="AJS291" s="592"/>
      <c r="AJT291" s="592"/>
      <c r="AJU291" s="592"/>
      <c r="AJV291" s="592"/>
      <c r="AJW291" s="592"/>
      <c r="AJX291" s="592"/>
      <c r="AJY291" s="592"/>
      <c r="AJZ291" s="592"/>
      <c r="AKA291" s="592"/>
      <c r="AKB291" s="592"/>
      <c r="AKC291" s="592"/>
      <c r="AKD291" s="592"/>
      <c r="AKE291" s="592"/>
      <c r="AKF291" s="592"/>
      <c r="AKG291" s="592"/>
      <c r="AKH291" s="592"/>
      <c r="AKI291" s="592"/>
      <c r="AKJ291" s="592"/>
      <c r="AKK291" s="592"/>
      <c r="AKL291" s="592"/>
      <c r="AKM291" s="592"/>
      <c r="AKN291" s="592"/>
      <c r="AKO291" s="592"/>
      <c r="AKP291" s="592"/>
      <c r="AKQ291" s="592"/>
      <c r="AKR291" s="592"/>
      <c r="AKS291" s="592"/>
      <c r="AKT291" s="592"/>
      <c r="AKU291" s="592"/>
      <c r="AKV291" s="592"/>
      <c r="AKW291" s="592"/>
      <c r="AKX291" s="592"/>
      <c r="AKY291" s="592"/>
      <c r="AKZ291" s="592"/>
      <c r="ALA291" s="592"/>
      <c r="ALB291" s="592"/>
      <c r="ALC291" s="592"/>
      <c r="ALD291" s="592"/>
      <c r="ALE291" s="592"/>
      <c r="ALF291" s="592"/>
      <c r="ALG291" s="592"/>
      <c r="ALH291" s="592"/>
      <c r="ALI291" s="592"/>
      <c r="ALJ291" s="592"/>
      <c r="ALK291" s="592"/>
      <c r="ALL291" s="592"/>
      <c r="ALM291" s="592"/>
      <c r="ALN291" s="592"/>
      <c r="ALO291" s="592"/>
      <c r="ALP291" s="592"/>
      <c r="ALQ291" s="592"/>
      <c r="ALR291" s="592"/>
      <c r="ALS291" s="592"/>
      <c r="ALT291" s="592"/>
      <c r="ALU291" s="592"/>
      <c r="ALV291" s="592"/>
      <c r="ALW291" s="592"/>
      <c r="ALX291" s="592"/>
      <c r="ALY291" s="592"/>
      <c r="ALZ291" s="592"/>
      <c r="AMA291" s="592"/>
      <c r="AMB291" s="592"/>
      <c r="AMC291" s="592"/>
      <c r="AMD291" s="592"/>
      <c r="AME291" s="592"/>
      <c r="AMF291" s="592"/>
      <c r="AMG291" s="592"/>
      <c r="AMH291" s="592"/>
      <c r="AMI291" s="592"/>
      <c r="AMJ291" s="592"/>
      <c r="AMK291" s="592"/>
      <c r="AML291" s="592"/>
      <c r="AMM291" s="592"/>
      <c r="AMN291" s="592"/>
      <c r="AMO291" s="592"/>
      <c r="AMP291" s="592"/>
      <c r="AMQ291" s="592"/>
      <c r="AMR291" s="592"/>
      <c r="AMS291" s="592"/>
      <c r="AMT291" s="592"/>
      <c r="AMU291" s="592"/>
      <c r="AMV291" s="592"/>
      <c r="AMW291" s="592"/>
      <c r="AMX291" s="592"/>
      <c r="AMY291" s="592"/>
      <c r="AMZ291" s="592"/>
      <c r="ANA291" s="592"/>
      <c r="ANB291" s="592"/>
      <c r="ANC291" s="592"/>
      <c r="AND291" s="592"/>
      <c r="ANE291" s="592"/>
      <c r="ANF291" s="592"/>
      <c r="ANG291" s="592"/>
      <c r="ANH291" s="592"/>
      <c r="ANI291" s="592"/>
      <c r="ANJ291" s="592"/>
      <c r="ANK291" s="592"/>
      <c r="ANL291" s="592"/>
      <c r="ANM291" s="592"/>
      <c r="ANN291" s="592"/>
      <c r="ANO291" s="592"/>
      <c r="ANP291" s="592"/>
      <c r="ANQ291" s="592"/>
      <c r="ANR291" s="592"/>
      <c r="ANS291" s="592"/>
      <c r="ANT291" s="592"/>
      <c r="ANU291" s="592"/>
      <c r="ANV291" s="592"/>
      <c r="ANW291" s="592"/>
      <c r="ANX291" s="592"/>
      <c r="ANY291" s="592"/>
      <c r="ANZ291" s="592"/>
      <c r="AOA291" s="592"/>
      <c r="AOB291" s="592"/>
      <c r="AOC291" s="592"/>
      <c r="AOD291" s="592"/>
      <c r="AOE291" s="592"/>
      <c r="AOF291" s="592"/>
      <c r="AOG291" s="592"/>
      <c r="AOH291" s="592"/>
      <c r="AOI291" s="592"/>
      <c r="AOJ291" s="592"/>
      <c r="AOK291" s="592"/>
      <c r="AOL291" s="592"/>
      <c r="AOM291" s="592"/>
      <c r="AON291" s="592"/>
      <c r="AOO291" s="592"/>
      <c r="AOP291" s="592"/>
      <c r="AOQ291" s="592"/>
      <c r="AOR291" s="592"/>
      <c r="AOS291" s="592"/>
      <c r="AOT291" s="592"/>
      <c r="AOU291" s="592"/>
      <c r="AOV291" s="592"/>
      <c r="AOW291" s="592"/>
      <c r="AOX291" s="592"/>
      <c r="AOY291" s="592"/>
      <c r="AOZ291" s="592"/>
      <c r="APA291" s="592"/>
      <c r="APB291" s="592"/>
      <c r="APC291" s="592"/>
      <c r="APD291" s="592"/>
      <c r="APE291" s="592"/>
      <c r="APF291" s="592"/>
      <c r="APG291" s="592"/>
      <c r="APH291" s="592"/>
      <c r="API291" s="592"/>
      <c r="APJ291" s="592"/>
      <c r="APK291" s="592"/>
      <c r="APL291" s="592"/>
      <c r="APM291" s="592"/>
      <c r="APN291" s="592"/>
      <c r="APO291" s="592"/>
      <c r="APP291" s="592"/>
      <c r="APQ291" s="592"/>
      <c r="APR291" s="592"/>
      <c r="APS291" s="592"/>
      <c r="APT291" s="592"/>
      <c r="APU291" s="592"/>
      <c r="APV291" s="592"/>
      <c r="APW291" s="592"/>
      <c r="APX291" s="592"/>
      <c r="APY291" s="592"/>
      <c r="APZ291" s="592"/>
      <c r="AQA291" s="592"/>
      <c r="AQB291" s="592"/>
      <c r="AQC291" s="592"/>
      <c r="AQD291" s="592"/>
      <c r="AQE291" s="592"/>
      <c r="AQF291" s="592"/>
      <c r="AQG291" s="592"/>
      <c r="AQH291" s="592"/>
      <c r="AQI291" s="592"/>
      <c r="AQJ291" s="592"/>
      <c r="AQK291" s="592"/>
      <c r="AQL291" s="592"/>
      <c r="AQM291" s="592"/>
      <c r="AQN291" s="592"/>
      <c r="AQO291" s="592"/>
      <c r="AQP291" s="592"/>
      <c r="AQQ291" s="592"/>
      <c r="AQR291" s="592"/>
      <c r="AQS291" s="592"/>
      <c r="AQT291" s="592"/>
      <c r="AQU291" s="592"/>
      <c r="AQV291" s="592"/>
      <c r="AQW291" s="592"/>
      <c r="AQX291" s="592"/>
      <c r="AQY291" s="592"/>
      <c r="AQZ291" s="592"/>
      <c r="ARA291" s="592"/>
      <c r="ARB291" s="592"/>
      <c r="ARC291" s="592"/>
      <c r="ARD291" s="592"/>
      <c r="ARE291" s="592"/>
      <c r="ARF291" s="592"/>
      <c r="ARG291" s="592"/>
      <c r="ARH291" s="592"/>
      <c r="ARI291" s="592"/>
      <c r="ARJ291" s="592"/>
      <c r="ARK291" s="592"/>
      <c r="ARL291" s="592"/>
      <c r="ARM291" s="592"/>
      <c r="ARN291" s="592"/>
      <c r="ARO291" s="592"/>
      <c r="ARP291" s="592"/>
      <c r="ARQ291" s="592"/>
      <c r="ARR291" s="592"/>
      <c r="ARS291" s="592"/>
      <c r="ART291" s="592"/>
      <c r="ARU291" s="592"/>
      <c r="ARV291" s="592"/>
      <c r="ARW291" s="592"/>
      <c r="ARX291" s="592"/>
      <c r="ARY291" s="592"/>
      <c r="ARZ291" s="592"/>
      <c r="ASA291" s="592"/>
      <c r="ASB291" s="592"/>
      <c r="ASC291" s="592"/>
      <c r="ASD291" s="592"/>
      <c r="ASE291" s="592"/>
      <c r="ASF291" s="592"/>
      <c r="ASG291" s="592"/>
      <c r="ASH291" s="592"/>
      <c r="ASI291" s="592"/>
      <c r="ASJ291" s="592"/>
      <c r="ASK291" s="592"/>
      <c r="ASL291" s="592"/>
      <c r="ASM291" s="592"/>
      <c r="ASN291" s="592"/>
      <c r="ASO291" s="592"/>
      <c r="ASP291" s="592"/>
      <c r="ASQ291" s="592"/>
      <c r="ASR291" s="592"/>
      <c r="ASS291" s="592"/>
      <c r="AST291" s="592"/>
      <c r="ASU291" s="592"/>
      <c r="ASV291" s="592"/>
      <c r="ASW291" s="592"/>
      <c r="ASX291" s="592"/>
      <c r="ASY291" s="592"/>
      <c r="ASZ291" s="592"/>
      <c r="ATA291" s="592"/>
      <c r="ATB291" s="592"/>
      <c r="ATC291" s="592"/>
      <c r="ATD291" s="592"/>
      <c r="ATE291" s="592"/>
      <c r="ATF291" s="592"/>
      <c r="ATG291" s="592"/>
      <c r="ATH291" s="592"/>
      <c r="ATI291" s="592"/>
      <c r="ATJ291" s="592"/>
      <c r="ATK291" s="592"/>
      <c r="ATL291" s="592"/>
      <c r="ATM291" s="592"/>
      <c r="ATN291" s="592"/>
      <c r="ATO291" s="592"/>
      <c r="ATP291" s="592"/>
      <c r="ATQ291" s="592"/>
      <c r="ATR291" s="592"/>
      <c r="ATS291" s="592"/>
      <c r="ATT291" s="592"/>
      <c r="ATU291" s="592"/>
      <c r="ATV291" s="592"/>
      <c r="ATW291" s="592"/>
      <c r="ATX291" s="592"/>
      <c r="ATY291" s="592"/>
      <c r="ATZ291" s="592"/>
      <c r="AUA291" s="592"/>
      <c r="AUB291" s="592"/>
      <c r="AUC291" s="592"/>
      <c r="AUD291" s="592"/>
      <c r="AUE291" s="592"/>
      <c r="AUF291" s="592"/>
      <c r="AUG291" s="592"/>
      <c r="AUH291" s="592"/>
      <c r="AUI291" s="592"/>
      <c r="AUJ291" s="592"/>
      <c r="AUK291" s="592"/>
      <c r="AUL291" s="592"/>
      <c r="AUM291" s="592"/>
      <c r="AUN291" s="592"/>
      <c r="AUO291" s="592"/>
      <c r="AUP291" s="592"/>
      <c r="AUQ291" s="592"/>
      <c r="AUR291" s="592"/>
      <c r="AUS291" s="592"/>
      <c r="AUT291" s="592"/>
      <c r="AUU291" s="592"/>
      <c r="AUV291" s="592"/>
      <c r="AUW291" s="592"/>
      <c r="AUX291" s="592"/>
      <c r="AUY291" s="592"/>
      <c r="AUZ291" s="592"/>
      <c r="AVA291" s="592"/>
      <c r="AVB291" s="592"/>
      <c r="AVC291" s="592"/>
      <c r="AVD291" s="592"/>
      <c r="AVE291" s="592"/>
      <c r="AVF291" s="592"/>
      <c r="AVG291" s="592"/>
      <c r="AVH291" s="592"/>
      <c r="AVI291" s="592"/>
      <c r="AVJ291" s="592"/>
      <c r="AVK291" s="592"/>
      <c r="AVL291" s="592"/>
      <c r="AVM291" s="592"/>
      <c r="AVN291" s="592"/>
      <c r="AVO291" s="592"/>
      <c r="AVP291" s="592"/>
      <c r="AVQ291" s="592"/>
      <c r="AVR291" s="592"/>
      <c r="AVS291" s="592"/>
      <c r="AVT291" s="592"/>
      <c r="AVU291" s="592"/>
      <c r="AVV291" s="592"/>
      <c r="AVW291" s="592"/>
      <c r="AVX291" s="592"/>
      <c r="AVY291" s="592"/>
      <c r="AVZ291" s="592"/>
      <c r="AWA291" s="592"/>
      <c r="AWB291" s="592"/>
      <c r="AWC291" s="592"/>
      <c r="AWD291" s="592"/>
      <c r="AWE291" s="592"/>
      <c r="AWF291" s="592"/>
      <c r="AWG291" s="592"/>
      <c r="AWH291" s="592"/>
      <c r="AWI291" s="592"/>
      <c r="AWJ291" s="592"/>
      <c r="AWK291" s="592"/>
      <c r="AWL291" s="592"/>
      <c r="AWM291" s="592"/>
      <c r="AWN291" s="592"/>
      <c r="AWO291" s="592"/>
      <c r="AWP291" s="592"/>
      <c r="AWQ291" s="592"/>
      <c r="AWR291" s="592"/>
      <c r="AWS291" s="592"/>
      <c r="AWT291" s="592"/>
      <c r="AWU291" s="592"/>
      <c r="AWV291" s="592"/>
      <c r="AWW291" s="592"/>
      <c r="AWX291" s="592"/>
      <c r="AWY291" s="592"/>
      <c r="AWZ291" s="592"/>
      <c r="AXA291" s="592"/>
      <c r="AXB291" s="592"/>
      <c r="AXC291" s="592"/>
      <c r="AXD291" s="592"/>
      <c r="AXE291" s="592"/>
      <c r="AXF291" s="592"/>
      <c r="AXG291" s="592"/>
      <c r="AXH291" s="592"/>
      <c r="AXI291" s="592"/>
      <c r="AXJ291" s="592"/>
      <c r="AXK291" s="592"/>
      <c r="AXL291" s="592"/>
      <c r="AXM291" s="592"/>
      <c r="AXN291" s="592"/>
      <c r="AXO291" s="592"/>
      <c r="AXP291" s="592"/>
      <c r="AXQ291" s="592"/>
      <c r="AXR291" s="592"/>
      <c r="AXS291" s="592"/>
      <c r="AXT291" s="592"/>
      <c r="AXU291" s="592"/>
      <c r="AXV291" s="592"/>
      <c r="AXW291" s="592"/>
      <c r="AXX291" s="592"/>
      <c r="AXY291" s="592"/>
      <c r="AXZ291" s="592"/>
      <c r="AYA291" s="592"/>
      <c r="AYB291" s="592"/>
      <c r="AYC291" s="592"/>
      <c r="AYD291" s="592"/>
      <c r="AYE291" s="592"/>
      <c r="AYF291" s="592"/>
      <c r="AYG291" s="592"/>
      <c r="AYH291" s="592"/>
      <c r="AYI291" s="592"/>
      <c r="AYJ291" s="592"/>
      <c r="AYK291" s="592"/>
      <c r="AYL291" s="592"/>
      <c r="AYM291" s="592"/>
      <c r="AYN291" s="592"/>
      <c r="AYO291" s="592"/>
      <c r="AYP291" s="592"/>
      <c r="AYQ291" s="592"/>
      <c r="AYR291" s="592"/>
      <c r="AYS291" s="592"/>
      <c r="AYT291" s="592"/>
      <c r="AYU291" s="592"/>
      <c r="AYV291" s="592"/>
      <c r="AYW291" s="592"/>
      <c r="AYX291" s="592"/>
      <c r="AYY291" s="592"/>
      <c r="AYZ291" s="592"/>
      <c r="AZA291" s="592"/>
      <c r="AZB291" s="592"/>
      <c r="AZC291" s="592"/>
      <c r="AZD291" s="592"/>
      <c r="AZE291" s="592"/>
      <c r="AZF291" s="592"/>
      <c r="AZG291" s="592"/>
      <c r="AZH291" s="592"/>
      <c r="AZI291" s="592"/>
      <c r="AZJ291" s="592"/>
      <c r="AZK291" s="592"/>
      <c r="AZL291" s="592"/>
      <c r="AZM291" s="592"/>
      <c r="AZN291" s="592"/>
      <c r="AZO291" s="592"/>
      <c r="AZP291" s="592"/>
      <c r="AZQ291" s="592"/>
      <c r="AZR291" s="592"/>
      <c r="AZS291" s="592"/>
      <c r="AZT291" s="592"/>
      <c r="AZU291" s="592"/>
      <c r="AZV291" s="592"/>
      <c r="AZW291" s="592"/>
      <c r="AZX291" s="592"/>
      <c r="AZY291" s="592"/>
      <c r="AZZ291" s="592"/>
      <c r="BAA291" s="592"/>
      <c r="BAB291" s="592"/>
      <c r="BAC291" s="592"/>
      <c r="BAD291" s="592"/>
      <c r="BAE291" s="592"/>
      <c r="BAF291" s="592"/>
      <c r="BAG291" s="592"/>
      <c r="BAH291" s="592"/>
      <c r="BAI291" s="592"/>
      <c r="BAJ291" s="592"/>
      <c r="BAK291" s="592"/>
      <c r="BAL291" s="592"/>
      <c r="BAM291" s="592"/>
      <c r="BAN291" s="592"/>
      <c r="BAO291" s="592"/>
      <c r="BAP291" s="592"/>
      <c r="BAQ291" s="592"/>
      <c r="BAR291" s="592"/>
      <c r="BAS291" s="592"/>
      <c r="BAT291" s="592"/>
      <c r="BAU291" s="592"/>
      <c r="BAV291" s="592"/>
      <c r="BAW291" s="592"/>
      <c r="BAX291" s="592"/>
      <c r="BAY291" s="592"/>
      <c r="BAZ291" s="592"/>
      <c r="BBA291" s="592"/>
      <c r="BBB291" s="592"/>
      <c r="BBC291" s="592"/>
      <c r="BBD291" s="592"/>
      <c r="BBE291" s="592"/>
      <c r="BBF291" s="592"/>
      <c r="BBG291" s="592"/>
      <c r="BBH291" s="592"/>
      <c r="BBI291" s="592"/>
      <c r="BBJ291" s="592"/>
      <c r="BBK291" s="592"/>
      <c r="BBL291" s="592"/>
      <c r="BBM291" s="592"/>
      <c r="BBN291" s="592"/>
      <c r="BBO291" s="592"/>
      <c r="BBP291" s="592"/>
      <c r="BBQ291" s="592"/>
      <c r="BBR291" s="592"/>
      <c r="BBS291" s="592"/>
      <c r="BBT291" s="592"/>
      <c r="BBU291" s="592"/>
      <c r="BBV291" s="592"/>
      <c r="BBW291" s="592"/>
      <c r="BBX291" s="592"/>
      <c r="BBY291" s="592"/>
      <c r="BBZ291" s="592"/>
      <c r="BCA291" s="592"/>
      <c r="BCB291" s="592"/>
      <c r="BCC291" s="592"/>
      <c r="BCD291" s="592"/>
      <c r="BCE291" s="592"/>
      <c r="BCF291" s="592"/>
      <c r="BCG291" s="592"/>
      <c r="BCH291" s="592"/>
      <c r="BCI291" s="592"/>
      <c r="BCJ291" s="592"/>
      <c r="BCK291" s="592"/>
      <c r="BCL291" s="592"/>
      <c r="BCM291" s="592"/>
      <c r="BCN291" s="592"/>
      <c r="BCO291" s="592"/>
      <c r="BCP291" s="592"/>
      <c r="BCQ291" s="592"/>
      <c r="BCR291" s="592"/>
      <c r="BCS291" s="592"/>
      <c r="BCT291" s="592"/>
      <c r="BCU291" s="592"/>
      <c r="BCV291" s="592"/>
      <c r="BCW291" s="592"/>
      <c r="BCX291" s="592"/>
      <c r="BCY291" s="592"/>
      <c r="BCZ291" s="592"/>
      <c r="BDA291" s="592"/>
      <c r="BDB291" s="592"/>
      <c r="BDC291" s="592"/>
      <c r="BDD291" s="592"/>
      <c r="BDE291" s="592"/>
      <c r="BDF291" s="592"/>
      <c r="BDG291" s="592"/>
      <c r="BDH291" s="592"/>
      <c r="BDI291" s="592"/>
      <c r="BDJ291" s="592"/>
      <c r="BDK291" s="592"/>
      <c r="BDL291" s="592"/>
      <c r="BDM291" s="592"/>
      <c r="BDN291" s="592"/>
      <c r="BDO291" s="592"/>
      <c r="BDP291" s="592"/>
      <c r="BDQ291" s="592"/>
      <c r="BDR291" s="592"/>
      <c r="BDS291" s="592"/>
      <c r="BDT291" s="592"/>
      <c r="BDU291" s="592"/>
      <c r="BDV291" s="592"/>
      <c r="BDW291" s="592"/>
      <c r="BDX291" s="592"/>
      <c r="BDY291" s="592"/>
      <c r="BDZ291" s="592"/>
      <c r="BEA291" s="592"/>
      <c r="BEB291" s="592"/>
      <c r="BEC291" s="592"/>
      <c r="BED291" s="592"/>
      <c r="BEE291" s="592"/>
      <c r="BEF291" s="592"/>
      <c r="BEG291" s="592"/>
      <c r="BEH291" s="592"/>
      <c r="BEI291" s="592"/>
      <c r="BEJ291" s="592"/>
      <c r="BEK291" s="592"/>
      <c r="BEL291" s="592"/>
      <c r="BEM291" s="592"/>
      <c r="BEN291" s="592"/>
      <c r="BEO291" s="592"/>
      <c r="BEP291" s="592"/>
      <c r="BEQ291" s="592"/>
      <c r="BER291" s="592"/>
      <c r="BES291" s="592"/>
      <c r="BET291" s="592"/>
      <c r="BEU291" s="592"/>
      <c r="BEV291" s="592"/>
      <c r="BEW291" s="592"/>
      <c r="BEX291" s="592"/>
      <c r="BEY291" s="592"/>
      <c r="BEZ291" s="592"/>
      <c r="BFA291" s="592"/>
      <c r="BFB291" s="592"/>
      <c r="BFC291" s="592"/>
      <c r="BFD291" s="592"/>
      <c r="BFE291" s="592"/>
      <c r="BFF291" s="592"/>
      <c r="BFG291" s="592"/>
      <c r="BFH291" s="592"/>
      <c r="BFI291" s="592"/>
      <c r="BFJ291" s="592"/>
      <c r="BFK291" s="592"/>
      <c r="BFL291" s="592"/>
      <c r="BFM291" s="592"/>
      <c r="BFN291" s="592"/>
      <c r="BFO291" s="592"/>
      <c r="BFP291" s="592"/>
      <c r="BFQ291" s="592"/>
      <c r="BFR291" s="592"/>
      <c r="BFS291" s="592"/>
      <c r="BFT291" s="592"/>
      <c r="BFU291" s="592"/>
      <c r="BFV291" s="592"/>
      <c r="BFW291" s="592"/>
      <c r="BFX291" s="592"/>
      <c r="BFY291" s="592"/>
      <c r="BFZ291" s="592"/>
      <c r="BGA291" s="592"/>
      <c r="BGB291" s="592"/>
      <c r="BGC291" s="592"/>
      <c r="BGD291" s="592"/>
      <c r="BGE291" s="592"/>
      <c r="BGF291" s="592"/>
      <c r="BGG291" s="592"/>
      <c r="BGH291" s="592"/>
      <c r="BGI291" s="592"/>
      <c r="BGJ291" s="592"/>
      <c r="BGK291" s="592"/>
      <c r="BGL291" s="592"/>
      <c r="BGM291" s="592"/>
      <c r="BGN291" s="592"/>
      <c r="BGO291" s="592"/>
      <c r="BGP291" s="592"/>
      <c r="BGQ291" s="592"/>
      <c r="BGR291" s="592"/>
      <c r="BGS291" s="592"/>
      <c r="BGT291" s="592"/>
      <c r="BGU291" s="592"/>
      <c r="BGV291" s="592"/>
      <c r="BGW291" s="592"/>
      <c r="BGX291" s="592"/>
      <c r="BGY291" s="592"/>
      <c r="BGZ291" s="592"/>
      <c r="BHA291" s="592"/>
      <c r="BHB291" s="592"/>
      <c r="BHC291" s="592"/>
      <c r="BHD291" s="592"/>
      <c r="BHE291" s="592"/>
      <c r="BHF291" s="592"/>
      <c r="BHG291" s="592"/>
      <c r="BHH291" s="592"/>
      <c r="BHI291" s="592"/>
      <c r="BHJ291" s="592"/>
      <c r="BHK291" s="592"/>
      <c r="BHL291" s="592"/>
      <c r="BHM291" s="592"/>
      <c r="BHN291" s="592"/>
      <c r="BHO291" s="592"/>
      <c r="BHP291" s="592"/>
      <c r="BHQ291" s="592"/>
      <c r="BHR291" s="592"/>
      <c r="BHS291" s="592"/>
      <c r="BHT291" s="592"/>
      <c r="BHU291" s="592"/>
      <c r="BHV291" s="592"/>
      <c r="BHW291" s="592"/>
      <c r="BHX291" s="592"/>
      <c r="BHY291" s="592"/>
      <c r="BHZ291" s="592"/>
      <c r="BIA291" s="592"/>
      <c r="BIB291" s="592"/>
      <c r="BIC291" s="592"/>
      <c r="BID291" s="592"/>
      <c r="BIE291" s="592"/>
      <c r="BIF291" s="592"/>
      <c r="BIG291" s="592"/>
      <c r="BIH291" s="592"/>
      <c r="BII291" s="592"/>
      <c r="BIJ291" s="592"/>
      <c r="BIK291" s="592"/>
      <c r="BIL291" s="592"/>
      <c r="BIM291" s="592"/>
      <c r="BIN291" s="592"/>
      <c r="BIO291" s="592"/>
      <c r="BIP291" s="592"/>
      <c r="BIQ291" s="592"/>
      <c r="BIR291" s="592"/>
      <c r="BIS291" s="592"/>
      <c r="BIT291" s="592"/>
      <c r="BIU291" s="592"/>
      <c r="BIV291" s="592"/>
      <c r="BIW291" s="592"/>
      <c r="BIX291" s="592"/>
      <c r="BIY291" s="592"/>
      <c r="BIZ291" s="592"/>
      <c r="BJA291" s="592"/>
      <c r="BJB291" s="592"/>
      <c r="BJC291" s="592"/>
      <c r="BJD291" s="592"/>
      <c r="BJE291" s="592"/>
      <c r="BJF291" s="592"/>
      <c r="BJG291" s="592"/>
      <c r="BJH291" s="592"/>
      <c r="BJI291" s="592"/>
      <c r="BJJ291" s="592"/>
      <c r="BJK291" s="592"/>
      <c r="BJL291" s="592"/>
      <c r="BJM291" s="592"/>
      <c r="BJN291" s="592"/>
      <c r="BJO291" s="592"/>
      <c r="BJP291" s="592"/>
      <c r="BJQ291" s="592"/>
      <c r="BJR291" s="592"/>
      <c r="BJS291" s="592"/>
      <c r="BJT291" s="592"/>
      <c r="BJU291" s="592"/>
      <c r="BJV291" s="592"/>
      <c r="BJW291" s="592"/>
      <c r="BJX291" s="592"/>
      <c r="BJY291" s="592"/>
      <c r="BJZ291" s="592"/>
      <c r="BKA291" s="592"/>
      <c r="BKB291" s="592"/>
      <c r="BKC291" s="592"/>
      <c r="BKD291" s="592"/>
      <c r="BKE291" s="592"/>
      <c r="BKF291" s="592"/>
      <c r="BKG291" s="592"/>
      <c r="BKH291" s="592"/>
      <c r="BKI291" s="592"/>
      <c r="BKJ291" s="592"/>
      <c r="BKK291" s="592"/>
      <c r="BKL291" s="592"/>
      <c r="BKM291" s="592"/>
      <c r="BKN291" s="592"/>
      <c r="BKO291" s="592"/>
      <c r="BKP291" s="592"/>
      <c r="BKQ291" s="592"/>
      <c r="BKR291" s="592"/>
      <c r="BKS291" s="592"/>
      <c r="BKT291" s="592"/>
      <c r="BKU291" s="592"/>
      <c r="BKV291" s="592"/>
      <c r="BKW291" s="592"/>
      <c r="BKX291" s="592"/>
      <c r="BKY291" s="592"/>
      <c r="BKZ291" s="592"/>
      <c r="BLA291" s="592"/>
      <c r="BLB291" s="592"/>
      <c r="BLC291" s="592"/>
      <c r="BLD291" s="592"/>
      <c r="BLE291" s="592"/>
      <c r="BLF291" s="592"/>
      <c r="BLG291" s="592"/>
      <c r="BLH291" s="592"/>
      <c r="BLI291" s="592"/>
      <c r="BLJ291" s="592"/>
      <c r="BLK291" s="592"/>
      <c r="BLL291" s="592"/>
      <c r="BLM291" s="592"/>
      <c r="BLN291" s="592"/>
      <c r="BLO291" s="592"/>
      <c r="BLP291" s="592"/>
      <c r="BLQ291" s="592"/>
      <c r="BLR291" s="592"/>
      <c r="BLS291" s="592"/>
      <c r="BLT291" s="592"/>
      <c r="BLU291" s="592"/>
      <c r="BLV291" s="592"/>
      <c r="BLW291" s="592"/>
      <c r="BLX291" s="592"/>
      <c r="BLY291" s="592"/>
      <c r="BLZ291" s="592"/>
      <c r="BMA291" s="592"/>
      <c r="BMB291" s="592"/>
      <c r="BMC291" s="592"/>
      <c r="BMD291" s="592"/>
      <c r="BME291" s="592"/>
      <c r="BMF291" s="592"/>
      <c r="BMG291" s="592"/>
      <c r="BMH291" s="592"/>
      <c r="BMI291" s="592"/>
      <c r="BMJ291" s="592"/>
      <c r="BMK291" s="592"/>
      <c r="BML291" s="592"/>
      <c r="BMM291" s="592"/>
      <c r="BMN291" s="592"/>
      <c r="BMO291" s="592"/>
      <c r="BMP291" s="592"/>
      <c r="BMQ291" s="592"/>
      <c r="BMR291" s="592"/>
      <c r="BMS291" s="592"/>
      <c r="BMT291" s="592"/>
      <c r="BMU291" s="592"/>
      <c r="BMV291" s="592"/>
      <c r="BMW291" s="592"/>
      <c r="BMX291" s="592"/>
      <c r="BMY291" s="592"/>
      <c r="BMZ291" s="592"/>
      <c r="BNA291" s="592"/>
      <c r="BNB291" s="592"/>
      <c r="BNC291" s="592"/>
      <c r="BND291" s="592"/>
      <c r="BNE291" s="592"/>
      <c r="BNF291" s="592"/>
      <c r="BNG291" s="592"/>
      <c r="BNH291" s="592"/>
      <c r="BNI291" s="592"/>
      <c r="BNJ291" s="592"/>
      <c r="BNK291" s="592"/>
      <c r="BNL291" s="592"/>
      <c r="BNM291" s="592"/>
      <c r="BNN291" s="592"/>
      <c r="BNO291" s="592"/>
      <c r="BNP291" s="592"/>
      <c r="BNQ291" s="592"/>
      <c r="BNR291" s="592"/>
      <c r="BNS291" s="592"/>
      <c r="BNT291" s="592"/>
      <c r="BNU291" s="592"/>
      <c r="BNV291" s="592"/>
      <c r="BNW291" s="592"/>
      <c r="BNX291" s="592"/>
      <c r="BNY291" s="592"/>
      <c r="BNZ291" s="592"/>
      <c r="BOA291" s="592"/>
      <c r="BOB291" s="592"/>
      <c r="BOC291" s="592"/>
      <c r="BOD291" s="592"/>
      <c r="BOE291" s="592"/>
      <c r="BOF291" s="592"/>
      <c r="BOG291" s="592"/>
      <c r="BOH291" s="592"/>
      <c r="BOI291" s="592"/>
      <c r="BOJ291" s="592"/>
      <c r="BOK291" s="592"/>
      <c r="BOL291" s="592"/>
      <c r="BOM291" s="592"/>
      <c r="BON291" s="592"/>
      <c r="BOO291" s="592"/>
      <c r="BOP291" s="592"/>
      <c r="BOQ291" s="592"/>
      <c r="BOR291" s="592"/>
      <c r="BOS291" s="592"/>
      <c r="BOT291" s="592"/>
      <c r="BOU291" s="592"/>
      <c r="BOV291" s="592"/>
      <c r="BOW291" s="592"/>
      <c r="BOX291" s="592"/>
      <c r="BOY291" s="592"/>
      <c r="BOZ291" s="592"/>
      <c r="BPA291" s="592"/>
      <c r="BPB291" s="592"/>
      <c r="BPC291" s="592"/>
      <c r="BPD291" s="592"/>
      <c r="BPE291" s="592"/>
      <c r="BPF291" s="592"/>
      <c r="BPG291" s="592"/>
      <c r="BPH291" s="592"/>
      <c r="BPI291" s="592"/>
      <c r="BPJ291" s="592"/>
      <c r="BPK291" s="592"/>
      <c r="BPL291" s="592"/>
      <c r="BPM291" s="592"/>
      <c r="BPN291" s="592"/>
      <c r="BPO291" s="592"/>
      <c r="BPP291" s="592"/>
      <c r="BPQ291" s="592"/>
      <c r="BPR291" s="592"/>
      <c r="BPS291" s="592"/>
      <c r="BPT291" s="592"/>
      <c r="BPU291" s="592"/>
      <c r="BPV291" s="592"/>
      <c r="BPW291" s="592"/>
      <c r="BPX291" s="592"/>
      <c r="BPY291" s="592"/>
      <c r="BPZ291" s="592"/>
      <c r="BQA291" s="592"/>
      <c r="BQB291" s="592"/>
      <c r="BQC291" s="592"/>
      <c r="BQD291" s="592"/>
      <c r="BQE291" s="592"/>
      <c r="BQF291" s="592"/>
      <c r="BQG291" s="592"/>
      <c r="BQH291" s="592"/>
      <c r="BQI291" s="592"/>
      <c r="BQJ291" s="592"/>
      <c r="BQK291" s="592"/>
      <c r="BQL291" s="592"/>
      <c r="BQM291" s="592"/>
      <c r="BQN291" s="592"/>
      <c r="BQO291" s="592"/>
      <c r="BQP291" s="592"/>
      <c r="BQQ291" s="592"/>
      <c r="BQR291" s="592"/>
      <c r="BQS291" s="592"/>
      <c r="BQT291" s="592"/>
      <c r="BQU291" s="592"/>
      <c r="BQV291" s="592"/>
      <c r="BQW291" s="592"/>
      <c r="BQX291" s="592"/>
      <c r="BQY291" s="592"/>
      <c r="BQZ291" s="592"/>
      <c r="BRA291" s="592"/>
      <c r="BRB291" s="592"/>
      <c r="BRC291" s="592"/>
      <c r="BRD291" s="592"/>
      <c r="BRE291" s="592"/>
      <c r="BRF291" s="592"/>
      <c r="BRG291" s="592"/>
      <c r="BRH291" s="592"/>
      <c r="BRI291" s="592"/>
      <c r="BRJ291" s="592"/>
      <c r="BRK291" s="592"/>
      <c r="BRL291" s="592"/>
      <c r="BRM291" s="592"/>
      <c r="BRN291" s="592"/>
      <c r="BRO291" s="592"/>
      <c r="BRP291" s="592"/>
      <c r="BRQ291" s="592"/>
      <c r="BRR291" s="592"/>
      <c r="BRS291" s="592"/>
      <c r="BRT291" s="592"/>
      <c r="BRU291" s="592"/>
      <c r="BRV291" s="592"/>
      <c r="BRW291" s="592"/>
      <c r="BRX291" s="592"/>
      <c r="BRY291" s="592"/>
      <c r="BRZ291" s="592"/>
      <c r="BSA291" s="592"/>
      <c r="BSB291" s="592"/>
      <c r="BSC291" s="592"/>
      <c r="BSD291" s="592"/>
      <c r="BSE291" s="592"/>
      <c r="BSF291" s="592"/>
      <c r="BSG291" s="592"/>
      <c r="BSH291" s="592"/>
      <c r="BSI291" s="592"/>
      <c r="BSJ291" s="592"/>
      <c r="BSK291" s="592"/>
      <c r="BSL291" s="592"/>
      <c r="BSM291" s="592"/>
      <c r="BSN291" s="592"/>
      <c r="BSO291" s="592"/>
      <c r="BSP291" s="592"/>
      <c r="BSQ291" s="592"/>
      <c r="BSR291" s="592"/>
      <c r="BSS291" s="592"/>
      <c r="BST291" s="592"/>
      <c r="BSU291" s="592"/>
      <c r="BSV291" s="592"/>
      <c r="BSW291" s="592"/>
      <c r="BSX291" s="592"/>
      <c r="BSY291" s="592"/>
      <c r="BSZ291" s="592"/>
      <c r="BTA291" s="592"/>
      <c r="BTB291" s="592"/>
      <c r="BTC291" s="592"/>
      <c r="BTD291" s="592"/>
      <c r="BTE291" s="592"/>
      <c r="BTF291" s="592"/>
      <c r="BTG291" s="592"/>
      <c r="BTH291" s="592"/>
      <c r="BTI291" s="592"/>
      <c r="BTJ291" s="592"/>
      <c r="BTK291" s="592"/>
      <c r="BTL291" s="592"/>
      <c r="BTM291" s="592"/>
      <c r="BTN291" s="592"/>
      <c r="BTO291" s="592"/>
      <c r="BTP291" s="592"/>
      <c r="BTQ291" s="592"/>
      <c r="BTR291" s="592"/>
      <c r="BTS291" s="592"/>
      <c r="BTT291" s="592"/>
      <c r="BTU291" s="592"/>
      <c r="BTV291" s="592"/>
      <c r="BTW291" s="592"/>
      <c r="BTX291" s="592"/>
      <c r="BTY291" s="592"/>
      <c r="BTZ291" s="592"/>
      <c r="BUA291" s="592"/>
      <c r="BUB291" s="592"/>
      <c r="BUC291" s="592"/>
      <c r="BUD291" s="592"/>
      <c r="BUE291" s="592"/>
      <c r="BUF291" s="592"/>
      <c r="BUG291" s="592"/>
      <c r="BUH291" s="592"/>
      <c r="BUI291" s="592"/>
      <c r="BUJ291" s="592"/>
      <c r="BUK291" s="592"/>
      <c r="BUL291" s="592"/>
      <c r="BUM291" s="592"/>
      <c r="BUN291" s="592"/>
      <c r="BUO291" s="592"/>
      <c r="BUP291" s="592"/>
      <c r="BUQ291" s="592"/>
      <c r="BUR291" s="592"/>
      <c r="BUS291" s="592"/>
      <c r="BUT291" s="592"/>
      <c r="BUU291" s="592"/>
      <c r="BUV291" s="592"/>
      <c r="BUW291" s="592"/>
      <c r="BUX291" s="592"/>
      <c r="BUY291" s="592"/>
      <c r="BUZ291" s="592"/>
      <c r="BVA291" s="592"/>
      <c r="BVB291" s="592"/>
      <c r="BVC291" s="592"/>
      <c r="BVD291" s="592"/>
      <c r="BVE291" s="592"/>
      <c r="BVF291" s="592"/>
      <c r="BVG291" s="592"/>
      <c r="BVH291" s="592"/>
      <c r="BVI291" s="592"/>
      <c r="BVJ291" s="592"/>
      <c r="BVK291" s="592"/>
      <c r="BVL291" s="592"/>
      <c r="BVM291" s="592"/>
      <c r="BVN291" s="592"/>
      <c r="BVO291" s="592"/>
      <c r="BVP291" s="592"/>
      <c r="BVQ291" s="592"/>
      <c r="BVR291" s="592"/>
      <c r="BVS291" s="592"/>
      <c r="BVT291" s="592"/>
      <c r="BVU291" s="592"/>
      <c r="BVV291" s="592"/>
      <c r="BVW291" s="592"/>
      <c r="BVX291" s="592"/>
      <c r="BVY291" s="592"/>
      <c r="BVZ291" s="592"/>
      <c r="BWA291" s="592"/>
      <c r="BWB291" s="592"/>
      <c r="BWC291" s="592"/>
      <c r="BWD291" s="592"/>
      <c r="BWE291" s="592"/>
      <c r="BWF291" s="592"/>
      <c r="BWG291" s="592"/>
      <c r="BWH291" s="592"/>
      <c r="BWI291" s="592"/>
      <c r="BWJ291" s="592"/>
      <c r="BWK291" s="592"/>
      <c r="BWL291" s="592"/>
      <c r="BWM291" s="592"/>
      <c r="BWN291" s="592"/>
      <c r="BWO291" s="592"/>
      <c r="BWP291" s="592"/>
      <c r="BWQ291" s="592"/>
      <c r="BWR291" s="592"/>
      <c r="BWS291" s="592"/>
      <c r="BWT291" s="592"/>
      <c r="BWU291" s="592"/>
      <c r="BWV291" s="592"/>
      <c r="BWW291" s="592"/>
      <c r="BWX291" s="592"/>
      <c r="BWY291" s="592"/>
      <c r="BWZ291" s="592"/>
      <c r="BXA291" s="592"/>
      <c r="BXB291" s="592"/>
      <c r="BXC291" s="592"/>
      <c r="BXD291" s="592"/>
      <c r="BXE291" s="592"/>
      <c r="BXF291" s="592"/>
      <c r="BXG291" s="592"/>
      <c r="BXH291" s="592"/>
      <c r="BXI291" s="592"/>
      <c r="BXJ291" s="592"/>
      <c r="BXK291" s="592"/>
      <c r="BXL291" s="592"/>
      <c r="BXM291" s="592"/>
      <c r="BXN291" s="592"/>
      <c r="BXO291" s="592"/>
      <c r="BXP291" s="592"/>
      <c r="BXQ291" s="592"/>
      <c r="BXR291" s="592"/>
      <c r="BXS291" s="592"/>
      <c r="BXT291" s="592"/>
      <c r="BXU291" s="592"/>
      <c r="BXV291" s="592"/>
      <c r="BXW291" s="592"/>
      <c r="BXX291" s="592"/>
      <c r="BXY291" s="592"/>
      <c r="BXZ291" s="592"/>
      <c r="BYA291" s="592"/>
      <c r="BYB291" s="592"/>
      <c r="BYC291" s="592"/>
      <c r="BYD291" s="592"/>
      <c r="BYE291" s="592"/>
      <c r="BYF291" s="592"/>
      <c r="BYG291" s="592"/>
      <c r="BYH291" s="592"/>
      <c r="BYI291" s="592"/>
      <c r="BYJ291" s="592"/>
      <c r="BYK291" s="592"/>
      <c r="BYL291" s="592"/>
      <c r="BYM291" s="592"/>
      <c r="BYN291" s="592"/>
      <c r="BYO291" s="592"/>
      <c r="BYP291" s="592"/>
      <c r="BYQ291" s="592"/>
      <c r="BYR291" s="592"/>
      <c r="BYS291" s="592"/>
      <c r="BYT291" s="592"/>
      <c r="BYU291" s="592"/>
      <c r="BYV291" s="592"/>
      <c r="BYW291" s="592"/>
      <c r="BYX291" s="592"/>
      <c r="BYY291" s="592"/>
      <c r="BYZ291" s="592"/>
      <c r="BZA291" s="592"/>
      <c r="BZB291" s="592"/>
      <c r="BZC291" s="592"/>
      <c r="BZD291" s="592"/>
      <c r="BZE291" s="592"/>
      <c r="BZF291" s="592"/>
      <c r="BZG291" s="592"/>
      <c r="BZH291" s="592"/>
      <c r="BZI291" s="592"/>
      <c r="BZJ291" s="592"/>
      <c r="BZK291" s="592"/>
      <c r="BZL291" s="592"/>
      <c r="BZM291" s="592"/>
      <c r="BZN291" s="592"/>
      <c r="BZO291" s="592"/>
      <c r="BZP291" s="592"/>
      <c r="BZQ291" s="592"/>
      <c r="BZR291" s="592"/>
      <c r="BZS291" s="592"/>
      <c r="BZT291" s="592"/>
      <c r="BZU291" s="592"/>
      <c r="BZV291" s="592"/>
      <c r="BZW291" s="592"/>
      <c r="BZX291" s="592"/>
      <c r="BZY291" s="592"/>
      <c r="BZZ291" s="592"/>
      <c r="CAA291" s="592"/>
      <c r="CAB291" s="592"/>
      <c r="CAC291" s="592"/>
      <c r="CAD291" s="592"/>
      <c r="CAE291" s="592"/>
      <c r="CAF291" s="592"/>
      <c r="CAG291" s="592"/>
      <c r="CAH291" s="592"/>
      <c r="CAI291" s="592"/>
      <c r="CAJ291" s="592"/>
      <c r="CAK291" s="592"/>
      <c r="CAL291" s="592"/>
      <c r="CAM291" s="592"/>
      <c r="CAN291" s="592"/>
      <c r="CAO291" s="592"/>
      <c r="CAP291" s="592"/>
      <c r="CAQ291" s="592"/>
      <c r="CAR291" s="592"/>
      <c r="CAS291" s="592"/>
      <c r="CAT291" s="592"/>
      <c r="CAU291" s="592"/>
      <c r="CAV291" s="592"/>
      <c r="CAW291" s="592"/>
      <c r="CAX291" s="592"/>
      <c r="CAY291" s="592"/>
      <c r="CAZ291" s="592"/>
      <c r="CBA291" s="592"/>
      <c r="CBB291" s="592"/>
      <c r="CBC291" s="592"/>
      <c r="CBD291" s="592"/>
      <c r="CBE291" s="592"/>
      <c r="CBF291" s="592"/>
      <c r="CBG291" s="592"/>
      <c r="CBH291" s="592"/>
      <c r="CBI291" s="592"/>
      <c r="CBJ291" s="592"/>
      <c r="CBK291" s="592"/>
      <c r="CBL291" s="592"/>
      <c r="CBM291" s="592"/>
      <c r="CBN291" s="592"/>
      <c r="CBO291" s="592"/>
      <c r="CBP291" s="592"/>
      <c r="CBQ291" s="592"/>
      <c r="CBR291" s="592"/>
      <c r="CBS291" s="592"/>
      <c r="CBT291" s="592"/>
      <c r="CBU291" s="592"/>
      <c r="CBV291" s="592"/>
      <c r="CBW291" s="592"/>
      <c r="CBX291" s="592"/>
      <c r="CBY291" s="592"/>
      <c r="CBZ291" s="592"/>
      <c r="CCA291" s="592"/>
      <c r="CCB291" s="592"/>
      <c r="CCC291" s="592"/>
      <c r="CCD291" s="592"/>
      <c r="CCE291" s="592"/>
      <c r="CCF291" s="592"/>
      <c r="CCG291" s="592"/>
      <c r="CCH291" s="592"/>
      <c r="CCI291" s="592"/>
      <c r="CCJ291" s="592"/>
      <c r="CCK291" s="592"/>
      <c r="CCL291" s="592"/>
      <c r="CCM291" s="592"/>
      <c r="CCN291" s="592"/>
      <c r="CCO291" s="592"/>
      <c r="CCP291" s="592"/>
      <c r="CCQ291" s="592"/>
      <c r="CCR291" s="592"/>
      <c r="CCS291" s="592"/>
      <c r="CCT291" s="592"/>
      <c r="CCU291" s="592"/>
      <c r="CCV291" s="592"/>
      <c r="CCW291" s="592"/>
      <c r="CCX291" s="592"/>
      <c r="CCY291" s="592"/>
      <c r="CCZ291" s="592"/>
      <c r="CDA291" s="592"/>
      <c r="CDB291" s="592"/>
      <c r="CDC291" s="592"/>
      <c r="CDD291" s="592"/>
      <c r="CDE291" s="592"/>
      <c r="CDF291" s="592"/>
      <c r="CDG291" s="592"/>
      <c r="CDH291" s="592"/>
      <c r="CDI291" s="592"/>
      <c r="CDJ291" s="592"/>
      <c r="CDK291" s="592"/>
      <c r="CDL291" s="592"/>
      <c r="CDM291" s="592"/>
      <c r="CDN291" s="592"/>
      <c r="CDO291" s="592"/>
      <c r="CDP291" s="592"/>
      <c r="CDQ291" s="592"/>
      <c r="CDR291" s="592"/>
      <c r="CDS291" s="592"/>
      <c r="CDT291" s="592"/>
      <c r="CDU291" s="592"/>
      <c r="CDV291" s="592"/>
      <c r="CDW291" s="592"/>
      <c r="CDX291" s="592"/>
      <c r="CDY291" s="592"/>
      <c r="CDZ291" s="592"/>
      <c r="CEA291" s="592"/>
      <c r="CEB291" s="592"/>
      <c r="CEC291" s="592"/>
      <c r="CED291" s="592"/>
      <c r="CEE291" s="592"/>
      <c r="CEF291" s="592"/>
      <c r="CEG291" s="592"/>
      <c r="CEH291" s="592"/>
      <c r="CEI291" s="592"/>
      <c r="CEJ291" s="592"/>
      <c r="CEK291" s="592"/>
      <c r="CEL291" s="592"/>
      <c r="CEM291" s="592"/>
      <c r="CEN291" s="592"/>
      <c r="CEO291" s="592"/>
      <c r="CEP291" s="592"/>
      <c r="CEQ291" s="592"/>
      <c r="CER291" s="592"/>
      <c r="CES291" s="592"/>
      <c r="CET291" s="592"/>
      <c r="CEU291" s="592"/>
      <c r="CEV291" s="592"/>
      <c r="CEW291" s="592"/>
      <c r="CEX291" s="592"/>
      <c r="CEY291" s="592"/>
      <c r="CEZ291" s="592"/>
      <c r="CFA291" s="592"/>
      <c r="CFB291" s="592"/>
      <c r="CFC291" s="592"/>
      <c r="CFD291" s="592"/>
      <c r="CFE291" s="592"/>
      <c r="CFF291" s="592"/>
      <c r="CFG291" s="592"/>
      <c r="CFH291" s="592"/>
      <c r="CFI291" s="592"/>
      <c r="CFJ291" s="592"/>
      <c r="CFK291" s="592"/>
      <c r="CFL291" s="592"/>
      <c r="CFM291" s="592"/>
      <c r="CFN291" s="592"/>
      <c r="CFO291" s="592"/>
      <c r="CFP291" s="592"/>
      <c r="CFQ291" s="592"/>
      <c r="CFR291" s="592"/>
      <c r="CFS291" s="592"/>
      <c r="CFT291" s="592"/>
      <c r="CFU291" s="592"/>
      <c r="CFV291" s="592"/>
      <c r="CFW291" s="592"/>
      <c r="CFX291" s="592"/>
      <c r="CFY291" s="592"/>
      <c r="CFZ291" s="592"/>
      <c r="CGA291" s="592"/>
      <c r="CGB291" s="592"/>
      <c r="CGC291" s="592"/>
      <c r="CGD291" s="592"/>
      <c r="CGE291" s="592"/>
      <c r="CGF291" s="592"/>
      <c r="CGG291" s="592"/>
      <c r="CGH291" s="592"/>
      <c r="CGI291" s="592"/>
      <c r="CGJ291" s="592"/>
      <c r="CGK291" s="592"/>
      <c r="CGL291" s="592"/>
      <c r="CGM291" s="592"/>
      <c r="CGN291" s="592"/>
      <c r="CGO291" s="592"/>
      <c r="CGP291" s="592"/>
      <c r="CGQ291" s="592"/>
      <c r="CGR291" s="592"/>
      <c r="CGS291" s="592"/>
      <c r="CGT291" s="592"/>
      <c r="CGU291" s="592"/>
      <c r="CGV291" s="592"/>
      <c r="CGW291" s="592"/>
      <c r="CGX291" s="592"/>
      <c r="CGY291" s="592"/>
      <c r="CGZ291" s="592"/>
      <c r="CHA291" s="592"/>
      <c r="CHB291" s="592"/>
      <c r="CHC291" s="592"/>
      <c r="CHD291" s="592"/>
      <c r="CHE291" s="592"/>
      <c r="CHF291" s="592"/>
      <c r="CHG291" s="592"/>
      <c r="CHH291" s="592"/>
      <c r="CHI291" s="592"/>
      <c r="CHJ291" s="592"/>
      <c r="CHK291" s="592"/>
      <c r="CHL291" s="592"/>
      <c r="CHM291" s="592"/>
      <c r="CHN291" s="592"/>
      <c r="CHO291" s="592"/>
      <c r="CHP291" s="592"/>
      <c r="CHQ291" s="592"/>
      <c r="CHR291" s="592"/>
      <c r="CHS291" s="592"/>
      <c r="CHT291" s="592"/>
      <c r="CHU291" s="592"/>
      <c r="CHV291" s="592"/>
      <c r="CHW291" s="592"/>
      <c r="CHX291" s="592"/>
      <c r="CHY291" s="592"/>
      <c r="CHZ291" s="592"/>
      <c r="CIA291" s="592"/>
      <c r="CIB291" s="592"/>
      <c r="CIC291" s="592"/>
      <c r="CID291" s="592"/>
      <c r="CIE291" s="592"/>
      <c r="CIF291" s="592"/>
      <c r="CIG291" s="592"/>
      <c r="CIH291" s="592"/>
      <c r="CII291" s="592"/>
      <c r="CIJ291" s="592"/>
      <c r="CIK291" s="592"/>
      <c r="CIL291" s="592"/>
      <c r="CIM291" s="592"/>
      <c r="CIN291" s="592"/>
      <c r="CIO291" s="592"/>
      <c r="CIP291" s="592"/>
      <c r="CIQ291" s="592"/>
      <c r="CIR291" s="592"/>
      <c r="CIS291" s="592"/>
      <c r="CIT291" s="592"/>
      <c r="CIU291" s="592"/>
      <c r="CIV291" s="592"/>
      <c r="CIW291" s="592"/>
      <c r="CIX291" s="592"/>
      <c r="CIY291" s="592"/>
      <c r="CIZ291" s="592"/>
      <c r="CJA291" s="592"/>
      <c r="CJB291" s="592"/>
      <c r="CJC291" s="592"/>
      <c r="CJD291" s="592"/>
      <c r="CJE291" s="592"/>
      <c r="CJF291" s="592"/>
      <c r="CJG291" s="592"/>
      <c r="CJH291" s="592"/>
      <c r="CJI291" s="592"/>
      <c r="CJJ291" s="592"/>
      <c r="CJK291" s="592"/>
      <c r="CJL291" s="592"/>
      <c r="CJM291" s="592"/>
      <c r="CJN291" s="592"/>
      <c r="CJO291" s="592"/>
      <c r="CJP291" s="592"/>
      <c r="CJQ291" s="592"/>
      <c r="CJR291" s="592"/>
      <c r="CJS291" s="592"/>
      <c r="CJT291" s="592"/>
      <c r="CJU291" s="592"/>
      <c r="CJV291" s="592"/>
      <c r="CJW291" s="592"/>
      <c r="CJX291" s="592"/>
      <c r="CJY291" s="592"/>
      <c r="CJZ291" s="592"/>
      <c r="CKA291" s="592"/>
      <c r="CKB291" s="592"/>
      <c r="CKC291" s="592"/>
      <c r="CKD291" s="592"/>
      <c r="CKE291" s="592"/>
      <c r="CKF291" s="592"/>
      <c r="CKG291" s="592"/>
      <c r="CKH291" s="592"/>
      <c r="CKI291" s="592"/>
      <c r="CKJ291" s="592"/>
      <c r="CKK291" s="592"/>
      <c r="CKL291" s="592"/>
      <c r="CKM291" s="592"/>
      <c r="CKN291" s="592"/>
      <c r="CKO291" s="592"/>
      <c r="CKP291" s="592"/>
      <c r="CKQ291" s="592"/>
      <c r="CKR291" s="592"/>
      <c r="CKS291" s="592"/>
      <c r="CKT291" s="592"/>
      <c r="CKU291" s="592"/>
      <c r="CKV291" s="592"/>
      <c r="CKW291" s="592"/>
      <c r="CKX291" s="592"/>
      <c r="CKY291" s="592"/>
      <c r="CKZ291" s="592"/>
      <c r="CLA291" s="592"/>
      <c r="CLB291" s="592"/>
      <c r="CLC291" s="592"/>
      <c r="CLD291" s="592"/>
      <c r="CLE291" s="592"/>
      <c r="CLF291" s="592"/>
      <c r="CLG291" s="592"/>
      <c r="CLH291" s="592"/>
      <c r="CLI291" s="592"/>
      <c r="CLJ291" s="592"/>
      <c r="CLK291" s="592"/>
      <c r="CLL291" s="592"/>
      <c r="CLM291" s="592"/>
      <c r="CLN291" s="592"/>
      <c r="CLO291" s="592"/>
      <c r="CLP291" s="592"/>
      <c r="CLQ291" s="592"/>
      <c r="CLR291" s="592"/>
      <c r="CLS291" s="592"/>
      <c r="CLT291" s="592"/>
      <c r="CLU291" s="592"/>
      <c r="CLV291" s="592"/>
      <c r="CLW291" s="592"/>
      <c r="CLX291" s="592"/>
      <c r="CLY291" s="592"/>
      <c r="CLZ291" s="592"/>
      <c r="CMA291" s="592"/>
      <c r="CMB291" s="592"/>
      <c r="CMC291" s="592"/>
      <c r="CMD291" s="592"/>
      <c r="CME291" s="592"/>
      <c r="CMF291" s="592"/>
      <c r="CMG291" s="592"/>
      <c r="CMH291" s="592"/>
      <c r="CMI291" s="592"/>
      <c r="CMJ291" s="592"/>
      <c r="CMK291" s="592"/>
      <c r="CML291" s="592"/>
      <c r="CMM291" s="592"/>
      <c r="CMN291" s="592"/>
      <c r="CMO291" s="592"/>
      <c r="CMP291" s="592"/>
      <c r="CMQ291" s="592"/>
      <c r="CMR291" s="592"/>
      <c r="CMS291" s="592"/>
      <c r="CMT291" s="592"/>
      <c r="CMU291" s="592"/>
      <c r="CMV291" s="592"/>
      <c r="CMW291" s="592"/>
      <c r="CMX291" s="592"/>
      <c r="CMY291" s="592"/>
      <c r="CMZ291" s="592"/>
      <c r="CNA291" s="592"/>
      <c r="CNB291" s="592"/>
      <c r="CNC291" s="592"/>
      <c r="CND291" s="592"/>
      <c r="CNE291" s="592"/>
      <c r="CNF291" s="592"/>
      <c r="CNG291" s="592"/>
      <c r="CNH291" s="592"/>
      <c r="CNI291" s="592"/>
      <c r="CNJ291" s="592"/>
      <c r="CNK291" s="592"/>
      <c r="CNL291" s="592"/>
      <c r="CNM291" s="592"/>
      <c r="CNN291" s="592"/>
      <c r="CNO291" s="592"/>
      <c r="CNP291" s="592"/>
      <c r="CNQ291" s="592"/>
      <c r="CNR291" s="592"/>
      <c r="CNS291" s="592"/>
      <c r="CNT291" s="592"/>
      <c r="CNU291" s="592"/>
      <c r="CNV291" s="592"/>
      <c r="CNW291" s="592"/>
      <c r="CNX291" s="592"/>
      <c r="CNY291" s="592"/>
      <c r="CNZ291" s="592"/>
      <c r="COA291" s="592"/>
      <c r="COB291" s="592"/>
      <c r="COC291" s="592"/>
      <c r="COD291" s="592"/>
      <c r="COE291" s="592"/>
      <c r="COF291" s="592"/>
      <c r="COG291" s="592"/>
      <c r="COH291" s="592"/>
      <c r="COI291" s="592"/>
      <c r="COJ291" s="592"/>
      <c r="COK291" s="592"/>
      <c r="COL291" s="592"/>
      <c r="COM291" s="592"/>
      <c r="CON291" s="592"/>
      <c r="COO291" s="592"/>
      <c r="COP291" s="592"/>
      <c r="COQ291" s="592"/>
      <c r="COR291" s="592"/>
      <c r="COS291" s="592"/>
      <c r="COT291" s="592"/>
      <c r="COU291" s="592"/>
      <c r="COV291" s="592"/>
      <c r="COW291" s="592"/>
      <c r="COX291" s="592"/>
      <c r="COY291" s="592"/>
      <c r="COZ291" s="592"/>
      <c r="CPA291" s="592"/>
      <c r="CPB291" s="592"/>
      <c r="CPC291" s="592"/>
      <c r="CPD291" s="592"/>
      <c r="CPE291" s="592"/>
      <c r="CPF291" s="592"/>
      <c r="CPG291" s="592"/>
      <c r="CPH291" s="592"/>
      <c r="CPI291" s="592"/>
      <c r="CPJ291" s="592"/>
      <c r="CPK291" s="592"/>
      <c r="CPL291" s="592"/>
      <c r="CPM291" s="592"/>
      <c r="CPN291" s="592"/>
      <c r="CPO291" s="592"/>
      <c r="CPP291" s="592"/>
      <c r="CPQ291" s="592"/>
      <c r="CPR291" s="592"/>
      <c r="CPS291" s="592"/>
      <c r="CPT291" s="592"/>
      <c r="CPU291" s="592"/>
      <c r="CPV291" s="592"/>
      <c r="CPW291" s="592"/>
      <c r="CPX291" s="592"/>
      <c r="CPY291" s="592"/>
      <c r="CPZ291" s="592"/>
      <c r="CQA291" s="592"/>
      <c r="CQB291" s="592"/>
      <c r="CQC291" s="592"/>
      <c r="CQD291" s="592"/>
      <c r="CQE291" s="592"/>
      <c r="CQF291" s="592"/>
      <c r="CQG291" s="592"/>
      <c r="CQH291" s="592"/>
      <c r="CQI291" s="592"/>
      <c r="CQJ291" s="592"/>
      <c r="CQK291" s="592"/>
      <c r="CQL291" s="592"/>
      <c r="CQM291" s="592"/>
      <c r="CQN291" s="592"/>
      <c r="CQO291" s="592"/>
      <c r="CQP291" s="592"/>
      <c r="CQQ291" s="592"/>
      <c r="CQR291" s="592"/>
      <c r="CQS291" s="592"/>
      <c r="CQT291" s="592"/>
      <c r="CQU291" s="592"/>
      <c r="CQV291" s="592"/>
      <c r="CQW291" s="592"/>
      <c r="CQX291" s="592"/>
      <c r="CQY291" s="592"/>
      <c r="CQZ291" s="592"/>
      <c r="CRA291" s="592"/>
      <c r="CRB291" s="592"/>
      <c r="CRC291" s="592"/>
      <c r="CRD291" s="592"/>
      <c r="CRE291" s="592"/>
      <c r="CRF291" s="592"/>
      <c r="CRG291" s="592"/>
      <c r="CRH291" s="592"/>
      <c r="CRI291" s="592"/>
      <c r="CRJ291" s="592"/>
      <c r="CRK291" s="592"/>
      <c r="CRL291" s="592"/>
      <c r="CRM291" s="592"/>
      <c r="CRN291" s="592"/>
      <c r="CRO291" s="592"/>
      <c r="CRP291" s="592"/>
      <c r="CRQ291" s="592"/>
      <c r="CRR291" s="592"/>
      <c r="CRS291" s="592"/>
      <c r="CRT291" s="592"/>
      <c r="CRU291" s="592"/>
      <c r="CRV291" s="592"/>
      <c r="CRW291" s="592"/>
      <c r="CRX291" s="592"/>
      <c r="CRY291" s="592"/>
      <c r="CRZ291" s="592"/>
      <c r="CSA291" s="592"/>
      <c r="CSB291" s="592"/>
      <c r="CSC291" s="592"/>
      <c r="CSD291" s="592"/>
      <c r="CSE291" s="592"/>
      <c r="CSF291" s="592"/>
      <c r="CSG291" s="592"/>
      <c r="CSH291" s="592"/>
      <c r="CSI291" s="592"/>
      <c r="CSJ291" s="592"/>
      <c r="CSK291" s="592"/>
      <c r="CSL291" s="592"/>
      <c r="CSM291" s="592"/>
      <c r="CSN291" s="592"/>
      <c r="CSO291" s="592"/>
      <c r="CSP291" s="592"/>
      <c r="CSQ291" s="592"/>
      <c r="CSR291" s="592"/>
      <c r="CSS291" s="592"/>
      <c r="CST291" s="592"/>
      <c r="CSU291" s="592"/>
      <c r="CSV291" s="592"/>
      <c r="CSW291" s="592"/>
      <c r="CSX291" s="592"/>
      <c r="CSY291" s="592"/>
      <c r="CSZ291" s="592"/>
      <c r="CTA291" s="592"/>
      <c r="CTB291" s="592"/>
      <c r="CTC291" s="592"/>
      <c r="CTD291" s="592"/>
      <c r="CTE291" s="592"/>
      <c r="CTF291" s="592"/>
      <c r="CTG291" s="592"/>
      <c r="CTH291" s="592"/>
      <c r="CTI291" s="592"/>
      <c r="CTJ291" s="592"/>
      <c r="CTK291" s="592"/>
      <c r="CTL291" s="592"/>
      <c r="CTM291" s="592"/>
      <c r="CTN291" s="592"/>
      <c r="CTO291" s="592"/>
      <c r="CTP291" s="592"/>
      <c r="CTQ291" s="592"/>
      <c r="CTR291" s="592"/>
      <c r="CTS291" s="592"/>
      <c r="CTT291" s="592"/>
      <c r="CTU291" s="592"/>
      <c r="CTV291" s="592"/>
      <c r="CTW291" s="592"/>
      <c r="CTX291" s="592"/>
      <c r="CTY291" s="592"/>
      <c r="CTZ291" s="592"/>
      <c r="CUA291" s="592"/>
      <c r="CUB291" s="592"/>
      <c r="CUC291" s="592"/>
      <c r="CUD291" s="592"/>
      <c r="CUE291" s="592"/>
      <c r="CUF291" s="592"/>
      <c r="CUG291" s="592"/>
      <c r="CUH291" s="592"/>
      <c r="CUI291" s="592"/>
      <c r="CUJ291" s="592"/>
      <c r="CUK291" s="592"/>
      <c r="CUL291" s="592"/>
      <c r="CUM291" s="592"/>
      <c r="CUN291" s="592"/>
      <c r="CUO291" s="592"/>
      <c r="CUP291" s="592"/>
      <c r="CUQ291" s="592"/>
      <c r="CUR291" s="592"/>
      <c r="CUS291" s="592"/>
      <c r="CUT291" s="592"/>
      <c r="CUU291" s="592"/>
      <c r="CUV291" s="592"/>
      <c r="CUW291" s="592"/>
      <c r="CUX291" s="592"/>
      <c r="CUY291" s="592"/>
      <c r="CUZ291" s="592"/>
      <c r="CVA291" s="592"/>
      <c r="CVB291" s="592"/>
      <c r="CVC291" s="592"/>
      <c r="CVD291" s="592"/>
      <c r="CVE291" s="592"/>
      <c r="CVF291" s="592"/>
      <c r="CVG291" s="592"/>
      <c r="CVH291" s="592"/>
      <c r="CVI291" s="592"/>
      <c r="CVJ291" s="592"/>
      <c r="CVK291" s="592"/>
      <c r="CVL291" s="592"/>
      <c r="CVM291" s="592"/>
      <c r="CVN291" s="592"/>
      <c r="CVO291" s="592"/>
      <c r="CVP291" s="592"/>
      <c r="CVQ291" s="592"/>
      <c r="CVR291" s="592"/>
      <c r="CVS291" s="592"/>
      <c r="CVT291" s="592"/>
      <c r="CVU291" s="592"/>
      <c r="CVV291" s="592"/>
      <c r="CVW291" s="592"/>
      <c r="CVX291" s="592"/>
      <c r="CVY291" s="592"/>
      <c r="CVZ291" s="592"/>
      <c r="CWA291" s="592"/>
      <c r="CWB291" s="592"/>
      <c r="CWC291" s="592"/>
      <c r="CWD291" s="592"/>
      <c r="CWE291" s="592"/>
      <c r="CWF291" s="592"/>
      <c r="CWG291" s="592"/>
      <c r="CWH291" s="592"/>
      <c r="CWI291" s="592"/>
      <c r="CWJ291" s="592"/>
      <c r="CWK291" s="592"/>
      <c r="CWL291" s="592"/>
      <c r="CWM291" s="592"/>
      <c r="CWN291" s="592"/>
      <c r="CWO291" s="592"/>
      <c r="CWP291" s="592"/>
      <c r="CWQ291" s="592"/>
      <c r="CWR291" s="592"/>
      <c r="CWS291" s="592"/>
      <c r="CWT291" s="592"/>
      <c r="CWU291" s="592"/>
      <c r="CWV291" s="592"/>
      <c r="CWW291" s="592"/>
      <c r="CWX291" s="592"/>
      <c r="CWY291" s="592"/>
      <c r="CWZ291" s="592"/>
      <c r="CXA291" s="592"/>
      <c r="CXB291" s="592"/>
      <c r="CXC291" s="592"/>
      <c r="CXD291" s="592"/>
      <c r="CXE291" s="592"/>
      <c r="CXF291" s="592"/>
      <c r="CXG291" s="592"/>
      <c r="CXH291" s="592"/>
      <c r="CXI291" s="592"/>
      <c r="CXJ291" s="592"/>
      <c r="CXK291" s="592"/>
      <c r="CXL291" s="592"/>
      <c r="CXM291" s="592"/>
      <c r="CXN291" s="592"/>
      <c r="CXO291" s="592"/>
      <c r="CXP291" s="592"/>
      <c r="CXQ291" s="592"/>
      <c r="CXR291" s="592"/>
      <c r="CXS291" s="592"/>
      <c r="CXT291" s="592"/>
      <c r="CXU291" s="592"/>
      <c r="CXV291" s="592"/>
      <c r="CXW291" s="592"/>
      <c r="CXX291" s="592"/>
      <c r="CXY291" s="592"/>
      <c r="CXZ291" s="592"/>
      <c r="CYA291" s="592"/>
      <c r="CYB291" s="592"/>
      <c r="CYC291" s="592"/>
      <c r="CYD291" s="592"/>
      <c r="CYE291" s="592"/>
      <c r="CYF291" s="592"/>
      <c r="CYG291" s="592"/>
      <c r="CYH291" s="592"/>
      <c r="CYI291" s="592"/>
      <c r="CYJ291" s="592"/>
      <c r="CYK291" s="592"/>
      <c r="CYL291" s="592"/>
      <c r="CYM291" s="592"/>
      <c r="CYN291" s="592"/>
      <c r="CYO291" s="592"/>
      <c r="CYP291" s="592"/>
      <c r="CYQ291" s="592"/>
      <c r="CYR291" s="592"/>
      <c r="CYS291" s="592"/>
      <c r="CYT291" s="592"/>
      <c r="CYU291" s="592"/>
      <c r="CYV291" s="592"/>
      <c r="CYW291" s="592"/>
      <c r="CYX291" s="592"/>
      <c r="CYY291" s="592"/>
      <c r="CYZ291" s="592"/>
      <c r="CZA291" s="592"/>
      <c r="CZB291" s="592"/>
      <c r="CZC291" s="592"/>
      <c r="CZD291" s="592"/>
      <c r="CZE291" s="592"/>
      <c r="CZF291" s="592"/>
      <c r="CZG291" s="592"/>
      <c r="CZH291" s="592"/>
      <c r="CZI291" s="592"/>
      <c r="CZJ291" s="592"/>
      <c r="CZK291" s="592"/>
      <c r="CZL291" s="592"/>
      <c r="CZM291" s="592"/>
      <c r="CZN291" s="592"/>
      <c r="CZO291" s="592"/>
      <c r="CZP291" s="592"/>
      <c r="CZQ291" s="592"/>
      <c r="CZR291" s="592"/>
      <c r="CZS291" s="592"/>
      <c r="CZT291" s="592"/>
      <c r="CZU291" s="592"/>
      <c r="CZV291" s="592"/>
      <c r="CZW291" s="592"/>
      <c r="CZX291" s="592"/>
      <c r="CZY291" s="592"/>
      <c r="CZZ291" s="592"/>
      <c r="DAA291" s="592"/>
      <c r="DAB291" s="592"/>
      <c r="DAC291" s="592"/>
      <c r="DAD291" s="592"/>
      <c r="DAE291" s="592"/>
      <c r="DAF291" s="592"/>
      <c r="DAG291" s="592"/>
      <c r="DAH291" s="592"/>
      <c r="DAI291" s="592"/>
      <c r="DAJ291" s="592"/>
      <c r="DAK291" s="592"/>
      <c r="DAL291" s="592"/>
      <c r="DAM291" s="592"/>
      <c r="DAN291" s="592"/>
      <c r="DAO291" s="592"/>
      <c r="DAP291" s="592"/>
      <c r="DAQ291" s="592"/>
      <c r="DAR291" s="592"/>
      <c r="DAS291" s="592"/>
      <c r="DAT291" s="592"/>
      <c r="DAU291" s="592"/>
      <c r="DAV291" s="592"/>
      <c r="DAW291" s="592"/>
      <c r="DAX291" s="592"/>
      <c r="DAY291" s="592"/>
      <c r="DAZ291" s="592"/>
      <c r="DBA291" s="592"/>
      <c r="DBB291" s="592"/>
      <c r="DBC291" s="592"/>
      <c r="DBD291" s="592"/>
      <c r="DBE291" s="592"/>
      <c r="DBF291" s="592"/>
      <c r="DBG291" s="592"/>
      <c r="DBH291" s="592"/>
      <c r="DBI291" s="592"/>
      <c r="DBJ291" s="592"/>
      <c r="DBK291" s="592"/>
      <c r="DBL291" s="592"/>
      <c r="DBM291" s="592"/>
      <c r="DBN291" s="592"/>
      <c r="DBO291" s="592"/>
      <c r="DBP291" s="592"/>
      <c r="DBQ291" s="592"/>
      <c r="DBR291" s="592"/>
      <c r="DBS291" s="592"/>
      <c r="DBT291" s="592"/>
      <c r="DBU291" s="592"/>
      <c r="DBV291" s="592"/>
      <c r="DBW291" s="592"/>
      <c r="DBX291" s="592"/>
      <c r="DBY291" s="592"/>
      <c r="DBZ291" s="592"/>
      <c r="DCA291" s="592"/>
      <c r="DCB291" s="592"/>
      <c r="DCC291" s="592"/>
      <c r="DCD291" s="592"/>
      <c r="DCE291" s="592"/>
      <c r="DCF291" s="592"/>
      <c r="DCG291" s="592"/>
      <c r="DCH291" s="592"/>
      <c r="DCI291" s="592"/>
      <c r="DCJ291" s="592"/>
      <c r="DCK291" s="592"/>
      <c r="DCL291" s="592"/>
      <c r="DCM291" s="592"/>
      <c r="DCN291" s="592"/>
      <c r="DCO291" s="592"/>
      <c r="DCP291" s="592"/>
      <c r="DCQ291" s="592"/>
      <c r="DCR291" s="592"/>
      <c r="DCS291" s="592"/>
      <c r="DCT291" s="592"/>
      <c r="DCU291" s="592"/>
      <c r="DCV291" s="592"/>
      <c r="DCW291" s="592"/>
      <c r="DCX291" s="592"/>
      <c r="DCY291" s="592"/>
      <c r="DCZ291" s="592"/>
      <c r="DDA291" s="592"/>
      <c r="DDB291" s="592"/>
      <c r="DDC291" s="592"/>
      <c r="DDD291" s="592"/>
      <c r="DDE291" s="592"/>
      <c r="DDF291" s="592"/>
      <c r="DDG291" s="592"/>
      <c r="DDH291" s="592"/>
      <c r="DDI291" s="592"/>
      <c r="DDJ291" s="592"/>
      <c r="DDK291" s="592"/>
      <c r="DDL291" s="592"/>
      <c r="DDM291" s="592"/>
      <c r="DDN291" s="592"/>
      <c r="DDO291" s="592"/>
      <c r="DDP291" s="592"/>
      <c r="DDQ291" s="592"/>
      <c r="DDR291" s="592"/>
      <c r="DDS291" s="592"/>
      <c r="DDT291" s="592"/>
      <c r="DDU291" s="592"/>
      <c r="DDV291" s="592"/>
      <c r="DDW291" s="592"/>
      <c r="DDX291" s="592"/>
      <c r="DDY291" s="592"/>
      <c r="DDZ291" s="592"/>
      <c r="DEA291" s="592"/>
      <c r="DEB291" s="592"/>
      <c r="DEC291" s="592"/>
      <c r="DED291" s="592"/>
      <c r="DEE291" s="592"/>
      <c r="DEF291" s="592"/>
      <c r="DEG291" s="592"/>
      <c r="DEH291" s="592"/>
      <c r="DEI291" s="592"/>
      <c r="DEJ291" s="592"/>
      <c r="DEK291" s="592"/>
      <c r="DEL291" s="592"/>
      <c r="DEM291" s="592"/>
      <c r="DEN291" s="592"/>
      <c r="DEO291" s="592"/>
      <c r="DEP291" s="592"/>
      <c r="DEQ291" s="592"/>
      <c r="DER291" s="592"/>
      <c r="DES291" s="592"/>
      <c r="DET291" s="592"/>
      <c r="DEU291" s="592"/>
      <c r="DEV291" s="592"/>
      <c r="DEW291" s="592"/>
      <c r="DEX291" s="592"/>
      <c r="DEY291" s="592"/>
      <c r="DEZ291" s="592"/>
      <c r="DFA291" s="592"/>
      <c r="DFB291" s="592"/>
      <c r="DFC291" s="592"/>
      <c r="DFD291" s="592"/>
      <c r="DFE291" s="592"/>
      <c r="DFF291" s="592"/>
      <c r="DFG291" s="592"/>
      <c r="DFH291" s="592"/>
      <c r="DFI291" s="592"/>
      <c r="DFJ291" s="592"/>
      <c r="DFK291" s="592"/>
      <c r="DFL291" s="592"/>
      <c r="DFM291" s="592"/>
      <c r="DFN291" s="592"/>
      <c r="DFO291" s="592"/>
      <c r="DFP291" s="592"/>
      <c r="DFQ291" s="592"/>
      <c r="DFR291" s="592"/>
      <c r="DFS291" s="592"/>
      <c r="DFT291" s="592"/>
      <c r="DFU291" s="592"/>
      <c r="DFV291" s="592"/>
      <c r="DFW291" s="592"/>
      <c r="DFX291" s="592"/>
      <c r="DFY291" s="592"/>
      <c r="DFZ291" s="592"/>
      <c r="DGA291" s="592"/>
      <c r="DGB291" s="592"/>
      <c r="DGC291" s="592"/>
      <c r="DGD291" s="592"/>
      <c r="DGE291" s="592"/>
      <c r="DGF291" s="592"/>
      <c r="DGG291" s="592"/>
      <c r="DGH291" s="592"/>
      <c r="DGI291" s="592"/>
      <c r="DGJ291" s="592"/>
      <c r="DGK291" s="592"/>
      <c r="DGL291" s="592"/>
      <c r="DGM291" s="592"/>
      <c r="DGN291" s="592"/>
      <c r="DGO291" s="592"/>
      <c r="DGP291" s="592"/>
      <c r="DGQ291" s="592"/>
      <c r="DGR291" s="592"/>
      <c r="DGS291" s="592"/>
      <c r="DGT291" s="592"/>
      <c r="DGU291" s="592"/>
      <c r="DGV291" s="592"/>
      <c r="DGW291" s="592"/>
      <c r="DGX291" s="592"/>
      <c r="DGY291" s="592"/>
      <c r="DGZ291" s="592"/>
      <c r="DHA291" s="592"/>
      <c r="DHB291" s="592"/>
      <c r="DHC291" s="592"/>
      <c r="DHD291" s="592"/>
      <c r="DHE291" s="592"/>
      <c r="DHF291" s="592"/>
      <c r="DHG291" s="592"/>
      <c r="DHH291" s="592"/>
      <c r="DHI291" s="592"/>
      <c r="DHJ291" s="592"/>
      <c r="DHK291" s="592"/>
      <c r="DHL291" s="592"/>
      <c r="DHM291" s="592"/>
      <c r="DHN291" s="592"/>
      <c r="DHO291" s="592"/>
      <c r="DHP291" s="592"/>
      <c r="DHQ291" s="592"/>
      <c r="DHR291" s="592"/>
      <c r="DHS291" s="592"/>
      <c r="DHT291" s="592"/>
      <c r="DHU291" s="592"/>
      <c r="DHV291" s="592"/>
      <c r="DHW291" s="592"/>
      <c r="DHX291" s="592"/>
      <c r="DHY291" s="592"/>
      <c r="DHZ291" s="592"/>
      <c r="DIA291" s="592"/>
      <c r="DIB291" s="592"/>
      <c r="DIC291" s="592"/>
      <c r="DID291" s="592"/>
      <c r="DIE291" s="592"/>
      <c r="DIF291" s="592"/>
      <c r="DIG291" s="592"/>
      <c r="DIH291" s="592"/>
      <c r="DII291" s="592"/>
      <c r="DIJ291" s="592"/>
      <c r="DIK291" s="592"/>
      <c r="DIL291" s="592"/>
      <c r="DIM291" s="592"/>
      <c r="DIN291" s="592"/>
      <c r="DIO291" s="592"/>
      <c r="DIP291" s="592"/>
      <c r="DIQ291" s="592"/>
      <c r="DIR291" s="592"/>
      <c r="DIS291" s="592"/>
      <c r="DIT291" s="592"/>
      <c r="DIU291" s="592"/>
      <c r="DIV291" s="592"/>
      <c r="DIW291" s="592"/>
      <c r="DIX291" s="592"/>
      <c r="DIY291" s="592"/>
      <c r="DIZ291" s="592"/>
      <c r="DJA291" s="592"/>
      <c r="DJB291" s="592"/>
      <c r="DJC291" s="592"/>
      <c r="DJD291" s="592"/>
      <c r="DJE291" s="592"/>
      <c r="DJF291" s="592"/>
      <c r="DJG291" s="592"/>
      <c r="DJH291" s="592"/>
      <c r="DJI291" s="592"/>
      <c r="DJJ291" s="592"/>
      <c r="DJK291" s="592"/>
      <c r="DJL291" s="592"/>
      <c r="DJM291" s="592"/>
      <c r="DJN291" s="592"/>
      <c r="DJO291" s="592"/>
      <c r="DJP291" s="592"/>
      <c r="DJQ291" s="592"/>
      <c r="DJR291" s="592"/>
      <c r="DJS291" s="592"/>
      <c r="DJT291" s="592"/>
      <c r="DJU291" s="592"/>
      <c r="DJV291" s="592"/>
      <c r="DJW291" s="592"/>
      <c r="DJX291" s="592"/>
      <c r="DJY291" s="592"/>
      <c r="DJZ291" s="592"/>
      <c r="DKA291" s="592"/>
      <c r="DKB291" s="592"/>
      <c r="DKC291" s="592"/>
      <c r="DKD291" s="592"/>
      <c r="DKE291" s="592"/>
      <c r="DKF291" s="592"/>
      <c r="DKG291" s="592"/>
      <c r="DKH291" s="592"/>
      <c r="DKI291" s="592"/>
      <c r="DKJ291" s="592"/>
      <c r="DKK291" s="592"/>
      <c r="DKL291" s="592"/>
      <c r="DKM291" s="592"/>
      <c r="DKN291" s="592"/>
      <c r="DKO291" s="592"/>
      <c r="DKP291" s="592"/>
      <c r="DKQ291" s="592"/>
      <c r="DKR291" s="592"/>
      <c r="DKS291" s="592"/>
      <c r="DKT291" s="592"/>
      <c r="DKU291" s="592"/>
      <c r="DKV291" s="592"/>
      <c r="DKW291" s="592"/>
      <c r="DKX291" s="592"/>
      <c r="DKY291" s="592"/>
      <c r="DKZ291" s="592"/>
      <c r="DLA291" s="592"/>
      <c r="DLB291" s="592"/>
      <c r="DLC291" s="592"/>
      <c r="DLD291" s="592"/>
      <c r="DLE291" s="592"/>
      <c r="DLF291" s="592"/>
      <c r="DLG291" s="592"/>
      <c r="DLH291" s="592"/>
      <c r="DLI291" s="592"/>
      <c r="DLJ291" s="592"/>
      <c r="DLK291" s="592"/>
      <c r="DLL291" s="592"/>
      <c r="DLM291" s="592"/>
      <c r="DLN291" s="592"/>
      <c r="DLO291" s="592"/>
      <c r="DLP291" s="592"/>
      <c r="DLQ291" s="592"/>
      <c r="DLR291" s="592"/>
      <c r="DLS291" s="592"/>
      <c r="DLT291" s="592"/>
      <c r="DLU291" s="592"/>
      <c r="DLV291" s="592"/>
      <c r="DLW291" s="592"/>
      <c r="DLX291" s="592"/>
      <c r="DLY291" s="592"/>
      <c r="DLZ291" s="592"/>
      <c r="DMA291" s="592"/>
      <c r="DMB291" s="592"/>
      <c r="DMC291" s="592"/>
      <c r="DMD291" s="592"/>
      <c r="DME291" s="592"/>
      <c r="DMF291" s="592"/>
      <c r="DMG291" s="592"/>
      <c r="DMH291" s="592"/>
      <c r="DMI291" s="592"/>
      <c r="DMJ291" s="592"/>
      <c r="DMK291" s="592"/>
      <c r="DML291" s="592"/>
      <c r="DMM291" s="592"/>
      <c r="DMN291" s="592"/>
      <c r="DMO291" s="592"/>
      <c r="DMP291" s="592"/>
      <c r="DMQ291" s="592"/>
      <c r="DMR291" s="592"/>
      <c r="DMS291" s="592"/>
      <c r="DMT291" s="592"/>
      <c r="DMU291" s="592"/>
      <c r="DMV291" s="592"/>
      <c r="DMW291" s="592"/>
      <c r="DMX291" s="592"/>
      <c r="DMY291" s="592"/>
      <c r="DMZ291" s="592"/>
      <c r="DNA291" s="592"/>
      <c r="DNB291" s="592"/>
      <c r="DNC291" s="592"/>
      <c r="DND291" s="592"/>
      <c r="DNE291" s="592"/>
      <c r="DNF291" s="592"/>
      <c r="DNG291" s="592"/>
      <c r="DNH291" s="592"/>
      <c r="DNI291" s="592"/>
      <c r="DNJ291" s="592"/>
      <c r="DNK291" s="592"/>
      <c r="DNL291" s="592"/>
      <c r="DNM291" s="592"/>
      <c r="DNN291" s="592"/>
      <c r="DNO291" s="592"/>
      <c r="DNP291" s="592"/>
      <c r="DNQ291" s="592"/>
      <c r="DNR291" s="592"/>
      <c r="DNS291" s="592"/>
      <c r="DNT291" s="592"/>
      <c r="DNU291" s="592"/>
      <c r="DNV291" s="592"/>
      <c r="DNW291" s="592"/>
      <c r="DNX291" s="592"/>
      <c r="DNY291" s="592"/>
      <c r="DNZ291" s="592"/>
      <c r="DOA291" s="592"/>
      <c r="DOB291" s="592"/>
      <c r="DOC291" s="592"/>
      <c r="DOD291" s="592"/>
      <c r="DOE291" s="592"/>
      <c r="DOF291" s="592"/>
      <c r="DOG291" s="592"/>
      <c r="DOH291" s="592"/>
      <c r="DOI291" s="592"/>
      <c r="DOJ291" s="592"/>
      <c r="DOK291" s="592"/>
      <c r="DOL291" s="592"/>
      <c r="DOM291" s="592"/>
      <c r="DON291" s="592"/>
      <c r="DOO291" s="592"/>
      <c r="DOP291" s="592"/>
      <c r="DOQ291" s="592"/>
      <c r="DOR291" s="592"/>
      <c r="DOS291" s="592"/>
      <c r="DOT291" s="592"/>
      <c r="DOU291" s="592"/>
      <c r="DOV291" s="592"/>
      <c r="DOW291" s="592"/>
      <c r="DOX291" s="592"/>
      <c r="DOY291" s="592"/>
      <c r="DOZ291" s="592"/>
      <c r="DPA291" s="592"/>
      <c r="DPB291" s="592"/>
      <c r="DPC291" s="592"/>
      <c r="DPD291" s="592"/>
      <c r="DPE291" s="592"/>
      <c r="DPF291" s="592"/>
      <c r="DPG291" s="592"/>
      <c r="DPH291" s="592"/>
      <c r="DPI291" s="592"/>
      <c r="DPJ291" s="592"/>
      <c r="DPK291" s="592"/>
      <c r="DPL291" s="592"/>
      <c r="DPM291" s="592"/>
      <c r="DPN291" s="592"/>
      <c r="DPO291" s="592"/>
      <c r="DPP291" s="592"/>
      <c r="DPQ291" s="592"/>
      <c r="DPR291" s="592"/>
      <c r="DPS291" s="592"/>
      <c r="DPT291" s="592"/>
      <c r="DPU291" s="592"/>
      <c r="DPV291" s="592"/>
      <c r="DPW291" s="592"/>
      <c r="DPX291" s="592"/>
      <c r="DPY291" s="592"/>
      <c r="DPZ291" s="592"/>
      <c r="DQA291" s="592"/>
      <c r="DQB291" s="592"/>
      <c r="DQC291" s="592"/>
      <c r="DQD291" s="592"/>
      <c r="DQE291" s="592"/>
      <c r="DQF291" s="592"/>
      <c r="DQG291" s="592"/>
      <c r="DQH291" s="592"/>
      <c r="DQI291" s="592"/>
      <c r="DQJ291" s="592"/>
      <c r="DQK291" s="592"/>
      <c r="DQL291" s="592"/>
      <c r="DQM291" s="592"/>
      <c r="DQN291" s="592"/>
      <c r="DQO291" s="592"/>
      <c r="DQP291" s="592"/>
      <c r="DQQ291" s="592"/>
      <c r="DQR291" s="592"/>
      <c r="DQS291" s="592"/>
      <c r="DQT291" s="592"/>
      <c r="DQU291" s="592"/>
      <c r="DQV291" s="592"/>
      <c r="DQW291" s="592"/>
      <c r="DQX291" s="592"/>
      <c r="DQY291" s="592"/>
      <c r="DQZ291" s="592"/>
      <c r="DRA291" s="592"/>
      <c r="DRB291" s="592"/>
      <c r="DRC291" s="592"/>
      <c r="DRD291" s="592"/>
      <c r="DRE291" s="592"/>
      <c r="DRF291" s="592"/>
      <c r="DRG291" s="592"/>
      <c r="DRH291" s="592"/>
      <c r="DRI291" s="592"/>
      <c r="DRJ291" s="592"/>
      <c r="DRK291" s="592"/>
      <c r="DRL291" s="592"/>
      <c r="DRM291" s="592"/>
      <c r="DRN291" s="592"/>
      <c r="DRO291" s="592"/>
      <c r="DRP291" s="592"/>
      <c r="DRQ291" s="592"/>
      <c r="DRR291" s="592"/>
      <c r="DRS291" s="592"/>
      <c r="DRT291" s="592"/>
      <c r="DRU291" s="592"/>
      <c r="DRV291" s="592"/>
      <c r="DRW291" s="592"/>
      <c r="DRX291" s="592"/>
      <c r="DRY291" s="592"/>
      <c r="DRZ291" s="592"/>
      <c r="DSA291" s="592"/>
      <c r="DSB291" s="592"/>
      <c r="DSC291" s="592"/>
      <c r="DSD291" s="592"/>
      <c r="DSE291" s="592"/>
      <c r="DSF291" s="592"/>
      <c r="DSG291" s="592"/>
      <c r="DSH291" s="592"/>
      <c r="DSI291" s="592"/>
      <c r="DSJ291" s="592"/>
      <c r="DSK291" s="592"/>
      <c r="DSL291" s="592"/>
      <c r="DSM291" s="592"/>
      <c r="DSN291" s="592"/>
      <c r="DSO291" s="592"/>
      <c r="DSP291" s="592"/>
      <c r="DSQ291" s="592"/>
      <c r="DSR291" s="592"/>
      <c r="DSS291" s="592"/>
      <c r="DST291" s="592"/>
      <c r="DSU291" s="592"/>
      <c r="DSV291" s="592"/>
      <c r="DSW291" s="592"/>
      <c r="DSX291" s="592"/>
      <c r="DSY291" s="592"/>
      <c r="DSZ291" s="592"/>
      <c r="DTA291" s="592"/>
      <c r="DTB291" s="592"/>
      <c r="DTC291" s="592"/>
      <c r="DTD291" s="592"/>
      <c r="DTE291" s="592"/>
      <c r="DTF291" s="592"/>
      <c r="DTG291" s="592"/>
      <c r="DTH291" s="592"/>
      <c r="DTI291" s="592"/>
      <c r="DTJ291" s="592"/>
      <c r="DTK291" s="592"/>
      <c r="DTL291" s="592"/>
      <c r="DTM291" s="592"/>
      <c r="DTN291" s="592"/>
      <c r="DTO291" s="592"/>
      <c r="DTP291" s="592"/>
      <c r="DTQ291" s="592"/>
      <c r="DTR291" s="592"/>
      <c r="DTS291" s="592"/>
      <c r="DTT291" s="592"/>
      <c r="DTU291" s="592"/>
      <c r="DTV291" s="592"/>
      <c r="DTW291" s="592"/>
      <c r="DTX291" s="592"/>
      <c r="DTY291" s="592"/>
      <c r="DTZ291" s="592"/>
      <c r="DUA291" s="592"/>
      <c r="DUB291" s="592"/>
      <c r="DUC291" s="592"/>
      <c r="DUD291" s="592"/>
      <c r="DUE291" s="592"/>
      <c r="DUF291" s="592"/>
      <c r="DUG291" s="592"/>
      <c r="DUH291" s="592"/>
      <c r="DUI291" s="592"/>
      <c r="DUJ291" s="592"/>
      <c r="DUK291" s="592"/>
      <c r="DUL291" s="592"/>
      <c r="DUM291" s="592"/>
      <c r="DUN291" s="592"/>
      <c r="DUO291" s="592"/>
      <c r="DUP291" s="592"/>
      <c r="DUQ291" s="592"/>
      <c r="DUR291" s="592"/>
      <c r="DUS291" s="592"/>
      <c r="DUT291" s="592"/>
      <c r="DUU291" s="592"/>
      <c r="DUV291" s="592"/>
      <c r="DUW291" s="592"/>
      <c r="DUX291" s="592"/>
      <c r="DUY291" s="592"/>
      <c r="DUZ291" s="592"/>
      <c r="DVA291" s="592"/>
      <c r="DVB291" s="592"/>
      <c r="DVC291" s="592"/>
      <c r="DVD291" s="592"/>
      <c r="DVE291" s="592"/>
      <c r="DVF291" s="592"/>
      <c r="DVG291" s="592"/>
      <c r="DVH291" s="592"/>
      <c r="DVI291" s="592"/>
      <c r="DVJ291" s="592"/>
      <c r="DVK291" s="592"/>
      <c r="DVL291" s="592"/>
      <c r="DVM291" s="592"/>
      <c r="DVN291" s="592"/>
      <c r="DVO291" s="592"/>
      <c r="DVP291" s="592"/>
      <c r="DVQ291" s="592"/>
      <c r="DVR291" s="592"/>
      <c r="DVS291" s="592"/>
      <c r="DVT291" s="592"/>
      <c r="DVU291" s="592"/>
      <c r="DVV291" s="592"/>
      <c r="DVW291" s="592"/>
      <c r="DVX291" s="592"/>
      <c r="DVY291" s="592"/>
      <c r="DVZ291" s="592"/>
      <c r="DWA291" s="592"/>
      <c r="DWB291" s="592"/>
      <c r="DWC291" s="592"/>
      <c r="DWD291" s="592"/>
      <c r="DWE291" s="592"/>
      <c r="DWF291" s="592"/>
      <c r="DWG291" s="592"/>
      <c r="DWH291" s="592"/>
      <c r="DWI291" s="592"/>
      <c r="DWJ291" s="592"/>
      <c r="DWK291" s="592"/>
      <c r="DWL291" s="592"/>
      <c r="DWM291" s="592"/>
      <c r="DWN291" s="592"/>
      <c r="DWO291" s="592"/>
      <c r="DWP291" s="592"/>
      <c r="DWQ291" s="592"/>
      <c r="DWR291" s="592"/>
      <c r="DWS291" s="592"/>
      <c r="DWT291" s="592"/>
      <c r="DWU291" s="592"/>
      <c r="DWV291" s="592"/>
      <c r="DWW291" s="592"/>
      <c r="DWX291" s="592"/>
      <c r="DWY291" s="592"/>
      <c r="DWZ291" s="592"/>
      <c r="DXA291" s="592"/>
      <c r="DXB291" s="592"/>
      <c r="DXC291" s="592"/>
      <c r="DXD291" s="592"/>
      <c r="DXE291" s="592"/>
      <c r="DXF291" s="592"/>
      <c r="DXG291" s="592"/>
      <c r="DXH291" s="592"/>
      <c r="DXI291" s="592"/>
      <c r="DXJ291" s="592"/>
      <c r="DXK291" s="592"/>
      <c r="DXL291" s="592"/>
      <c r="DXM291" s="592"/>
      <c r="DXN291" s="592"/>
      <c r="DXO291" s="592"/>
      <c r="DXP291" s="592"/>
      <c r="DXQ291" s="592"/>
      <c r="DXR291" s="592"/>
      <c r="DXS291" s="592"/>
      <c r="DXT291" s="592"/>
      <c r="DXU291" s="592"/>
      <c r="DXV291" s="592"/>
      <c r="DXW291" s="592"/>
      <c r="DXX291" s="592"/>
      <c r="DXY291" s="592"/>
      <c r="DXZ291" s="592"/>
      <c r="DYA291" s="592"/>
      <c r="DYB291" s="592"/>
      <c r="DYC291" s="592"/>
      <c r="DYD291" s="592"/>
      <c r="DYE291" s="592"/>
      <c r="DYF291" s="592"/>
      <c r="DYG291" s="592"/>
      <c r="DYH291" s="592"/>
      <c r="DYI291" s="592"/>
      <c r="DYJ291" s="592"/>
      <c r="DYK291" s="592"/>
      <c r="DYL291" s="592"/>
      <c r="DYM291" s="592"/>
      <c r="DYN291" s="592"/>
      <c r="DYO291" s="592"/>
      <c r="DYP291" s="592"/>
      <c r="DYQ291" s="592"/>
      <c r="DYR291" s="592"/>
      <c r="DYS291" s="592"/>
      <c r="DYT291" s="592"/>
      <c r="DYU291" s="592"/>
      <c r="DYV291" s="592"/>
      <c r="DYW291" s="592"/>
      <c r="DYX291" s="592"/>
      <c r="DYY291" s="592"/>
      <c r="DYZ291" s="592"/>
      <c r="DZA291" s="592"/>
      <c r="DZB291" s="592"/>
      <c r="DZC291" s="592"/>
      <c r="DZD291" s="592"/>
      <c r="DZE291" s="592"/>
      <c r="DZF291" s="592"/>
      <c r="DZG291" s="592"/>
      <c r="DZH291" s="592"/>
      <c r="DZI291" s="592"/>
      <c r="DZJ291" s="592"/>
      <c r="DZK291" s="592"/>
      <c r="DZL291" s="592"/>
      <c r="DZM291" s="592"/>
      <c r="DZN291" s="592"/>
      <c r="DZO291" s="592"/>
      <c r="DZP291" s="592"/>
      <c r="DZQ291" s="592"/>
      <c r="DZR291" s="592"/>
      <c r="DZS291" s="592"/>
      <c r="DZT291" s="592"/>
      <c r="DZU291" s="592"/>
      <c r="DZV291" s="592"/>
      <c r="DZW291" s="592"/>
      <c r="DZX291" s="592"/>
      <c r="DZY291" s="592"/>
      <c r="DZZ291" s="592"/>
      <c r="EAA291" s="592"/>
      <c r="EAB291" s="592"/>
      <c r="EAC291" s="592"/>
      <c r="EAD291" s="592"/>
      <c r="EAE291" s="592"/>
      <c r="EAF291" s="592"/>
      <c r="EAG291" s="592"/>
      <c r="EAH291" s="592"/>
      <c r="EAI291" s="592"/>
      <c r="EAJ291" s="592"/>
      <c r="EAK291" s="592"/>
      <c r="EAL291" s="592"/>
      <c r="EAM291" s="592"/>
      <c r="EAN291" s="592"/>
      <c r="EAO291" s="592"/>
      <c r="EAP291" s="592"/>
      <c r="EAQ291" s="592"/>
      <c r="EAR291" s="592"/>
      <c r="EAS291" s="592"/>
      <c r="EAT291" s="592"/>
      <c r="EAU291" s="592"/>
      <c r="EAV291" s="592"/>
      <c r="EAW291" s="592"/>
      <c r="EAX291" s="592"/>
      <c r="EAY291" s="592"/>
      <c r="EAZ291" s="592"/>
      <c r="EBA291" s="592"/>
      <c r="EBB291" s="592"/>
      <c r="EBC291" s="592"/>
      <c r="EBD291" s="592"/>
      <c r="EBE291" s="592"/>
      <c r="EBF291" s="592"/>
      <c r="EBG291" s="592"/>
      <c r="EBH291" s="592"/>
      <c r="EBI291" s="592"/>
      <c r="EBJ291" s="592"/>
      <c r="EBK291" s="592"/>
      <c r="EBL291" s="592"/>
      <c r="EBM291" s="592"/>
      <c r="EBN291" s="592"/>
      <c r="EBO291" s="592"/>
      <c r="EBP291" s="592"/>
      <c r="EBQ291" s="592"/>
      <c r="EBR291" s="592"/>
      <c r="EBS291" s="592"/>
      <c r="EBT291" s="592"/>
      <c r="EBU291" s="592"/>
      <c r="EBV291" s="592"/>
      <c r="EBW291" s="592"/>
      <c r="EBX291" s="592"/>
      <c r="EBY291" s="592"/>
      <c r="EBZ291" s="592"/>
      <c r="ECA291" s="592"/>
      <c r="ECB291" s="592"/>
      <c r="ECC291" s="592"/>
      <c r="ECD291" s="592"/>
      <c r="ECE291" s="592"/>
      <c r="ECF291" s="592"/>
      <c r="ECG291" s="592"/>
      <c r="ECH291" s="592"/>
      <c r="ECI291" s="592"/>
      <c r="ECJ291" s="592"/>
      <c r="ECK291" s="592"/>
      <c r="ECL291" s="592"/>
      <c r="ECM291" s="592"/>
      <c r="ECN291" s="592"/>
      <c r="ECO291" s="592"/>
      <c r="ECP291" s="592"/>
      <c r="ECQ291" s="592"/>
      <c r="ECR291" s="592"/>
      <c r="ECS291" s="592"/>
      <c r="ECT291" s="592"/>
      <c r="ECU291" s="592"/>
      <c r="ECV291" s="592"/>
      <c r="ECW291" s="592"/>
      <c r="ECX291" s="592"/>
      <c r="ECY291" s="592"/>
      <c r="ECZ291" s="592"/>
      <c r="EDA291" s="592"/>
      <c r="EDB291" s="592"/>
      <c r="EDC291" s="592"/>
      <c r="EDD291" s="592"/>
      <c r="EDE291" s="592"/>
      <c r="EDF291" s="592"/>
      <c r="EDG291" s="592"/>
      <c r="EDH291" s="592"/>
      <c r="EDI291" s="592"/>
      <c r="EDJ291" s="592"/>
      <c r="EDK291" s="592"/>
      <c r="EDL291" s="592"/>
      <c r="EDM291" s="592"/>
      <c r="EDN291" s="592"/>
      <c r="EDO291" s="592"/>
      <c r="EDP291" s="592"/>
      <c r="EDQ291" s="592"/>
      <c r="EDR291" s="592"/>
      <c r="EDS291" s="592"/>
      <c r="EDT291" s="592"/>
      <c r="EDU291" s="592"/>
      <c r="EDV291" s="592"/>
      <c r="EDW291" s="592"/>
      <c r="EDX291" s="592"/>
      <c r="EDY291" s="592"/>
      <c r="EDZ291" s="592"/>
      <c r="EEA291" s="592"/>
      <c r="EEB291" s="592"/>
      <c r="EEC291" s="592"/>
      <c r="EED291" s="592"/>
      <c r="EEE291" s="592"/>
      <c r="EEF291" s="592"/>
      <c r="EEG291" s="592"/>
      <c r="EEH291" s="592"/>
      <c r="EEI291" s="592"/>
      <c r="EEJ291" s="592"/>
      <c r="EEK291" s="592"/>
      <c r="EEL291" s="592"/>
      <c r="EEM291" s="592"/>
      <c r="EEN291" s="592"/>
      <c r="EEO291" s="592"/>
      <c r="EEP291" s="592"/>
      <c r="EEQ291" s="592"/>
      <c r="EER291" s="592"/>
      <c r="EES291" s="592"/>
      <c r="EET291" s="592"/>
      <c r="EEU291" s="592"/>
      <c r="EEV291" s="592"/>
      <c r="EEW291" s="592"/>
      <c r="EEX291" s="592"/>
      <c r="EEY291" s="592"/>
      <c r="EEZ291" s="592"/>
      <c r="EFA291" s="592"/>
      <c r="EFB291" s="592"/>
      <c r="EFC291" s="592"/>
      <c r="EFD291" s="592"/>
      <c r="EFE291" s="592"/>
      <c r="EFF291" s="592"/>
      <c r="EFG291" s="592"/>
      <c r="EFH291" s="592"/>
      <c r="EFI291" s="592"/>
      <c r="EFJ291" s="592"/>
      <c r="EFK291" s="592"/>
      <c r="EFL291" s="592"/>
      <c r="EFM291" s="592"/>
      <c r="EFN291" s="592"/>
      <c r="EFO291" s="592"/>
      <c r="EFP291" s="592"/>
      <c r="EFQ291" s="592"/>
      <c r="EFR291" s="592"/>
      <c r="EFS291" s="592"/>
      <c r="EFT291" s="592"/>
      <c r="EFU291" s="592"/>
      <c r="EFV291" s="592"/>
      <c r="EFW291" s="592"/>
      <c r="EFX291" s="592"/>
      <c r="EFY291" s="592"/>
      <c r="EFZ291" s="592"/>
      <c r="EGA291" s="592"/>
      <c r="EGB291" s="592"/>
      <c r="EGC291" s="592"/>
      <c r="EGD291" s="592"/>
      <c r="EGE291" s="592"/>
      <c r="EGF291" s="592"/>
      <c r="EGG291" s="592"/>
      <c r="EGH291" s="592"/>
      <c r="EGI291" s="592"/>
      <c r="EGJ291" s="592"/>
      <c r="EGK291" s="592"/>
      <c r="EGL291" s="592"/>
      <c r="EGM291" s="592"/>
      <c r="EGN291" s="592"/>
      <c r="EGO291" s="592"/>
      <c r="EGP291" s="592"/>
      <c r="EGQ291" s="592"/>
      <c r="EGR291" s="592"/>
      <c r="EGS291" s="592"/>
      <c r="EGT291" s="592"/>
      <c r="EGU291" s="592"/>
      <c r="EGV291" s="592"/>
      <c r="EGW291" s="592"/>
      <c r="EGX291" s="592"/>
      <c r="EGY291" s="592"/>
      <c r="EGZ291" s="592"/>
      <c r="EHA291" s="592"/>
      <c r="EHB291" s="592"/>
      <c r="EHC291" s="592"/>
      <c r="EHD291" s="592"/>
      <c r="EHE291" s="592"/>
      <c r="EHF291" s="592"/>
      <c r="EHG291" s="592"/>
      <c r="EHH291" s="592"/>
      <c r="EHI291" s="592"/>
      <c r="EHJ291" s="592"/>
      <c r="EHK291" s="592"/>
      <c r="EHL291" s="592"/>
      <c r="EHM291" s="592"/>
      <c r="EHN291" s="592"/>
      <c r="EHO291" s="592"/>
      <c r="EHP291" s="592"/>
      <c r="EHQ291" s="592"/>
      <c r="EHR291" s="592"/>
      <c r="EHS291" s="592"/>
      <c r="EHT291" s="592"/>
      <c r="EHU291" s="592"/>
      <c r="EHV291" s="592"/>
      <c r="EHW291" s="592"/>
      <c r="EHX291" s="592"/>
      <c r="EHY291" s="592"/>
      <c r="EHZ291" s="592"/>
      <c r="EIA291" s="592"/>
      <c r="EIB291" s="592"/>
      <c r="EIC291" s="592"/>
      <c r="EID291" s="592"/>
      <c r="EIE291" s="592"/>
      <c r="EIF291" s="592"/>
      <c r="EIG291" s="592"/>
      <c r="EIH291" s="592"/>
      <c r="EII291" s="592"/>
      <c r="EIJ291" s="592"/>
      <c r="EIK291" s="592"/>
      <c r="EIL291" s="592"/>
      <c r="EIM291" s="592"/>
      <c r="EIN291" s="592"/>
      <c r="EIO291" s="592"/>
      <c r="EIP291" s="592"/>
      <c r="EIQ291" s="592"/>
      <c r="EIR291" s="592"/>
      <c r="EIS291" s="592"/>
      <c r="EIT291" s="592"/>
      <c r="EIU291" s="592"/>
      <c r="EIV291" s="592"/>
      <c r="EIW291" s="592"/>
      <c r="EIX291" s="592"/>
      <c r="EIY291" s="592"/>
      <c r="EIZ291" s="592"/>
      <c r="EJA291" s="592"/>
      <c r="EJB291" s="592"/>
      <c r="EJC291" s="592"/>
      <c r="EJD291" s="592"/>
      <c r="EJE291" s="592"/>
      <c r="EJF291" s="592"/>
      <c r="EJG291" s="592"/>
      <c r="EJH291" s="592"/>
      <c r="EJI291" s="592"/>
      <c r="EJJ291" s="592"/>
      <c r="EJK291" s="592"/>
      <c r="EJL291" s="592"/>
      <c r="EJM291" s="592"/>
      <c r="EJN291" s="592"/>
      <c r="EJO291" s="592"/>
      <c r="EJP291" s="592"/>
      <c r="EJQ291" s="592"/>
      <c r="EJR291" s="592"/>
      <c r="EJS291" s="592"/>
      <c r="EJT291" s="592"/>
      <c r="EJU291" s="592"/>
      <c r="EJV291" s="592"/>
      <c r="EJW291" s="592"/>
      <c r="EJX291" s="592"/>
      <c r="EJY291" s="592"/>
      <c r="EJZ291" s="592"/>
      <c r="EKA291" s="592"/>
      <c r="EKB291" s="592"/>
      <c r="EKC291" s="592"/>
      <c r="EKD291" s="592"/>
      <c r="EKE291" s="592"/>
      <c r="EKF291" s="592"/>
      <c r="EKG291" s="592"/>
      <c r="EKH291" s="592"/>
      <c r="EKI291" s="592"/>
      <c r="EKJ291" s="592"/>
      <c r="EKK291" s="592"/>
      <c r="EKL291" s="592"/>
      <c r="EKM291" s="592"/>
      <c r="EKN291" s="592"/>
      <c r="EKO291" s="592"/>
      <c r="EKP291" s="592"/>
      <c r="EKQ291" s="592"/>
      <c r="EKR291" s="592"/>
      <c r="EKS291" s="592"/>
      <c r="EKT291" s="592"/>
      <c r="EKU291" s="592"/>
      <c r="EKV291" s="592"/>
      <c r="EKW291" s="592"/>
      <c r="EKX291" s="592"/>
      <c r="EKY291" s="592"/>
      <c r="EKZ291" s="592"/>
      <c r="ELA291" s="592"/>
      <c r="ELB291" s="592"/>
      <c r="ELC291" s="592"/>
      <c r="ELD291" s="592"/>
      <c r="ELE291" s="592"/>
      <c r="ELF291" s="592"/>
      <c r="ELG291" s="592"/>
      <c r="ELH291" s="592"/>
      <c r="ELI291" s="592"/>
      <c r="ELJ291" s="592"/>
      <c r="ELK291" s="592"/>
      <c r="ELL291" s="592"/>
      <c r="ELM291" s="592"/>
      <c r="ELN291" s="592"/>
      <c r="ELO291" s="592"/>
      <c r="ELP291" s="592"/>
      <c r="ELQ291" s="592"/>
      <c r="ELR291" s="592"/>
      <c r="ELS291" s="592"/>
      <c r="ELT291" s="592"/>
      <c r="ELU291" s="592"/>
      <c r="ELV291" s="592"/>
      <c r="ELW291" s="592"/>
      <c r="ELX291" s="592"/>
      <c r="ELY291" s="592"/>
      <c r="ELZ291" s="592"/>
      <c r="EMA291" s="592"/>
      <c r="EMB291" s="592"/>
      <c r="EMC291" s="592"/>
      <c r="EMD291" s="592"/>
      <c r="EME291" s="592"/>
      <c r="EMF291" s="592"/>
      <c r="EMG291" s="592"/>
      <c r="EMH291" s="592"/>
      <c r="EMI291" s="592"/>
      <c r="EMJ291" s="592"/>
      <c r="EMK291" s="592"/>
      <c r="EML291" s="592"/>
      <c r="EMM291" s="592"/>
      <c r="EMN291" s="592"/>
      <c r="EMO291" s="592"/>
      <c r="EMP291" s="592"/>
      <c r="EMQ291" s="592"/>
      <c r="EMR291" s="592"/>
      <c r="EMS291" s="592"/>
      <c r="EMT291" s="592"/>
      <c r="EMU291" s="592"/>
      <c r="EMV291" s="592"/>
      <c r="EMW291" s="592"/>
      <c r="EMX291" s="592"/>
      <c r="EMY291" s="592"/>
      <c r="EMZ291" s="592"/>
      <c r="ENA291" s="592"/>
      <c r="ENB291" s="592"/>
      <c r="ENC291" s="592"/>
      <c r="END291" s="592"/>
      <c r="ENE291" s="592"/>
      <c r="ENF291" s="592"/>
      <c r="ENG291" s="592"/>
      <c r="ENH291" s="592"/>
      <c r="ENI291" s="592"/>
      <c r="ENJ291" s="592"/>
      <c r="ENK291" s="592"/>
      <c r="ENL291" s="592"/>
      <c r="ENM291" s="592"/>
      <c r="ENN291" s="592"/>
      <c r="ENO291" s="592"/>
      <c r="ENP291" s="592"/>
      <c r="ENQ291" s="592"/>
      <c r="ENR291" s="592"/>
      <c r="ENS291" s="592"/>
      <c r="ENT291" s="592"/>
      <c r="ENU291" s="592"/>
      <c r="ENV291" s="592"/>
      <c r="ENW291" s="592"/>
      <c r="ENX291" s="592"/>
      <c r="ENY291" s="592"/>
      <c r="ENZ291" s="592"/>
      <c r="EOA291" s="592"/>
      <c r="EOB291" s="592"/>
      <c r="EOC291" s="592"/>
      <c r="EOD291" s="592"/>
      <c r="EOE291" s="592"/>
      <c r="EOF291" s="592"/>
      <c r="EOG291" s="592"/>
      <c r="EOH291" s="592"/>
      <c r="EOI291" s="592"/>
      <c r="EOJ291" s="592"/>
      <c r="EOK291" s="592"/>
      <c r="EOL291" s="592"/>
      <c r="EOM291" s="592"/>
      <c r="EON291" s="592"/>
      <c r="EOO291" s="592"/>
      <c r="EOP291" s="592"/>
      <c r="EOQ291" s="592"/>
      <c r="EOR291" s="592"/>
      <c r="EOS291" s="592"/>
      <c r="EOT291" s="592"/>
      <c r="EOU291" s="592"/>
      <c r="EOV291" s="592"/>
      <c r="EOW291" s="592"/>
      <c r="EOX291" s="592"/>
      <c r="EOY291" s="592"/>
      <c r="EOZ291" s="592"/>
      <c r="EPA291" s="592"/>
      <c r="EPB291" s="592"/>
      <c r="EPC291" s="592"/>
      <c r="EPD291" s="592"/>
      <c r="EPE291" s="592"/>
      <c r="EPF291" s="592"/>
      <c r="EPG291" s="592"/>
      <c r="EPH291" s="592"/>
      <c r="EPI291" s="592"/>
      <c r="EPJ291" s="592"/>
      <c r="EPK291" s="592"/>
      <c r="EPL291" s="592"/>
      <c r="EPM291" s="592"/>
      <c r="EPN291" s="592"/>
      <c r="EPO291" s="592"/>
      <c r="EPP291" s="592"/>
      <c r="EPQ291" s="592"/>
      <c r="EPR291" s="592"/>
      <c r="EPS291" s="592"/>
      <c r="EPT291" s="592"/>
      <c r="EPU291" s="592"/>
      <c r="EPV291" s="592"/>
      <c r="EPW291" s="592"/>
      <c r="EPX291" s="592"/>
      <c r="EPY291" s="592"/>
      <c r="EPZ291" s="592"/>
      <c r="EQA291" s="592"/>
      <c r="EQB291" s="592"/>
      <c r="EQC291" s="592"/>
      <c r="EQD291" s="592"/>
      <c r="EQE291" s="592"/>
      <c r="EQF291" s="592"/>
      <c r="EQG291" s="592"/>
      <c r="EQH291" s="592"/>
      <c r="EQI291" s="592"/>
      <c r="EQJ291" s="592"/>
      <c r="EQK291" s="592"/>
      <c r="EQL291" s="592"/>
      <c r="EQM291" s="592"/>
      <c r="EQN291" s="592"/>
      <c r="EQO291" s="592"/>
      <c r="EQP291" s="592"/>
      <c r="EQQ291" s="592"/>
      <c r="EQR291" s="592"/>
      <c r="EQS291" s="592"/>
      <c r="EQT291" s="592"/>
      <c r="EQU291" s="592"/>
      <c r="EQV291" s="592"/>
      <c r="EQW291" s="592"/>
      <c r="EQX291" s="592"/>
      <c r="EQY291" s="592"/>
      <c r="EQZ291" s="592"/>
      <c r="ERA291" s="592"/>
      <c r="ERB291" s="592"/>
      <c r="ERC291" s="592"/>
      <c r="ERD291" s="592"/>
      <c r="ERE291" s="592"/>
      <c r="ERF291" s="592"/>
      <c r="ERG291" s="592"/>
      <c r="ERH291" s="592"/>
      <c r="ERI291" s="592"/>
      <c r="ERJ291" s="592"/>
      <c r="ERK291" s="592"/>
      <c r="ERL291" s="592"/>
      <c r="ERM291" s="592"/>
      <c r="ERN291" s="592"/>
      <c r="ERO291" s="592"/>
      <c r="ERP291" s="592"/>
      <c r="ERQ291" s="592"/>
      <c r="ERR291" s="592"/>
      <c r="ERS291" s="592"/>
      <c r="ERT291" s="592"/>
      <c r="ERU291" s="592"/>
      <c r="ERV291" s="592"/>
      <c r="ERW291" s="592"/>
      <c r="ERX291" s="592"/>
      <c r="ERY291" s="592"/>
      <c r="ERZ291" s="592"/>
      <c r="ESA291" s="592"/>
      <c r="ESB291" s="592"/>
      <c r="ESC291" s="592"/>
      <c r="ESD291" s="592"/>
      <c r="ESE291" s="592"/>
      <c r="ESF291" s="592"/>
      <c r="ESG291" s="592"/>
      <c r="ESH291" s="592"/>
      <c r="ESI291" s="592"/>
      <c r="ESJ291" s="592"/>
      <c r="ESK291" s="592"/>
      <c r="ESL291" s="592"/>
      <c r="ESM291" s="592"/>
      <c r="ESN291" s="592"/>
      <c r="ESO291" s="592"/>
      <c r="ESP291" s="592"/>
      <c r="ESQ291" s="592"/>
      <c r="ESR291" s="592"/>
      <c r="ESS291" s="592"/>
      <c r="EST291" s="592"/>
      <c r="ESU291" s="592"/>
      <c r="ESV291" s="592"/>
      <c r="ESW291" s="592"/>
      <c r="ESX291" s="592"/>
      <c r="ESY291" s="592"/>
      <c r="ESZ291" s="592"/>
      <c r="ETA291" s="592"/>
      <c r="ETB291" s="592"/>
      <c r="ETC291" s="592"/>
      <c r="ETD291" s="592"/>
      <c r="ETE291" s="592"/>
      <c r="ETF291" s="592"/>
      <c r="ETG291" s="592"/>
      <c r="ETH291" s="592"/>
      <c r="ETI291" s="592"/>
      <c r="ETJ291" s="592"/>
      <c r="ETK291" s="592"/>
      <c r="ETL291" s="592"/>
      <c r="ETM291" s="592"/>
      <c r="ETN291" s="592"/>
      <c r="ETO291" s="592"/>
      <c r="ETP291" s="592"/>
      <c r="ETQ291" s="592"/>
      <c r="ETR291" s="592"/>
      <c r="ETS291" s="592"/>
      <c r="ETT291" s="592"/>
      <c r="ETU291" s="592"/>
      <c r="ETV291" s="592"/>
      <c r="ETW291" s="592"/>
      <c r="ETX291" s="592"/>
      <c r="ETY291" s="592"/>
      <c r="ETZ291" s="592"/>
      <c r="EUA291" s="592"/>
      <c r="EUB291" s="592"/>
      <c r="EUC291" s="592"/>
      <c r="EUD291" s="592"/>
      <c r="EUE291" s="592"/>
      <c r="EUF291" s="592"/>
      <c r="EUG291" s="592"/>
      <c r="EUH291" s="592"/>
      <c r="EUI291" s="592"/>
      <c r="EUJ291" s="592"/>
      <c r="EUK291" s="592"/>
      <c r="EUL291" s="592"/>
      <c r="EUM291" s="592"/>
      <c r="EUN291" s="592"/>
      <c r="EUO291" s="592"/>
      <c r="EUP291" s="592"/>
      <c r="EUQ291" s="592"/>
      <c r="EUR291" s="592"/>
      <c r="EUS291" s="592"/>
      <c r="EUT291" s="592"/>
      <c r="EUU291" s="592"/>
      <c r="EUV291" s="592"/>
      <c r="EUW291" s="592"/>
      <c r="EUX291" s="592"/>
      <c r="EUY291" s="592"/>
      <c r="EUZ291" s="592"/>
      <c r="EVA291" s="592"/>
      <c r="EVB291" s="592"/>
      <c r="EVC291" s="592"/>
      <c r="EVD291" s="592"/>
      <c r="EVE291" s="592"/>
      <c r="EVF291" s="592"/>
      <c r="EVG291" s="592"/>
      <c r="EVH291" s="592"/>
      <c r="EVI291" s="592"/>
      <c r="EVJ291" s="592"/>
      <c r="EVK291" s="592"/>
      <c r="EVL291" s="592"/>
      <c r="EVM291" s="592"/>
      <c r="EVN291" s="592"/>
      <c r="EVO291" s="592"/>
      <c r="EVP291" s="592"/>
      <c r="EVQ291" s="592"/>
      <c r="EVR291" s="592"/>
      <c r="EVS291" s="592"/>
      <c r="EVT291" s="592"/>
      <c r="EVU291" s="592"/>
      <c r="EVV291" s="592"/>
      <c r="EVW291" s="592"/>
      <c r="EVX291" s="592"/>
      <c r="EVY291" s="592"/>
      <c r="EVZ291" s="592"/>
      <c r="EWA291" s="592"/>
      <c r="EWB291" s="592"/>
      <c r="EWC291" s="592"/>
      <c r="EWD291" s="592"/>
      <c r="EWE291" s="592"/>
      <c r="EWF291" s="592"/>
      <c r="EWG291" s="592"/>
      <c r="EWH291" s="592"/>
      <c r="EWI291" s="592"/>
      <c r="EWJ291" s="592"/>
      <c r="EWK291" s="592"/>
      <c r="EWL291" s="592"/>
      <c r="EWM291" s="592"/>
      <c r="EWN291" s="592"/>
      <c r="EWO291" s="592"/>
      <c r="EWP291" s="592"/>
      <c r="EWQ291" s="592"/>
      <c r="EWR291" s="592"/>
      <c r="EWS291" s="592"/>
      <c r="EWT291" s="592"/>
      <c r="EWU291" s="592"/>
      <c r="EWV291" s="592"/>
      <c r="EWW291" s="592"/>
      <c r="EWX291" s="592"/>
      <c r="EWY291" s="592"/>
      <c r="EWZ291" s="592"/>
      <c r="EXA291" s="592"/>
      <c r="EXB291" s="592"/>
      <c r="EXC291" s="592"/>
      <c r="EXD291" s="592"/>
      <c r="EXE291" s="592"/>
      <c r="EXF291" s="592"/>
      <c r="EXG291" s="592"/>
      <c r="EXH291" s="592"/>
      <c r="EXI291" s="592"/>
      <c r="EXJ291" s="592"/>
      <c r="EXK291" s="592"/>
      <c r="EXL291" s="592"/>
      <c r="EXM291" s="592"/>
      <c r="EXN291" s="592"/>
      <c r="EXO291" s="592"/>
      <c r="EXP291" s="592"/>
      <c r="EXQ291" s="592"/>
      <c r="EXR291" s="592"/>
      <c r="EXS291" s="592"/>
      <c r="EXT291" s="592"/>
      <c r="EXU291" s="592"/>
      <c r="EXV291" s="592"/>
      <c r="EXW291" s="592"/>
      <c r="EXX291" s="592"/>
      <c r="EXY291" s="592"/>
      <c r="EXZ291" s="592"/>
      <c r="EYA291" s="592"/>
      <c r="EYB291" s="592"/>
      <c r="EYC291" s="592"/>
      <c r="EYD291" s="592"/>
      <c r="EYE291" s="592"/>
      <c r="EYF291" s="592"/>
      <c r="EYG291" s="592"/>
      <c r="EYH291" s="592"/>
      <c r="EYI291" s="592"/>
      <c r="EYJ291" s="592"/>
      <c r="EYK291" s="592"/>
      <c r="EYL291" s="592"/>
      <c r="EYM291" s="592"/>
      <c r="EYN291" s="592"/>
      <c r="EYO291" s="592"/>
      <c r="EYP291" s="592"/>
      <c r="EYQ291" s="592"/>
      <c r="EYR291" s="592"/>
      <c r="EYS291" s="592"/>
      <c r="EYT291" s="592"/>
      <c r="EYU291" s="592"/>
      <c r="EYV291" s="592"/>
      <c r="EYW291" s="592"/>
      <c r="EYX291" s="592"/>
      <c r="EYY291" s="592"/>
      <c r="EYZ291" s="592"/>
      <c r="EZA291" s="592"/>
      <c r="EZB291" s="592"/>
      <c r="EZC291" s="592"/>
      <c r="EZD291" s="592"/>
      <c r="EZE291" s="592"/>
      <c r="EZF291" s="592"/>
      <c r="EZG291" s="592"/>
      <c r="EZH291" s="592"/>
      <c r="EZI291" s="592"/>
      <c r="EZJ291" s="592"/>
      <c r="EZK291" s="592"/>
      <c r="EZL291" s="592"/>
      <c r="EZM291" s="592"/>
      <c r="EZN291" s="592"/>
      <c r="EZO291" s="592"/>
      <c r="EZP291" s="592"/>
      <c r="EZQ291" s="592"/>
      <c r="EZR291" s="592"/>
      <c r="EZS291" s="592"/>
      <c r="EZT291" s="592"/>
      <c r="EZU291" s="592"/>
      <c r="EZV291" s="592"/>
      <c r="EZW291" s="592"/>
      <c r="EZX291" s="592"/>
      <c r="EZY291" s="592"/>
      <c r="EZZ291" s="592"/>
      <c r="FAA291" s="592"/>
      <c r="FAB291" s="592"/>
      <c r="FAC291" s="592"/>
      <c r="FAD291" s="592"/>
      <c r="FAE291" s="592"/>
      <c r="FAF291" s="592"/>
      <c r="FAG291" s="592"/>
      <c r="FAH291" s="592"/>
      <c r="FAI291" s="592"/>
      <c r="FAJ291" s="592"/>
      <c r="FAK291" s="592"/>
      <c r="FAL291" s="592"/>
      <c r="FAM291" s="592"/>
      <c r="FAN291" s="592"/>
      <c r="FAO291" s="592"/>
      <c r="FAP291" s="592"/>
      <c r="FAQ291" s="592"/>
      <c r="FAR291" s="592"/>
      <c r="FAS291" s="592"/>
      <c r="FAT291" s="592"/>
      <c r="FAU291" s="592"/>
      <c r="FAV291" s="592"/>
      <c r="FAW291" s="592"/>
      <c r="FAX291" s="592"/>
      <c r="FAY291" s="592"/>
      <c r="FAZ291" s="592"/>
      <c r="FBA291" s="592"/>
      <c r="FBB291" s="592"/>
      <c r="FBC291" s="592"/>
      <c r="FBD291" s="592"/>
      <c r="FBE291" s="592"/>
      <c r="FBF291" s="592"/>
      <c r="FBG291" s="592"/>
      <c r="FBH291" s="592"/>
      <c r="FBI291" s="592"/>
      <c r="FBJ291" s="592"/>
      <c r="FBK291" s="592"/>
      <c r="FBL291" s="592"/>
      <c r="FBM291" s="592"/>
      <c r="FBN291" s="592"/>
      <c r="FBO291" s="592"/>
      <c r="FBP291" s="592"/>
      <c r="FBQ291" s="592"/>
      <c r="FBR291" s="592"/>
      <c r="FBS291" s="592"/>
      <c r="FBT291" s="592"/>
      <c r="FBU291" s="592"/>
      <c r="FBV291" s="592"/>
      <c r="FBW291" s="592"/>
      <c r="FBX291" s="592"/>
      <c r="FBY291" s="592"/>
      <c r="FBZ291" s="592"/>
      <c r="FCA291" s="592"/>
      <c r="FCB291" s="592"/>
      <c r="FCC291" s="592"/>
      <c r="FCD291" s="592"/>
      <c r="FCE291" s="592"/>
      <c r="FCF291" s="592"/>
      <c r="FCG291" s="592"/>
      <c r="FCH291" s="592"/>
      <c r="FCI291" s="592"/>
      <c r="FCJ291" s="592"/>
      <c r="FCK291" s="592"/>
      <c r="FCL291" s="592"/>
      <c r="FCM291" s="592"/>
      <c r="FCN291" s="592"/>
      <c r="FCO291" s="592"/>
      <c r="FCP291" s="592"/>
      <c r="FCQ291" s="592"/>
      <c r="FCR291" s="592"/>
      <c r="FCS291" s="592"/>
      <c r="FCT291" s="592"/>
      <c r="FCU291" s="592"/>
      <c r="FCV291" s="592"/>
      <c r="FCW291" s="592"/>
      <c r="FCX291" s="592"/>
      <c r="FCY291" s="592"/>
      <c r="FCZ291" s="592"/>
      <c r="FDA291" s="592"/>
      <c r="FDB291" s="592"/>
      <c r="FDC291" s="592"/>
      <c r="FDD291" s="592"/>
      <c r="FDE291" s="592"/>
      <c r="FDF291" s="592"/>
      <c r="FDG291" s="592"/>
      <c r="FDH291" s="592"/>
      <c r="FDI291" s="592"/>
      <c r="FDJ291" s="592"/>
      <c r="FDK291" s="592"/>
      <c r="FDL291" s="592"/>
      <c r="FDM291" s="592"/>
      <c r="FDN291" s="592"/>
      <c r="FDO291" s="592"/>
      <c r="FDP291" s="592"/>
      <c r="FDQ291" s="592"/>
      <c r="FDR291" s="592"/>
      <c r="FDS291" s="592"/>
      <c r="FDT291" s="592"/>
      <c r="FDU291" s="592"/>
      <c r="FDV291" s="592"/>
      <c r="FDW291" s="592"/>
      <c r="FDX291" s="592"/>
      <c r="FDY291" s="592"/>
      <c r="FDZ291" s="592"/>
      <c r="FEA291" s="592"/>
      <c r="FEB291" s="592"/>
      <c r="FEC291" s="592"/>
      <c r="FED291" s="592"/>
      <c r="FEE291" s="592"/>
      <c r="FEF291" s="592"/>
      <c r="FEG291" s="592"/>
      <c r="FEH291" s="592"/>
      <c r="FEI291" s="592"/>
      <c r="FEJ291" s="592"/>
      <c r="FEK291" s="592"/>
      <c r="FEL291" s="592"/>
      <c r="FEM291" s="592"/>
      <c r="FEN291" s="592"/>
      <c r="FEO291" s="592"/>
      <c r="FEP291" s="592"/>
      <c r="FEQ291" s="592"/>
      <c r="FER291" s="592"/>
      <c r="FES291" s="592"/>
      <c r="FET291" s="592"/>
      <c r="FEU291" s="592"/>
      <c r="FEV291" s="592"/>
      <c r="FEW291" s="592"/>
      <c r="FEX291" s="592"/>
      <c r="FEY291" s="592"/>
      <c r="FEZ291" s="592"/>
      <c r="FFA291" s="592"/>
      <c r="FFB291" s="592"/>
      <c r="FFC291" s="592"/>
      <c r="FFD291" s="592"/>
      <c r="FFE291" s="592"/>
      <c r="FFF291" s="592"/>
      <c r="FFG291" s="592"/>
      <c r="FFH291" s="592"/>
      <c r="FFI291" s="592"/>
      <c r="FFJ291" s="592"/>
      <c r="FFK291" s="592"/>
      <c r="FFL291" s="592"/>
      <c r="FFM291" s="592"/>
      <c r="FFN291" s="592"/>
      <c r="FFO291" s="592"/>
      <c r="FFP291" s="592"/>
      <c r="FFQ291" s="592"/>
      <c r="FFR291" s="592"/>
      <c r="FFS291" s="592"/>
      <c r="FFT291" s="592"/>
      <c r="FFU291" s="592"/>
      <c r="FFV291" s="592"/>
      <c r="FFW291" s="592"/>
      <c r="FFX291" s="592"/>
      <c r="FFY291" s="592"/>
      <c r="FFZ291" s="592"/>
      <c r="FGA291" s="592"/>
      <c r="FGB291" s="592"/>
      <c r="FGC291" s="592"/>
      <c r="FGD291" s="592"/>
      <c r="FGE291" s="592"/>
      <c r="FGF291" s="592"/>
      <c r="FGG291" s="592"/>
      <c r="FGH291" s="592"/>
      <c r="FGI291" s="592"/>
      <c r="FGJ291" s="592"/>
      <c r="FGK291" s="592"/>
      <c r="FGL291" s="592"/>
      <c r="FGM291" s="592"/>
      <c r="FGN291" s="592"/>
      <c r="FGO291" s="592"/>
      <c r="FGP291" s="592"/>
      <c r="FGQ291" s="592"/>
      <c r="FGR291" s="592"/>
      <c r="FGS291" s="592"/>
      <c r="FGT291" s="592"/>
      <c r="FGU291" s="592"/>
      <c r="FGV291" s="592"/>
      <c r="FGW291" s="592"/>
      <c r="FGX291" s="592"/>
      <c r="FGY291" s="592"/>
      <c r="FGZ291" s="592"/>
      <c r="FHA291" s="592"/>
      <c r="FHB291" s="592"/>
      <c r="FHC291" s="592"/>
      <c r="FHD291" s="592"/>
      <c r="FHE291" s="592"/>
      <c r="FHF291" s="592"/>
      <c r="FHG291" s="592"/>
      <c r="FHH291" s="592"/>
      <c r="FHI291" s="592"/>
      <c r="FHJ291" s="592"/>
      <c r="FHK291" s="592"/>
      <c r="FHL291" s="592"/>
      <c r="FHM291" s="592"/>
      <c r="FHN291" s="592"/>
      <c r="FHO291" s="592"/>
      <c r="FHP291" s="592"/>
      <c r="FHQ291" s="592"/>
      <c r="FHR291" s="592"/>
      <c r="FHS291" s="592"/>
      <c r="FHT291" s="592"/>
      <c r="FHU291" s="592"/>
      <c r="FHV291" s="592"/>
      <c r="FHW291" s="592"/>
      <c r="FHX291" s="592"/>
      <c r="FHY291" s="592"/>
      <c r="FHZ291" s="592"/>
      <c r="FIA291" s="592"/>
      <c r="FIB291" s="592"/>
      <c r="FIC291" s="592"/>
      <c r="FID291" s="592"/>
      <c r="FIE291" s="592"/>
      <c r="FIF291" s="592"/>
      <c r="FIG291" s="592"/>
      <c r="FIH291" s="592"/>
      <c r="FII291" s="592"/>
      <c r="FIJ291" s="592"/>
      <c r="FIK291" s="592"/>
      <c r="FIL291" s="592"/>
      <c r="FIM291" s="592"/>
      <c r="FIN291" s="592"/>
      <c r="FIO291" s="592"/>
      <c r="FIP291" s="592"/>
      <c r="FIQ291" s="592"/>
      <c r="FIR291" s="592"/>
      <c r="FIS291" s="592"/>
      <c r="FIT291" s="592"/>
      <c r="FIU291" s="592"/>
      <c r="FIV291" s="592"/>
      <c r="FIW291" s="592"/>
      <c r="FIX291" s="592"/>
      <c r="FIY291" s="592"/>
      <c r="FIZ291" s="592"/>
      <c r="FJA291" s="592"/>
      <c r="FJB291" s="592"/>
      <c r="FJC291" s="592"/>
      <c r="FJD291" s="592"/>
      <c r="FJE291" s="592"/>
      <c r="FJF291" s="592"/>
      <c r="FJG291" s="592"/>
      <c r="FJH291" s="592"/>
      <c r="FJI291" s="592"/>
      <c r="FJJ291" s="592"/>
      <c r="FJK291" s="592"/>
      <c r="FJL291" s="592"/>
      <c r="FJM291" s="592"/>
      <c r="FJN291" s="592"/>
      <c r="FJO291" s="592"/>
      <c r="FJP291" s="592"/>
      <c r="FJQ291" s="592"/>
      <c r="FJR291" s="592"/>
      <c r="FJS291" s="592"/>
      <c r="FJT291" s="592"/>
      <c r="FJU291" s="592"/>
      <c r="FJV291" s="592"/>
      <c r="FJW291" s="592"/>
      <c r="FJX291" s="592"/>
      <c r="FJY291" s="592"/>
      <c r="FJZ291" s="592"/>
      <c r="FKA291" s="592"/>
      <c r="FKB291" s="592"/>
      <c r="FKC291" s="592"/>
      <c r="FKD291" s="592"/>
      <c r="FKE291" s="592"/>
      <c r="FKF291" s="592"/>
      <c r="FKG291" s="592"/>
      <c r="FKH291" s="592"/>
      <c r="FKI291" s="592"/>
      <c r="FKJ291" s="592"/>
      <c r="FKK291" s="592"/>
      <c r="FKL291" s="592"/>
      <c r="FKM291" s="592"/>
      <c r="FKN291" s="592"/>
      <c r="FKO291" s="592"/>
      <c r="FKP291" s="592"/>
      <c r="FKQ291" s="592"/>
      <c r="FKR291" s="592"/>
      <c r="FKS291" s="592"/>
      <c r="FKT291" s="592"/>
      <c r="FKU291" s="592"/>
      <c r="FKV291" s="592"/>
      <c r="FKW291" s="592"/>
      <c r="FKX291" s="592"/>
      <c r="FKY291" s="592"/>
      <c r="FKZ291" s="592"/>
      <c r="FLA291" s="592"/>
      <c r="FLB291" s="592"/>
      <c r="FLC291" s="592"/>
      <c r="FLD291" s="592"/>
      <c r="FLE291" s="592"/>
      <c r="FLF291" s="592"/>
      <c r="FLG291" s="592"/>
      <c r="FLH291" s="592"/>
      <c r="FLI291" s="592"/>
      <c r="FLJ291" s="592"/>
      <c r="FLK291" s="592"/>
      <c r="FLL291" s="592"/>
      <c r="FLM291" s="592"/>
      <c r="FLN291" s="592"/>
      <c r="FLO291" s="592"/>
      <c r="FLP291" s="592"/>
      <c r="FLQ291" s="592"/>
      <c r="FLR291" s="592"/>
      <c r="FLS291" s="592"/>
      <c r="FLT291" s="592"/>
      <c r="FLU291" s="592"/>
      <c r="FLV291" s="592"/>
      <c r="FLW291" s="592"/>
      <c r="FLX291" s="592"/>
      <c r="FLY291" s="592"/>
      <c r="FLZ291" s="592"/>
      <c r="FMA291" s="592"/>
      <c r="FMB291" s="592"/>
      <c r="FMC291" s="592"/>
      <c r="FMD291" s="592"/>
      <c r="FME291" s="592"/>
      <c r="FMF291" s="592"/>
      <c r="FMG291" s="592"/>
      <c r="FMH291" s="592"/>
      <c r="FMI291" s="592"/>
      <c r="FMJ291" s="592"/>
      <c r="FMK291" s="592"/>
      <c r="FML291" s="592"/>
      <c r="FMM291" s="592"/>
      <c r="FMN291" s="592"/>
      <c r="FMO291" s="592"/>
      <c r="FMP291" s="592"/>
      <c r="FMQ291" s="592"/>
      <c r="FMR291" s="592"/>
      <c r="FMS291" s="592"/>
      <c r="FMT291" s="592"/>
      <c r="FMU291" s="592"/>
      <c r="FMV291" s="592"/>
      <c r="FMW291" s="592"/>
      <c r="FMX291" s="592"/>
      <c r="FMY291" s="592"/>
      <c r="FMZ291" s="592"/>
      <c r="FNA291" s="592"/>
      <c r="FNB291" s="592"/>
      <c r="FNC291" s="592"/>
      <c r="FND291" s="592"/>
      <c r="FNE291" s="592"/>
      <c r="FNF291" s="592"/>
      <c r="FNG291" s="592"/>
      <c r="FNH291" s="592"/>
      <c r="FNI291" s="592"/>
      <c r="FNJ291" s="592"/>
      <c r="FNK291" s="592"/>
      <c r="FNL291" s="592"/>
      <c r="FNM291" s="592"/>
      <c r="FNN291" s="592"/>
      <c r="FNO291" s="592"/>
      <c r="FNP291" s="592"/>
      <c r="FNQ291" s="592"/>
      <c r="FNR291" s="592"/>
      <c r="FNS291" s="592"/>
      <c r="FNT291" s="592"/>
      <c r="FNU291" s="592"/>
      <c r="FNV291" s="592"/>
      <c r="FNW291" s="592"/>
      <c r="FNX291" s="592"/>
      <c r="FNY291" s="592"/>
      <c r="FNZ291" s="592"/>
      <c r="FOA291" s="592"/>
      <c r="FOB291" s="592"/>
      <c r="FOC291" s="592"/>
      <c r="FOD291" s="592"/>
      <c r="FOE291" s="592"/>
      <c r="FOF291" s="592"/>
      <c r="FOG291" s="592"/>
      <c r="FOH291" s="592"/>
      <c r="FOI291" s="592"/>
      <c r="FOJ291" s="592"/>
      <c r="FOK291" s="592"/>
      <c r="FOL291" s="592"/>
      <c r="FOM291" s="592"/>
      <c r="FON291" s="592"/>
      <c r="FOO291" s="592"/>
      <c r="FOP291" s="592"/>
      <c r="FOQ291" s="592"/>
      <c r="FOR291" s="592"/>
      <c r="FOS291" s="592"/>
      <c r="FOT291" s="592"/>
      <c r="FOU291" s="592"/>
      <c r="FOV291" s="592"/>
      <c r="FOW291" s="592"/>
      <c r="FOX291" s="592"/>
      <c r="FOY291" s="592"/>
      <c r="FOZ291" s="592"/>
      <c r="FPA291" s="592"/>
      <c r="FPB291" s="592"/>
      <c r="FPC291" s="592"/>
      <c r="FPD291" s="592"/>
      <c r="FPE291" s="592"/>
      <c r="FPF291" s="592"/>
      <c r="FPG291" s="592"/>
      <c r="FPH291" s="592"/>
      <c r="FPI291" s="592"/>
      <c r="FPJ291" s="592"/>
      <c r="FPK291" s="592"/>
      <c r="FPL291" s="592"/>
      <c r="FPM291" s="592"/>
      <c r="FPN291" s="592"/>
      <c r="FPO291" s="592"/>
      <c r="FPP291" s="592"/>
      <c r="FPQ291" s="592"/>
      <c r="FPR291" s="592"/>
      <c r="FPS291" s="592"/>
      <c r="FPT291" s="592"/>
      <c r="FPU291" s="592"/>
      <c r="FPV291" s="592"/>
      <c r="FPW291" s="592"/>
      <c r="FPX291" s="592"/>
      <c r="FPY291" s="592"/>
      <c r="FPZ291" s="592"/>
      <c r="FQA291" s="592"/>
      <c r="FQB291" s="592"/>
      <c r="FQC291" s="592"/>
      <c r="FQD291" s="592"/>
      <c r="FQE291" s="592"/>
      <c r="FQF291" s="592"/>
      <c r="FQG291" s="592"/>
      <c r="FQH291" s="592"/>
      <c r="FQI291" s="592"/>
      <c r="FQJ291" s="592"/>
      <c r="FQK291" s="592"/>
      <c r="FQL291" s="592"/>
      <c r="FQM291" s="592"/>
      <c r="FQN291" s="592"/>
      <c r="FQO291" s="592"/>
      <c r="FQP291" s="592"/>
      <c r="FQQ291" s="592"/>
      <c r="FQR291" s="592"/>
      <c r="FQS291" s="592"/>
      <c r="FQT291" s="592"/>
      <c r="FQU291" s="592"/>
      <c r="FQV291" s="592"/>
      <c r="FQW291" s="592"/>
      <c r="FQX291" s="592"/>
      <c r="FQY291" s="592"/>
      <c r="FQZ291" s="592"/>
      <c r="FRA291" s="592"/>
      <c r="FRB291" s="592"/>
      <c r="FRC291" s="592"/>
      <c r="FRD291" s="592"/>
      <c r="FRE291" s="592"/>
      <c r="FRF291" s="592"/>
      <c r="FRG291" s="592"/>
      <c r="FRH291" s="592"/>
      <c r="FRI291" s="592"/>
      <c r="FRJ291" s="592"/>
      <c r="FRK291" s="592"/>
      <c r="FRL291" s="592"/>
      <c r="FRM291" s="592"/>
      <c r="FRN291" s="592"/>
      <c r="FRO291" s="592"/>
      <c r="FRP291" s="592"/>
      <c r="FRQ291" s="592"/>
      <c r="FRR291" s="592"/>
      <c r="FRS291" s="592"/>
      <c r="FRT291" s="592"/>
      <c r="FRU291" s="592"/>
      <c r="FRV291" s="592"/>
      <c r="FRW291" s="592"/>
      <c r="FRX291" s="592"/>
      <c r="FRY291" s="592"/>
      <c r="FRZ291" s="592"/>
      <c r="FSA291" s="592"/>
      <c r="FSB291" s="592"/>
      <c r="FSC291" s="592"/>
      <c r="FSD291" s="592"/>
      <c r="FSE291" s="592"/>
      <c r="FSF291" s="592"/>
      <c r="FSG291" s="592"/>
      <c r="FSH291" s="592"/>
      <c r="FSI291" s="592"/>
      <c r="FSJ291" s="592"/>
      <c r="FSK291" s="592"/>
      <c r="FSL291" s="592"/>
      <c r="FSM291" s="592"/>
      <c r="FSN291" s="592"/>
      <c r="FSO291" s="592"/>
      <c r="FSP291" s="592"/>
      <c r="FSQ291" s="592"/>
      <c r="FSR291" s="592"/>
      <c r="FSS291" s="592"/>
      <c r="FST291" s="592"/>
      <c r="FSU291" s="592"/>
      <c r="FSV291" s="592"/>
      <c r="FSW291" s="592"/>
      <c r="FSX291" s="592"/>
      <c r="FSY291" s="592"/>
      <c r="FSZ291" s="592"/>
      <c r="FTA291" s="592"/>
      <c r="FTB291" s="592"/>
      <c r="FTC291" s="592"/>
      <c r="FTD291" s="592"/>
      <c r="FTE291" s="592"/>
      <c r="FTF291" s="592"/>
      <c r="FTG291" s="592"/>
      <c r="FTH291" s="592"/>
      <c r="FTI291" s="592"/>
      <c r="FTJ291" s="592"/>
      <c r="FTK291" s="592"/>
      <c r="FTL291" s="592"/>
      <c r="FTM291" s="592"/>
      <c r="FTN291" s="592"/>
      <c r="FTO291" s="592"/>
      <c r="FTP291" s="592"/>
      <c r="FTQ291" s="592"/>
      <c r="FTR291" s="592"/>
      <c r="FTS291" s="592"/>
      <c r="FTT291" s="592"/>
      <c r="FTU291" s="592"/>
      <c r="FTV291" s="592"/>
      <c r="FTW291" s="592"/>
      <c r="FTX291" s="592"/>
      <c r="FTY291" s="592"/>
      <c r="FTZ291" s="592"/>
      <c r="FUA291" s="592"/>
      <c r="FUB291" s="592"/>
      <c r="FUC291" s="592"/>
      <c r="FUD291" s="592"/>
      <c r="FUE291" s="592"/>
      <c r="FUF291" s="592"/>
      <c r="FUG291" s="592"/>
      <c r="FUH291" s="592"/>
      <c r="FUI291" s="592"/>
      <c r="FUJ291" s="592"/>
      <c r="FUK291" s="592"/>
      <c r="FUL291" s="592"/>
      <c r="FUM291" s="592"/>
      <c r="FUN291" s="592"/>
      <c r="FUO291" s="592"/>
      <c r="FUP291" s="592"/>
      <c r="FUQ291" s="592"/>
      <c r="FUR291" s="592"/>
      <c r="FUS291" s="592"/>
      <c r="FUT291" s="592"/>
      <c r="FUU291" s="592"/>
      <c r="FUV291" s="592"/>
      <c r="FUW291" s="592"/>
      <c r="FUX291" s="592"/>
      <c r="FUY291" s="592"/>
      <c r="FUZ291" s="592"/>
      <c r="FVA291" s="592"/>
      <c r="FVB291" s="592"/>
      <c r="FVC291" s="592"/>
      <c r="FVD291" s="592"/>
      <c r="FVE291" s="592"/>
      <c r="FVF291" s="592"/>
      <c r="FVG291" s="592"/>
      <c r="FVH291" s="592"/>
      <c r="FVI291" s="592"/>
      <c r="FVJ291" s="592"/>
      <c r="FVK291" s="592"/>
      <c r="FVL291" s="592"/>
      <c r="FVM291" s="592"/>
      <c r="FVN291" s="592"/>
      <c r="FVO291" s="592"/>
      <c r="FVP291" s="592"/>
      <c r="FVQ291" s="592"/>
      <c r="FVR291" s="592"/>
      <c r="FVS291" s="592"/>
      <c r="FVT291" s="592"/>
      <c r="FVU291" s="592"/>
      <c r="FVV291" s="592"/>
      <c r="FVW291" s="592"/>
      <c r="FVX291" s="592"/>
      <c r="FVY291" s="592"/>
      <c r="FVZ291" s="592"/>
      <c r="FWA291" s="592"/>
      <c r="FWB291" s="592"/>
      <c r="FWC291" s="592"/>
      <c r="FWD291" s="592"/>
      <c r="FWE291" s="592"/>
      <c r="FWF291" s="592"/>
      <c r="FWG291" s="592"/>
      <c r="FWH291" s="592"/>
      <c r="FWI291" s="592"/>
      <c r="FWJ291" s="592"/>
      <c r="FWK291" s="592"/>
      <c r="FWL291" s="592"/>
      <c r="FWM291" s="592"/>
      <c r="FWN291" s="592"/>
      <c r="FWO291" s="592"/>
      <c r="FWP291" s="592"/>
      <c r="FWQ291" s="592"/>
      <c r="FWR291" s="592"/>
      <c r="FWS291" s="592"/>
      <c r="FWT291" s="592"/>
      <c r="FWU291" s="592"/>
      <c r="FWV291" s="592"/>
      <c r="FWW291" s="592"/>
      <c r="FWX291" s="592"/>
      <c r="FWY291" s="592"/>
      <c r="FWZ291" s="592"/>
      <c r="FXA291" s="592"/>
      <c r="FXB291" s="592"/>
      <c r="FXC291" s="592"/>
      <c r="FXD291" s="592"/>
      <c r="FXE291" s="592"/>
      <c r="FXF291" s="592"/>
      <c r="FXG291" s="592"/>
      <c r="FXH291" s="592"/>
      <c r="FXI291" s="592"/>
      <c r="FXJ291" s="592"/>
      <c r="FXK291" s="592"/>
      <c r="FXL291" s="592"/>
      <c r="FXM291" s="592"/>
      <c r="FXN291" s="592"/>
      <c r="FXO291" s="592"/>
      <c r="FXP291" s="592"/>
      <c r="FXQ291" s="592"/>
      <c r="FXR291" s="592"/>
      <c r="FXS291" s="592"/>
      <c r="FXT291" s="592"/>
      <c r="FXU291" s="592"/>
      <c r="FXV291" s="592"/>
      <c r="FXW291" s="592"/>
      <c r="FXX291" s="592"/>
      <c r="FXY291" s="592"/>
      <c r="FXZ291" s="592"/>
      <c r="FYA291" s="592"/>
      <c r="FYB291" s="592"/>
      <c r="FYC291" s="592"/>
      <c r="FYD291" s="592"/>
      <c r="FYE291" s="592"/>
      <c r="FYF291" s="592"/>
      <c r="FYG291" s="592"/>
      <c r="FYH291" s="592"/>
      <c r="FYI291" s="592"/>
      <c r="FYJ291" s="592"/>
      <c r="FYK291" s="592"/>
      <c r="FYL291" s="592"/>
      <c r="FYM291" s="592"/>
      <c r="FYN291" s="592"/>
      <c r="FYO291" s="592"/>
      <c r="FYP291" s="592"/>
      <c r="FYQ291" s="592"/>
      <c r="FYR291" s="592"/>
      <c r="FYS291" s="592"/>
      <c r="FYT291" s="592"/>
      <c r="FYU291" s="592"/>
      <c r="FYV291" s="592"/>
      <c r="FYW291" s="592"/>
      <c r="FYX291" s="592"/>
      <c r="FYY291" s="592"/>
      <c r="FYZ291" s="592"/>
      <c r="FZA291" s="592"/>
      <c r="FZB291" s="592"/>
      <c r="FZC291" s="592"/>
      <c r="FZD291" s="592"/>
      <c r="FZE291" s="592"/>
      <c r="FZF291" s="592"/>
      <c r="FZG291" s="592"/>
      <c r="FZH291" s="592"/>
      <c r="FZI291" s="592"/>
      <c r="FZJ291" s="592"/>
      <c r="FZK291" s="592"/>
      <c r="FZL291" s="592"/>
      <c r="FZM291" s="592"/>
      <c r="FZN291" s="592"/>
      <c r="FZO291" s="592"/>
      <c r="FZP291" s="592"/>
      <c r="FZQ291" s="592"/>
      <c r="FZR291" s="592"/>
      <c r="FZS291" s="592"/>
      <c r="FZT291" s="592"/>
      <c r="FZU291" s="592"/>
      <c r="FZV291" s="592"/>
      <c r="FZW291" s="592"/>
      <c r="FZX291" s="592"/>
      <c r="FZY291" s="592"/>
      <c r="FZZ291" s="592"/>
      <c r="GAA291" s="592"/>
      <c r="GAB291" s="592"/>
      <c r="GAC291" s="592"/>
      <c r="GAD291" s="592"/>
      <c r="GAE291" s="592"/>
      <c r="GAF291" s="592"/>
      <c r="GAG291" s="592"/>
      <c r="GAH291" s="592"/>
      <c r="GAI291" s="592"/>
      <c r="GAJ291" s="592"/>
      <c r="GAK291" s="592"/>
      <c r="GAL291" s="592"/>
      <c r="GAM291" s="592"/>
      <c r="GAN291" s="592"/>
      <c r="GAO291" s="592"/>
      <c r="GAP291" s="592"/>
      <c r="GAQ291" s="592"/>
      <c r="GAR291" s="592"/>
      <c r="GAS291" s="592"/>
      <c r="GAT291" s="592"/>
      <c r="GAU291" s="592"/>
      <c r="GAV291" s="592"/>
      <c r="GAW291" s="592"/>
      <c r="GAX291" s="592"/>
      <c r="GAY291" s="592"/>
      <c r="GAZ291" s="592"/>
      <c r="GBA291" s="592"/>
      <c r="GBB291" s="592"/>
      <c r="GBC291" s="592"/>
      <c r="GBD291" s="592"/>
      <c r="GBE291" s="592"/>
      <c r="GBF291" s="592"/>
      <c r="GBG291" s="592"/>
      <c r="GBH291" s="592"/>
      <c r="GBI291" s="592"/>
      <c r="GBJ291" s="592"/>
      <c r="GBK291" s="592"/>
      <c r="GBL291" s="592"/>
      <c r="GBM291" s="592"/>
      <c r="GBN291" s="592"/>
      <c r="GBO291" s="592"/>
      <c r="GBP291" s="592"/>
      <c r="GBQ291" s="592"/>
      <c r="GBR291" s="592"/>
      <c r="GBS291" s="592"/>
      <c r="GBT291" s="592"/>
      <c r="GBU291" s="592"/>
      <c r="GBV291" s="592"/>
      <c r="GBW291" s="592"/>
      <c r="GBX291" s="592"/>
      <c r="GBY291" s="592"/>
      <c r="GBZ291" s="592"/>
      <c r="GCA291" s="592"/>
      <c r="GCB291" s="592"/>
      <c r="GCC291" s="592"/>
      <c r="GCD291" s="592"/>
      <c r="GCE291" s="592"/>
      <c r="GCF291" s="592"/>
      <c r="GCG291" s="592"/>
      <c r="GCH291" s="592"/>
      <c r="GCI291" s="592"/>
      <c r="GCJ291" s="592"/>
      <c r="GCK291" s="592"/>
      <c r="GCL291" s="592"/>
      <c r="GCM291" s="592"/>
      <c r="GCN291" s="592"/>
      <c r="GCO291" s="592"/>
      <c r="GCP291" s="592"/>
      <c r="GCQ291" s="592"/>
      <c r="GCR291" s="592"/>
      <c r="GCS291" s="592"/>
      <c r="GCT291" s="592"/>
      <c r="GCU291" s="592"/>
      <c r="GCV291" s="592"/>
      <c r="GCW291" s="592"/>
      <c r="GCX291" s="592"/>
      <c r="GCY291" s="592"/>
      <c r="GCZ291" s="592"/>
      <c r="GDA291" s="592"/>
      <c r="GDB291" s="592"/>
      <c r="GDC291" s="592"/>
      <c r="GDD291" s="592"/>
      <c r="GDE291" s="592"/>
      <c r="GDF291" s="592"/>
      <c r="GDG291" s="592"/>
      <c r="GDH291" s="592"/>
      <c r="GDI291" s="592"/>
      <c r="GDJ291" s="592"/>
      <c r="GDK291" s="592"/>
      <c r="GDL291" s="592"/>
      <c r="GDM291" s="592"/>
      <c r="GDN291" s="592"/>
      <c r="GDO291" s="592"/>
      <c r="GDP291" s="592"/>
      <c r="GDQ291" s="592"/>
      <c r="GDR291" s="592"/>
      <c r="GDS291" s="592"/>
      <c r="GDT291" s="592"/>
      <c r="GDU291" s="592"/>
      <c r="GDV291" s="592"/>
      <c r="GDW291" s="592"/>
      <c r="GDX291" s="592"/>
      <c r="GDY291" s="592"/>
      <c r="GDZ291" s="592"/>
      <c r="GEA291" s="592"/>
      <c r="GEB291" s="592"/>
      <c r="GEC291" s="592"/>
      <c r="GED291" s="592"/>
      <c r="GEE291" s="592"/>
      <c r="GEF291" s="592"/>
      <c r="GEG291" s="592"/>
      <c r="GEH291" s="592"/>
      <c r="GEI291" s="592"/>
      <c r="GEJ291" s="592"/>
      <c r="GEK291" s="592"/>
      <c r="GEL291" s="592"/>
      <c r="GEM291" s="592"/>
      <c r="GEN291" s="592"/>
      <c r="GEO291" s="592"/>
      <c r="GEP291" s="592"/>
      <c r="GEQ291" s="592"/>
      <c r="GER291" s="592"/>
      <c r="GES291" s="592"/>
      <c r="GET291" s="592"/>
      <c r="GEU291" s="592"/>
      <c r="GEV291" s="592"/>
      <c r="GEW291" s="592"/>
      <c r="GEX291" s="592"/>
      <c r="GEY291" s="592"/>
      <c r="GEZ291" s="592"/>
      <c r="GFA291" s="592"/>
      <c r="GFB291" s="592"/>
      <c r="GFC291" s="592"/>
      <c r="GFD291" s="592"/>
      <c r="GFE291" s="592"/>
      <c r="GFF291" s="592"/>
      <c r="GFG291" s="592"/>
      <c r="GFH291" s="592"/>
      <c r="GFI291" s="592"/>
      <c r="GFJ291" s="592"/>
      <c r="GFK291" s="592"/>
      <c r="GFL291" s="592"/>
      <c r="GFM291" s="592"/>
      <c r="GFN291" s="592"/>
      <c r="GFO291" s="592"/>
      <c r="GFP291" s="592"/>
      <c r="GFQ291" s="592"/>
      <c r="GFR291" s="592"/>
      <c r="GFS291" s="592"/>
      <c r="GFT291" s="592"/>
      <c r="GFU291" s="592"/>
      <c r="GFV291" s="592"/>
      <c r="GFW291" s="592"/>
      <c r="GFX291" s="592"/>
      <c r="GFY291" s="592"/>
      <c r="GFZ291" s="592"/>
      <c r="GGA291" s="592"/>
      <c r="GGB291" s="592"/>
      <c r="GGC291" s="592"/>
      <c r="GGD291" s="592"/>
      <c r="GGE291" s="592"/>
      <c r="GGF291" s="592"/>
      <c r="GGG291" s="592"/>
      <c r="GGH291" s="592"/>
      <c r="GGI291" s="592"/>
      <c r="GGJ291" s="592"/>
      <c r="GGK291" s="592"/>
      <c r="GGL291" s="592"/>
      <c r="GGM291" s="592"/>
      <c r="GGN291" s="592"/>
      <c r="GGO291" s="592"/>
      <c r="GGP291" s="592"/>
      <c r="GGQ291" s="592"/>
      <c r="GGR291" s="592"/>
      <c r="GGS291" s="592"/>
      <c r="GGT291" s="592"/>
      <c r="GGU291" s="592"/>
      <c r="GGV291" s="592"/>
      <c r="GGW291" s="592"/>
      <c r="GGX291" s="592"/>
      <c r="GGY291" s="592"/>
      <c r="GGZ291" s="592"/>
      <c r="GHA291" s="592"/>
      <c r="GHB291" s="592"/>
      <c r="GHC291" s="592"/>
      <c r="GHD291" s="592"/>
      <c r="GHE291" s="592"/>
      <c r="GHF291" s="592"/>
      <c r="GHG291" s="592"/>
      <c r="GHH291" s="592"/>
      <c r="GHI291" s="592"/>
      <c r="GHJ291" s="592"/>
      <c r="GHK291" s="592"/>
      <c r="GHL291" s="592"/>
      <c r="GHM291" s="592"/>
      <c r="GHN291" s="592"/>
      <c r="GHO291" s="592"/>
      <c r="GHP291" s="592"/>
      <c r="GHQ291" s="592"/>
      <c r="GHR291" s="592"/>
      <c r="GHS291" s="592"/>
      <c r="GHT291" s="592"/>
      <c r="GHU291" s="592"/>
      <c r="GHV291" s="592"/>
      <c r="GHW291" s="592"/>
      <c r="GHX291" s="592"/>
      <c r="GHY291" s="592"/>
      <c r="GHZ291" s="592"/>
      <c r="GIA291" s="592"/>
      <c r="GIB291" s="592"/>
      <c r="GIC291" s="592"/>
      <c r="GID291" s="592"/>
      <c r="GIE291" s="592"/>
      <c r="GIF291" s="592"/>
      <c r="GIG291" s="592"/>
      <c r="GIH291" s="592"/>
      <c r="GII291" s="592"/>
      <c r="GIJ291" s="592"/>
      <c r="GIK291" s="592"/>
      <c r="GIL291" s="592"/>
      <c r="GIM291" s="592"/>
      <c r="GIN291" s="592"/>
      <c r="GIO291" s="592"/>
      <c r="GIP291" s="592"/>
      <c r="GIQ291" s="592"/>
      <c r="GIR291" s="592"/>
      <c r="GIS291" s="592"/>
      <c r="GIT291" s="592"/>
      <c r="GIU291" s="592"/>
      <c r="GIV291" s="592"/>
      <c r="GIW291" s="592"/>
      <c r="GIX291" s="592"/>
      <c r="GIY291" s="592"/>
      <c r="GIZ291" s="592"/>
      <c r="GJA291" s="592"/>
      <c r="GJB291" s="592"/>
      <c r="GJC291" s="592"/>
      <c r="GJD291" s="592"/>
      <c r="GJE291" s="592"/>
      <c r="GJF291" s="592"/>
      <c r="GJG291" s="592"/>
      <c r="GJH291" s="592"/>
      <c r="GJI291" s="592"/>
      <c r="GJJ291" s="592"/>
      <c r="GJK291" s="592"/>
      <c r="GJL291" s="592"/>
      <c r="GJM291" s="592"/>
      <c r="GJN291" s="592"/>
      <c r="GJO291" s="592"/>
      <c r="GJP291" s="592"/>
      <c r="GJQ291" s="592"/>
      <c r="GJR291" s="592"/>
      <c r="GJS291" s="592"/>
      <c r="GJT291" s="592"/>
      <c r="GJU291" s="592"/>
      <c r="GJV291" s="592"/>
      <c r="GJW291" s="592"/>
      <c r="GJX291" s="592"/>
      <c r="GJY291" s="592"/>
      <c r="GJZ291" s="592"/>
      <c r="GKA291" s="592"/>
      <c r="GKB291" s="592"/>
      <c r="GKC291" s="592"/>
      <c r="GKD291" s="592"/>
      <c r="GKE291" s="592"/>
      <c r="GKF291" s="592"/>
      <c r="GKG291" s="592"/>
      <c r="GKH291" s="592"/>
      <c r="GKI291" s="592"/>
      <c r="GKJ291" s="592"/>
      <c r="GKK291" s="592"/>
      <c r="GKL291" s="592"/>
      <c r="GKM291" s="592"/>
      <c r="GKN291" s="592"/>
      <c r="GKO291" s="592"/>
      <c r="GKP291" s="592"/>
      <c r="GKQ291" s="592"/>
      <c r="GKR291" s="592"/>
      <c r="GKS291" s="592"/>
      <c r="GKT291" s="592"/>
      <c r="GKU291" s="592"/>
      <c r="GKV291" s="592"/>
      <c r="GKW291" s="592"/>
      <c r="GKX291" s="592"/>
      <c r="GKY291" s="592"/>
      <c r="GKZ291" s="592"/>
      <c r="GLA291" s="592"/>
      <c r="GLB291" s="592"/>
      <c r="GLC291" s="592"/>
      <c r="GLD291" s="592"/>
      <c r="GLE291" s="592"/>
      <c r="GLF291" s="592"/>
      <c r="GLG291" s="592"/>
      <c r="GLH291" s="592"/>
      <c r="GLI291" s="592"/>
      <c r="GLJ291" s="592"/>
      <c r="GLK291" s="592"/>
      <c r="GLL291" s="592"/>
      <c r="GLM291" s="592"/>
      <c r="GLN291" s="592"/>
      <c r="GLO291" s="592"/>
      <c r="GLP291" s="592"/>
      <c r="GLQ291" s="592"/>
      <c r="GLR291" s="592"/>
      <c r="GLS291" s="592"/>
      <c r="GLT291" s="592"/>
      <c r="GLU291" s="592"/>
      <c r="GLV291" s="592"/>
      <c r="GLW291" s="592"/>
      <c r="GLX291" s="592"/>
      <c r="GLY291" s="592"/>
      <c r="GLZ291" s="592"/>
      <c r="GMA291" s="592"/>
      <c r="GMB291" s="592"/>
      <c r="GMC291" s="592"/>
      <c r="GMD291" s="592"/>
      <c r="GME291" s="592"/>
      <c r="GMF291" s="592"/>
      <c r="GMG291" s="592"/>
      <c r="GMH291" s="592"/>
      <c r="GMI291" s="592"/>
      <c r="GMJ291" s="592"/>
      <c r="GMK291" s="592"/>
      <c r="GML291" s="592"/>
      <c r="GMM291" s="592"/>
      <c r="GMN291" s="592"/>
      <c r="GMO291" s="592"/>
      <c r="GMP291" s="592"/>
      <c r="GMQ291" s="592"/>
      <c r="GMR291" s="592"/>
      <c r="GMS291" s="592"/>
      <c r="GMT291" s="592"/>
      <c r="GMU291" s="592"/>
      <c r="GMV291" s="592"/>
      <c r="GMW291" s="592"/>
      <c r="GMX291" s="592"/>
      <c r="GMY291" s="592"/>
      <c r="GMZ291" s="592"/>
      <c r="GNA291" s="592"/>
      <c r="GNB291" s="592"/>
      <c r="GNC291" s="592"/>
      <c r="GND291" s="592"/>
      <c r="GNE291" s="592"/>
      <c r="GNF291" s="592"/>
      <c r="GNG291" s="592"/>
      <c r="GNH291" s="592"/>
      <c r="GNI291" s="592"/>
      <c r="GNJ291" s="592"/>
      <c r="GNK291" s="592"/>
      <c r="GNL291" s="592"/>
      <c r="GNM291" s="592"/>
      <c r="GNN291" s="592"/>
      <c r="GNO291" s="592"/>
      <c r="GNP291" s="592"/>
      <c r="GNQ291" s="592"/>
      <c r="GNR291" s="592"/>
      <c r="GNS291" s="592"/>
      <c r="GNT291" s="592"/>
      <c r="GNU291" s="592"/>
      <c r="GNV291" s="592"/>
      <c r="GNW291" s="592"/>
      <c r="GNX291" s="592"/>
      <c r="GNY291" s="592"/>
      <c r="GNZ291" s="592"/>
      <c r="GOA291" s="592"/>
      <c r="GOB291" s="592"/>
      <c r="GOC291" s="592"/>
      <c r="GOD291" s="592"/>
      <c r="GOE291" s="592"/>
      <c r="GOF291" s="592"/>
      <c r="GOG291" s="592"/>
      <c r="GOH291" s="592"/>
      <c r="GOI291" s="592"/>
      <c r="GOJ291" s="592"/>
      <c r="GOK291" s="592"/>
      <c r="GOL291" s="592"/>
      <c r="GOM291" s="592"/>
      <c r="GON291" s="592"/>
      <c r="GOO291" s="592"/>
      <c r="GOP291" s="592"/>
      <c r="GOQ291" s="592"/>
      <c r="GOR291" s="592"/>
      <c r="GOS291" s="592"/>
      <c r="GOT291" s="592"/>
      <c r="GOU291" s="592"/>
      <c r="GOV291" s="592"/>
      <c r="GOW291" s="592"/>
      <c r="GOX291" s="592"/>
      <c r="GOY291" s="592"/>
      <c r="GOZ291" s="592"/>
      <c r="GPA291" s="592"/>
      <c r="GPB291" s="592"/>
      <c r="GPC291" s="592"/>
      <c r="GPD291" s="592"/>
      <c r="GPE291" s="592"/>
      <c r="GPF291" s="592"/>
      <c r="GPG291" s="592"/>
      <c r="GPH291" s="592"/>
      <c r="GPI291" s="592"/>
      <c r="GPJ291" s="592"/>
      <c r="GPK291" s="592"/>
      <c r="GPL291" s="592"/>
      <c r="GPM291" s="592"/>
      <c r="GPN291" s="592"/>
      <c r="GPO291" s="592"/>
      <c r="GPP291" s="592"/>
      <c r="GPQ291" s="592"/>
      <c r="GPR291" s="592"/>
      <c r="GPS291" s="592"/>
      <c r="GPT291" s="592"/>
      <c r="GPU291" s="592"/>
      <c r="GPV291" s="592"/>
      <c r="GPW291" s="592"/>
      <c r="GPX291" s="592"/>
      <c r="GPY291" s="592"/>
      <c r="GPZ291" s="592"/>
      <c r="GQA291" s="592"/>
      <c r="GQB291" s="592"/>
      <c r="GQC291" s="592"/>
      <c r="GQD291" s="592"/>
      <c r="GQE291" s="592"/>
      <c r="GQF291" s="592"/>
      <c r="GQG291" s="592"/>
      <c r="GQH291" s="592"/>
      <c r="GQI291" s="592"/>
      <c r="GQJ291" s="592"/>
      <c r="GQK291" s="592"/>
      <c r="GQL291" s="592"/>
      <c r="GQM291" s="592"/>
      <c r="GQN291" s="592"/>
      <c r="GQO291" s="592"/>
      <c r="GQP291" s="592"/>
      <c r="GQQ291" s="592"/>
      <c r="GQR291" s="592"/>
      <c r="GQS291" s="592"/>
      <c r="GQT291" s="592"/>
      <c r="GQU291" s="592"/>
      <c r="GQV291" s="592"/>
      <c r="GQW291" s="592"/>
      <c r="GQX291" s="592"/>
      <c r="GQY291" s="592"/>
      <c r="GQZ291" s="592"/>
      <c r="GRA291" s="592"/>
      <c r="GRB291" s="592"/>
      <c r="GRC291" s="592"/>
      <c r="GRD291" s="592"/>
      <c r="GRE291" s="592"/>
      <c r="GRF291" s="592"/>
      <c r="GRG291" s="592"/>
      <c r="GRH291" s="592"/>
      <c r="GRI291" s="592"/>
      <c r="GRJ291" s="592"/>
      <c r="GRK291" s="592"/>
      <c r="GRL291" s="592"/>
      <c r="GRM291" s="592"/>
      <c r="GRN291" s="592"/>
      <c r="GRO291" s="592"/>
      <c r="GRP291" s="592"/>
      <c r="GRQ291" s="592"/>
      <c r="GRR291" s="592"/>
      <c r="GRS291" s="592"/>
      <c r="GRT291" s="592"/>
      <c r="GRU291" s="592"/>
      <c r="GRV291" s="592"/>
      <c r="GRW291" s="592"/>
      <c r="GRX291" s="592"/>
      <c r="GRY291" s="592"/>
      <c r="GRZ291" s="592"/>
      <c r="GSA291" s="592"/>
      <c r="GSB291" s="592"/>
      <c r="GSC291" s="592"/>
      <c r="GSD291" s="592"/>
      <c r="GSE291" s="592"/>
      <c r="GSF291" s="592"/>
      <c r="GSG291" s="592"/>
      <c r="GSH291" s="592"/>
      <c r="GSI291" s="592"/>
      <c r="GSJ291" s="592"/>
      <c r="GSK291" s="592"/>
      <c r="GSL291" s="592"/>
      <c r="GSM291" s="592"/>
      <c r="GSN291" s="592"/>
      <c r="GSO291" s="592"/>
      <c r="GSP291" s="592"/>
      <c r="GSQ291" s="592"/>
      <c r="GSR291" s="592"/>
      <c r="GSS291" s="592"/>
      <c r="GST291" s="592"/>
      <c r="GSU291" s="592"/>
      <c r="GSV291" s="592"/>
      <c r="GSW291" s="592"/>
      <c r="GSX291" s="592"/>
      <c r="GSY291" s="592"/>
      <c r="GSZ291" s="592"/>
      <c r="GTA291" s="592"/>
      <c r="GTB291" s="592"/>
      <c r="GTC291" s="592"/>
      <c r="GTD291" s="592"/>
      <c r="GTE291" s="592"/>
      <c r="GTF291" s="592"/>
      <c r="GTG291" s="592"/>
      <c r="GTH291" s="592"/>
      <c r="GTI291" s="592"/>
      <c r="GTJ291" s="592"/>
      <c r="GTK291" s="592"/>
      <c r="GTL291" s="592"/>
      <c r="GTM291" s="592"/>
      <c r="GTN291" s="592"/>
      <c r="GTO291" s="592"/>
      <c r="GTP291" s="592"/>
      <c r="GTQ291" s="592"/>
      <c r="GTR291" s="592"/>
      <c r="GTS291" s="592"/>
      <c r="GTT291" s="592"/>
      <c r="GTU291" s="592"/>
      <c r="GTV291" s="592"/>
      <c r="GTW291" s="592"/>
      <c r="GTX291" s="592"/>
      <c r="GTY291" s="592"/>
      <c r="GTZ291" s="592"/>
      <c r="GUA291" s="592"/>
      <c r="GUB291" s="592"/>
      <c r="GUC291" s="592"/>
      <c r="GUD291" s="592"/>
      <c r="GUE291" s="592"/>
      <c r="GUF291" s="592"/>
      <c r="GUG291" s="592"/>
      <c r="GUH291" s="592"/>
      <c r="GUI291" s="592"/>
      <c r="GUJ291" s="592"/>
      <c r="GUK291" s="592"/>
      <c r="GUL291" s="592"/>
      <c r="GUM291" s="592"/>
      <c r="GUN291" s="592"/>
      <c r="GUO291" s="592"/>
      <c r="GUP291" s="592"/>
      <c r="GUQ291" s="592"/>
      <c r="GUR291" s="592"/>
      <c r="GUS291" s="592"/>
      <c r="GUT291" s="592"/>
      <c r="GUU291" s="592"/>
      <c r="GUV291" s="592"/>
      <c r="GUW291" s="592"/>
      <c r="GUX291" s="592"/>
      <c r="GUY291" s="592"/>
      <c r="GUZ291" s="592"/>
      <c r="GVA291" s="592"/>
      <c r="GVB291" s="592"/>
      <c r="GVC291" s="592"/>
      <c r="GVD291" s="592"/>
      <c r="GVE291" s="592"/>
      <c r="GVF291" s="592"/>
      <c r="GVG291" s="592"/>
      <c r="GVH291" s="592"/>
      <c r="GVI291" s="592"/>
      <c r="GVJ291" s="592"/>
      <c r="GVK291" s="592"/>
      <c r="GVL291" s="592"/>
      <c r="GVM291" s="592"/>
      <c r="GVN291" s="592"/>
      <c r="GVO291" s="592"/>
      <c r="GVP291" s="592"/>
      <c r="GVQ291" s="592"/>
      <c r="GVR291" s="592"/>
      <c r="GVS291" s="592"/>
      <c r="GVT291" s="592"/>
      <c r="GVU291" s="592"/>
      <c r="GVV291" s="592"/>
      <c r="GVW291" s="592"/>
      <c r="GVX291" s="592"/>
      <c r="GVY291" s="592"/>
      <c r="GVZ291" s="592"/>
      <c r="GWA291" s="592"/>
      <c r="GWB291" s="592"/>
      <c r="GWC291" s="592"/>
      <c r="GWD291" s="592"/>
      <c r="GWE291" s="592"/>
      <c r="GWF291" s="592"/>
      <c r="GWG291" s="592"/>
      <c r="GWH291" s="592"/>
      <c r="GWI291" s="592"/>
      <c r="GWJ291" s="592"/>
      <c r="GWK291" s="592"/>
      <c r="GWL291" s="592"/>
      <c r="GWM291" s="592"/>
      <c r="GWN291" s="592"/>
      <c r="GWO291" s="592"/>
      <c r="GWP291" s="592"/>
      <c r="GWQ291" s="592"/>
      <c r="GWR291" s="592"/>
      <c r="GWS291" s="592"/>
      <c r="GWT291" s="592"/>
      <c r="GWU291" s="592"/>
      <c r="GWV291" s="592"/>
      <c r="GWW291" s="592"/>
      <c r="GWX291" s="592"/>
      <c r="GWY291" s="592"/>
      <c r="GWZ291" s="592"/>
      <c r="GXA291" s="592"/>
      <c r="GXB291" s="592"/>
      <c r="GXC291" s="592"/>
      <c r="GXD291" s="592"/>
      <c r="GXE291" s="592"/>
      <c r="GXF291" s="592"/>
      <c r="GXG291" s="592"/>
      <c r="GXH291" s="592"/>
      <c r="GXI291" s="592"/>
      <c r="GXJ291" s="592"/>
      <c r="GXK291" s="592"/>
      <c r="GXL291" s="592"/>
      <c r="GXM291" s="592"/>
      <c r="GXN291" s="592"/>
      <c r="GXO291" s="592"/>
      <c r="GXP291" s="592"/>
      <c r="GXQ291" s="592"/>
      <c r="GXR291" s="592"/>
      <c r="GXS291" s="592"/>
      <c r="GXT291" s="592"/>
      <c r="GXU291" s="592"/>
      <c r="GXV291" s="592"/>
      <c r="GXW291" s="592"/>
      <c r="GXX291" s="592"/>
      <c r="GXY291" s="592"/>
      <c r="GXZ291" s="592"/>
      <c r="GYA291" s="592"/>
      <c r="GYB291" s="592"/>
      <c r="GYC291" s="592"/>
      <c r="GYD291" s="592"/>
      <c r="GYE291" s="592"/>
      <c r="GYF291" s="592"/>
      <c r="GYG291" s="592"/>
      <c r="GYH291" s="592"/>
      <c r="GYI291" s="592"/>
      <c r="GYJ291" s="592"/>
      <c r="GYK291" s="592"/>
      <c r="GYL291" s="592"/>
      <c r="GYM291" s="592"/>
      <c r="GYN291" s="592"/>
      <c r="GYO291" s="592"/>
      <c r="GYP291" s="592"/>
      <c r="GYQ291" s="592"/>
      <c r="GYR291" s="592"/>
      <c r="GYS291" s="592"/>
      <c r="GYT291" s="592"/>
      <c r="GYU291" s="592"/>
      <c r="GYV291" s="592"/>
      <c r="GYW291" s="592"/>
      <c r="GYX291" s="592"/>
      <c r="GYY291" s="592"/>
      <c r="GYZ291" s="592"/>
      <c r="GZA291" s="592"/>
      <c r="GZB291" s="592"/>
      <c r="GZC291" s="592"/>
      <c r="GZD291" s="592"/>
      <c r="GZE291" s="592"/>
      <c r="GZF291" s="592"/>
      <c r="GZG291" s="592"/>
      <c r="GZH291" s="592"/>
      <c r="GZI291" s="592"/>
      <c r="GZJ291" s="592"/>
      <c r="GZK291" s="592"/>
      <c r="GZL291" s="592"/>
      <c r="GZM291" s="592"/>
      <c r="GZN291" s="592"/>
      <c r="GZO291" s="592"/>
      <c r="GZP291" s="592"/>
      <c r="GZQ291" s="592"/>
      <c r="GZR291" s="592"/>
      <c r="GZS291" s="592"/>
      <c r="GZT291" s="592"/>
      <c r="GZU291" s="592"/>
      <c r="GZV291" s="592"/>
      <c r="GZW291" s="592"/>
      <c r="GZX291" s="592"/>
      <c r="GZY291" s="592"/>
      <c r="GZZ291" s="592"/>
      <c r="HAA291" s="592"/>
      <c r="HAB291" s="592"/>
      <c r="HAC291" s="592"/>
      <c r="HAD291" s="592"/>
      <c r="HAE291" s="592"/>
      <c r="HAF291" s="592"/>
      <c r="HAG291" s="592"/>
      <c r="HAH291" s="592"/>
      <c r="HAI291" s="592"/>
      <c r="HAJ291" s="592"/>
      <c r="HAK291" s="592"/>
      <c r="HAL291" s="592"/>
      <c r="HAM291" s="592"/>
      <c r="HAN291" s="592"/>
      <c r="HAO291" s="592"/>
      <c r="HAP291" s="592"/>
      <c r="HAQ291" s="592"/>
      <c r="HAR291" s="592"/>
      <c r="HAS291" s="592"/>
      <c r="HAT291" s="592"/>
      <c r="HAU291" s="592"/>
      <c r="HAV291" s="592"/>
      <c r="HAW291" s="592"/>
      <c r="HAX291" s="592"/>
      <c r="HAY291" s="592"/>
      <c r="HAZ291" s="592"/>
      <c r="HBA291" s="592"/>
      <c r="HBB291" s="592"/>
      <c r="HBC291" s="592"/>
      <c r="HBD291" s="592"/>
      <c r="HBE291" s="592"/>
      <c r="HBF291" s="592"/>
      <c r="HBG291" s="592"/>
      <c r="HBH291" s="592"/>
      <c r="HBI291" s="592"/>
      <c r="HBJ291" s="592"/>
      <c r="HBK291" s="592"/>
      <c r="HBL291" s="592"/>
      <c r="HBM291" s="592"/>
      <c r="HBN291" s="592"/>
      <c r="HBO291" s="592"/>
      <c r="HBP291" s="592"/>
      <c r="HBQ291" s="592"/>
      <c r="HBR291" s="592"/>
      <c r="HBS291" s="592"/>
      <c r="HBT291" s="592"/>
      <c r="HBU291" s="592"/>
      <c r="HBV291" s="592"/>
      <c r="HBW291" s="592"/>
      <c r="HBX291" s="592"/>
      <c r="HBY291" s="592"/>
      <c r="HBZ291" s="592"/>
      <c r="HCA291" s="592"/>
      <c r="HCB291" s="592"/>
      <c r="HCC291" s="592"/>
      <c r="HCD291" s="592"/>
      <c r="HCE291" s="592"/>
      <c r="HCF291" s="592"/>
      <c r="HCG291" s="592"/>
      <c r="HCH291" s="592"/>
      <c r="HCI291" s="592"/>
      <c r="HCJ291" s="592"/>
      <c r="HCK291" s="592"/>
      <c r="HCL291" s="592"/>
      <c r="HCM291" s="592"/>
      <c r="HCN291" s="592"/>
      <c r="HCO291" s="592"/>
      <c r="HCP291" s="592"/>
      <c r="HCQ291" s="592"/>
      <c r="HCR291" s="592"/>
      <c r="HCS291" s="592"/>
      <c r="HCT291" s="592"/>
      <c r="HCU291" s="592"/>
      <c r="HCV291" s="592"/>
      <c r="HCW291" s="592"/>
      <c r="HCX291" s="592"/>
      <c r="HCY291" s="592"/>
      <c r="HCZ291" s="592"/>
      <c r="HDA291" s="592"/>
      <c r="HDB291" s="592"/>
      <c r="HDC291" s="592"/>
      <c r="HDD291" s="592"/>
      <c r="HDE291" s="592"/>
      <c r="HDF291" s="592"/>
      <c r="HDG291" s="592"/>
      <c r="HDH291" s="592"/>
      <c r="HDI291" s="592"/>
      <c r="HDJ291" s="592"/>
      <c r="HDK291" s="592"/>
      <c r="HDL291" s="592"/>
      <c r="HDM291" s="592"/>
      <c r="HDN291" s="592"/>
      <c r="HDO291" s="592"/>
      <c r="HDP291" s="592"/>
      <c r="HDQ291" s="592"/>
      <c r="HDR291" s="592"/>
      <c r="HDS291" s="592"/>
      <c r="HDT291" s="592"/>
      <c r="HDU291" s="592"/>
      <c r="HDV291" s="592"/>
      <c r="HDW291" s="592"/>
      <c r="HDX291" s="592"/>
      <c r="HDY291" s="592"/>
      <c r="HDZ291" s="592"/>
      <c r="HEA291" s="592"/>
      <c r="HEB291" s="592"/>
      <c r="HEC291" s="592"/>
      <c r="HED291" s="592"/>
      <c r="HEE291" s="592"/>
      <c r="HEF291" s="592"/>
      <c r="HEG291" s="592"/>
      <c r="HEH291" s="592"/>
      <c r="HEI291" s="592"/>
      <c r="HEJ291" s="592"/>
      <c r="HEK291" s="592"/>
      <c r="HEL291" s="592"/>
      <c r="HEM291" s="592"/>
      <c r="HEN291" s="592"/>
      <c r="HEO291" s="592"/>
      <c r="HEP291" s="592"/>
      <c r="HEQ291" s="592"/>
      <c r="HER291" s="592"/>
      <c r="HES291" s="592"/>
      <c r="HET291" s="592"/>
      <c r="HEU291" s="592"/>
      <c r="HEV291" s="592"/>
      <c r="HEW291" s="592"/>
      <c r="HEX291" s="592"/>
      <c r="HEY291" s="592"/>
      <c r="HEZ291" s="592"/>
      <c r="HFA291" s="592"/>
      <c r="HFB291" s="592"/>
      <c r="HFC291" s="592"/>
      <c r="HFD291" s="592"/>
      <c r="HFE291" s="592"/>
      <c r="HFF291" s="592"/>
      <c r="HFG291" s="592"/>
      <c r="HFH291" s="592"/>
      <c r="HFI291" s="592"/>
      <c r="HFJ291" s="592"/>
      <c r="HFK291" s="592"/>
      <c r="HFL291" s="592"/>
      <c r="HFM291" s="592"/>
      <c r="HFN291" s="592"/>
      <c r="HFO291" s="592"/>
      <c r="HFP291" s="592"/>
      <c r="HFQ291" s="592"/>
      <c r="HFR291" s="592"/>
      <c r="HFS291" s="592"/>
      <c r="HFT291" s="592"/>
      <c r="HFU291" s="592"/>
      <c r="HFV291" s="592"/>
      <c r="HFW291" s="592"/>
      <c r="HFX291" s="592"/>
      <c r="HFY291" s="592"/>
      <c r="HFZ291" s="592"/>
      <c r="HGA291" s="592"/>
      <c r="HGB291" s="592"/>
      <c r="HGC291" s="592"/>
      <c r="HGD291" s="592"/>
      <c r="HGE291" s="592"/>
      <c r="HGF291" s="592"/>
      <c r="HGG291" s="592"/>
      <c r="HGH291" s="592"/>
      <c r="HGI291" s="592"/>
      <c r="HGJ291" s="592"/>
      <c r="HGK291" s="592"/>
      <c r="HGL291" s="592"/>
      <c r="HGM291" s="592"/>
      <c r="HGN291" s="592"/>
      <c r="HGO291" s="592"/>
      <c r="HGP291" s="592"/>
      <c r="HGQ291" s="592"/>
      <c r="HGR291" s="592"/>
      <c r="HGS291" s="592"/>
      <c r="HGT291" s="592"/>
      <c r="HGU291" s="592"/>
      <c r="HGV291" s="592"/>
      <c r="HGW291" s="592"/>
      <c r="HGX291" s="592"/>
      <c r="HGY291" s="592"/>
      <c r="HGZ291" s="592"/>
      <c r="HHA291" s="592"/>
      <c r="HHB291" s="592"/>
      <c r="HHC291" s="592"/>
      <c r="HHD291" s="592"/>
      <c r="HHE291" s="592"/>
      <c r="HHF291" s="592"/>
      <c r="HHG291" s="592"/>
      <c r="HHH291" s="592"/>
      <c r="HHI291" s="592"/>
      <c r="HHJ291" s="592"/>
      <c r="HHK291" s="592"/>
      <c r="HHL291" s="592"/>
      <c r="HHM291" s="592"/>
      <c r="HHN291" s="592"/>
      <c r="HHO291" s="592"/>
      <c r="HHP291" s="592"/>
      <c r="HHQ291" s="592"/>
      <c r="HHR291" s="592"/>
      <c r="HHS291" s="592"/>
      <c r="HHT291" s="592"/>
      <c r="HHU291" s="592"/>
      <c r="HHV291" s="592"/>
      <c r="HHW291" s="592"/>
      <c r="HHX291" s="592"/>
      <c r="HHY291" s="592"/>
      <c r="HHZ291" s="592"/>
      <c r="HIA291" s="592"/>
      <c r="HIB291" s="592"/>
      <c r="HIC291" s="592"/>
      <c r="HID291" s="592"/>
      <c r="HIE291" s="592"/>
      <c r="HIF291" s="592"/>
      <c r="HIG291" s="592"/>
      <c r="HIH291" s="592"/>
      <c r="HII291" s="592"/>
      <c r="HIJ291" s="592"/>
      <c r="HIK291" s="592"/>
      <c r="HIL291" s="592"/>
      <c r="HIM291" s="592"/>
      <c r="HIN291" s="592"/>
      <c r="HIO291" s="592"/>
      <c r="HIP291" s="592"/>
      <c r="HIQ291" s="592"/>
      <c r="HIR291" s="592"/>
      <c r="HIS291" s="592"/>
      <c r="HIT291" s="592"/>
      <c r="HIU291" s="592"/>
      <c r="HIV291" s="592"/>
      <c r="HIW291" s="592"/>
      <c r="HIX291" s="592"/>
      <c r="HIY291" s="592"/>
      <c r="HIZ291" s="592"/>
      <c r="HJA291" s="592"/>
      <c r="HJB291" s="592"/>
      <c r="HJC291" s="592"/>
      <c r="HJD291" s="592"/>
      <c r="HJE291" s="592"/>
      <c r="HJF291" s="592"/>
      <c r="HJG291" s="592"/>
      <c r="HJH291" s="592"/>
      <c r="HJI291" s="592"/>
      <c r="HJJ291" s="592"/>
      <c r="HJK291" s="592"/>
      <c r="HJL291" s="592"/>
      <c r="HJM291" s="592"/>
      <c r="HJN291" s="592"/>
      <c r="HJO291" s="592"/>
      <c r="HJP291" s="592"/>
      <c r="HJQ291" s="592"/>
      <c r="HJR291" s="592"/>
      <c r="HJS291" s="592"/>
      <c r="HJT291" s="592"/>
      <c r="HJU291" s="592"/>
      <c r="HJV291" s="592"/>
      <c r="HJW291" s="592"/>
      <c r="HJX291" s="592"/>
      <c r="HJY291" s="592"/>
      <c r="HJZ291" s="592"/>
      <c r="HKA291" s="592"/>
      <c r="HKB291" s="592"/>
      <c r="HKC291" s="592"/>
      <c r="HKD291" s="592"/>
      <c r="HKE291" s="592"/>
      <c r="HKF291" s="592"/>
      <c r="HKG291" s="592"/>
      <c r="HKH291" s="592"/>
      <c r="HKI291" s="592"/>
      <c r="HKJ291" s="592"/>
      <c r="HKK291" s="592"/>
      <c r="HKL291" s="592"/>
      <c r="HKM291" s="592"/>
      <c r="HKN291" s="592"/>
      <c r="HKO291" s="592"/>
      <c r="HKP291" s="592"/>
      <c r="HKQ291" s="592"/>
      <c r="HKR291" s="592"/>
      <c r="HKS291" s="592"/>
      <c r="HKT291" s="592"/>
      <c r="HKU291" s="592"/>
      <c r="HKV291" s="592"/>
      <c r="HKW291" s="592"/>
      <c r="HKX291" s="592"/>
      <c r="HKY291" s="592"/>
      <c r="HKZ291" s="592"/>
      <c r="HLA291" s="592"/>
      <c r="HLB291" s="592"/>
      <c r="HLC291" s="592"/>
      <c r="HLD291" s="592"/>
      <c r="HLE291" s="592"/>
      <c r="HLF291" s="592"/>
      <c r="HLG291" s="592"/>
      <c r="HLH291" s="592"/>
      <c r="HLI291" s="592"/>
      <c r="HLJ291" s="592"/>
      <c r="HLK291" s="592"/>
      <c r="HLL291" s="592"/>
      <c r="HLM291" s="592"/>
      <c r="HLN291" s="592"/>
      <c r="HLO291" s="592"/>
      <c r="HLP291" s="592"/>
      <c r="HLQ291" s="592"/>
      <c r="HLR291" s="592"/>
      <c r="HLS291" s="592"/>
      <c r="HLT291" s="592"/>
      <c r="HLU291" s="592"/>
      <c r="HLV291" s="592"/>
      <c r="HLW291" s="592"/>
      <c r="HLX291" s="592"/>
      <c r="HLY291" s="592"/>
      <c r="HLZ291" s="592"/>
      <c r="HMA291" s="592"/>
      <c r="HMB291" s="592"/>
      <c r="HMC291" s="592"/>
      <c r="HMD291" s="592"/>
      <c r="HME291" s="592"/>
      <c r="HMF291" s="592"/>
      <c r="HMG291" s="592"/>
      <c r="HMH291" s="592"/>
      <c r="HMI291" s="592"/>
      <c r="HMJ291" s="592"/>
      <c r="HMK291" s="592"/>
      <c r="HML291" s="592"/>
      <c r="HMM291" s="592"/>
      <c r="HMN291" s="592"/>
      <c r="HMO291" s="592"/>
      <c r="HMP291" s="592"/>
      <c r="HMQ291" s="592"/>
      <c r="HMR291" s="592"/>
      <c r="HMS291" s="592"/>
      <c r="HMT291" s="592"/>
      <c r="HMU291" s="592"/>
      <c r="HMV291" s="592"/>
      <c r="HMW291" s="592"/>
      <c r="HMX291" s="592"/>
      <c r="HMY291" s="592"/>
      <c r="HMZ291" s="592"/>
      <c r="HNA291" s="592"/>
      <c r="HNB291" s="592"/>
      <c r="HNC291" s="592"/>
      <c r="HND291" s="592"/>
      <c r="HNE291" s="592"/>
      <c r="HNF291" s="592"/>
      <c r="HNG291" s="592"/>
      <c r="HNH291" s="592"/>
      <c r="HNI291" s="592"/>
      <c r="HNJ291" s="592"/>
      <c r="HNK291" s="592"/>
      <c r="HNL291" s="592"/>
      <c r="HNM291" s="592"/>
      <c r="HNN291" s="592"/>
      <c r="HNO291" s="592"/>
      <c r="HNP291" s="592"/>
      <c r="HNQ291" s="592"/>
      <c r="HNR291" s="592"/>
      <c r="HNS291" s="592"/>
      <c r="HNT291" s="592"/>
      <c r="HNU291" s="592"/>
      <c r="HNV291" s="592"/>
      <c r="HNW291" s="592"/>
      <c r="HNX291" s="592"/>
      <c r="HNY291" s="592"/>
      <c r="HNZ291" s="592"/>
      <c r="HOA291" s="592"/>
      <c r="HOB291" s="592"/>
      <c r="HOC291" s="592"/>
      <c r="HOD291" s="592"/>
      <c r="HOE291" s="592"/>
      <c r="HOF291" s="592"/>
      <c r="HOG291" s="592"/>
      <c r="HOH291" s="592"/>
      <c r="HOI291" s="592"/>
      <c r="HOJ291" s="592"/>
      <c r="HOK291" s="592"/>
      <c r="HOL291" s="592"/>
      <c r="HOM291" s="592"/>
      <c r="HON291" s="592"/>
      <c r="HOO291" s="592"/>
      <c r="HOP291" s="592"/>
      <c r="HOQ291" s="592"/>
      <c r="HOR291" s="592"/>
      <c r="HOS291" s="592"/>
      <c r="HOT291" s="592"/>
      <c r="HOU291" s="592"/>
      <c r="HOV291" s="592"/>
      <c r="HOW291" s="592"/>
      <c r="HOX291" s="592"/>
      <c r="HOY291" s="592"/>
      <c r="HOZ291" s="592"/>
      <c r="HPA291" s="592"/>
      <c r="HPB291" s="592"/>
      <c r="HPC291" s="592"/>
      <c r="HPD291" s="592"/>
      <c r="HPE291" s="592"/>
      <c r="HPF291" s="592"/>
      <c r="HPG291" s="592"/>
      <c r="HPH291" s="592"/>
      <c r="HPI291" s="592"/>
      <c r="HPJ291" s="592"/>
      <c r="HPK291" s="592"/>
      <c r="HPL291" s="592"/>
      <c r="HPM291" s="592"/>
      <c r="HPN291" s="592"/>
      <c r="HPO291" s="592"/>
      <c r="HPP291" s="592"/>
      <c r="HPQ291" s="592"/>
      <c r="HPR291" s="592"/>
      <c r="HPS291" s="592"/>
      <c r="HPT291" s="592"/>
      <c r="HPU291" s="592"/>
      <c r="HPV291" s="592"/>
      <c r="HPW291" s="592"/>
      <c r="HPX291" s="592"/>
      <c r="HPY291" s="592"/>
      <c r="HPZ291" s="592"/>
      <c r="HQA291" s="592"/>
      <c r="HQB291" s="592"/>
      <c r="HQC291" s="592"/>
      <c r="HQD291" s="592"/>
      <c r="HQE291" s="592"/>
      <c r="HQF291" s="592"/>
      <c r="HQG291" s="592"/>
      <c r="HQH291" s="592"/>
      <c r="HQI291" s="592"/>
      <c r="HQJ291" s="592"/>
      <c r="HQK291" s="592"/>
      <c r="HQL291" s="592"/>
      <c r="HQM291" s="592"/>
      <c r="HQN291" s="592"/>
      <c r="HQO291" s="592"/>
      <c r="HQP291" s="592"/>
      <c r="HQQ291" s="592"/>
      <c r="HQR291" s="592"/>
      <c r="HQS291" s="592"/>
      <c r="HQT291" s="592"/>
      <c r="HQU291" s="592"/>
      <c r="HQV291" s="592"/>
      <c r="HQW291" s="592"/>
      <c r="HQX291" s="592"/>
      <c r="HQY291" s="592"/>
      <c r="HQZ291" s="592"/>
      <c r="HRA291" s="592"/>
      <c r="HRB291" s="592"/>
      <c r="HRC291" s="592"/>
      <c r="HRD291" s="592"/>
      <c r="HRE291" s="592"/>
      <c r="HRF291" s="592"/>
      <c r="HRG291" s="592"/>
      <c r="HRH291" s="592"/>
      <c r="HRI291" s="592"/>
      <c r="HRJ291" s="592"/>
      <c r="HRK291" s="592"/>
      <c r="HRL291" s="592"/>
      <c r="HRM291" s="592"/>
      <c r="HRN291" s="592"/>
      <c r="HRO291" s="592"/>
      <c r="HRP291" s="592"/>
      <c r="HRQ291" s="592"/>
      <c r="HRR291" s="592"/>
      <c r="HRS291" s="592"/>
      <c r="HRT291" s="592"/>
      <c r="HRU291" s="592"/>
      <c r="HRV291" s="592"/>
      <c r="HRW291" s="592"/>
      <c r="HRX291" s="592"/>
      <c r="HRY291" s="592"/>
      <c r="HRZ291" s="592"/>
      <c r="HSA291" s="592"/>
      <c r="HSB291" s="592"/>
      <c r="HSC291" s="592"/>
      <c r="HSD291" s="592"/>
      <c r="HSE291" s="592"/>
      <c r="HSF291" s="592"/>
      <c r="HSG291" s="592"/>
      <c r="HSH291" s="592"/>
      <c r="HSI291" s="592"/>
      <c r="HSJ291" s="592"/>
      <c r="HSK291" s="592"/>
      <c r="HSL291" s="592"/>
      <c r="HSM291" s="592"/>
      <c r="HSN291" s="592"/>
      <c r="HSO291" s="592"/>
      <c r="HSP291" s="592"/>
      <c r="HSQ291" s="592"/>
      <c r="HSR291" s="592"/>
      <c r="HSS291" s="592"/>
      <c r="HST291" s="592"/>
      <c r="HSU291" s="592"/>
      <c r="HSV291" s="592"/>
      <c r="HSW291" s="592"/>
      <c r="HSX291" s="592"/>
      <c r="HSY291" s="592"/>
      <c r="HSZ291" s="592"/>
      <c r="HTA291" s="592"/>
      <c r="HTB291" s="592"/>
      <c r="HTC291" s="592"/>
      <c r="HTD291" s="592"/>
      <c r="HTE291" s="592"/>
      <c r="HTF291" s="592"/>
      <c r="HTG291" s="592"/>
      <c r="HTH291" s="592"/>
      <c r="HTI291" s="592"/>
      <c r="HTJ291" s="592"/>
      <c r="HTK291" s="592"/>
      <c r="HTL291" s="592"/>
      <c r="HTM291" s="592"/>
      <c r="HTN291" s="592"/>
      <c r="HTO291" s="592"/>
      <c r="HTP291" s="592"/>
      <c r="HTQ291" s="592"/>
      <c r="HTR291" s="592"/>
      <c r="HTS291" s="592"/>
      <c r="HTT291" s="592"/>
      <c r="HTU291" s="592"/>
      <c r="HTV291" s="592"/>
      <c r="HTW291" s="592"/>
      <c r="HTX291" s="592"/>
      <c r="HTY291" s="592"/>
      <c r="HTZ291" s="592"/>
      <c r="HUA291" s="592"/>
      <c r="HUB291" s="592"/>
      <c r="HUC291" s="592"/>
      <c r="HUD291" s="592"/>
      <c r="HUE291" s="592"/>
      <c r="HUF291" s="592"/>
      <c r="HUG291" s="592"/>
      <c r="HUH291" s="592"/>
      <c r="HUI291" s="592"/>
      <c r="HUJ291" s="592"/>
      <c r="HUK291" s="592"/>
      <c r="HUL291" s="592"/>
      <c r="HUM291" s="592"/>
      <c r="HUN291" s="592"/>
      <c r="HUO291" s="592"/>
      <c r="HUP291" s="592"/>
      <c r="HUQ291" s="592"/>
      <c r="HUR291" s="592"/>
      <c r="HUS291" s="592"/>
      <c r="HUT291" s="592"/>
      <c r="HUU291" s="592"/>
      <c r="HUV291" s="592"/>
      <c r="HUW291" s="592"/>
      <c r="HUX291" s="592"/>
      <c r="HUY291" s="592"/>
      <c r="HUZ291" s="592"/>
      <c r="HVA291" s="592"/>
      <c r="HVB291" s="592"/>
      <c r="HVC291" s="592"/>
      <c r="HVD291" s="592"/>
      <c r="HVE291" s="592"/>
      <c r="HVF291" s="592"/>
      <c r="HVG291" s="592"/>
      <c r="HVH291" s="592"/>
      <c r="HVI291" s="592"/>
      <c r="HVJ291" s="592"/>
      <c r="HVK291" s="592"/>
      <c r="HVL291" s="592"/>
      <c r="HVM291" s="592"/>
      <c r="HVN291" s="592"/>
      <c r="HVO291" s="592"/>
      <c r="HVP291" s="592"/>
      <c r="HVQ291" s="592"/>
      <c r="HVR291" s="592"/>
      <c r="HVS291" s="592"/>
      <c r="HVT291" s="592"/>
      <c r="HVU291" s="592"/>
      <c r="HVV291" s="592"/>
      <c r="HVW291" s="592"/>
      <c r="HVX291" s="592"/>
      <c r="HVY291" s="592"/>
      <c r="HVZ291" s="592"/>
      <c r="HWA291" s="592"/>
      <c r="HWB291" s="592"/>
      <c r="HWC291" s="592"/>
      <c r="HWD291" s="592"/>
      <c r="HWE291" s="592"/>
      <c r="HWF291" s="592"/>
      <c r="HWG291" s="592"/>
      <c r="HWH291" s="592"/>
      <c r="HWI291" s="592"/>
      <c r="HWJ291" s="592"/>
      <c r="HWK291" s="592"/>
      <c r="HWL291" s="592"/>
      <c r="HWM291" s="592"/>
      <c r="HWN291" s="592"/>
      <c r="HWO291" s="592"/>
      <c r="HWP291" s="592"/>
      <c r="HWQ291" s="592"/>
      <c r="HWR291" s="592"/>
      <c r="HWS291" s="592"/>
      <c r="HWT291" s="592"/>
      <c r="HWU291" s="592"/>
      <c r="HWV291" s="592"/>
      <c r="HWW291" s="592"/>
      <c r="HWX291" s="592"/>
      <c r="HWY291" s="592"/>
      <c r="HWZ291" s="592"/>
      <c r="HXA291" s="592"/>
      <c r="HXB291" s="592"/>
      <c r="HXC291" s="592"/>
      <c r="HXD291" s="592"/>
      <c r="HXE291" s="592"/>
      <c r="HXF291" s="592"/>
      <c r="HXG291" s="592"/>
      <c r="HXH291" s="592"/>
      <c r="HXI291" s="592"/>
      <c r="HXJ291" s="592"/>
      <c r="HXK291" s="592"/>
      <c r="HXL291" s="592"/>
      <c r="HXM291" s="592"/>
      <c r="HXN291" s="592"/>
      <c r="HXO291" s="592"/>
      <c r="HXP291" s="592"/>
      <c r="HXQ291" s="592"/>
      <c r="HXR291" s="592"/>
      <c r="HXS291" s="592"/>
      <c r="HXT291" s="592"/>
      <c r="HXU291" s="592"/>
      <c r="HXV291" s="592"/>
      <c r="HXW291" s="592"/>
      <c r="HXX291" s="592"/>
      <c r="HXY291" s="592"/>
      <c r="HXZ291" s="592"/>
      <c r="HYA291" s="592"/>
      <c r="HYB291" s="592"/>
      <c r="HYC291" s="592"/>
      <c r="HYD291" s="592"/>
      <c r="HYE291" s="592"/>
      <c r="HYF291" s="592"/>
      <c r="HYG291" s="592"/>
      <c r="HYH291" s="592"/>
      <c r="HYI291" s="592"/>
      <c r="HYJ291" s="592"/>
      <c r="HYK291" s="592"/>
      <c r="HYL291" s="592"/>
      <c r="HYM291" s="592"/>
      <c r="HYN291" s="592"/>
      <c r="HYO291" s="592"/>
      <c r="HYP291" s="592"/>
      <c r="HYQ291" s="592"/>
      <c r="HYR291" s="592"/>
      <c r="HYS291" s="592"/>
      <c r="HYT291" s="592"/>
      <c r="HYU291" s="592"/>
      <c r="HYV291" s="592"/>
      <c r="HYW291" s="592"/>
      <c r="HYX291" s="592"/>
      <c r="HYY291" s="592"/>
      <c r="HYZ291" s="592"/>
      <c r="HZA291" s="592"/>
      <c r="HZB291" s="592"/>
      <c r="HZC291" s="592"/>
      <c r="HZD291" s="592"/>
      <c r="HZE291" s="592"/>
      <c r="HZF291" s="592"/>
      <c r="HZG291" s="592"/>
      <c r="HZH291" s="592"/>
      <c r="HZI291" s="592"/>
      <c r="HZJ291" s="592"/>
      <c r="HZK291" s="592"/>
      <c r="HZL291" s="592"/>
      <c r="HZM291" s="592"/>
      <c r="HZN291" s="592"/>
      <c r="HZO291" s="592"/>
      <c r="HZP291" s="592"/>
      <c r="HZQ291" s="592"/>
      <c r="HZR291" s="592"/>
      <c r="HZS291" s="592"/>
      <c r="HZT291" s="592"/>
      <c r="HZU291" s="592"/>
      <c r="HZV291" s="592"/>
      <c r="HZW291" s="592"/>
      <c r="HZX291" s="592"/>
      <c r="HZY291" s="592"/>
      <c r="HZZ291" s="592"/>
      <c r="IAA291" s="592"/>
      <c r="IAB291" s="592"/>
      <c r="IAC291" s="592"/>
      <c r="IAD291" s="592"/>
      <c r="IAE291" s="592"/>
      <c r="IAF291" s="592"/>
      <c r="IAG291" s="592"/>
      <c r="IAH291" s="592"/>
      <c r="IAI291" s="592"/>
      <c r="IAJ291" s="592"/>
      <c r="IAK291" s="592"/>
      <c r="IAL291" s="592"/>
      <c r="IAM291" s="592"/>
      <c r="IAN291" s="592"/>
      <c r="IAO291" s="592"/>
      <c r="IAP291" s="592"/>
      <c r="IAQ291" s="592"/>
      <c r="IAR291" s="592"/>
      <c r="IAS291" s="592"/>
      <c r="IAT291" s="592"/>
      <c r="IAU291" s="592"/>
      <c r="IAV291" s="592"/>
      <c r="IAW291" s="592"/>
      <c r="IAX291" s="592"/>
      <c r="IAY291" s="592"/>
      <c r="IAZ291" s="592"/>
      <c r="IBA291" s="592"/>
      <c r="IBB291" s="592"/>
      <c r="IBC291" s="592"/>
      <c r="IBD291" s="592"/>
      <c r="IBE291" s="592"/>
      <c r="IBF291" s="592"/>
      <c r="IBG291" s="592"/>
      <c r="IBH291" s="592"/>
      <c r="IBI291" s="592"/>
      <c r="IBJ291" s="592"/>
      <c r="IBK291" s="592"/>
      <c r="IBL291" s="592"/>
      <c r="IBM291" s="592"/>
      <c r="IBN291" s="592"/>
      <c r="IBO291" s="592"/>
      <c r="IBP291" s="592"/>
      <c r="IBQ291" s="592"/>
      <c r="IBR291" s="592"/>
      <c r="IBS291" s="592"/>
      <c r="IBT291" s="592"/>
      <c r="IBU291" s="592"/>
      <c r="IBV291" s="592"/>
      <c r="IBW291" s="592"/>
      <c r="IBX291" s="592"/>
      <c r="IBY291" s="592"/>
      <c r="IBZ291" s="592"/>
      <c r="ICA291" s="592"/>
      <c r="ICB291" s="592"/>
      <c r="ICC291" s="592"/>
      <c r="ICD291" s="592"/>
      <c r="ICE291" s="592"/>
      <c r="ICF291" s="592"/>
      <c r="ICG291" s="592"/>
      <c r="ICH291" s="592"/>
      <c r="ICI291" s="592"/>
      <c r="ICJ291" s="592"/>
      <c r="ICK291" s="592"/>
      <c r="ICL291" s="592"/>
      <c r="ICM291" s="592"/>
      <c r="ICN291" s="592"/>
      <c r="ICO291" s="592"/>
      <c r="ICP291" s="592"/>
      <c r="ICQ291" s="592"/>
      <c r="ICR291" s="592"/>
      <c r="ICS291" s="592"/>
      <c r="ICT291" s="592"/>
      <c r="ICU291" s="592"/>
      <c r="ICV291" s="592"/>
      <c r="ICW291" s="592"/>
      <c r="ICX291" s="592"/>
      <c r="ICY291" s="592"/>
      <c r="ICZ291" s="592"/>
      <c r="IDA291" s="592"/>
      <c r="IDB291" s="592"/>
      <c r="IDC291" s="592"/>
      <c r="IDD291" s="592"/>
      <c r="IDE291" s="592"/>
      <c r="IDF291" s="592"/>
      <c r="IDG291" s="592"/>
      <c r="IDH291" s="592"/>
      <c r="IDI291" s="592"/>
      <c r="IDJ291" s="592"/>
      <c r="IDK291" s="592"/>
      <c r="IDL291" s="592"/>
      <c r="IDM291" s="592"/>
      <c r="IDN291" s="592"/>
      <c r="IDO291" s="592"/>
      <c r="IDP291" s="592"/>
      <c r="IDQ291" s="592"/>
      <c r="IDR291" s="592"/>
      <c r="IDS291" s="592"/>
      <c r="IDT291" s="592"/>
      <c r="IDU291" s="592"/>
      <c r="IDV291" s="592"/>
      <c r="IDW291" s="592"/>
      <c r="IDX291" s="592"/>
      <c r="IDY291" s="592"/>
      <c r="IDZ291" s="592"/>
      <c r="IEA291" s="592"/>
      <c r="IEB291" s="592"/>
      <c r="IEC291" s="592"/>
      <c r="IED291" s="592"/>
      <c r="IEE291" s="592"/>
      <c r="IEF291" s="592"/>
      <c r="IEG291" s="592"/>
      <c r="IEH291" s="592"/>
      <c r="IEI291" s="592"/>
      <c r="IEJ291" s="592"/>
      <c r="IEK291" s="592"/>
      <c r="IEL291" s="592"/>
      <c r="IEM291" s="592"/>
      <c r="IEN291" s="592"/>
      <c r="IEO291" s="592"/>
      <c r="IEP291" s="592"/>
      <c r="IEQ291" s="592"/>
      <c r="IER291" s="592"/>
      <c r="IES291" s="592"/>
      <c r="IET291" s="592"/>
      <c r="IEU291" s="592"/>
      <c r="IEV291" s="592"/>
      <c r="IEW291" s="592"/>
      <c r="IEX291" s="592"/>
      <c r="IEY291" s="592"/>
      <c r="IEZ291" s="592"/>
      <c r="IFA291" s="592"/>
      <c r="IFB291" s="592"/>
      <c r="IFC291" s="592"/>
      <c r="IFD291" s="592"/>
      <c r="IFE291" s="592"/>
      <c r="IFF291" s="592"/>
      <c r="IFG291" s="592"/>
      <c r="IFH291" s="592"/>
      <c r="IFI291" s="592"/>
      <c r="IFJ291" s="592"/>
      <c r="IFK291" s="592"/>
      <c r="IFL291" s="592"/>
      <c r="IFM291" s="592"/>
      <c r="IFN291" s="592"/>
      <c r="IFO291" s="592"/>
      <c r="IFP291" s="592"/>
      <c r="IFQ291" s="592"/>
      <c r="IFR291" s="592"/>
      <c r="IFS291" s="592"/>
      <c r="IFT291" s="592"/>
      <c r="IFU291" s="592"/>
      <c r="IFV291" s="592"/>
      <c r="IFW291" s="592"/>
      <c r="IFX291" s="592"/>
      <c r="IFY291" s="592"/>
      <c r="IFZ291" s="592"/>
      <c r="IGA291" s="592"/>
      <c r="IGB291" s="592"/>
      <c r="IGC291" s="592"/>
      <c r="IGD291" s="592"/>
      <c r="IGE291" s="592"/>
      <c r="IGF291" s="592"/>
      <c r="IGG291" s="592"/>
      <c r="IGH291" s="592"/>
      <c r="IGI291" s="592"/>
      <c r="IGJ291" s="592"/>
      <c r="IGK291" s="592"/>
      <c r="IGL291" s="592"/>
      <c r="IGM291" s="592"/>
      <c r="IGN291" s="592"/>
      <c r="IGO291" s="592"/>
      <c r="IGP291" s="592"/>
      <c r="IGQ291" s="592"/>
      <c r="IGR291" s="592"/>
      <c r="IGS291" s="592"/>
      <c r="IGT291" s="592"/>
      <c r="IGU291" s="592"/>
      <c r="IGV291" s="592"/>
      <c r="IGW291" s="592"/>
      <c r="IGX291" s="592"/>
      <c r="IGY291" s="592"/>
      <c r="IGZ291" s="592"/>
      <c r="IHA291" s="592"/>
      <c r="IHB291" s="592"/>
      <c r="IHC291" s="592"/>
      <c r="IHD291" s="592"/>
      <c r="IHE291" s="592"/>
      <c r="IHF291" s="592"/>
      <c r="IHG291" s="592"/>
      <c r="IHH291" s="592"/>
      <c r="IHI291" s="592"/>
      <c r="IHJ291" s="592"/>
      <c r="IHK291" s="592"/>
      <c r="IHL291" s="592"/>
      <c r="IHM291" s="592"/>
      <c r="IHN291" s="592"/>
      <c r="IHO291" s="592"/>
      <c r="IHP291" s="592"/>
      <c r="IHQ291" s="592"/>
      <c r="IHR291" s="592"/>
      <c r="IHS291" s="592"/>
      <c r="IHT291" s="592"/>
      <c r="IHU291" s="592"/>
      <c r="IHV291" s="592"/>
      <c r="IHW291" s="592"/>
      <c r="IHX291" s="592"/>
      <c r="IHY291" s="592"/>
      <c r="IHZ291" s="592"/>
      <c r="IIA291" s="592"/>
      <c r="IIB291" s="592"/>
      <c r="IIC291" s="592"/>
      <c r="IID291" s="592"/>
      <c r="IIE291" s="592"/>
      <c r="IIF291" s="592"/>
      <c r="IIG291" s="592"/>
      <c r="IIH291" s="592"/>
      <c r="III291" s="592"/>
      <c r="IIJ291" s="592"/>
      <c r="IIK291" s="592"/>
      <c r="IIL291" s="592"/>
      <c r="IIM291" s="592"/>
      <c r="IIN291" s="592"/>
      <c r="IIO291" s="592"/>
      <c r="IIP291" s="592"/>
      <c r="IIQ291" s="592"/>
      <c r="IIR291" s="592"/>
      <c r="IIS291" s="592"/>
      <c r="IIT291" s="592"/>
      <c r="IIU291" s="592"/>
      <c r="IIV291" s="592"/>
      <c r="IIW291" s="592"/>
      <c r="IIX291" s="592"/>
      <c r="IIY291" s="592"/>
      <c r="IIZ291" s="592"/>
      <c r="IJA291" s="592"/>
      <c r="IJB291" s="592"/>
      <c r="IJC291" s="592"/>
      <c r="IJD291" s="592"/>
      <c r="IJE291" s="592"/>
      <c r="IJF291" s="592"/>
      <c r="IJG291" s="592"/>
      <c r="IJH291" s="592"/>
      <c r="IJI291" s="592"/>
      <c r="IJJ291" s="592"/>
      <c r="IJK291" s="592"/>
      <c r="IJL291" s="592"/>
      <c r="IJM291" s="592"/>
      <c r="IJN291" s="592"/>
      <c r="IJO291" s="592"/>
      <c r="IJP291" s="592"/>
      <c r="IJQ291" s="592"/>
      <c r="IJR291" s="592"/>
      <c r="IJS291" s="592"/>
      <c r="IJT291" s="592"/>
      <c r="IJU291" s="592"/>
      <c r="IJV291" s="592"/>
      <c r="IJW291" s="592"/>
      <c r="IJX291" s="592"/>
      <c r="IJY291" s="592"/>
      <c r="IJZ291" s="592"/>
      <c r="IKA291" s="592"/>
      <c r="IKB291" s="592"/>
      <c r="IKC291" s="592"/>
      <c r="IKD291" s="592"/>
      <c r="IKE291" s="592"/>
      <c r="IKF291" s="592"/>
      <c r="IKG291" s="592"/>
      <c r="IKH291" s="592"/>
      <c r="IKI291" s="592"/>
      <c r="IKJ291" s="592"/>
      <c r="IKK291" s="592"/>
      <c r="IKL291" s="592"/>
      <c r="IKM291" s="592"/>
      <c r="IKN291" s="592"/>
      <c r="IKO291" s="592"/>
      <c r="IKP291" s="592"/>
      <c r="IKQ291" s="592"/>
      <c r="IKR291" s="592"/>
      <c r="IKS291" s="592"/>
      <c r="IKT291" s="592"/>
      <c r="IKU291" s="592"/>
      <c r="IKV291" s="592"/>
      <c r="IKW291" s="592"/>
      <c r="IKX291" s="592"/>
      <c r="IKY291" s="592"/>
      <c r="IKZ291" s="592"/>
      <c r="ILA291" s="592"/>
      <c r="ILB291" s="592"/>
      <c r="ILC291" s="592"/>
      <c r="ILD291" s="592"/>
      <c r="ILE291" s="592"/>
      <c r="ILF291" s="592"/>
      <c r="ILG291" s="592"/>
      <c r="ILH291" s="592"/>
      <c r="ILI291" s="592"/>
      <c r="ILJ291" s="592"/>
      <c r="ILK291" s="592"/>
      <c r="ILL291" s="592"/>
      <c r="ILM291" s="592"/>
      <c r="ILN291" s="592"/>
      <c r="ILO291" s="592"/>
      <c r="ILP291" s="592"/>
      <c r="ILQ291" s="592"/>
      <c r="ILR291" s="592"/>
      <c r="ILS291" s="592"/>
      <c r="ILT291" s="592"/>
      <c r="ILU291" s="592"/>
      <c r="ILV291" s="592"/>
      <c r="ILW291" s="592"/>
      <c r="ILX291" s="592"/>
      <c r="ILY291" s="592"/>
      <c r="ILZ291" s="592"/>
      <c r="IMA291" s="592"/>
      <c r="IMB291" s="592"/>
      <c r="IMC291" s="592"/>
      <c r="IMD291" s="592"/>
      <c r="IME291" s="592"/>
      <c r="IMF291" s="592"/>
      <c r="IMG291" s="592"/>
      <c r="IMH291" s="592"/>
      <c r="IMI291" s="592"/>
      <c r="IMJ291" s="592"/>
      <c r="IMK291" s="592"/>
      <c r="IML291" s="592"/>
      <c r="IMM291" s="592"/>
      <c r="IMN291" s="592"/>
      <c r="IMO291" s="592"/>
      <c r="IMP291" s="592"/>
      <c r="IMQ291" s="592"/>
      <c r="IMR291" s="592"/>
      <c r="IMS291" s="592"/>
      <c r="IMT291" s="592"/>
      <c r="IMU291" s="592"/>
      <c r="IMV291" s="592"/>
      <c r="IMW291" s="592"/>
      <c r="IMX291" s="592"/>
      <c r="IMY291" s="592"/>
      <c r="IMZ291" s="592"/>
      <c r="INA291" s="592"/>
      <c r="INB291" s="592"/>
      <c r="INC291" s="592"/>
      <c r="IND291" s="592"/>
      <c r="INE291" s="592"/>
      <c r="INF291" s="592"/>
      <c r="ING291" s="592"/>
      <c r="INH291" s="592"/>
      <c r="INI291" s="592"/>
      <c r="INJ291" s="592"/>
      <c r="INK291" s="592"/>
      <c r="INL291" s="592"/>
      <c r="INM291" s="592"/>
      <c r="INN291" s="592"/>
      <c r="INO291" s="592"/>
      <c r="INP291" s="592"/>
      <c r="INQ291" s="592"/>
      <c r="INR291" s="592"/>
      <c r="INS291" s="592"/>
      <c r="INT291" s="592"/>
      <c r="INU291" s="592"/>
      <c r="INV291" s="592"/>
      <c r="INW291" s="592"/>
      <c r="INX291" s="592"/>
      <c r="INY291" s="592"/>
      <c r="INZ291" s="592"/>
      <c r="IOA291" s="592"/>
      <c r="IOB291" s="592"/>
      <c r="IOC291" s="592"/>
      <c r="IOD291" s="592"/>
      <c r="IOE291" s="592"/>
      <c r="IOF291" s="592"/>
      <c r="IOG291" s="592"/>
      <c r="IOH291" s="592"/>
      <c r="IOI291" s="592"/>
      <c r="IOJ291" s="592"/>
      <c r="IOK291" s="592"/>
      <c r="IOL291" s="592"/>
      <c r="IOM291" s="592"/>
      <c r="ION291" s="592"/>
      <c r="IOO291" s="592"/>
      <c r="IOP291" s="592"/>
      <c r="IOQ291" s="592"/>
      <c r="IOR291" s="592"/>
      <c r="IOS291" s="592"/>
      <c r="IOT291" s="592"/>
      <c r="IOU291" s="592"/>
      <c r="IOV291" s="592"/>
      <c r="IOW291" s="592"/>
      <c r="IOX291" s="592"/>
      <c r="IOY291" s="592"/>
      <c r="IOZ291" s="592"/>
      <c r="IPA291" s="592"/>
      <c r="IPB291" s="592"/>
      <c r="IPC291" s="592"/>
      <c r="IPD291" s="592"/>
      <c r="IPE291" s="592"/>
      <c r="IPF291" s="592"/>
      <c r="IPG291" s="592"/>
      <c r="IPH291" s="592"/>
      <c r="IPI291" s="592"/>
      <c r="IPJ291" s="592"/>
      <c r="IPK291" s="592"/>
      <c r="IPL291" s="592"/>
      <c r="IPM291" s="592"/>
      <c r="IPN291" s="592"/>
      <c r="IPO291" s="592"/>
      <c r="IPP291" s="592"/>
      <c r="IPQ291" s="592"/>
      <c r="IPR291" s="592"/>
      <c r="IPS291" s="592"/>
      <c r="IPT291" s="592"/>
      <c r="IPU291" s="592"/>
      <c r="IPV291" s="592"/>
      <c r="IPW291" s="592"/>
      <c r="IPX291" s="592"/>
      <c r="IPY291" s="592"/>
      <c r="IPZ291" s="592"/>
      <c r="IQA291" s="592"/>
      <c r="IQB291" s="592"/>
      <c r="IQC291" s="592"/>
      <c r="IQD291" s="592"/>
      <c r="IQE291" s="592"/>
      <c r="IQF291" s="592"/>
      <c r="IQG291" s="592"/>
      <c r="IQH291" s="592"/>
      <c r="IQI291" s="592"/>
      <c r="IQJ291" s="592"/>
      <c r="IQK291" s="592"/>
      <c r="IQL291" s="592"/>
      <c r="IQM291" s="592"/>
      <c r="IQN291" s="592"/>
      <c r="IQO291" s="592"/>
      <c r="IQP291" s="592"/>
      <c r="IQQ291" s="592"/>
      <c r="IQR291" s="592"/>
      <c r="IQS291" s="592"/>
      <c r="IQT291" s="592"/>
      <c r="IQU291" s="592"/>
      <c r="IQV291" s="592"/>
      <c r="IQW291" s="592"/>
      <c r="IQX291" s="592"/>
      <c r="IQY291" s="592"/>
      <c r="IQZ291" s="592"/>
      <c r="IRA291" s="592"/>
      <c r="IRB291" s="592"/>
      <c r="IRC291" s="592"/>
      <c r="IRD291" s="592"/>
      <c r="IRE291" s="592"/>
      <c r="IRF291" s="592"/>
      <c r="IRG291" s="592"/>
      <c r="IRH291" s="592"/>
      <c r="IRI291" s="592"/>
      <c r="IRJ291" s="592"/>
      <c r="IRK291" s="592"/>
      <c r="IRL291" s="592"/>
      <c r="IRM291" s="592"/>
      <c r="IRN291" s="592"/>
      <c r="IRO291" s="592"/>
      <c r="IRP291" s="592"/>
      <c r="IRQ291" s="592"/>
      <c r="IRR291" s="592"/>
      <c r="IRS291" s="592"/>
      <c r="IRT291" s="592"/>
      <c r="IRU291" s="592"/>
      <c r="IRV291" s="592"/>
      <c r="IRW291" s="592"/>
      <c r="IRX291" s="592"/>
      <c r="IRY291" s="592"/>
      <c r="IRZ291" s="592"/>
      <c r="ISA291" s="592"/>
      <c r="ISB291" s="592"/>
      <c r="ISC291" s="592"/>
      <c r="ISD291" s="592"/>
      <c r="ISE291" s="592"/>
      <c r="ISF291" s="592"/>
      <c r="ISG291" s="592"/>
      <c r="ISH291" s="592"/>
      <c r="ISI291" s="592"/>
      <c r="ISJ291" s="592"/>
      <c r="ISK291" s="592"/>
      <c r="ISL291" s="592"/>
      <c r="ISM291" s="592"/>
      <c r="ISN291" s="592"/>
      <c r="ISO291" s="592"/>
      <c r="ISP291" s="592"/>
      <c r="ISQ291" s="592"/>
      <c r="ISR291" s="592"/>
      <c r="ISS291" s="592"/>
      <c r="IST291" s="592"/>
      <c r="ISU291" s="592"/>
      <c r="ISV291" s="592"/>
      <c r="ISW291" s="592"/>
      <c r="ISX291" s="592"/>
      <c r="ISY291" s="592"/>
      <c r="ISZ291" s="592"/>
      <c r="ITA291" s="592"/>
      <c r="ITB291" s="592"/>
      <c r="ITC291" s="592"/>
      <c r="ITD291" s="592"/>
      <c r="ITE291" s="592"/>
      <c r="ITF291" s="592"/>
      <c r="ITG291" s="592"/>
      <c r="ITH291" s="592"/>
      <c r="ITI291" s="592"/>
      <c r="ITJ291" s="592"/>
      <c r="ITK291" s="592"/>
      <c r="ITL291" s="592"/>
      <c r="ITM291" s="592"/>
      <c r="ITN291" s="592"/>
      <c r="ITO291" s="592"/>
      <c r="ITP291" s="592"/>
      <c r="ITQ291" s="592"/>
      <c r="ITR291" s="592"/>
      <c r="ITS291" s="592"/>
      <c r="ITT291" s="592"/>
      <c r="ITU291" s="592"/>
      <c r="ITV291" s="592"/>
      <c r="ITW291" s="592"/>
      <c r="ITX291" s="592"/>
      <c r="ITY291" s="592"/>
      <c r="ITZ291" s="592"/>
      <c r="IUA291" s="592"/>
      <c r="IUB291" s="592"/>
      <c r="IUC291" s="592"/>
      <c r="IUD291" s="592"/>
      <c r="IUE291" s="592"/>
      <c r="IUF291" s="592"/>
      <c r="IUG291" s="592"/>
      <c r="IUH291" s="592"/>
      <c r="IUI291" s="592"/>
      <c r="IUJ291" s="592"/>
      <c r="IUK291" s="592"/>
      <c r="IUL291" s="592"/>
      <c r="IUM291" s="592"/>
      <c r="IUN291" s="592"/>
      <c r="IUO291" s="592"/>
      <c r="IUP291" s="592"/>
      <c r="IUQ291" s="592"/>
      <c r="IUR291" s="592"/>
      <c r="IUS291" s="592"/>
      <c r="IUT291" s="592"/>
      <c r="IUU291" s="592"/>
      <c r="IUV291" s="592"/>
      <c r="IUW291" s="592"/>
      <c r="IUX291" s="592"/>
      <c r="IUY291" s="592"/>
      <c r="IUZ291" s="592"/>
      <c r="IVA291" s="592"/>
      <c r="IVB291" s="592"/>
      <c r="IVC291" s="592"/>
      <c r="IVD291" s="592"/>
      <c r="IVE291" s="592"/>
      <c r="IVF291" s="592"/>
      <c r="IVG291" s="592"/>
      <c r="IVH291" s="592"/>
      <c r="IVI291" s="592"/>
      <c r="IVJ291" s="592"/>
      <c r="IVK291" s="592"/>
      <c r="IVL291" s="592"/>
      <c r="IVM291" s="592"/>
      <c r="IVN291" s="592"/>
      <c r="IVO291" s="592"/>
      <c r="IVP291" s="592"/>
      <c r="IVQ291" s="592"/>
      <c r="IVR291" s="592"/>
      <c r="IVS291" s="592"/>
      <c r="IVT291" s="592"/>
      <c r="IVU291" s="592"/>
      <c r="IVV291" s="592"/>
      <c r="IVW291" s="592"/>
      <c r="IVX291" s="592"/>
      <c r="IVY291" s="592"/>
      <c r="IVZ291" s="592"/>
      <c r="IWA291" s="592"/>
      <c r="IWB291" s="592"/>
      <c r="IWC291" s="592"/>
      <c r="IWD291" s="592"/>
      <c r="IWE291" s="592"/>
      <c r="IWF291" s="592"/>
      <c r="IWG291" s="592"/>
      <c r="IWH291" s="592"/>
      <c r="IWI291" s="592"/>
      <c r="IWJ291" s="592"/>
      <c r="IWK291" s="592"/>
      <c r="IWL291" s="592"/>
      <c r="IWM291" s="592"/>
      <c r="IWN291" s="592"/>
      <c r="IWO291" s="592"/>
      <c r="IWP291" s="592"/>
      <c r="IWQ291" s="592"/>
      <c r="IWR291" s="592"/>
      <c r="IWS291" s="592"/>
      <c r="IWT291" s="592"/>
      <c r="IWU291" s="592"/>
      <c r="IWV291" s="592"/>
      <c r="IWW291" s="592"/>
      <c r="IWX291" s="592"/>
      <c r="IWY291" s="592"/>
      <c r="IWZ291" s="592"/>
      <c r="IXA291" s="592"/>
      <c r="IXB291" s="592"/>
      <c r="IXC291" s="592"/>
      <c r="IXD291" s="592"/>
      <c r="IXE291" s="592"/>
      <c r="IXF291" s="592"/>
      <c r="IXG291" s="592"/>
      <c r="IXH291" s="592"/>
      <c r="IXI291" s="592"/>
      <c r="IXJ291" s="592"/>
      <c r="IXK291" s="592"/>
      <c r="IXL291" s="592"/>
      <c r="IXM291" s="592"/>
      <c r="IXN291" s="592"/>
      <c r="IXO291" s="592"/>
      <c r="IXP291" s="592"/>
      <c r="IXQ291" s="592"/>
      <c r="IXR291" s="592"/>
      <c r="IXS291" s="592"/>
      <c r="IXT291" s="592"/>
      <c r="IXU291" s="592"/>
      <c r="IXV291" s="592"/>
      <c r="IXW291" s="592"/>
      <c r="IXX291" s="592"/>
      <c r="IXY291" s="592"/>
      <c r="IXZ291" s="592"/>
      <c r="IYA291" s="592"/>
      <c r="IYB291" s="592"/>
      <c r="IYC291" s="592"/>
      <c r="IYD291" s="592"/>
      <c r="IYE291" s="592"/>
      <c r="IYF291" s="592"/>
      <c r="IYG291" s="592"/>
      <c r="IYH291" s="592"/>
      <c r="IYI291" s="592"/>
      <c r="IYJ291" s="592"/>
      <c r="IYK291" s="592"/>
      <c r="IYL291" s="592"/>
      <c r="IYM291" s="592"/>
      <c r="IYN291" s="592"/>
      <c r="IYO291" s="592"/>
      <c r="IYP291" s="592"/>
      <c r="IYQ291" s="592"/>
      <c r="IYR291" s="592"/>
      <c r="IYS291" s="592"/>
      <c r="IYT291" s="592"/>
      <c r="IYU291" s="592"/>
      <c r="IYV291" s="592"/>
      <c r="IYW291" s="592"/>
      <c r="IYX291" s="592"/>
      <c r="IYY291" s="592"/>
      <c r="IYZ291" s="592"/>
      <c r="IZA291" s="592"/>
      <c r="IZB291" s="592"/>
      <c r="IZC291" s="592"/>
      <c r="IZD291" s="592"/>
      <c r="IZE291" s="592"/>
      <c r="IZF291" s="592"/>
      <c r="IZG291" s="592"/>
      <c r="IZH291" s="592"/>
      <c r="IZI291" s="592"/>
      <c r="IZJ291" s="592"/>
      <c r="IZK291" s="592"/>
      <c r="IZL291" s="592"/>
      <c r="IZM291" s="592"/>
      <c r="IZN291" s="592"/>
      <c r="IZO291" s="592"/>
      <c r="IZP291" s="592"/>
      <c r="IZQ291" s="592"/>
      <c r="IZR291" s="592"/>
      <c r="IZS291" s="592"/>
      <c r="IZT291" s="592"/>
      <c r="IZU291" s="592"/>
      <c r="IZV291" s="592"/>
      <c r="IZW291" s="592"/>
      <c r="IZX291" s="592"/>
      <c r="IZY291" s="592"/>
      <c r="IZZ291" s="592"/>
      <c r="JAA291" s="592"/>
      <c r="JAB291" s="592"/>
      <c r="JAC291" s="592"/>
      <c r="JAD291" s="592"/>
      <c r="JAE291" s="592"/>
      <c r="JAF291" s="592"/>
      <c r="JAG291" s="592"/>
      <c r="JAH291" s="592"/>
      <c r="JAI291" s="592"/>
      <c r="JAJ291" s="592"/>
      <c r="JAK291" s="592"/>
      <c r="JAL291" s="592"/>
      <c r="JAM291" s="592"/>
      <c r="JAN291" s="592"/>
      <c r="JAO291" s="592"/>
      <c r="JAP291" s="592"/>
      <c r="JAQ291" s="592"/>
      <c r="JAR291" s="592"/>
      <c r="JAS291" s="592"/>
      <c r="JAT291" s="592"/>
      <c r="JAU291" s="592"/>
      <c r="JAV291" s="592"/>
      <c r="JAW291" s="592"/>
      <c r="JAX291" s="592"/>
      <c r="JAY291" s="592"/>
      <c r="JAZ291" s="592"/>
      <c r="JBA291" s="592"/>
      <c r="JBB291" s="592"/>
      <c r="JBC291" s="592"/>
      <c r="JBD291" s="592"/>
      <c r="JBE291" s="592"/>
      <c r="JBF291" s="592"/>
      <c r="JBG291" s="592"/>
      <c r="JBH291" s="592"/>
      <c r="JBI291" s="592"/>
      <c r="JBJ291" s="592"/>
      <c r="JBK291" s="592"/>
      <c r="JBL291" s="592"/>
      <c r="JBM291" s="592"/>
      <c r="JBN291" s="592"/>
      <c r="JBO291" s="592"/>
      <c r="JBP291" s="592"/>
      <c r="JBQ291" s="592"/>
      <c r="JBR291" s="592"/>
      <c r="JBS291" s="592"/>
      <c r="JBT291" s="592"/>
      <c r="JBU291" s="592"/>
      <c r="JBV291" s="592"/>
      <c r="JBW291" s="592"/>
      <c r="JBX291" s="592"/>
      <c r="JBY291" s="592"/>
      <c r="JBZ291" s="592"/>
      <c r="JCA291" s="592"/>
      <c r="JCB291" s="592"/>
      <c r="JCC291" s="592"/>
      <c r="JCD291" s="592"/>
      <c r="JCE291" s="592"/>
      <c r="JCF291" s="592"/>
      <c r="JCG291" s="592"/>
      <c r="JCH291" s="592"/>
      <c r="JCI291" s="592"/>
      <c r="JCJ291" s="592"/>
      <c r="JCK291" s="592"/>
      <c r="JCL291" s="592"/>
      <c r="JCM291" s="592"/>
      <c r="JCN291" s="592"/>
      <c r="JCO291" s="592"/>
      <c r="JCP291" s="592"/>
      <c r="JCQ291" s="592"/>
      <c r="JCR291" s="592"/>
      <c r="JCS291" s="592"/>
      <c r="JCT291" s="592"/>
      <c r="JCU291" s="592"/>
      <c r="JCV291" s="592"/>
      <c r="JCW291" s="592"/>
      <c r="JCX291" s="592"/>
      <c r="JCY291" s="592"/>
      <c r="JCZ291" s="592"/>
      <c r="JDA291" s="592"/>
      <c r="JDB291" s="592"/>
      <c r="JDC291" s="592"/>
      <c r="JDD291" s="592"/>
      <c r="JDE291" s="592"/>
      <c r="JDF291" s="592"/>
      <c r="JDG291" s="592"/>
      <c r="JDH291" s="592"/>
      <c r="JDI291" s="592"/>
      <c r="JDJ291" s="592"/>
      <c r="JDK291" s="592"/>
      <c r="JDL291" s="592"/>
      <c r="JDM291" s="592"/>
      <c r="JDN291" s="592"/>
      <c r="JDO291" s="592"/>
      <c r="JDP291" s="592"/>
      <c r="JDQ291" s="592"/>
      <c r="JDR291" s="592"/>
      <c r="JDS291" s="592"/>
      <c r="JDT291" s="592"/>
      <c r="JDU291" s="592"/>
      <c r="JDV291" s="592"/>
      <c r="JDW291" s="592"/>
      <c r="JDX291" s="592"/>
      <c r="JDY291" s="592"/>
      <c r="JDZ291" s="592"/>
      <c r="JEA291" s="592"/>
      <c r="JEB291" s="592"/>
      <c r="JEC291" s="592"/>
      <c r="JED291" s="592"/>
      <c r="JEE291" s="592"/>
      <c r="JEF291" s="592"/>
      <c r="JEG291" s="592"/>
      <c r="JEH291" s="592"/>
      <c r="JEI291" s="592"/>
      <c r="JEJ291" s="592"/>
      <c r="JEK291" s="592"/>
      <c r="JEL291" s="592"/>
      <c r="JEM291" s="592"/>
      <c r="JEN291" s="592"/>
      <c r="JEO291" s="592"/>
      <c r="JEP291" s="592"/>
      <c r="JEQ291" s="592"/>
      <c r="JER291" s="592"/>
      <c r="JES291" s="592"/>
      <c r="JET291" s="592"/>
      <c r="JEU291" s="592"/>
      <c r="JEV291" s="592"/>
      <c r="JEW291" s="592"/>
      <c r="JEX291" s="592"/>
      <c r="JEY291" s="592"/>
      <c r="JEZ291" s="592"/>
      <c r="JFA291" s="592"/>
      <c r="JFB291" s="592"/>
      <c r="JFC291" s="592"/>
      <c r="JFD291" s="592"/>
      <c r="JFE291" s="592"/>
      <c r="JFF291" s="592"/>
      <c r="JFG291" s="592"/>
      <c r="JFH291" s="592"/>
      <c r="JFI291" s="592"/>
      <c r="JFJ291" s="592"/>
      <c r="JFK291" s="592"/>
      <c r="JFL291" s="592"/>
      <c r="JFM291" s="592"/>
      <c r="JFN291" s="592"/>
      <c r="JFO291" s="592"/>
      <c r="JFP291" s="592"/>
      <c r="JFQ291" s="592"/>
      <c r="JFR291" s="592"/>
      <c r="JFS291" s="592"/>
      <c r="JFT291" s="592"/>
      <c r="JFU291" s="592"/>
      <c r="JFV291" s="592"/>
      <c r="JFW291" s="592"/>
      <c r="JFX291" s="592"/>
      <c r="JFY291" s="592"/>
      <c r="JFZ291" s="592"/>
      <c r="JGA291" s="592"/>
      <c r="JGB291" s="592"/>
      <c r="JGC291" s="592"/>
      <c r="JGD291" s="592"/>
      <c r="JGE291" s="592"/>
      <c r="JGF291" s="592"/>
      <c r="JGG291" s="592"/>
      <c r="JGH291" s="592"/>
      <c r="JGI291" s="592"/>
      <c r="JGJ291" s="592"/>
      <c r="JGK291" s="592"/>
      <c r="JGL291" s="592"/>
      <c r="JGM291" s="592"/>
      <c r="JGN291" s="592"/>
      <c r="JGO291" s="592"/>
      <c r="JGP291" s="592"/>
      <c r="JGQ291" s="592"/>
      <c r="JGR291" s="592"/>
      <c r="JGS291" s="592"/>
      <c r="JGT291" s="592"/>
      <c r="JGU291" s="592"/>
      <c r="JGV291" s="592"/>
      <c r="JGW291" s="592"/>
      <c r="JGX291" s="592"/>
      <c r="JGY291" s="592"/>
      <c r="JGZ291" s="592"/>
      <c r="JHA291" s="592"/>
      <c r="JHB291" s="592"/>
      <c r="JHC291" s="592"/>
      <c r="JHD291" s="592"/>
      <c r="JHE291" s="592"/>
      <c r="JHF291" s="592"/>
      <c r="JHG291" s="592"/>
      <c r="JHH291" s="592"/>
      <c r="JHI291" s="592"/>
      <c r="JHJ291" s="592"/>
      <c r="JHK291" s="592"/>
      <c r="JHL291" s="592"/>
      <c r="JHM291" s="592"/>
      <c r="JHN291" s="592"/>
      <c r="JHO291" s="592"/>
      <c r="JHP291" s="592"/>
      <c r="JHQ291" s="592"/>
      <c r="JHR291" s="592"/>
      <c r="JHS291" s="592"/>
      <c r="JHT291" s="592"/>
      <c r="JHU291" s="592"/>
      <c r="JHV291" s="592"/>
      <c r="JHW291" s="592"/>
      <c r="JHX291" s="592"/>
      <c r="JHY291" s="592"/>
      <c r="JHZ291" s="592"/>
      <c r="JIA291" s="592"/>
      <c r="JIB291" s="592"/>
      <c r="JIC291" s="592"/>
      <c r="JID291" s="592"/>
      <c r="JIE291" s="592"/>
      <c r="JIF291" s="592"/>
      <c r="JIG291" s="592"/>
      <c r="JIH291" s="592"/>
      <c r="JII291" s="592"/>
      <c r="JIJ291" s="592"/>
      <c r="JIK291" s="592"/>
      <c r="JIL291" s="592"/>
      <c r="JIM291" s="592"/>
      <c r="JIN291" s="592"/>
      <c r="JIO291" s="592"/>
      <c r="JIP291" s="592"/>
      <c r="JIQ291" s="592"/>
      <c r="JIR291" s="592"/>
      <c r="JIS291" s="592"/>
      <c r="JIT291" s="592"/>
      <c r="JIU291" s="592"/>
      <c r="JIV291" s="592"/>
      <c r="JIW291" s="592"/>
      <c r="JIX291" s="592"/>
      <c r="JIY291" s="592"/>
      <c r="JIZ291" s="592"/>
      <c r="JJA291" s="592"/>
      <c r="JJB291" s="592"/>
      <c r="JJC291" s="592"/>
      <c r="JJD291" s="592"/>
      <c r="JJE291" s="592"/>
      <c r="JJF291" s="592"/>
      <c r="JJG291" s="592"/>
      <c r="JJH291" s="592"/>
      <c r="JJI291" s="592"/>
      <c r="JJJ291" s="592"/>
      <c r="JJK291" s="592"/>
      <c r="JJL291" s="592"/>
      <c r="JJM291" s="592"/>
      <c r="JJN291" s="592"/>
      <c r="JJO291" s="592"/>
      <c r="JJP291" s="592"/>
      <c r="JJQ291" s="592"/>
      <c r="JJR291" s="592"/>
      <c r="JJS291" s="592"/>
      <c r="JJT291" s="592"/>
      <c r="JJU291" s="592"/>
      <c r="JJV291" s="592"/>
      <c r="JJW291" s="592"/>
      <c r="JJX291" s="592"/>
      <c r="JJY291" s="592"/>
      <c r="JJZ291" s="592"/>
      <c r="JKA291" s="592"/>
      <c r="JKB291" s="592"/>
      <c r="JKC291" s="592"/>
      <c r="JKD291" s="592"/>
      <c r="JKE291" s="592"/>
      <c r="JKF291" s="592"/>
      <c r="JKG291" s="592"/>
      <c r="JKH291" s="592"/>
      <c r="JKI291" s="592"/>
      <c r="JKJ291" s="592"/>
      <c r="JKK291" s="592"/>
      <c r="JKL291" s="592"/>
      <c r="JKM291" s="592"/>
      <c r="JKN291" s="592"/>
      <c r="JKO291" s="592"/>
      <c r="JKP291" s="592"/>
      <c r="JKQ291" s="592"/>
      <c r="JKR291" s="592"/>
      <c r="JKS291" s="592"/>
      <c r="JKT291" s="592"/>
      <c r="JKU291" s="592"/>
      <c r="JKV291" s="592"/>
      <c r="JKW291" s="592"/>
      <c r="JKX291" s="592"/>
      <c r="JKY291" s="592"/>
      <c r="JKZ291" s="592"/>
      <c r="JLA291" s="592"/>
      <c r="JLB291" s="592"/>
      <c r="JLC291" s="592"/>
      <c r="JLD291" s="592"/>
      <c r="JLE291" s="592"/>
      <c r="JLF291" s="592"/>
      <c r="JLG291" s="592"/>
      <c r="JLH291" s="592"/>
      <c r="JLI291" s="592"/>
      <c r="JLJ291" s="592"/>
      <c r="JLK291" s="592"/>
      <c r="JLL291" s="592"/>
      <c r="JLM291" s="592"/>
      <c r="JLN291" s="592"/>
      <c r="JLO291" s="592"/>
      <c r="JLP291" s="592"/>
      <c r="JLQ291" s="592"/>
      <c r="JLR291" s="592"/>
      <c r="JLS291" s="592"/>
      <c r="JLT291" s="592"/>
      <c r="JLU291" s="592"/>
      <c r="JLV291" s="592"/>
      <c r="JLW291" s="592"/>
      <c r="JLX291" s="592"/>
      <c r="JLY291" s="592"/>
      <c r="JLZ291" s="592"/>
      <c r="JMA291" s="592"/>
      <c r="JMB291" s="592"/>
      <c r="JMC291" s="592"/>
      <c r="JMD291" s="592"/>
      <c r="JME291" s="592"/>
      <c r="JMF291" s="592"/>
      <c r="JMG291" s="592"/>
      <c r="JMH291" s="592"/>
      <c r="JMI291" s="592"/>
      <c r="JMJ291" s="592"/>
      <c r="JMK291" s="592"/>
      <c r="JML291" s="592"/>
      <c r="JMM291" s="592"/>
      <c r="JMN291" s="592"/>
      <c r="JMO291" s="592"/>
      <c r="JMP291" s="592"/>
      <c r="JMQ291" s="592"/>
      <c r="JMR291" s="592"/>
      <c r="JMS291" s="592"/>
      <c r="JMT291" s="592"/>
      <c r="JMU291" s="592"/>
      <c r="JMV291" s="592"/>
      <c r="JMW291" s="592"/>
      <c r="JMX291" s="592"/>
      <c r="JMY291" s="592"/>
      <c r="JMZ291" s="592"/>
      <c r="JNA291" s="592"/>
      <c r="JNB291" s="592"/>
      <c r="JNC291" s="592"/>
      <c r="JND291" s="592"/>
      <c r="JNE291" s="592"/>
      <c r="JNF291" s="592"/>
      <c r="JNG291" s="592"/>
      <c r="JNH291" s="592"/>
      <c r="JNI291" s="592"/>
      <c r="JNJ291" s="592"/>
      <c r="JNK291" s="592"/>
      <c r="JNL291" s="592"/>
      <c r="JNM291" s="592"/>
      <c r="JNN291" s="592"/>
      <c r="JNO291" s="592"/>
      <c r="JNP291" s="592"/>
      <c r="JNQ291" s="592"/>
      <c r="JNR291" s="592"/>
      <c r="JNS291" s="592"/>
      <c r="JNT291" s="592"/>
      <c r="JNU291" s="592"/>
      <c r="JNV291" s="592"/>
      <c r="JNW291" s="592"/>
      <c r="JNX291" s="592"/>
      <c r="JNY291" s="592"/>
      <c r="JNZ291" s="592"/>
      <c r="JOA291" s="592"/>
      <c r="JOB291" s="592"/>
      <c r="JOC291" s="592"/>
      <c r="JOD291" s="592"/>
      <c r="JOE291" s="592"/>
      <c r="JOF291" s="592"/>
      <c r="JOG291" s="592"/>
      <c r="JOH291" s="592"/>
      <c r="JOI291" s="592"/>
      <c r="JOJ291" s="592"/>
      <c r="JOK291" s="592"/>
      <c r="JOL291" s="592"/>
      <c r="JOM291" s="592"/>
      <c r="JON291" s="592"/>
      <c r="JOO291" s="592"/>
      <c r="JOP291" s="592"/>
      <c r="JOQ291" s="592"/>
      <c r="JOR291" s="592"/>
      <c r="JOS291" s="592"/>
      <c r="JOT291" s="592"/>
      <c r="JOU291" s="592"/>
      <c r="JOV291" s="592"/>
      <c r="JOW291" s="592"/>
      <c r="JOX291" s="592"/>
      <c r="JOY291" s="592"/>
      <c r="JOZ291" s="592"/>
      <c r="JPA291" s="592"/>
      <c r="JPB291" s="592"/>
      <c r="JPC291" s="592"/>
      <c r="JPD291" s="592"/>
      <c r="JPE291" s="592"/>
      <c r="JPF291" s="592"/>
      <c r="JPG291" s="592"/>
      <c r="JPH291" s="592"/>
      <c r="JPI291" s="592"/>
      <c r="JPJ291" s="592"/>
      <c r="JPK291" s="592"/>
      <c r="JPL291" s="592"/>
      <c r="JPM291" s="592"/>
      <c r="JPN291" s="592"/>
      <c r="JPO291" s="592"/>
      <c r="JPP291" s="592"/>
      <c r="JPQ291" s="592"/>
      <c r="JPR291" s="592"/>
      <c r="JPS291" s="592"/>
      <c r="JPT291" s="592"/>
      <c r="JPU291" s="592"/>
      <c r="JPV291" s="592"/>
      <c r="JPW291" s="592"/>
      <c r="JPX291" s="592"/>
      <c r="JPY291" s="592"/>
      <c r="JPZ291" s="592"/>
      <c r="JQA291" s="592"/>
      <c r="JQB291" s="592"/>
      <c r="JQC291" s="592"/>
      <c r="JQD291" s="592"/>
      <c r="JQE291" s="592"/>
      <c r="JQF291" s="592"/>
      <c r="JQG291" s="592"/>
      <c r="JQH291" s="592"/>
      <c r="JQI291" s="592"/>
      <c r="JQJ291" s="592"/>
      <c r="JQK291" s="592"/>
      <c r="JQL291" s="592"/>
      <c r="JQM291" s="592"/>
      <c r="JQN291" s="592"/>
      <c r="JQO291" s="592"/>
      <c r="JQP291" s="592"/>
      <c r="JQQ291" s="592"/>
      <c r="JQR291" s="592"/>
      <c r="JQS291" s="592"/>
      <c r="JQT291" s="592"/>
      <c r="JQU291" s="592"/>
      <c r="JQV291" s="592"/>
      <c r="JQW291" s="592"/>
      <c r="JQX291" s="592"/>
      <c r="JQY291" s="592"/>
      <c r="JQZ291" s="592"/>
      <c r="JRA291" s="592"/>
      <c r="JRB291" s="592"/>
      <c r="JRC291" s="592"/>
      <c r="JRD291" s="592"/>
      <c r="JRE291" s="592"/>
      <c r="JRF291" s="592"/>
      <c r="JRG291" s="592"/>
      <c r="JRH291" s="592"/>
      <c r="JRI291" s="592"/>
      <c r="JRJ291" s="592"/>
      <c r="JRK291" s="592"/>
      <c r="JRL291" s="592"/>
      <c r="JRM291" s="592"/>
      <c r="JRN291" s="592"/>
      <c r="JRO291" s="592"/>
      <c r="JRP291" s="592"/>
      <c r="JRQ291" s="592"/>
      <c r="JRR291" s="592"/>
      <c r="JRS291" s="592"/>
      <c r="JRT291" s="592"/>
      <c r="JRU291" s="592"/>
      <c r="JRV291" s="592"/>
      <c r="JRW291" s="592"/>
      <c r="JRX291" s="592"/>
      <c r="JRY291" s="592"/>
      <c r="JRZ291" s="592"/>
      <c r="JSA291" s="592"/>
      <c r="JSB291" s="592"/>
      <c r="JSC291" s="592"/>
      <c r="JSD291" s="592"/>
      <c r="JSE291" s="592"/>
      <c r="JSF291" s="592"/>
      <c r="JSG291" s="592"/>
      <c r="JSH291" s="592"/>
      <c r="JSI291" s="592"/>
      <c r="JSJ291" s="592"/>
      <c r="JSK291" s="592"/>
      <c r="JSL291" s="592"/>
      <c r="JSM291" s="592"/>
      <c r="JSN291" s="592"/>
      <c r="JSO291" s="592"/>
      <c r="JSP291" s="592"/>
      <c r="JSQ291" s="592"/>
      <c r="JSR291" s="592"/>
      <c r="JSS291" s="592"/>
      <c r="JST291" s="592"/>
      <c r="JSU291" s="592"/>
      <c r="JSV291" s="592"/>
      <c r="JSW291" s="592"/>
      <c r="JSX291" s="592"/>
      <c r="JSY291" s="592"/>
      <c r="JSZ291" s="592"/>
      <c r="JTA291" s="592"/>
      <c r="JTB291" s="592"/>
      <c r="JTC291" s="592"/>
      <c r="JTD291" s="592"/>
      <c r="JTE291" s="592"/>
      <c r="JTF291" s="592"/>
      <c r="JTG291" s="592"/>
      <c r="JTH291" s="592"/>
      <c r="JTI291" s="592"/>
      <c r="JTJ291" s="592"/>
      <c r="JTK291" s="592"/>
      <c r="JTL291" s="592"/>
      <c r="JTM291" s="592"/>
      <c r="JTN291" s="592"/>
      <c r="JTO291" s="592"/>
      <c r="JTP291" s="592"/>
      <c r="JTQ291" s="592"/>
      <c r="JTR291" s="592"/>
      <c r="JTS291" s="592"/>
      <c r="JTT291" s="592"/>
      <c r="JTU291" s="592"/>
      <c r="JTV291" s="592"/>
      <c r="JTW291" s="592"/>
      <c r="JTX291" s="592"/>
      <c r="JTY291" s="592"/>
      <c r="JTZ291" s="592"/>
      <c r="JUA291" s="592"/>
      <c r="JUB291" s="592"/>
      <c r="JUC291" s="592"/>
      <c r="JUD291" s="592"/>
      <c r="JUE291" s="592"/>
      <c r="JUF291" s="592"/>
      <c r="JUG291" s="592"/>
      <c r="JUH291" s="592"/>
      <c r="JUI291" s="592"/>
      <c r="JUJ291" s="592"/>
      <c r="JUK291" s="592"/>
      <c r="JUL291" s="592"/>
      <c r="JUM291" s="592"/>
      <c r="JUN291" s="592"/>
      <c r="JUO291" s="592"/>
      <c r="JUP291" s="592"/>
      <c r="JUQ291" s="592"/>
      <c r="JUR291" s="592"/>
      <c r="JUS291" s="592"/>
      <c r="JUT291" s="592"/>
      <c r="JUU291" s="592"/>
      <c r="JUV291" s="592"/>
      <c r="JUW291" s="592"/>
      <c r="JUX291" s="592"/>
      <c r="JUY291" s="592"/>
      <c r="JUZ291" s="592"/>
      <c r="JVA291" s="592"/>
      <c r="JVB291" s="592"/>
      <c r="JVC291" s="592"/>
      <c r="JVD291" s="592"/>
      <c r="JVE291" s="592"/>
      <c r="JVF291" s="592"/>
      <c r="JVG291" s="592"/>
      <c r="JVH291" s="592"/>
      <c r="JVI291" s="592"/>
      <c r="JVJ291" s="592"/>
      <c r="JVK291" s="592"/>
      <c r="JVL291" s="592"/>
      <c r="JVM291" s="592"/>
      <c r="JVN291" s="592"/>
      <c r="JVO291" s="592"/>
      <c r="JVP291" s="592"/>
      <c r="JVQ291" s="592"/>
      <c r="JVR291" s="592"/>
      <c r="JVS291" s="592"/>
      <c r="JVT291" s="592"/>
      <c r="JVU291" s="592"/>
      <c r="JVV291" s="592"/>
      <c r="JVW291" s="592"/>
      <c r="JVX291" s="592"/>
      <c r="JVY291" s="592"/>
      <c r="JVZ291" s="592"/>
      <c r="JWA291" s="592"/>
      <c r="JWB291" s="592"/>
      <c r="JWC291" s="592"/>
      <c r="JWD291" s="592"/>
      <c r="JWE291" s="592"/>
      <c r="JWF291" s="592"/>
      <c r="JWG291" s="592"/>
      <c r="JWH291" s="592"/>
      <c r="JWI291" s="592"/>
      <c r="JWJ291" s="592"/>
      <c r="JWK291" s="592"/>
      <c r="JWL291" s="592"/>
      <c r="JWM291" s="592"/>
      <c r="JWN291" s="592"/>
      <c r="JWO291" s="592"/>
      <c r="JWP291" s="592"/>
      <c r="JWQ291" s="592"/>
      <c r="JWR291" s="592"/>
      <c r="JWS291" s="592"/>
      <c r="JWT291" s="592"/>
      <c r="JWU291" s="592"/>
      <c r="JWV291" s="592"/>
      <c r="JWW291" s="592"/>
      <c r="JWX291" s="592"/>
      <c r="JWY291" s="592"/>
      <c r="JWZ291" s="592"/>
      <c r="JXA291" s="592"/>
      <c r="JXB291" s="592"/>
      <c r="JXC291" s="592"/>
      <c r="JXD291" s="592"/>
      <c r="JXE291" s="592"/>
      <c r="JXF291" s="592"/>
      <c r="JXG291" s="592"/>
      <c r="JXH291" s="592"/>
      <c r="JXI291" s="592"/>
      <c r="JXJ291" s="592"/>
      <c r="JXK291" s="592"/>
      <c r="JXL291" s="592"/>
      <c r="JXM291" s="592"/>
      <c r="JXN291" s="592"/>
      <c r="JXO291" s="592"/>
      <c r="JXP291" s="592"/>
      <c r="JXQ291" s="592"/>
      <c r="JXR291" s="592"/>
      <c r="JXS291" s="592"/>
      <c r="JXT291" s="592"/>
      <c r="JXU291" s="592"/>
      <c r="JXV291" s="592"/>
      <c r="JXW291" s="592"/>
      <c r="JXX291" s="592"/>
      <c r="JXY291" s="592"/>
      <c r="JXZ291" s="592"/>
      <c r="JYA291" s="592"/>
      <c r="JYB291" s="592"/>
      <c r="JYC291" s="592"/>
      <c r="JYD291" s="592"/>
      <c r="JYE291" s="592"/>
      <c r="JYF291" s="592"/>
      <c r="JYG291" s="592"/>
      <c r="JYH291" s="592"/>
      <c r="JYI291" s="592"/>
      <c r="JYJ291" s="592"/>
      <c r="JYK291" s="592"/>
      <c r="JYL291" s="592"/>
      <c r="JYM291" s="592"/>
      <c r="JYN291" s="592"/>
      <c r="JYO291" s="592"/>
      <c r="JYP291" s="592"/>
      <c r="JYQ291" s="592"/>
      <c r="JYR291" s="592"/>
      <c r="JYS291" s="592"/>
      <c r="JYT291" s="592"/>
      <c r="JYU291" s="592"/>
      <c r="JYV291" s="592"/>
      <c r="JYW291" s="592"/>
      <c r="JYX291" s="592"/>
      <c r="JYY291" s="592"/>
      <c r="JYZ291" s="592"/>
      <c r="JZA291" s="592"/>
      <c r="JZB291" s="592"/>
      <c r="JZC291" s="592"/>
      <c r="JZD291" s="592"/>
      <c r="JZE291" s="592"/>
      <c r="JZF291" s="592"/>
      <c r="JZG291" s="592"/>
      <c r="JZH291" s="592"/>
      <c r="JZI291" s="592"/>
      <c r="JZJ291" s="592"/>
      <c r="JZK291" s="592"/>
      <c r="JZL291" s="592"/>
      <c r="JZM291" s="592"/>
      <c r="JZN291" s="592"/>
      <c r="JZO291" s="592"/>
      <c r="JZP291" s="592"/>
      <c r="JZQ291" s="592"/>
      <c r="JZR291" s="592"/>
      <c r="JZS291" s="592"/>
      <c r="JZT291" s="592"/>
      <c r="JZU291" s="592"/>
      <c r="JZV291" s="592"/>
      <c r="JZW291" s="592"/>
      <c r="JZX291" s="592"/>
      <c r="JZY291" s="592"/>
      <c r="JZZ291" s="592"/>
      <c r="KAA291" s="592"/>
      <c r="KAB291" s="592"/>
      <c r="KAC291" s="592"/>
      <c r="KAD291" s="592"/>
      <c r="KAE291" s="592"/>
      <c r="KAF291" s="592"/>
      <c r="KAG291" s="592"/>
      <c r="KAH291" s="592"/>
      <c r="KAI291" s="592"/>
      <c r="KAJ291" s="592"/>
      <c r="KAK291" s="592"/>
      <c r="KAL291" s="592"/>
      <c r="KAM291" s="592"/>
      <c r="KAN291" s="592"/>
      <c r="KAO291" s="592"/>
      <c r="KAP291" s="592"/>
      <c r="KAQ291" s="592"/>
      <c r="KAR291" s="592"/>
      <c r="KAS291" s="592"/>
      <c r="KAT291" s="592"/>
      <c r="KAU291" s="592"/>
      <c r="KAV291" s="592"/>
      <c r="KAW291" s="592"/>
      <c r="KAX291" s="592"/>
      <c r="KAY291" s="592"/>
      <c r="KAZ291" s="592"/>
      <c r="KBA291" s="592"/>
      <c r="KBB291" s="592"/>
      <c r="KBC291" s="592"/>
      <c r="KBD291" s="592"/>
      <c r="KBE291" s="592"/>
      <c r="KBF291" s="592"/>
      <c r="KBG291" s="592"/>
      <c r="KBH291" s="592"/>
      <c r="KBI291" s="592"/>
      <c r="KBJ291" s="592"/>
      <c r="KBK291" s="592"/>
      <c r="KBL291" s="592"/>
      <c r="KBM291" s="592"/>
      <c r="KBN291" s="592"/>
      <c r="KBO291" s="592"/>
      <c r="KBP291" s="592"/>
      <c r="KBQ291" s="592"/>
      <c r="KBR291" s="592"/>
      <c r="KBS291" s="592"/>
      <c r="KBT291" s="592"/>
      <c r="KBU291" s="592"/>
      <c r="KBV291" s="592"/>
      <c r="KBW291" s="592"/>
      <c r="KBX291" s="592"/>
      <c r="KBY291" s="592"/>
      <c r="KBZ291" s="592"/>
      <c r="KCA291" s="592"/>
      <c r="KCB291" s="592"/>
      <c r="KCC291" s="592"/>
      <c r="KCD291" s="592"/>
      <c r="KCE291" s="592"/>
      <c r="KCF291" s="592"/>
      <c r="KCG291" s="592"/>
      <c r="KCH291" s="592"/>
      <c r="KCI291" s="592"/>
      <c r="KCJ291" s="592"/>
      <c r="KCK291" s="592"/>
      <c r="KCL291" s="592"/>
      <c r="KCM291" s="592"/>
      <c r="KCN291" s="592"/>
      <c r="KCO291" s="592"/>
      <c r="KCP291" s="592"/>
      <c r="KCQ291" s="592"/>
      <c r="KCR291" s="592"/>
      <c r="KCS291" s="592"/>
      <c r="KCT291" s="592"/>
      <c r="KCU291" s="592"/>
      <c r="KCV291" s="592"/>
      <c r="KCW291" s="592"/>
      <c r="KCX291" s="592"/>
      <c r="KCY291" s="592"/>
      <c r="KCZ291" s="592"/>
      <c r="KDA291" s="592"/>
      <c r="KDB291" s="592"/>
      <c r="KDC291" s="592"/>
      <c r="KDD291" s="592"/>
      <c r="KDE291" s="592"/>
      <c r="KDF291" s="592"/>
      <c r="KDG291" s="592"/>
      <c r="KDH291" s="592"/>
      <c r="KDI291" s="592"/>
      <c r="KDJ291" s="592"/>
      <c r="KDK291" s="592"/>
      <c r="KDL291" s="592"/>
      <c r="KDM291" s="592"/>
      <c r="KDN291" s="592"/>
      <c r="KDO291" s="592"/>
      <c r="KDP291" s="592"/>
      <c r="KDQ291" s="592"/>
      <c r="KDR291" s="592"/>
      <c r="KDS291" s="592"/>
      <c r="KDT291" s="592"/>
      <c r="KDU291" s="592"/>
      <c r="KDV291" s="592"/>
      <c r="KDW291" s="592"/>
      <c r="KDX291" s="592"/>
      <c r="KDY291" s="592"/>
      <c r="KDZ291" s="592"/>
      <c r="KEA291" s="592"/>
      <c r="KEB291" s="592"/>
      <c r="KEC291" s="592"/>
      <c r="KED291" s="592"/>
      <c r="KEE291" s="592"/>
      <c r="KEF291" s="592"/>
      <c r="KEG291" s="592"/>
      <c r="KEH291" s="592"/>
      <c r="KEI291" s="592"/>
      <c r="KEJ291" s="592"/>
      <c r="KEK291" s="592"/>
      <c r="KEL291" s="592"/>
      <c r="KEM291" s="592"/>
      <c r="KEN291" s="592"/>
      <c r="KEO291" s="592"/>
      <c r="KEP291" s="592"/>
      <c r="KEQ291" s="592"/>
      <c r="KER291" s="592"/>
      <c r="KES291" s="592"/>
      <c r="KET291" s="592"/>
      <c r="KEU291" s="592"/>
      <c r="KEV291" s="592"/>
      <c r="KEW291" s="592"/>
      <c r="KEX291" s="592"/>
      <c r="KEY291" s="592"/>
      <c r="KEZ291" s="592"/>
      <c r="KFA291" s="592"/>
      <c r="KFB291" s="592"/>
      <c r="KFC291" s="592"/>
      <c r="KFD291" s="592"/>
      <c r="KFE291" s="592"/>
      <c r="KFF291" s="592"/>
      <c r="KFG291" s="592"/>
      <c r="KFH291" s="592"/>
      <c r="KFI291" s="592"/>
      <c r="KFJ291" s="592"/>
      <c r="KFK291" s="592"/>
      <c r="KFL291" s="592"/>
      <c r="KFM291" s="592"/>
      <c r="KFN291" s="592"/>
      <c r="KFO291" s="592"/>
      <c r="KFP291" s="592"/>
      <c r="KFQ291" s="592"/>
      <c r="KFR291" s="592"/>
      <c r="KFS291" s="592"/>
      <c r="KFT291" s="592"/>
      <c r="KFU291" s="592"/>
      <c r="KFV291" s="592"/>
      <c r="KFW291" s="592"/>
      <c r="KFX291" s="592"/>
      <c r="KFY291" s="592"/>
      <c r="KFZ291" s="592"/>
      <c r="KGA291" s="592"/>
      <c r="KGB291" s="592"/>
      <c r="KGC291" s="592"/>
      <c r="KGD291" s="592"/>
      <c r="KGE291" s="592"/>
      <c r="KGF291" s="592"/>
      <c r="KGG291" s="592"/>
      <c r="KGH291" s="592"/>
      <c r="KGI291" s="592"/>
      <c r="KGJ291" s="592"/>
      <c r="KGK291" s="592"/>
      <c r="KGL291" s="592"/>
      <c r="KGM291" s="592"/>
      <c r="KGN291" s="592"/>
      <c r="KGO291" s="592"/>
      <c r="KGP291" s="592"/>
      <c r="KGQ291" s="592"/>
      <c r="KGR291" s="592"/>
      <c r="KGS291" s="592"/>
      <c r="KGT291" s="592"/>
      <c r="KGU291" s="592"/>
      <c r="KGV291" s="592"/>
      <c r="KGW291" s="592"/>
      <c r="KGX291" s="592"/>
      <c r="KGY291" s="592"/>
      <c r="KGZ291" s="592"/>
      <c r="KHA291" s="592"/>
      <c r="KHB291" s="592"/>
      <c r="KHC291" s="592"/>
      <c r="KHD291" s="592"/>
      <c r="KHE291" s="592"/>
      <c r="KHF291" s="592"/>
      <c r="KHG291" s="592"/>
      <c r="KHH291" s="592"/>
      <c r="KHI291" s="592"/>
      <c r="KHJ291" s="592"/>
      <c r="KHK291" s="592"/>
      <c r="KHL291" s="592"/>
      <c r="KHM291" s="592"/>
      <c r="KHN291" s="592"/>
      <c r="KHO291" s="592"/>
      <c r="KHP291" s="592"/>
      <c r="KHQ291" s="592"/>
      <c r="KHR291" s="592"/>
      <c r="KHS291" s="592"/>
      <c r="KHT291" s="592"/>
      <c r="KHU291" s="592"/>
      <c r="KHV291" s="592"/>
      <c r="KHW291" s="592"/>
      <c r="KHX291" s="592"/>
      <c r="KHY291" s="592"/>
      <c r="KHZ291" s="592"/>
      <c r="KIA291" s="592"/>
      <c r="KIB291" s="592"/>
      <c r="KIC291" s="592"/>
      <c r="KID291" s="592"/>
      <c r="KIE291" s="592"/>
      <c r="KIF291" s="592"/>
      <c r="KIG291" s="592"/>
      <c r="KIH291" s="592"/>
      <c r="KII291" s="592"/>
      <c r="KIJ291" s="592"/>
      <c r="KIK291" s="592"/>
      <c r="KIL291" s="592"/>
      <c r="KIM291" s="592"/>
      <c r="KIN291" s="592"/>
      <c r="KIO291" s="592"/>
      <c r="KIP291" s="592"/>
      <c r="KIQ291" s="592"/>
      <c r="KIR291" s="592"/>
      <c r="KIS291" s="592"/>
      <c r="KIT291" s="592"/>
      <c r="KIU291" s="592"/>
      <c r="KIV291" s="592"/>
      <c r="KIW291" s="592"/>
      <c r="KIX291" s="592"/>
      <c r="KIY291" s="592"/>
      <c r="KIZ291" s="592"/>
      <c r="KJA291" s="592"/>
      <c r="KJB291" s="592"/>
      <c r="KJC291" s="592"/>
      <c r="KJD291" s="592"/>
      <c r="KJE291" s="592"/>
      <c r="KJF291" s="592"/>
      <c r="KJG291" s="592"/>
      <c r="KJH291" s="592"/>
      <c r="KJI291" s="592"/>
      <c r="KJJ291" s="592"/>
      <c r="KJK291" s="592"/>
      <c r="KJL291" s="592"/>
      <c r="KJM291" s="592"/>
      <c r="KJN291" s="592"/>
      <c r="KJO291" s="592"/>
      <c r="KJP291" s="592"/>
      <c r="KJQ291" s="592"/>
      <c r="KJR291" s="592"/>
      <c r="KJS291" s="592"/>
      <c r="KJT291" s="592"/>
      <c r="KJU291" s="592"/>
      <c r="KJV291" s="592"/>
      <c r="KJW291" s="592"/>
      <c r="KJX291" s="592"/>
      <c r="KJY291" s="592"/>
      <c r="KJZ291" s="592"/>
      <c r="KKA291" s="592"/>
      <c r="KKB291" s="592"/>
      <c r="KKC291" s="592"/>
      <c r="KKD291" s="592"/>
      <c r="KKE291" s="592"/>
      <c r="KKF291" s="592"/>
      <c r="KKG291" s="592"/>
      <c r="KKH291" s="592"/>
      <c r="KKI291" s="592"/>
      <c r="KKJ291" s="592"/>
      <c r="KKK291" s="592"/>
      <c r="KKL291" s="592"/>
      <c r="KKM291" s="592"/>
      <c r="KKN291" s="592"/>
      <c r="KKO291" s="592"/>
      <c r="KKP291" s="592"/>
      <c r="KKQ291" s="592"/>
      <c r="KKR291" s="592"/>
      <c r="KKS291" s="592"/>
      <c r="KKT291" s="592"/>
      <c r="KKU291" s="592"/>
      <c r="KKV291" s="592"/>
      <c r="KKW291" s="592"/>
      <c r="KKX291" s="592"/>
      <c r="KKY291" s="592"/>
      <c r="KKZ291" s="592"/>
      <c r="KLA291" s="592"/>
      <c r="KLB291" s="592"/>
      <c r="KLC291" s="592"/>
      <c r="KLD291" s="592"/>
      <c r="KLE291" s="592"/>
      <c r="KLF291" s="592"/>
      <c r="KLG291" s="592"/>
      <c r="KLH291" s="592"/>
      <c r="KLI291" s="592"/>
      <c r="KLJ291" s="592"/>
      <c r="KLK291" s="592"/>
      <c r="KLL291" s="592"/>
      <c r="KLM291" s="592"/>
      <c r="KLN291" s="592"/>
      <c r="KLO291" s="592"/>
      <c r="KLP291" s="592"/>
      <c r="KLQ291" s="592"/>
      <c r="KLR291" s="592"/>
      <c r="KLS291" s="592"/>
      <c r="KLT291" s="592"/>
      <c r="KLU291" s="592"/>
      <c r="KLV291" s="592"/>
      <c r="KLW291" s="592"/>
      <c r="KLX291" s="592"/>
      <c r="KLY291" s="592"/>
      <c r="KLZ291" s="592"/>
      <c r="KMA291" s="592"/>
      <c r="KMB291" s="592"/>
      <c r="KMC291" s="592"/>
      <c r="KMD291" s="592"/>
      <c r="KME291" s="592"/>
      <c r="KMF291" s="592"/>
      <c r="KMG291" s="592"/>
      <c r="KMH291" s="592"/>
      <c r="KMI291" s="592"/>
      <c r="KMJ291" s="592"/>
      <c r="KMK291" s="592"/>
      <c r="KML291" s="592"/>
      <c r="KMM291" s="592"/>
      <c r="KMN291" s="592"/>
      <c r="KMO291" s="592"/>
      <c r="KMP291" s="592"/>
      <c r="KMQ291" s="592"/>
      <c r="KMR291" s="592"/>
      <c r="KMS291" s="592"/>
      <c r="KMT291" s="592"/>
      <c r="KMU291" s="592"/>
      <c r="KMV291" s="592"/>
      <c r="KMW291" s="592"/>
      <c r="KMX291" s="592"/>
      <c r="KMY291" s="592"/>
      <c r="KMZ291" s="592"/>
      <c r="KNA291" s="592"/>
      <c r="KNB291" s="592"/>
      <c r="KNC291" s="592"/>
      <c r="KND291" s="592"/>
      <c r="KNE291" s="592"/>
      <c r="KNF291" s="592"/>
      <c r="KNG291" s="592"/>
      <c r="KNH291" s="592"/>
      <c r="KNI291" s="592"/>
      <c r="KNJ291" s="592"/>
      <c r="KNK291" s="592"/>
      <c r="KNL291" s="592"/>
      <c r="KNM291" s="592"/>
      <c r="KNN291" s="592"/>
      <c r="KNO291" s="592"/>
      <c r="KNP291" s="592"/>
      <c r="KNQ291" s="592"/>
      <c r="KNR291" s="592"/>
      <c r="KNS291" s="592"/>
      <c r="KNT291" s="592"/>
      <c r="KNU291" s="592"/>
      <c r="KNV291" s="592"/>
      <c r="KNW291" s="592"/>
      <c r="KNX291" s="592"/>
      <c r="KNY291" s="592"/>
      <c r="KNZ291" s="592"/>
      <c r="KOA291" s="592"/>
      <c r="KOB291" s="592"/>
      <c r="KOC291" s="592"/>
      <c r="KOD291" s="592"/>
      <c r="KOE291" s="592"/>
      <c r="KOF291" s="592"/>
      <c r="KOG291" s="592"/>
      <c r="KOH291" s="592"/>
      <c r="KOI291" s="592"/>
      <c r="KOJ291" s="592"/>
      <c r="KOK291" s="592"/>
      <c r="KOL291" s="592"/>
      <c r="KOM291" s="592"/>
      <c r="KON291" s="592"/>
      <c r="KOO291" s="592"/>
      <c r="KOP291" s="592"/>
      <c r="KOQ291" s="592"/>
      <c r="KOR291" s="592"/>
      <c r="KOS291" s="592"/>
      <c r="KOT291" s="592"/>
      <c r="KOU291" s="592"/>
      <c r="KOV291" s="592"/>
      <c r="KOW291" s="592"/>
      <c r="KOX291" s="592"/>
      <c r="KOY291" s="592"/>
      <c r="KOZ291" s="592"/>
      <c r="KPA291" s="592"/>
      <c r="KPB291" s="592"/>
      <c r="KPC291" s="592"/>
      <c r="KPD291" s="592"/>
      <c r="KPE291" s="592"/>
      <c r="KPF291" s="592"/>
      <c r="KPG291" s="592"/>
      <c r="KPH291" s="592"/>
      <c r="KPI291" s="592"/>
      <c r="KPJ291" s="592"/>
      <c r="KPK291" s="592"/>
      <c r="KPL291" s="592"/>
      <c r="KPM291" s="592"/>
      <c r="KPN291" s="592"/>
      <c r="KPO291" s="592"/>
      <c r="KPP291" s="592"/>
      <c r="KPQ291" s="592"/>
      <c r="KPR291" s="592"/>
      <c r="KPS291" s="592"/>
      <c r="KPT291" s="592"/>
      <c r="KPU291" s="592"/>
      <c r="KPV291" s="592"/>
      <c r="KPW291" s="592"/>
      <c r="KPX291" s="592"/>
      <c r="KPY291" s="592"/>
      <c r="KPZ291" s="592"/>
      <c r="KQA291" s="592"/>
      <c r="KQB291" s="592"/>
      <c r="KQC291" s="592"/>
      <c r="KQD291" s="592"/>
      <c r="KQE291" s="592"/>
      <c r="KQF291" s="592"/>
      <c r="KQG291" s="592"/>
      <c r="KQH291" s="592"/>
      <c r="KQI291" s="592"/>
      <c r="KQJ291" s="592"/>
      <c r="KQK291" s="592"/>
      <c r="KQL291" s="592"/>
      <c r="KQM291" s="592"/>
      <c r="KQN291" s="592"/>
      <c r="KQO291" s="592"/>
      <c r="KQP291" s="592"/>
      <c r="KQQ291" s="592"/>
      <c r="KQR291" s="592"/>
      <c r="KQS291" s="592"/>
      <c r="KQT291" s="592"/>
      <c r="KQU291" s="592"/>
      <c r="KQV291" s="592"/>
      <c r="KQW291" s="592"/>
      <c r="KQX291" s="592"/>
      <c r="KQY291" s="592"/>
      <c r="KQZ291" s="592"/>
      <c r="KRA291" s="592"/>
      <c r="KRB291" s="592"/>
      <c r="KRC291" s="592"/>
      <c r="KRD291" s="592"/>
      <c r="KRE291" s="592"/>
      <c r="KRF291" s="592"/>
      <c r="KRG291" s="592"/>
      <c r="KRH291" s="592"/>
      <c r="KRI291" s="592"/>
      <c r="KRJ291" s="592"/>
      <c r="KRK291" s="592"/>
      <c r="KRL291" s="592"/>
      <c r="KRM291" s="592"/>
      <c r="KRN291" s="592"/>
      <c r="KRO291" s="592"/>
      <c r="KRP291" s="592"/>
      <c r="KRQ291" s="592"/>
      <c r="KRR291" s="592"/>
      <c r="KRS291" s="592"/>
      <c r="KRT291" s="592"/>
      <c r="KRU291" s="592"/>
      <c r="KRV291" s="592"/>
      <c r="KRW291" s="592"/>
      <c r="KRX291" s="592"/>
      <c r="KRY291" s="592"/>
      <c r="KRZ291" s="592"/>
      <c r="KSA291" s="592"/>
      <c r="KSB291" s="592"/>
      <c r="KSC291" s="592"/>
      <c r="KSD291" s="592"/>
      <c r="KSE291" s="592"/>
      <c r="KSF291" s="592"/>
      <c r="KSG291" s="592"/>
      <c r="KSH291" s="592"/>
      <c r="KSI291" s="592"/>
      <c r="KSJ291" s="592"/>
      <c r="KSK291" s="592"/>
      <c r="KSL291" s="592"/>
      <c r="KSM291" s="592"/>
      <c r="KSN291" s="592"/>
      <c r="KSO291" s="592"/>
      <c r="KSP291" s="592"/>
      <c r="KSQ291" s="592"/>
      <c r="KSR291" s="592"/>
      <c r="KSS291" s="592"/>
      <c r="KST291" s="592"/>
      <c r="KSU291" s="592"/>
      <c r="KSV291" s="592"/>
      <c r="KSW291" s="592"/>
      <c r="KSX291" s="592"/>
      <c r="KSY291" s="592"/>
      <c r="KSZ291" s="592"/>
      <c r="KTA291" s="592"/>
      <c r="KTB291" s="592"/>
      <c r="KTC291" s="592"/>
      <c r="KTD291" s="592"/>
      <c r="KTE291" s="592"/>
      <c r="KTF291" s="592"/>
      <c r="KTG291" s="592"/>
      <c r="KTH291" s="592"/>
      <c r="KTI291" s="592"/>
      <c r="KTJ291" s="592"/>
      <c r="KTK291" s="592"/>
      <c r="KTL291" s="592"/>
      <c r="KTM291" s="592"/>
      <c r="KTN291" s="592"/>
      <c r="KTO291" s="592"/>
      <c r="KTP291" s="592"/>
      <c r="KTQ291" s="592"/>
      <c r="KTR291" s="592"/>
      <c r="KTS291" s="592"/>
      <c r="KTT291" s="592"/>
      <c r="KTU291" s="592"/>
      <c r="KTV291" s="592"/>
      <c r="KTW291" s="592"/>
      <c r="KTX291" s="592"/>
      <c r="KTY291" s="592"/>
      <c r="KTZ291" s="592"/>
      <c r="KUA291" s="592"/>
      <c r="KUB291" s="592"/>
      <c r="KUC291" s="592"/>
      <c r="KUD291" s="592"/>
      <c r="KUE291" s="592"/>
      <c r="KUF291" s="592"/>
      <c r="KUG291" s="592"/>
      <c r="KUH291" s="592"/>
      <c r="KUI291" s="592"/>
      <c r="KUJ291" s="592"/>
      <c r="KUK291" s="592"/>
      <c r="KUL291" s="592"/>
      <c r="KUM291" s="592"/>
      <c r="KUN291" s="592"/>
      <c r="KUO291" s="592"/>
      <c r="KUP291" s="592"/>
      <c r="KUQ291" s="592"/>
      <c r="KUR291" s="592"/>
      <c r="KUS291" s="592"/>
      <c r="KUT291" s="592"/>
      <c r="KUU291" s="592"/>
      <c r="KUV291" s="592"/>
      <c r="KUW291" s="592"/>
      <c r="KUX291" s="592"/>
      <c r="KUY291" s="592"/>
      <c r="KUZ291" s="592"/>
      <c r="KVA291" s="592"/>
      <c r="KVB291" s="592"/>
      <c r="KVC291" s="592"/>
      <c r="KVD291" s="592"/>
      <c r="KVE291" s="592"/>
      <c r="KVF291" s="592"/>
      <c r="KVG291" s="592"/>
      <c r="KVH291" s="592"/>
      <c r="KVI291" s="592"/>
      <c r="KVJ291" s="592"/>
      <c r="KVK291" s="592"/>
      <c r="KVL291" s="592"/>
      <c r="KVM291" s="592"/>
      <c r="KVN291" s="592"/>
      <c r="KVO291" s="592"/>
      <c r="KVP291" s="592"/>
      <c r="KVQ291" s="592"/>
      <c r="KVR291" s="592"/>
      <c r="KVS291" s="592"/>
      <c r="KVT291" s="592"/>
      <c r="KVU291" s="592"/>
      <c r="KVV291" s="592"/>
      <c r="KVW291" s="592"/>
      <c r="KVX291" s="592"/>
      <c r="KVY291" s="592"/>
      <c r="KVZ291" s="592"/>
      <c r="KWA291" s="592"/>
      <c r="KWB291" s="592"/>
      <c r="KWC291" s="592"/>
      <c r="KWD291" s="592"/>
      <c r="KWE291" s="592"/>
      <c r="KWF291" s="592"/>
      <c r="KWG291" s="592"/>
      <c r="KWH291" s="592"/>
      <c r="KWI291" s="592"/>
      <c r="KWJ291" s="592"/>
      <c r="KWK291" s="592"/>
      <c r="KWL291" s="592"/>
      <c r="KWM291" s="592"/>
      <c r="KWN291" s="592"/>
      <c r="KWO291" s="592"/>
      <c r="KWP291" s="592"/>
      <c r="KWQ291" s="592"/>
      <c r="KWR291" s="592"/>
      <c r="KWS291" s="592"/>
      <c r="KWT291" s="592"/>
      <c r="KWU291" s="592"/>
      <c r="KWV291" s="592"/>
      <c r="KWW291" s="592"/>
      <c r="KWX291" s="592"/>
      <c r="KWY291" s="592"/>
      <c r="KWZ291" s="592"/>
      <c r="KXA291" s="592"/>
      <c r="KXB291" s="592"/>
      <c r="KXC291" s="592"/>
      <c r="KXD291" s="592"/>
      <c r="KXE291" s="592"/>
      <c r="KXF291" s="592"/>
      <c r="KXG291" s="592"/>
      <c r="KXH291" s="592"/>
      <c r="KXI291" s="592"/>
      <c r="KXJ291" s="592"/>
      <c r="KXK291" s="592"/>
      <c r="KXL291" s="592"/>
      <c r="KXM291" s="592"/>
      <c r="KXN291" s="592"/>
      <c r="KXO291" s="592"/>
      <c r="KXP291" s="592"/>
      <c r="KXQ291" s="592"/>
      <c r="KXR291" s="592"/>
      <c r="KXS291" s="592"/>
      <c r="KXT291" s="592"/>
      <c r="KXU291" s="592"/>
      <c r="KXV291" s="592"/>
      <c r="KXW291" s="592"/>
      <c r="KXX291" s="592"/>
      <c r="KXY291" s="592"/>
      <c r="KXZ291" s="592"/>
      <c r="KYA291" s="592"/>
      <c r="KYB291" s="592"/>
      <c r="KYC291" s="592"/>
      <c r="KYD291" s="592"/>
      <c r="KYE291" s="592"/>
      <c r="KYF291" s="592"/>
      <c r="KYG291" s="592"/>
      <c r="KYH291" s="592"/>
      <c r="KYI291" s="592"/>
      <c r="KYJ291" s="592"/>
      <c r="KYK291" s="592"/>
      <c r="KYL291" s="592"/>
      <c r="KYM291" s="592"/>
      <c r="KYN291" s="592"/>
      <c r="KYO291" s="592"/>
      <c r="KYP291" s="592"/>
      <c r="KYQ291" s="592"/>
      <c r="KYR291" s="592"/>
      <c r="KYS291" s="592"/>
      <c r="KYT291" s="592"/>
      <c r="KYU291" s="592"/>
      <c r="KYV291" s="592"/>
      <c r="KYW291" s="592"/>
      <c r="KYX291" s="592"/>
      <c r="KYY291" s="592"/>
      <c r="KYZ291" s="592"/>
      <c r="KZA291" s="592"/>
      <c r="KZB291" s="592"/>
      <c r="KZC291" s="592"/>
      <c r="KZD291" s="592"/>
      <c r="KZE291" s="592"/>
      <c r="KZF291" s="592"/>
      <c r="KZG291" s="592"/>
      <c r="KZH291" s="592"/>
      <c r="KZI291" s="592"/>
      <c r="KZJ291" s="592"/>
      <c r="KZK291" s="592"/>
      <c r="KZL291" s="592"/>
      <c r="KZM291" s="592"/>
      <c r="KZN291" s="592"/>
      <c r="KZO291" s="592"/>
      <c r="KZP291" s="592"/>
      <c r="KZQ291" s="592"/>
      <c r="KZR291" s="592"/>
      <c r="KZS291" s="592"/>
      <c r="KZT291" s="592"/>
      <c r="KZU291" s="592"/>
      <c r="KZV291" s="592"/>
      <c r="KZW291" s="592"/>
      <c r="KZX291" s="592"/>
      <c r="KZY291" s="592"/>
      <c r="KZZ291" s="592"/>
      <c r="LAA291" s="592"/>
      <c r="LAB291" s="592"/>
      <c r="LAC291" s="592"/>
      <c r="LAD291" s="592"/>
      <c r="LAE291" s="592"/>
      <c r="LAF291" s="592"/>
      <c r="LAG291" s="592"/>
      <c r="LAH291" s="592"/>
      <c r="LAI291" s="592"/>
      <c r="LAJ291" s="592"/>
      <c r="LAK291" s="592"/>
      <c r="LAL291" s="592"/>
      <c r="LAM291" s="592"/>
      <c r="LAN291" s="592"/>
      <c r="LAO291" s="592"/>
      <c r="LAP291" s="592"/>
      <c r="LAQ291" s="592"/>
      <c r="LAR291" s="592"/>
      <c r="LAS291" s="592"/>
      <c r="LAT291" s="592"/>
      <c r="LAU291" s="592"/>
      <c r="LAV291" s="592"/>
      <c r="LAW291" s="592"/>
      <c r="LAX291" s="592"/>
      <c r="LAY291" s="592"/>
      <c r="LAZ291" s="592"/>
      <c r="LBA291" s="592"/>
      <c r="LBB291" s="592"/>
      <c r="LBC291" s="592"/>
      <c r="LBD291" s="592"/>
      <c r="LBE291" s="592"/>
      <c r="LBF291" s="592"/>
      <c r="LBG291" s="592"/>
      <c r="LBH291" s="592"/>
      <c r="LBI291" s="592"/>
      <c r="LBJ291" s="592"/>
      <c r="LBK291" s="592"/>
      <c r="LBL291" s="592"/>
      <c r="LBM291" s="592"/>
      <c r="LBN291" s="592"/>
      <c r="LBO291" s="592"/>
      <c r="LBP291" s="592"/>
      <c r="LBQ291" s="592"/>
      <c r="LBR291" s="592"/>
      <c r="LBS291" s="592"/>
      <c r="LBT291" s="592"/>
      <c r="LBU291" s="592"/>
      <c r="LBV291" s="592"/>
      <c r="LBW291" s="592"/>
      <c r="LBX291" s="592"/>
      <c r="LBY291" s="592"/>
      <c r="LBZ291" s="592"/>
      <c r="LCA291" s="592"/>
      <c r="LCB291" s="592"/>
      <c r="LCC291" s="592"/>
      <c r="LCD291" s="592"/>
      <c r="LCE291" s="592"/>
      <c r="LCF291" s="592"/>
      <c r="LCG291" s="592"/>
      <c r="LCH291" s="592"/>
      <c r="LCI291" s="592"/>
      <c r="LCJ291" s="592"/>
      <c r="LCK291" s="592"/>
      <c r="LCL291" s="592"/>
      <c r="LCM291" s="592"/>
      <c r="LCN291" s="592"/>
      <c r="LCO291" s="592"/>
      <c r="LCP291" s="592"/>
      <c r="LCQ291" s="592"/>
      <c r="LCR291" s="592"/>
      <c r="LCS291" s="592"/>
      <c r="LCT291" s="592"/>
      <c r="LCU291" s="592"/>
      <c r="LCV291" s="592"/>
      <c r="LCW291" s="592"/>
      <c r="LCX291" s="592"/>
      <c r="LCY291" s="592"/>
      <c r="LCZ291" s="592"/>
      <c r="LDA291" s="592"/>
      <c r="LDB291" s="592"/>
      <c r="LDC291" s="592"/>
      <c r="LDD291" s="592"/>
      <c r="LDE291" s="592"/>
      <c r="LDF291" s="592"/>
      <c r="LDG291" s="592"/>
      <c r="LDH291" s="592"/>
      <c r="LDI291" s="592"/>
      <c r="LDJ291" s="592"/>
      <c r="LDK291" s="592"/>
      <c r="LDL291" s="592"/>
      <c r="LDM291" s="592"/>
      <c r="LDN291" s="592"/>
      <c r="LDO291" s="592"/>
      <c r="LDP291" s="592"/>
      <c r="LDQ291" s="592"/>
      <c r="LDR291" s="592"/>
      <c r="LDS291" s="592"/>
      <c r="LDT291" s="592"/>
      <c r="LDU291" s="592"/>
      <c r="LDV291" s="592"/>
      <c r="LDW291" s="592"/>
      <c r="LDX291" s="592"/>
      <c r="LDY291" s="592"/>
      <c r="LDZ291" s="592"/>
      <c r="LEA291" s="592"/>
      <c r="LEB291" s="592"/>
      <c r="LEC291" s="592"/>
      <c r="LED291" s="592"/>
      <c r="LEE291" s="592"/>
      <c r="LEF291" s="592"/>
      <c r="LEG291" s="592"/>
      <c r="LEH291" s="592"/>
      <c r="LEI291" s="592"/>
      <c r="LEJ291" s="592"/>
      <c r="LEK291" s="592"/>
      <c r="LEL291" s="592"/>
      <c r="LEM291" s="592"/>
      <c r="LEN291" s="592"/>
      <c r="LEO291" s="592"/>
      <c r="LEP291" s="592"/>
      <c r="LEQ291" s="592"/>
      <c r="LER291" s="592"/>
      <c r="LES291" s="592"/>
      <c r="LET291" s="592"/>
      <c r="LEU291" s="592"/>
      <c r="LEV291" s="592"/>
      <c r="LEW291" s="592"/>
      <c r="LEX291" s="592"/>
      <c r="LEY291" s="592"/>
      <c r="LEZ291" s="592"/>
      <c r="LFA291" s="592"/>
      <c r="LFB291" s="592"/>
      <c r="LFC291" s="592"/>
      <c r="LFD291" s="592"/>
      <c r="LFE291" s="592"/>
      <c r="LFF291" s="592"/>
      <c r="LFG291" s="592"/>
      <c r="LFH291" s="592"/>
      <c r="LFI291" s="592"/>
      <c r="LFJ291" s="592"/>
      <c r="LFK291" s="592"/>
      <c r="LFL291" s="592"/>
      <c r="LFM291" s="592"/>
      <c r="LFN291" s="592"/>
      <c r="LFO291" s="592"/>
      <c r="LFP291" s="592"/>
      <c r="LFQ291" s="592"/>
      <c r="LFR291" s="592"/>
      <c r="LFS291" s="592"/>
      <c r="LFT291" s="592"/>
      <c r="LFU291" s="592"/>
      <c r="LFV291" s="592"/>
      <c r="LFW291" s="592"/>
      <c r="LFX291" s="592"/>
      <c r="LFY291" s="592"/>
      <c r="LFZ291" s="592"/>
      <c r="LGA291" s="592"/>
      <c r="LGB291" s="592"/>
      <c r="LGC291" s="592"/>
      <c r="LGD291" s="592"/>
      <c r="LGE291" s="592"/>
      <c r="LGF291" s="592"/>
      <c r="LGG291" s="592"/>
      <c r="LGH291" s="592"/>
      <c r="LGI291" s="592"/>
      <c r="LGJ291" s="592"/>
      <c r="LGK291" s="592"/>
      <c r="LGL291" s="592"/>
      <c r="LGM291" s="592"/>
      <c r="LGN291" s="592"/>
      <c r="LGO291" s="592"/>
      <c r="LGP291" s="592"/>
      <c r="LGQ291" s="592"/>
      <c r="LGR291" s="592"/>
      <c r="LGS291" s="592"/>
      <c r="LGT291" s="592"/>
      <c r="LGU291" s="592"/>
      <c r="LGV291" s="592"/>
      <c r="LGW291" s="592"/>
      <c r="LGX291" s="592"/>
      <c r="LGY291" s="592"/>
      <c r="LGZ291" s="592"/>
      <c r="LHA291" s="592"/>
      <c r="LHB291" s="592"/>
      <c r="LHC291" s="592"/>
      <c r="LHD291" s="592"/>
      <c r="LHE291" s="592"/>
      <c r="LHF291" s="592"/>
      <c r="LHG291" s="592"/>
      <c r="LHH291" s="592"/>
      <c r="LHI291" s="592"/>
      <c r="LHJ291" s="592"/>
      <c r="LHK291" s="592"/>
      <c r="LHL291" s="592"/>
      <c r="LHM291" s="592"/>
      <c r="LHN291" s="592"/>
      <c r="LHO291" s="592"/>
      <c r="LHP291" s="592"/>
      <c r="LHQ291" s="592"/>
      <c r="LHR291" s="592"/>
      <c r="LHS291" s="592"/>
      <c r="LHT291" s="592"/>
      <c r="LHU291" s="592"/>
      <c r="LHV291" s="592"/>
      <c r="LHW291" s="592"/>
      <c r="LHX291" s="592"/>
      <c r="LHY291" s="592"/>
      <c r="LHZ291" s="592"/>
      <c r="LIA291" s="592"/>
      <c r="LIB291" s="592"/>
      <c r="LIC291" s="592"/>
      <c r="LID291" s="592"/>
      <c r="LIE291" s="592"/>
      <c r="LIF291" s="592"/>
      <c r="LIG291" s="592"/>
      <c r="LIH291" s="592"/>
      <c r="LII291" s="592"/>
      <c r="LIJ291" s="592"/>
      <c r="LIK291" s="592"/>
      <c r="LIL291" s="592"/>
      <c r="LIM291" s="592"/>
      <c r="LIN291" s="592"/>
      <c r="LIO291" s="592"/>
      <c r="LIP291" s="592"/>
      <c r="LIQ291" s="592"/>
      <c r="LIR291" s="592"/>
      <c r="LIS291" s="592"/>
      <c r="LIT291" s="592"/>
      <c r="LIU291" s="592"/>
      <c r="LIV291" s="592"/>
      <c r="LIW291" s="592"/>
      <c r="LIX291" s="592"/>
      <c r="LIY291" s="592"/>
      <c r="LIZ291" s="592"/>
      <c r="LJA291" s="592"/>
      <c r="LJB291" s="592"/>
      <c r="LJC291" s="592"/>
      <c r="LJD291" s="592"/>
      <c r="LJE291" s="592"/>
      <c r="LJF291" s="592"/>
      <c r="LJG291" s="592"/>
      <c r="LJH291" s="592"/>
      <c r="LJI291" s="592"/>
      <c r="LJJ291" s="592"/>
      <c r="LJK291" s="592"/>
      <c r="LJL291" s="592"/>
      <c r="LJM291" s="592"/>
      <c r="LJN291" s="592"/>
      <c r="LJO291" s="592"/>
      <c r="LJP291" s="592"/>
      <c r="LJQ291" s="592"/>
      <c r="LJR291" s="592"/>
      <c r="LJS291" s="592"/>
      <c r="LJT291" s="592"/>
      <c r="LJU291" s="592"/>
      <c r="LJV291" s="592"/>
      <c r="LJW291" s="592"/>
      <c r="LJX291" s="592"/>
      <c r="LJY291" s="592"/>
      <c r="LJZ291" s="592"/>
      <c r="LKA291" s="592"/>
      <c r="LKB291" s="592"/>
      <c r="LKC291" s="592"/>
      <c r="LKD291" s="592"/>
      <c r="LKE291" s="592"/>
      <c r="LKF291" s="592"/>
      <c r="LKG291" s="592"/>
      <c r="LKH291" s="592"/>
      <c r="LKI291" s="592"/>
      <c r="LKJ291" s="592"/>
      <c r="LKK291" s="592"/>
      <c r="LKL291" s="592"/>
      <c r="LKM291" s="592"/>
      <c r="LKN291" s="592"/>
      <c r="LKO291" s="592"/>
      <c r="LKP291" s="592"/>
      <c r="LKQ291" s="592"/>
      <c r="LKR291" s="592"/>
      <c r="LKS291" s="592"/>
      <c r="LKT291" s="592"/>
      <c r="LKU291" s="592"/>
      <c r="LKV291" s="592"/>
      <c r="LKW291" s="592"/>
      <c r="LKX291" s="592"/>
      <c r="LKY291" s="592"/>
      <c r="LKZ291" s="592"/>
      <c r="LLA291" s="592"/>
      <c r="LLB291" s="592"/>
      <c r="LLC291" s="592"/>
      <c r="LLD291" s="592"/>
      <c r="LLE291" s="592"/>
      <c r="LLF291" s="592"/>
      <c r="LLG291" s="592"/>
      <c r="LLH291" s="592"/>
      <c r="LLI291" s="592"/>
      <c r="LLJ291" s="592"/>
      <c r="LLK291" s="592"/>
      <c r="LLL291" s="592"/>
      <c r="LLM291" s="592"/>
      <c r="LLN291" s="592"/>
      <c r="LLO291" s="592"/>
      <c r="LLP291" s="592"/>
      <c r="LLQ291" s="592"/>
      <c r="LLR291" s="592"/>
      <c r="LLS291" s="592"/>
      <c r="LLT291" s="592"/>
      <c r="LLU291" s="592"/>
      <c r="LLV291" s="592"/>
      <c r="LLW291" s="592"/>
      <c r="LLX291" s="592"/>
      <c r="LLY291" s="592"/>
      <c r="LLZ291" s="592"/>
      <c r="LMA291" s="592"/>
      <c r="LMB291" s="592"/>
      <c r="LMC291" s="592"/>
      <c r="LMD291" s="592"/>
      <c r="LME291" s="592"/>
      <c r="LMF291" s="592"/>
      <c r="LMG291" s="592"/>
      <c r="LMH291" s="592"/>
      <c r="LMI291" s="592"/>
      <c r="LMJ291" s="592"/>
      <c r="LMK291" s="592"/>
      <c r="LML291" s="592"/>
      <c r="LMM291" s="592"/>
      <c r="LMN291" s="592"/>
      <c r="LMO291" s="592"/>
      <c r="LMP291" s="592"/>
      <c r="LMQ291" s="592"/>
      <c r="LMR291" s="592"/>
      <c r="LMS291" s="592"/>
      <c r="LMT291" s="592"/>
      <c r="LMU291" s="592"/>
      <c r="LMV291" s="592"/>
      <c r="LMW291" s="592"/>
      <c r="LMX291" s="592"/>
      <c r="LMY291" s="592"/>
      <c r="LMZ291" s="592"/>
      <c r="LNA291" s="592"/>
      <c r="LNB291" s="592"/>
      <c r="LNC291" s="592"/>
      <c r="LND291" s="592"/>
      <c r="LNE291" s="592"/>
      <c r="LNF291" s="592"/>
      <c r="LNG291" s="592"/>
      <c r="LNH291" s="592"/>
      <c r="LNI291" s="592"/>
      <c r="LNJ291" s="592"/>
      <c r="LNK291" s="592"/>
      <c r="LNL291" s="592"/>
      <c r="LNM291" s="592"/>
      <c r="LNN291" s="592"/>
      <c r="LNO291" s="592"/>
      <c r="LNP291" s="592"/>
      <c r="LNQ291" s="592"/>
      <c r="LNR291" s="592"/>
      <c r="LNS291" s="592"/>
      <c r="LNT291" s="592"/>
      <c r="LNU291" s="592"/>
      <c r="LNV291" s="592"/>
      <c r="LNW291" s="592"/>
      <c r="LNX291" s="592"/>
      <c r="LNY291" s="592"/>
      <c r="LNZ291" s="592"/>
      <c r="LOA291" s="592"/>
      <c r="LOB291" s="592"/>
      <c r="LOC291" s="592"/>
      <c r="LOD291" s="592"/>
      <c r="LOE291" s="592"/>
      <c r="LOF291" s="592"/>
      <c r="LOG291" s="592"/>
      <c r="LOH291" s="592"/>
      <c r="LOI291" s="592"/>
      <c r="LOJ291" s="592"/>
      <c r="LOK291" s="592"/>
      <c r="LOL291" s="592"/>
      <c r="LOM291" s="592"/>
      <c r="LON291" s="592"/>
      <c r="LOO291" s="592"/>
      <c r="LOP291" s="592"/>
      <c r="LOQ291" s="592"/>
      <c r="LOR291" s="592"/>
      <c r="LOS291" s="592"/>
      <c r="LOT291" s="592"/>
      <c r="LOU291" s="592"/>
      <c r="LOV291" s="592"/>
      <c r="LOW291" s="592"/>
      <c r="LOX291" s="592"/>
      <c r="LOY291" s="592"/>
      <c r="LOZ291" s="592"/>
      <c r="LPA291" s="592"/>
      <c r="LPB291" s="592"/>
      <c r="LPC291" s="592"/>
      <c r="LPD291" s="592"/>
      <c r="LPE291" s="592"/>
      <c r="LPF291" s="592"/>
      <c r="LPG291" s="592"/>
      <c r="LPH291" s="592"/>
      <c r="LPI291" s="592"/>
      <c r="LPJ291" s="592"/>
      <c r="LPK291" s="592"/>
      <c r="LPL291" s="592"/>
      <c r="LPM291" s="592"/>
      <c r="LPN291" s="592"/>
      <c r="LPO291" s="592"/>
      <c r="LPP291" s="592"/>
      <c r="LPQ291" s="592"/>
      <c r="LPR291" s="592"/>
      <c r="LPS291" s="592"/>
      <c r="LPT291" s="592"/>
      <c r="LPU291" s="592"/>
      <c r="LPV291" s="592"/>
      <c r="LPW291" s="592"/>
      <c r="LPX291" s="592"/>
      <c r="LPY291" s="592"/>
      <c r="LPZ291" s="592"/>
      <c r="LQA291" s="592"/>
      <c r="LQB291" s="592"/>
      <c r="LQC291" s="592"/>
      <c r="LQD291" s="592"/>
      <c r="LQE291" s="592"/>
      <c r="LQF291" s="592"/>
      <c r="LQG291" s="592"/>
      <c r="LQH291" s="592"/>
      <c r="LQI291" s="592"/>
      <c r="LQJ291" s="592"/>
      <c r="LQK291" s="592"/>
      <c r="LQL291" s="592"/>
      <c r="LQM291" s="592"/>
      <c r="LQN291" s="592"/>
      <c r="LQO291" s="592"/>
      <c r="LQP291" s="592"/>
      <c r="LQQ291" s="592"/>
      <c r="LQR291" s="592"/>
      <c r="LQS291" s="592"/>
      <c r="LQT291" s="592"/>
      <c r="LQU291" s="592"/>
      <c r="LQV291" s="592"/>
      <c r="LQW291" s="592"/>
      <c r="LQX291" s="592"/>
      <c r="LQY291" s="592"/>
      <c r="LQZ291" s="592"/>
      <c r="LRA291" s="592"/>
      <c r="LRB291" s="592"/>
      <c r="LRC291" s="592"/>
      <c r="LRD291" s="592"/>
      <c r="LRE291" s="592"/>
      <c r="LRF291" s="592"/>
      <c r="LRG291" s="592"/>
      <c r="LRH291" s="592"/>
      <c r="LRI291" s="592"/>
      <c r="LRJ291" s="592"/>
      <c r="LRK291" s="592"/>
      <c r="LRL291" s="592"/>
      <c r="LRM291" s="592"/>
      <c r="LRN291" s="592"/>
      <c r="LRO291" s="592"/>
      <c r="LRP291" s="592"/>
      <c r="LRQ291" s="592"/>
      <c r="LRR291" s="592"/>
      <c r="LRS291" s="592"/>
      <c r="LRT291" s="592"/>
      <c r="LRU291" s="592"/>
      <c r="LRV291" s="592"/>
      <c r="LRW291" s="592"/>
      <c r="LRX291" s="592"/>
      <c r="LRY291" s="592"/>
      <c r="LRZ291" s="592"/>
      <c r="LSA291" s="592"/>
      <c r="LSB291" s="592"/>
      <c r="LSC291" s="592"/>
      <c r="LSD291" s="592"/>
      <c r="LSE291" s="592"/>
      <c r="LSF291" s="592"/>
      <c r="LSG291" s="592"/>
      <c r="LSH291" s="592"/>
      <c r="LSI291" s="592"/>
      <c r="LSJ291" s="592"/>
      <c r="LSK291" s="592"/>
      <c r="LSL291" s="592"/>
      <c r="LSM291" s="592"/>
      <c r="LSN291" s="592"/>
      <c r="LSO291" s="592"/>
      <c r="LSP291" s="592"/>
      <c r="LSQ291" s="592"/>
      <c r="LSR291" s="592"/>
      <c r="LSS291" s="592"/>
      <c r="LST291" s="592"/>
      <c r="LSU291" s="592"/>
      <c r="LSV291" s="592"/>
      <c r="LSW291" s="592"/>
      <c r="LSX291" s="592"/>
      <c r="LSY291" s="592"/>
      <c r="LSZ291" s="592"/>
      <c r="LTA291" s="592"/>
      <c r="LTB291" s="592"/>
      <c r="LTC291" s="592"/>
      <c r="LTD291" s="592"/>
      <c r="LTE291" s="592"/>
      <c r="LTF291" s="592"/>
      <c r="LTG291" s="592"/>
      <c r="LTH291" s="592"/>
      <c r="LTI291" s="592"/>
      <c r="LTJ291" s="592"/>
      <c r="LTK291" s="592"/>
      <c r="LTL291" s="592"/>
      <c r="LTM291" s="592"/>
      <c r="LTN291" s="592"/>
      <c r="LTO291" s="592"/>
      <c r="LTP291" s="592"/>
      <c r="LTQ291" s="592"/>
      <c r="LTR291" s="592"/>
      <c r="LTS291" s="592"/>
      <c r="LTT291" s="592"/>
      <c r="LTU291" s="592"/>
      <c r="LTV291" s="592"/>
      <c r="LTW291" s="592"/>
      <c r="LTX291" s="592"/>
      <c r="LTY291" s="592"/>
      <c r="LTZ291" s="592"/>
      <c r="LUA291" s="592"/>
      <c r="LUB291" s="592"/>
      <c r="LUC291" s="592"/>
      <c r="LUD291" s="592"/>
      <c r="LUE291" s="592"/>
      <c r="LUF291" s="592"/>
      <c r="LUG291" s="592"/>
      <c r="LUH291" s="592"/>
      <c r="LUI291" s="592"/>
      <c r="LUJ291" s="592"/>
      <c r="LUK291" s="592"/>
      <c r="LUL291" s="592"/>
      <c r="LUM291" s="592"/>
      <c r="LUN291" s="592"/>
      <c r="LUO291" s="592"/>
      <c r="LUP291" s="592"/>
      <c r="LUQ291" s="592"/>
      <c r="LUR291" s="592"/>
      <c r="LUS291" s="592"/>
      <c r="LUT291" s="592"/>
      <c r="LUU291" s="592"/>
      <c r="LUV291" s="592"/>
      <c r="LUW291" s="592"/>
      <c r="LUX291" s="592"/>
      <c r="LUY291" s="592"/>
      <c r="LUZ291" s="592"/>
      <c r="LVA291" s="592"/>
      <c r="LVB291" s="592"/>
      <c r="LVC291" s="592"/>
      <c r="LVD291" s="592"/>
      <c r="LVE291" s="592"/>
      <c r="LVF291" s="592"/>
      <c r="LVG291" s="592"/>
      <c r="LVH291" s="592"/>
      <c r="LVI291" s="592"/>
      <c r="LVJ291" s="592"/>
      <c r="LVK291" s="592"/>
      <c r="LVL291" s="592"/>
      <c r="LVM291" s="592"/>
      <c r="LVN291" s="592"/>
      <c r="LVO291" s="592"/>
      <c r="LVP291" s="592"/>
      <c r="LVQ291" s="592"/>
      <c r="LVR291" s="592"/>
      <c r="LVS291" s="592"/>
      <c r="LVT291" s="592"/>
      <c r="LVU291" s="592"/>
      <c r="LVV291" s="592"/>
      <c r="LVW291" s="592"/>
      <c r="LVX291" s="592"/>
      <c r="LVY291" s="592"/>
      <c r="LVZ291" s="592"/>
      <c r="LWA291" s="592"/>
      <c r="LWB291" s="592"/>
      <c r="LWC291" s="592"/>
      <c r="LWD291" s="592"/>
      <c r="LWE291" s="592"/>
      <c r="LWF291" s="592"/>
      <c r="LWG291" s="592"/>
      <c r="LWH291" s="592"/>
      <c r="LWI291" s="592"/>
      <c r="LWJ291" s="592"/>
      <c r="LWK291" s="592"/>
      <c r="LWL291" s="592"/>
      <c r="LWM291" s="592"/>
      <c r="LWN291" s="592"/>
      <c r="LWO291" s="592"/>
      <c r="LWP291" s="592"/>
      <c r="LWQ291" s="592"/>
      <c r="LWR291" s="592"/>
      <c r="LWS291" s="592"/>
      <c r="LWT291" s="592"/>
      <c r="LWU291" s="592"/>
      <c r="LWV291" s="592"/>
      <c r="LWW291" s="592"/>
      <c r="LWX291" s="592"/>
      <c r="LWY291" s="592"/>
      <c r="LWZ291" s="592"/>
      <c r="LXA291" s="592"/>
      <c r="LXB291" s="592"/>
      <c r="LXC291" s="592"/>
      <c r="LXD291" s="592"/>
      <c r="LXE291" s="592"/>
      <c r="LXF291" s="592"/>
      <c r="LXG291" s="592"/>
      <c r="LXH291" s="592"/>
      <c r="LXI291" s="592"/>
      <c r="LXJ291" s="592"/>
      <c r="LXK291" s="592"/>
      <c r="LXL291" s="592"/>
      <c r="LXM291" s="592"/>
      <c r="LXN291" s="592"/>
      <c r="LXO291" s="592"/>
      <c r="LXP291" s="592"/>
      <c r="LXQ291" s="592"/>
      <c r="LXR291" s="592"/>
      <c r="LXS291" s="592"/>
      <c r="LXT291" s="592"/>
      <c r="LXU291" s="592"/>
      <c r="LXV291" s="592"/>
      <c r="LXW291" s="592"/>
      <c r="LXX291" s="592"/>
      <c r="LXY291" s="592"/>
      <c r="LXZ291" s="592"/>
      <c r="LYA291" s="592"/>
      <c r="LYB291" s="592"/>
      <c r="LYC291" s="592"/>
      <c r="LYD291" s="592"/>
      <c r="LYE291" s="592"/>
      <c r="LYF291" s="592"/>
      <c r="LYG291" s="592"/>
      <c r="LYH291" s="592"/>
      <c r="LYI291" s="592"/>
      <c r="LYJ291" s="592"/>
      <c r="LYK291" s="592"/>
      <c r="LYL291" s="592"/>
      <c r="LYM291" s="592"/>
      <c r="LYN291" s="592"/>
      <c r="LYO291" s="592"/>
      <c r="LYP291" s="592"/>
      <c r="LYQ291" s="592"/>
      <c r="LYR291" s="592"/>
      <c r="LYS291" s="592"/>
      <c r="LYT291" s="592"/>
      <c r="LYU291" s="592"/>
      <c r="LYV291" s="592"/>
      <c r="LYW291" s="592"/>
      <c r="LYX291" s="592"/>
      <c r="LYY291" s="592"/>
      <c r="LYZ291" s="592"/>
      <c r="LZA291" s="592"/>
      <c r="LZB291" s="592"/>
      <c r="LZC291" s="592"/>
      <c r="LZD291" s="592"/>
      <c r="LZE291" s="592"/>
      <c r="LZF291" s="592"/>
      <c r="LZG291" s="592"/>
      <c r="LZH291" s="592"/>
      <c r="LZI291" s="592"/>
      <c r="LZJ291" s="592"/>
      <c r="LZK291" s="592"/>
      <c r="LZL291" s="592"/>
      <c r="LZM291" s="592"/>
      <c r="LZN291" s="592"/>
      <c r="LZO291" s="592"/>
      <c r="LZP291" s="592"/>
      <c r="LZQ291" s="592"/>
      <c r="LZR291" s="592"/>
      <c r="LZS291" s="592"/>
      <c r="LZT291" s="592"/>
      <c r="LZU291" s="592"/>
      <c r="LZV291" s="592"/>
      <c r="LZW291" s="592"/>
      <c r="LZX291" s="592"/>
      <c r="LZY291" s="592"/>
      <c r="LZZ291" s="592"/>
      <c r="MAA291" s="592"/>
      <c r="MAB291" s="592"/>
      <c r="MAC291" s="592"/>
      <c r="MAD291" s="592"/>
      <c r="MAE291" s="592"/>
      <c r="MAF291" s="592"/>
      <c r="MAG291" s="592"/>
      <c r="MAH291" s="592"/>
      <c r="MAI291" s="592"/>
      <c r="MAJ291" s="592"/>
      <c r="MAK291" s="592"/>
      <c r="MAL291" s="592"/>
      <c r="MAM291" s="592"/>
      <c r="MAN291" s="592"/>
      <c r="MAO291" s="592"/>
      <c r="MAP291" s="592"/>
      <c r="MAQ291" s="592"/>
      <c r="MAR291" s="592"/>
      <c r="MAS291" s="592"/>
      <c r="MAT291" s="592"/>
      <c r="MAU291" s="592"/>
      <c r="MAV291" s="592"/>
      <c r="MAW291" s="592"/>
      <c r="MAX291" s="592"/>
      <c r="MAY291" s="592"/>
      <c r="MAZ291" s="592"/>
      <c r="MBA291" s="592"/>
      <c r="MBB291" s="592"/>
      <c r="MBC291" s="592"/>
      <c r="MBD291" s="592"/>
      <c r="MBE291" s="592"/>
      <c r="MBF291" s="592"/>
      <c r="MBG291" s="592"/>
      <c r="MBH291" s="592"/>
      <c r="MBI291" s="592"/>
      <c r="MBJ291" s="592"/>
      <c r="MBK291" s="592"/>
      <c r="MBL291" s="592"/>
      <c r="MBM291" s="592"/>
      <c r="MBN291" s="592"/>
      <c r="MBO291" s="592"/>
      <c r="MBP291" s="592"/>
      <c r="MBQ291" s="592"/>
      <c r="MBR291" s="592"/>
      <c r="MBS291" s="592"/>
      <c r="MBT291" s="592"/>
      <c r="MBU291" s="592"/>
      <c r="MBV291" s="592"/>
      <c r="MBW291" s="592"/>
      <c r="MBX291" s="592"/>
      <c r="MBY291" s="592"/>
      <c r="MBZ291" s="592"/>
      <c r="MCA291" s="592"/>
      <c r="MCB291" s="592"/>
      <c r="MCC291" s="592"/>
      <c r="MCD291" s="592"/>
      <c r="MCE291" s="592"/>
      <c r="MCF291" s="592"/>
      <c r="MCG291" s="592"/>
      <c r="MCH291" s="592"/>
      <c r="MCI291" s="592"/>
      <c r="MCJ291" s="592"/>
      <c r="MCK291" s="592"/>
      <c r="MCL291" s="592"/>
      <c r="MCM291" s="592"/>
      <c r="MCN291" s="592"/>
      <c r="MCO291" s="592"/>
      <c r="MCP291" s="592"/>
      <c r="MCQ291" s="592"/>
      <c r="MCR291" s="592"/>
      <c r="MCS291" s="592"/>
      <c r="MCT291" s="592"/>
      <c r="MCU291" s="592"/>
      <c r="MCV291" s="592"/>
      <c r="MCW291" s="592"/>
      <c r="MCX291" s="592"/>
      <c r="MCY291" s="592"/>
      <c r="MCZ291" s="592"/>
      <c r="MDA291" s="592"/>
      <c r="MDB291" s="592"/>
      <c r="MDC291" s="592"/>
      <c r="MDD291" s="592"/>
      <c r="MDE291" s="592"/>
      <c r="MDF291" s="592"/>
      <c r="MDG291" s="592"/>
      <c r="MDH291" s="592"/>
      <c r="MDI291" s="592"/>
      <c r="MDJ291" s="592"/>
      <c r="MDK291" s="592"/>
      <c r="MDL291" s="592"/>
      <c r="MDM291" s="592"/>
      <c r="MDN291" s="592"/>
      <c r="MDO291" s="592"/>
      <c r="MDP291" s="592"/>
      <c r="MDQ291" s="592"/>
      <c r="MDR291" s="592"/>
      <c r="MDS291" s="592"/>
      <c r="MDT291" s="592"/>
      <c r="MDU291" s="592"/>
      <c r="MDV291" s="592"/>
      <c r="MDW291" s="592"/>
      <c r="MDX291" s="592"/>
      <c r="MDY291" s="592"/>
      <c r="MDZ291" s="592"/>
      <c r="MEA291" s="592"/>
      <c r="MEB291" s="592"/>
      <c r="MEC291" s="592"/>
      <c r="MED291" s="592"/>
      <c r="MEE291" s="592"/>
      <c r="MEF291" s="592"/>
      <c r="MEG291" s="592"/>
      <c r="MEH291" s="592"/>
      <c r="MEI291" s="592"/>
      <c r="MEJ291" s="592"/>
      <c r="MEK291" s="592"/>
      <c r="MEL291" s="592"/>
      <c r="MEM291" s="592"/>
      <c r="MEN291" s="592"/>
      <c r="MEO291" s="592"/>
      <c r="MEP291" s="592"/>
      <c r="MEQ291" s="592"/>
      <c r="MER291" s="592"/>
      <c r="MES291" s="592"/>
      <c r="MET291" s="592"/>
      <c r="MEU291" s="592"/>
      <c r="MEV291" s="592"/>
      <c r="MEW291" s="592"/>
      <c r="MEX291" s="592"/>
      <c r="MEY291" s="592"/>
      <c r="MEZ291" s="592"/>
      <c r="MFA291" s="592"/>
      <c r="MFB291" s="592"/>
      <c r="MFC291" s="592"/>
      <c r="MFD291" s="592"/>
      <c r="MFE291" s="592"/>
      <c r="MFF291" s="592"/>
      <c r="MFG291" s="592"/>
      <c r="MFH291" s="592"/>
      <c r="MFI291" s="592"/>
      <c r="MFJ291" s="592"/>
      <c r="MFK291" s="592"/>
      <c r="MFL291" s="592"/>
      <c r="MFM291" s="592"/>
      <c r="MFN291" s="592"/>
      <c r="MFO291" s="592"/>
      <c r="MFP291" s="592"/>
      <c r="MFQ291" s="592"/>
      <c r="MFR291" s="592"/>
      <c r="MFS291" s="592"/>
      <c r="MFT291" s="592"/>
      <c r="MFU291" s="592"/>
      <c r="MFV291" s="592"/>
      <c r="MFW291" s="592"/>
      <c r="MFX291" s="592"/>
      <c r="MFY291" s="592"/>
      <c r="MFZ291" s="592"/>
      <c r="MGA291" s="592"/>
      <c r="MGB291" s="592"/>
      <c r="MGC291" s="592"/>
      <c r="MGD291" s="592"/>
      <c r="MGE291" s="592"/>
      <c r="MGF291" s="592"/>
      <c r="MGG291" s="592"/>
      <c r="MGH291" s="592"/>
      <c r="MGI291" s="592"/>
      <c r="MGJ291" s="592"/>
      <c r="MGK291" s="592"/>
      <c r="MGL291" s="592"/>
      <c r="MGM291" s="592"/>
      <c r="MGN291" s="592"/>
      <c r="MGO291" s="592"/>
      <c r="MGP291" s="592"/>
      <c r="MGQ291" s="592"/>
      <c r="MGR291" s="592"/>
      <c r="MGS291" s="592"/>
      <c r="MGT291" s="592"/>
      <c r="MGU291" s="592"/>
      <c r="MGV291" s="592"/>
      <c r="MGW291" s="592"/>
      <c r="MGX291" s="592"/>
      <c r="MGY291" s="592"/>
      <c r="MGZ291" s="592"/>
      <c r="MHA291" s="592"/>
      <c r="MHB291" s="592"/>
      <c r="MHC291" s="592"/>
      <c r="MHD291" s="592"/>
      <c r="MHE291" s="592"/>
      <c r="MHF291" s="592"/>
      <c r="MHG291" s="592"/>
      <c r="MHH291" s="592"/>
      <c r="MHI291" s="592"/>
      <c r="MHJ291" s="592"/>
      <c r="MHK291" s="592"/>
      <c r="MHL291" s="592"/>
      <c r="MHM291" s="592"/>
      <c r="MHN291" s="592"/>
      <c r="MHO291" s="592"/>
      <c r="MHP291" s="592"/>
      <c r="MHQ291" s="592"/>
      <c r="MHR291" s="592"/>
      <c r="MHS291" s="592"/>
      <c r="MHT291" s="592"/>
      <c r="MHU291" s="592"/>
      <c r="MHV291" s="592"/>
      <c r="MHW291" s="592"/>
      <c r="MHX291" s="592"/>
      <c r="MHY291" s="592"/>
      <c r="MHZ291" s="592"/>
      <c r="MIA291" s="592"/>
      <c r="MIB291" s="592"/>
      <c r="MIC291" s="592"/>
      <c r="MID291" s="592"/>
      <c r="MIE291" s="592"/>
      <c r="MIF291" s="592"/>
      <c r="MIG291" s="592"/>
      <c r="MIH291" s="592"/>
      <c r="MII291" s="592"/>
      <c r="MIJ291" s="592"/>
      <c r="MIK291" s="592"/>
      <c r="MIL291" s="592"/>
      <c r="MIM291" s="592"/>
      <c r="MIN291" s="592"/>
      <c r="MIO291" s="592"/>
      <c r="MIP291" s="592"/>
      <c r="MIQ291" s="592"/>
      <c r="MIR291" s="592"/>
      <c r="MIS291" s="592"/>
      <c r="MIT291" s="592"/>
      <c r="MIU291" s="592"/>
      <c r="MIV291" s="592"/>
      <c r="MIW291" s="592"/>
      <c r="MIX291" s="592"/>
      <c r="MIY291" s="592"/>
      <c r="MIZ291" s="592"/>
      <c r="MJA291" s="592"/>
      <c r="MJB291" s="592"/>
      <c r="MJC291" s="592"/>
      <c r="MJD291" s="592"/>
      <c r="MJE291" s="592"/>
      <c r="MJF291" s="592"/>
      <c r="MJG291" s="592"/>
      <c r="MJH291" s="592"/>
      <c r="MJI291" s="592"/>
      <c r="MJJ291" s="592"/>
      <c r="MJK291" s="592"/>
      <c r="MJL291" s="592"/>
      <c r="MJM291" s="592"/>
      <c r="MJN291" s="592"/>
      <c r="MJO291" s="592"/>
      <c r="MJP291" s="592"/>
      <c r="MJQ291" s="592"/>
      <c r="MJR291" s="592"/>
      <c r="MJS291" s="592"/>
      <c r="MJT291" s="592"/>
      <c r="MJU291" s="592"/>
      <c r="MJV291" s="592"/>
      <c r="MJW291" s="592"/>
      <c r="MJX291" s="592"/>
      <c r="MJY291" s="592"/>
      <c r="MJZ291" s="592"/>
      <c r="MKA291" s="592"/>
      <c r="MKB291" s="592"/>
      <c r="MKC291" s="592"/>
      <c r="MKD291" s="592"/>
      <c r="MKE291" s="592"/>
      <c r="MKF291" s="592"/>
      <c r="MKG291" s="592"/>
      <c r="MKH291" s="592"/>
      <c r="MKI291" s="592"/>
      <c r="MKJ291" s="592"/>
      <c r="MKK291" s="592"/>
      <c r="MKL291" s="592"/>
      <c r="MKM291" s="592"/>
      <c r="MKN291" s="592"/>
      <c r="MKO291" s="592"/>
      <c r="MKP291" s="592"/>
      <c r="MKQ291" s="592"/>
      <c r="MKR291" s="592"/>
      <c r="MKS291" s="592"/>
      <c r="MKT291" s="592"/>
      <c r="MKU291" s="592"/>
      <c r="MKV291" s="592"/>
      <c r="MKW291" s="592"/>
      <c r="MKX291" s="592"/>
      <c r="MKY291" s="592"/>
      <c r="MKZ291" s="592"/>
      <c r="MLA291" s="592"/>
      <c r="MLB291" s="592"/>
      <c r="MLC291" s="592"/>
      <c r="MLD291" s="592"/>
      <c r="MLE291" s="592"/>
      <c r="MLF291" s="592"/>
      <c r="MLG291" s="592"/>
      <c r="MLH291" s="592"/>
      <c r="MLI291" s="592"/>
      <c r="MLJ291" s="592"/>
      <c r="MLK291" s="592"/>
      <c r="MLL291" s="592"/>
      <c r="MLM291" s="592"/>
      <c r="MLN291" s="592"/>
      <c r="MLO291" s="592"/>
      <c r="MLP291" s="592"/>
      <c r="MLQ291" s="592"/>
      <c r="MLR291" s="592"/>
      <c r="MLS291" s="592"/>
      <c r="MLT291" s="592"/>
      <c r="MLU291" s="592"/>
      <c r="MLV291" s="592"/>
      <c r="MLW291" s="592"/>
      <c r="MLX291" s="592"/>
      <c r="MLY291" s="592"/>
      <c r="MLZ291" s="592"/>
      <c r="MMA291" s="592"/>
      <c r="MMB291" s="592"/>
      <c r="MMC291" s="592"/>
      <c r="MMD291" s="592"/>
      <c r="MME291" s="592"/>
      <c r="MMF291" s="592"/>
      <c r="MMG291" s="592"/>
      <c r="MMH291" s="592"/>
      <c r="MMI291" s="592"/>
      <c r="MMJ291" s="592"/>
      <c r="MMK291" s="592"/>
      <c r="MML291" s="592"/>
      <c r="MMM291" s="592"/>
      <c r="MMN291" s="592"/>
      <c r="MMO291" s="592"/>
      <c r="MMP291" s="592"/>
      <c r="MMQ291" s="592"/>
      <c r="MMR291" s="592"/>
      <c r="MMS291" s="592"/>
      <c r="MMT291" s="592"/>
      <c r="MMU291" s="592"/>
      <c r="MMV291" s="592"/>
      <c r="MMW291" s="592"/>
      <c r="MMX291" s="592"/>
      <c r="MMY291" s="592"/>
      <c r="MMZ291" s="592"/>
      <c r="MNA291" s="592"/>
      <c r="MNB291" s="592"/>
      <c r="MNC291" s="592"/>
      <c r="MND291" s="592"/>
      <c r="MNE291" s="592"/>
      <c r="MNF291" s="592"/>
      <c r="MNG291" s="592"/>
      <c r="MNH291" s="592"/>
      <c r="MNI291" s="592"/>
      <c r="MNJ291" s="592"/>
      <c r="MNK291" s="592"/>
      <c r="MNL291" s="592"/>
      <c r="MNM291" s="592"/>
      <c r="MNN291" s="592"/>
      <c r="MNO291" s="592"/>
      <c r="MNP291" s="592"/>
      <c r="MNQ291" s="592"/>
      <c r="MNR291" s="592"/>
      <c r="MNS291" s="592"/>
      <c r="MNT291" s="592"/>
      <c r="MNU291" s="592"/>
      <c r="MNV291" s="592"/>
      <c r="MNW291" s="592"/>
      <c r="MNX291" s="592"/>
      <c r="MNY291" s="592"/>
      <c r="MNZ291" s="592"/>
      <c r="MOA291" s="592"/>
      <c r="MOB291" s="592"/>
      <c r="MOC291" s="592"/>
      <c r="MOD291" s="592"/>
      <c r="MOE291" s="592"/>
      <c r="MOF291" s="592"/>
      <c r="MOG291" s="592"/>
      <c r="MOH291" s="592"/>
      <c r="MOI291" s="592"/>
      <c r="MOJ291" s="592"/>
      <c r="MOK291" s="592"/>
      <c r="MOL291" s="592"/>
      <c r="MOM291" s="592"/>
      <c r="MON291" s="592"/>
      <c r="MOO291" s="592"/>
      <c r="MOP291" s="592"/>
      <c r="MOQ291" s="592"/>
      <c r="MOR291" s="592"/>
      <c r="MOS291" s="592"/>
      <c r="MOT291" s="592"/>
      <c r="MOU291" s="592"/>
      <c r="MOV291" s="592"/>
      <c r="MOW291" s="592"/>
      <c r="MOX291" s="592"/>
      <c r="MOY291" s="592"/>
      <c r="MOZ291" s="592"/>
      <c r="MPA291" s="592"/>
      <c r="MPB291" s="592"/>
      <c r="MPC291" s="592"/>
      <c r="MPD291" s="592"/>
      <c r="MPE291" s="592"/>
      <c r="MPF291" s="592"/>
      <c r="MPG291" s="592"/>
      <c r="MPH291" s="592"/>
      <c r="MPI291" s="592"/>
      <c r="MPJ291" s="592"/>
      <c r="MPK291" s="592"/>
      <c r="MPL291" s="592"/>
      <c r="MPM291" s="592"/>
      <c r="MPN291" s="592"/>
      <c r="MPO291" s="592"/>
      <c r="MPP291" s="592"/>
      <c r="MPQ291" s="592"/>
      <c r="MPR291" s="592"/>
      <c r="MPS291" s="592"/>
      <c r="MPT291" s="592"/>
      <c r="MPU291" s="592"/>
      <c r="MPV291" s="592"/>
      <c r="MPW291" s="592"/>
      <c r="MPX291" s="592"/>
      <c r="MPY291" s="592"/>
      <c r="MPZ291" s="592"/>
      <c r="MQA291" s="592"/>
      <c r="MQB291" s="592"/>
      <c r="MQC291" s="592"/>
      <c r="MQD291" s="592"/>
      <c r="MQE291" s="592"/>
      <c r="MQF291" s="592"/>
      <c r="MQG291" s="592"/>
      <c r="MQH291" s="592"/>
      <c r="MQI291" s="592"/>
      <c r="MQJ291" s="592"/>
      <c r="MQK291" s="592"/>
      <c r="MQL291" s="592"/>
      <c r="MQM291" s="592"/>
      <c r="MQN291" s="592"/>
      <c r="MQO291" s="592"/>
      <c r="MQP291" s="592"/>
      <c r="MQQ291" s="592"/>
      <c r="MQR291" s="592"/>
      <c r="MQS291" s="592"/>
      <c r="MQT291" s="592"/>
      <c r="MQU291" s="592"/>
      <c r="MQV291" s="592"/>
      <c r="MQW291" s="592"/>
      <c r="MQX291" s="592"/>
      <c r="MQY291" s="592"/>
      <c r="MQZ291" s="592"/>
      <c r="MRA291" s="592"/>
      <c r="MRB291" s="592"/>
      <c r="MRC291" s="592"/>
      <c r="MRD291" s="592"/>
      <c r="MRE291" s="592"/>
      <c r="MRF291" s="592"/>
      <c r="MRG291" s="592"/>
      <c r="MRH291" s="592"/>
      <c r="MRI291" s="592"/>
      <c r="MRJ291" s="592"/>
      <c r="MRK291" s="592"/>
      <c r="MRL291" s="592"/>
      <c r="MRM291" s="592"/>
      <c r="MRN291" s="592"/>
      <c r="MRO291" s="592"/>
      <c r="MRP291" s="592"/>
      <c r="MRQ291" s="592"/>
      <c r="MRR291" s="592"/>
      <c r="MRS291" s="592"/>
      <c r="MRT291" s="592"/>
      <c r="MRU291" s="592"/>
      <c r="MRV291" s="592"/>
      <c r="MRW291" s="592"/>
      <c r="MRX291" s="592"/>
      <c r="MRY291" s="592"/>
      <c r="MRZ291" s="592"/>
      <c r="MSA291" s="592"/>
      <c r="MSB291" s="592"/>
      <c r="MSC291" s="592"/>
      <c r="MSD291" s="592"/>
      <c r="MSE291" s="592"/>
      <c r="MSF291" s="592"/>
      <c r="MSG291" s="592"/>
      <c r="MSH291" s="592"/>
      <c r="MSI291" s="592"/>
      <c r="MSJ291" s="592"/>
      <c r="MSK291" s="592"/>
      <c r="MSL291" s="592"/>
      <c r="MSM291" s="592"/>
      <c r="MSN291" s="592"/>
      <c r="MSO291" s="592"/>
      <c r="MSP291" s="592"/>
      <c r="MSQ291" s="592"/>
      <c r="MSR291" s="592"/>
      <c r="MSS291" s="592"/>
      <c r="MST291" s="592"/>
      <c r="MSU291" s="592"/>
      <c r="MSV291" s="592"/>
      <c r="MSW291" s="592"/>
      <c r="MSX291" s="592"/>
      <c r="MSY291" s="592"/>
      <c r="MSZ291" s="592"/>
      <c r="MTA291" s="592"/>
      <c r="MTB291" s="592"/>
      <c r="MTC291" s="592"/>
      <c r="MTD291" s="592"/>
      <c r="MTE291" s="592"/>
      <c r="MTF291" s="592"/>
      <c r="MTG291" s="592"/>
      <c r="MTH291" s="592"/>
      <c r="MTI291" s="592"/>
      <c r="MTJ291" s="592"/>
      <c r="MTK291" s="592"/>
      <c r="MTL291" s="592"/>
      <c r="MTM291" s="592"/>
      <c r="MTN291" s="592"/>
      <c r="MTO291" s="592"/>
      <c r="MTP291" s="592"/>
      <c r="MTQ291" s="592"/>
      <c r="MTR291" s="592"/>
      <c r="MTS291" s="592"/>
      <c r="MTT291" s="592"/>
      <c r="MTU291" s="592"/>
      <c r="MTV291" s="592"/>
      <c r="MTW291" s="592"/>
      <c r="MTX291" s="592"/>
      <c r="MTY291" s="592"/>
      <c r="MTZ291" s="592"/>
      <c r="MUA291" s="592"/>
      <c r="MUB291" s="592"/>
      <c r="MUC291" s="592"/>
      <c r="MUD291" s="592"/>
      <c r="MUE291" s="592"/>
      <c r="MUF291" s="592"/>
      <c r="MUG291" s="592"/>
      <c r="MUH291" s="592"/>
      <c r="MUI291" s="592"/>
      <c r="MUJ291" s="592"/>
      <c r="MUK291" s="592"/>
      <c r="MUL291" s="592"/>
      <c r="MUM291" s="592"/>
      <c r="MUN291" s="592"/>
      <c r="MUO291" s="592"/>
      <c r="MUP291" s="592"/>
      <c r="MUQ291" s="592"/>
      <c r="MUR291" s="592"/>
      <c r="MUS291" s="592"/>
      <c r="MUT291" s="592"/>
      <c r="MUU291" s="592"/>
      <c r="MUV291" s="592"/>
      <c r="MUW291" s="592"/>
      <c r="MUX291" s="592"/>
      <c r="MUY291" s="592"/>
      <c r="MUZ291" s="592"/>
      <c r="MVA291" s="592"/>
      <c r="MVB291" s="592"/>
      <c r="MVC291" s="592"/>
      <c r="MVD291" s="592"/>
      <c r="MVE291" s="592"/>
      <c r="MVF291" s="592"/>
      <c r="MVG291" s="592"/>
      <c r="MVH291" s="592"/>
      <c r="MVI291" s="592"/>
      <c r="MVJ291" s="592"/>
      <c r="MVK291" s="592"/>
      <c r="MVL291" s="592"/>
      <c r="MVM291" s="592"/>
      <c r="MVN291" s="592"/>
      <c r="MVO291" s="592"/>
      <c r="MVP291" s="592"/>
      <c r="MVQ291" s="592"/>
      <c r="MVR291" s="592"/>
      <c r="MVS291" s="592"/>
      <c r="MVT291" s="592"/>
      <c r="MVU291" s="592"/>
      <c r="MVV291" s="592"/>
      <c r="MVW291" s="592"/>
      <c r="MVX291" s="592"/>
      <c r="MVY291" s="592"/>
      <c r="MVZ291" s="592"/>
      <c r="MWA291" s="592"/>
      <c r="MWB291" s="592"/>
      <c r="MWC291" s="592"/>
      <c r="MWD291" s="592"/>
      <c r="MWE291" s="592"/>
      <c r="MWF291" s="592"/>
      <c r="MWG291" s="592"/>
      <c r="MWH291" s="592"/>
      <c r="MWI291" s="592"/>
      <c r="MWJ291" s="592"/>
      <c r="MWK291" s="592"/>
      <c r="MWL291" s="592"/>
      <c r="MWM291" s="592"/>
      <c r="MWN291" s="592"/>
      <c r="MWO291" s="592"/>
      <c r="MWP291" s="592"/>
      <c r="MWQ291" s="592"/>
      <c r="MWR291" s="592"/>
      <c r="MWS291" s="592"/>
      <c r="MWT291" s="592"/>
      <c r="MWU291" s="592"/>
      <c r="MWV291" s="592"/>
      <c r="MWW291" s="592"/>
      <c r="MWX291" s="592"/>
      <c r="MWY291" s="592"/>
      <c r="MWZ291" s="592"/>
      <c r="MXA291" s="592"/>
      <c r="MXB291" s="592"/>
      <c r="MXC291" s="592"/>
      <c r="MXD291" s="592"/>
      <c r="MXE291" s="592"/>
      <c r="MXF291" s="592"/>
      <c r="MXG291" s="592"/>
      <c r="MXH291" s="592"/>
      <c r="MXI291" s="592"/>
      <c r="MXJ291" s="592"/>
      <c r="MXK291" s="592"/>
      <c r="MXL291" s="592"/>
      <c r="MXM291" s="592"/>
      <c r="MXN291" s="592"/>
      <c r="MXO291" s="592"/>
      <c r="MXP291" s="592"/>
      <c r="MXQ291" s="592"/>
      <c r="MXR291" s="592"/>
      <c r="MXS291" s="592"/>
      <c r="MXT291" s="592"/>
      <c r="MXU291" s="592"/>
      <c r="MXV291" s="592"/>
      <c r="MXW291" s="592"/>
      <c r="MXX291" s="592"/>
      <c r="MXY291" s="592"/>
      <c r="MXZ291" s="592"/>
      <c r="MYA291" s="592"/>
      <c r="MYB291" s="592"/>
      <c r="MYC291" s="592"/>
      <c r="MYD291" s="592"/>
      <c r="MYE291" s="592"/>
      <c r="MYF291" s="592"/>
      <c r="MYG291" s="592"/>
      <c r="MYH291" s="592"/>
      <c r="MYI291" s="592"/>
      <c r="MYJ291" s="592"/>
      <c r="MYK291" s="592"/>
      <c r="MYL291" s="592"/>
      <c r="MYM291" s="592"/>
      <c r="MYN291" s="592"/>
      <c r="MYO291" s="592"/>
      <c r="MYP291" s="592"/>
      <c r="MYQ291" s="592"/>
      <c r="MYR291" s="592"/>
      <c r="MYS291" s="592"/>
      <c r="MYT291" s="592"/>
      <c r="MYU291" s="592"/>
      <c r="MYV291" s="592"/>
      <c r="MYW291" s="592"/>
      <c r="MYX291" s="592"/>
      <c r="MYY291" s="592"/>
      <c r="MYZ291" s="592"/>
      <c r="MZA291" s="592"/>
      <c r="MZB291" s="592"/>
      <c r="MZC291" s="592"/>
      <c r="MZD291" s="592"/>
      <c r="MZE291" s="592"/>
      <c r="MZF291" s="592"/>
      <c r="MZG291" s="592"/>
      <c r="MZH291" s="592"/>
      <c r="MZI291" s="592"/>
      <c r="MZJ291" s="592"/>
      <c r="MZK291" s="592"/>
      <c r="MZL291" s="592"/>
      <c r="MZM291" s="592"/>
      <c r="MZN291" s="592"/>
      <c r="MZO291" s="592"/>
      <c r="MZP291" s="592"/>
      <c r="MZQ291" s="592"/>
      <c r="MZR291" s="592"/>
      <c r="MZS291" s="592"/>
      <c r="MZT291" s="592"/>
      <c r="MZU291" s="592"/>
      <c r="MZV291" s="592"/>
      <c r="MZW291" s="592"/>
      <c r="MZX291" s="592"/>
      <c r="MZY291" s="592"/>
      <c r="MZZ291" s="592"/>
      <c r="NAA291" s="592"/>
      <c r="NAB291" s="592"/>
      <c r="NAC291" s="592"/>
      <c r="NAD291" s="592"/>
      <c r="NAE291" s="592"/>
      <c r="NAF291" s="592"/>
      <c r="NAG291" s="592"/>
      <c r="NAH291" s="592"/>
      <c r="NAI291" s="592"/>
      <c r="NAJ291" s="592"/>
      <c r="NAK291" s="592"/>
      <c r="NAL291" s="592"/>
      <c r="NAM291" s="592"/>
      <c r="NAN291" s="592"/>
      <c r="NAO291" s="592"/>
      <c r="NAP291" s="592"/>
      <c r="NAQ291" s="592"/>
      <c r="NAR291" s="592"/>
      <c r="NAS291" s="592"/>
      <c r="NAT291" s="592"/>
      <c r="NAU291" s="592"/>
      <c r="NAV291" s="592"/>
      <c r="NAW291" s="592"/>
      <c r="NAX291" s="592"/>
      <c r="NAY291" s="592"/>
      <c r="NAZ291" s="592"/>
      <c r="NBA291" s="592"/>
      <c r="NBB291" s="592"/>
      <c r="NBC291" s="592"/>
      <c r="NBD291" s="592"/>
      <c r="NBE291" s="592"/>
      <c r="NBF291" s="592"/>
      <c r="NBG291" s="592"/>
      <c r="NBH291" s="592"/>
      <c r="NBI291" s="592"/>
      <c r="NBJ291" s="592"/>
      <c r="NBK291" s="592"/>
      <c r="NBL291" s="592"/>
      <c r="NBM291" s="592"/>
      <c r="NBN291" s="592"/>
      <c r="NBO291" s="592"/>
      <c r="NBP291" s="592"/>
      <c r="NBQ291" s="592"/>
      <c r="NBR291" s="592"/>
      <c r="NBS291" s="592"/>
      <c r="NBT291" s="592"/>
      <c r="NBU291" s="592"/>
      <c r="NBV291" s="592"/>
      <c r="NBW291" s="592"/>
      <c r="NBX291" s="592"/>
      <c r="NBY291" s="592"/>
      <c r="NBZ291" s="592"/>
      <c r="NCA291" s="592"/>
      <c r="NCB291" s="592"/>
      <c r="NCC291" s="592"/>
      <c r="NCD291" s="592"/>
      <c r="NCE291" s="592"/>
      <c r="NCF291" s="592"/>
      <c r="NCG291" s="592"/>
      <c r="NCH291" s="592"/>
      <c r="NCI291" s="592"/>
      <c r="NCJ291" s="592"/>
      <c r="NCK291" s="592"/>
      <c r="NCL291" s="592"/>
      <c r="NCM291" s="592"/>
      <c r="NCN291" s="592"/>
      <c r="NCO291" s="592"/>
      <c r="NCP291" s="592"/>
      <c r="NCQ291" s="592"/>
      <c r="NCR291" s="592"/>
      <c r="NCS291" s="592"/>
      <c r="NCT291" s="592"/>
      <c r="NCU291" s="592"/>
      <c r="NCV291" s="592"/>
      <c r="NCW291" s="592"/>
      <c r="NCX291" s="592"/>
      <c r="NCY291" s="592"/>
      <c r="NCZ291" s="592"/>
      <c r="NDA291" s="592"/>
      <c r="NDB291" s="592"/>
      <c r="NDC291" s="592"/>
      <c r="NDD291" s="592"/>
      <c r="NDE291" s="592"/>
      <c r="NDF291" s="592"/>
      <c r="NDG291" s="592"/>
      <c r="NDH291" s="592"/>
      <c r="NDI291" s="592"/>
      <c r="NDJ291" s="592"/>
      <c r="NDK291" s="592"/>
      <c r="NDL291" s="592"/>
      <c r="NDM291" s="592"/>
      <c r="NDN291" s="592"/>
      <c r="NDO291" s="592"/>
      <c r="NDP291" s="592"/>
      <c r="NDQ291" s="592"/>
      <c r="NDR291" s="592"/>
      <c r="NDS291" s="592"/>
      <c r="NDT291" s="592"/>
      <c r="NDU291" s="592"/>
      <c r="NDV291" s="592"/>
      <c r="NDW291" s="592"/>
      <c r="NDX291" s="592"/>
      <c r="NDY291" s="592"/>
      <c r="NDZ291" s="592"/>
      <c r="NEA291" s="592"/>
      <c r="NEB291" s="592"/>
      <c r="NEC291" s="592"/>
      <c r="NED291" s="592"/>
      <c r="NEE291" s="592"/>
      <c r="NEF291" s="592"/>
      <c r="NEG291" s="592"/>
      <c r="NEH291" s="592"/>
      <c r="NEI291" s="592"/>
      <c r="NEJ291" s="592"/>
      <c r="NEK291" s="592"/>
      <c r="NEL291" s="592"/>
      <c r="NEM291" s="592"/>
      <c r="NEN291" s="592"/>
      <c r="NEO291" s="592"/>
      <c r="NEP291" s="592"/>
      <c r="NEQ291" s="592"/>
      <c r="NER291" s="592"/>
      <c r="NES291" s="592"/>
      <c r="NET291" s="592"/>
      <c r="NEU291" s="592"/>
      <c r="NEV291" s="592"/>
      <c r="NEW291" s="592"/>
      <c r="NEX291" s="592"/>
      <c r="NEY291" s="592"/>
      <c r="NEZ291" s="592"/>
      <c r="NFA291" s="592"/>
      <c r="NFB291" s="592"/>
      <c r="NFC291" s="592"/>
      <c r="NFD291" s="592"/>
      <c r="NFE291" s="592"/>
      <c r="NFF291" s="592"/>
      <c r="NFG291" s="592"/>
      <c r="NFH291" s="592"/>
      <c r="NFI291" s="592"/>
      <c r="NFJ291" s="592"/>
      <c r="NFK291" s="592"/>
      <c r="NFL291" s="592"/>
      <c r="NFM291" s="592"/>
      <c r="NFN291" s="592"/>
      <c r="NFO291" s="592"/>
      <c r="NFP291" s="592"/>
      <c r="NFQ291" s="592"/>
      <c r="NFR291" s="592"/>
      <c r="NFS291" s="592"/>
      <c r="NFT291" s="592"/>
      <c r="NFU291" s="592"/>
      <c r="NFV291" s="592"/>
      <c r="NFW291" s="592"/>
      <c r="NFX291" s="592"/>
      <c r="NFY291" s="592"/>
      <c r="NFZ291" s="592"/>
      <c r="NGA291" s="592"/>
      <c r="NGB291" s="592"/>
      <c r="NGC291" s="592"/>
      <c r="NGD291" s="592"/>
      <c r="NGE291" s="592"/>
      <c r="NGF291" s="592"/>
      <c r="NGG291" s="592"/>
      <c r="NGH291" s="592"/>
      <c r="NGI291" s="592"/>
      <c r="NGJ291" s="592"/>
      <c r="NGK291" s="592"/>
      <c r="NGL291" s="592"/>
      <c r="NGM291" s="592"/>
      <c r="NGN291" s="592"/>
      <c r="NGO291" s="592"/>
      <c r="NGP291" s="592"/>
      <c r="NGQ291" s="592"/>
      <c r="NGR291" s="592"/>
      <c r="NGS291" s="592"/>
      <c r="NGT291" s="592"/>
      <c r="NGU291" s="592"/>
      <c r="NGV291" s="592"/>
      <c r="NGW291" s="592"/>
      <c r="NGX291" s="592"/>
      <c r="NGY291" s="592"/>
      <c r="NGZ291" s="592"/>
      <c r="NHA291" s="592"/>
      <c r="NHB291" s="592"/>
      <c r="NHC291" s="592"/>
      <c r="NHD291" s="592"/>
      <c r="NHE291" s="592"/>
      <c r="NHF291" s="592"/>
      <c r="NHG291" s="592"/>
      <c r="NHH291" s="592"/>
      <c r="NHI291" s="592"/>
      <c r="NHJ291" s="592"/>
      <c r="NHK291" s="592"/>
      <c r="NHL291" s="592"/>
      <c r="NHM291" s="592"/>
      <c r="NHN291" s="592"/>
      <c r="NHO291" s="592"/>
      <c r="NHP291" s="592"/>
      <c r="NHQ291" s="592"/>
      <c r="NHR291" s="592"/>
      <c r="NHS291" s="592"/>
      <c r="NHT291" s="592"/>
      <c r="NHU291" s="592"/>
      <c r="NHV291" s="592"/>
      <c r="NHW291" s="592"/>
      <c r="NHX291" s="592"/>
      <c r="NHY291" s="592"/>
      <c r="NHZ291" s="592"/>
      <c r="NIA291" s="592"/>
      <c r="NIB291" s="592"/>
      <c r="NIC291" s="592"/>
      <c r="NID291" s="592"/>
      <c r="NIE291" s="592"/>
      <c r="NIF291" s="592"/>
      <c r="NIG291" s="592"/>
      <c r="NIH291" s="592"/>
      <c r="NII291" s="592"/>
      <c r="NIJ291" s="592"/>
      <c r="NIK291" s="592"/>
      <c r="NIL291" s="592"/>
      <c r="NIM291" s="592"/>
      <c r="NIN291" s="592"/>
      <c r="NIO291" s="592"/>
      <c r="NIP291" s="592"/>
      <c r="NIQ291" s="592"/>
      <c r="NIR291" s="592"/>
      <c r="NIS291" s="592"/>
      <c r="NIT291" s="592"/>
      <c r="NIU291" s="592"/>
      <c r="NIV291" s="592"/>
      <c r="NIW291" s="592"/>
      <c r="NIX291" s="592"/>
      <c r="NIY291" s="592"/>
      <c r="NIZ291" s="592"/>
      <c r="NJA291" s="592"/>
      <c r="NJB291" s="592"/>
      <c r="NJC291" s="592"/>
      <c r="NJD291" s="592"/>
      <c r="NJE291" s="592"/>
      <c r="NJF291" s="592"/>
      <c r="NJG291" s="592"/>
      <c r="NJH291" s="592"/>
      <c r="NJI291" s="592"/>
      <c r="NJJ291" s="592"/>
      <c r="NJK291" s="592"/>
      <c r="NJL291" s="592"/>
      <c r="NJM291" s="592"/>
      <c r="NJN291" s="592"/>
      <c r="NJO291" s="592"/>
      <c r="NJP291" s="592"/>
      <c r="NJQ291" s="592"/>
      <c r="NJR291" s="592"/>
      <c r="NJS291" s="592"/>
      <c r="NJT291" s="592"/>
      <c r="NJU291" s="592"/>
      <c r="NJV291" s="592"/>
      <c r="NJW291" s="592"/>
      <c r="NJX291" s="592"/>
      <c r="NJY291" s="592"/>
      <c r="NJZ291" s="592"/>
      <c r="NKA291" s="592"/>
      <c r="NKB291" s="592"/>
      <c r="NKC291" s="592"/>
      <c r="NKD291" s="592"/>
      <c r="NKE291" s="592"/>
      <c r="NKF291" s="592"/>
      <c r="NKG291" s="592"/>
      <c r="NKH291" s="592"/>
      <c r="NKI291" s="592"/>
      <c r="NKJ291" s="592"/>
      <c r="NKK291" s="592"/>
      <c r="NKL291" s="592"/>
      <c r="NKM291" s="592"/>
      <c r="NKN291" s="592"/>
      <c r="NKO291" s="592"/>
      <c r="NKP291" s="592"/>
      <c r="NKQ291" s="592"/>
      <c r="NKR291" s="592"/>
      <c r="NKS291" s="592"/>
      <c r="NKT291" s="592"/>
      <c r="NKU291" s="592"/>
      <c r="NKV291" s="592"/>
      <c r="NKW291" s="592"/>
      <c r="NKX291" s="592"/>
      <c r="NKY291" s="592"/>
      <c r="NKZ291" s="592"/>
      <c r="NLA291" s="592"/>
      <c r="NLB291" s="592"/>
      <c r="NLC291" s="592"/>
      <c r="NLD291" s="592"/>
      <c r="NLE291" s="592"/>
      <c r="NLF291" s="592"/>
      <c r="NLG291" s="592"/>
      <c r="NLH291" s="592"/>
      <c r="NLI291" s="592"/>
      <c r="NLJ291" s="592"/>
      <c r="NLK291" s="592"/>
      <c r="NLL291" s="592"/>
      <c r="NLM291" s="592"/>
      <c r="NLN291" s="592"/>
      <c r="NLO291" s="592"/>
      <c r="NLP291" s="592"/>
      <c r="NLQ291" s="592"/>
      <c r="NLR291" s="592"/>
      <c r="NLS291" s="592"/>
      <c r="NLT291" s="592"/>
      <c r="NLU291" s="592"/>
      <c r="NLV291" s="592"/>
      <c r="NLW291" s="592"/>
      <c r="NLX291" s="592"/>
      <c r="NLY291" s="592"/>
      <c r="NLZ291" s="592"/>
      <c r="NMA291" s="592"/>
      <c r="NMB291" s="592"/>
      <c r="NMC291" s="592"/>
      <c r="NMD291" s="592"/>
      <c r="NME291" s="592"/>
      <c r="NMF291" s="592"/>
      <c r="NMG291" s="592"/>
      <c r="NMH291" s="592"/>
      <c r="NMI291" s="592"/>
      <c r="NMJ291" s="592"/>
      <c r="NMK291" s="592"/>
      <c r="NML291" s="592"/>
      <c r="NMM291" s="592"/>
      <c r="NMN291" s="592"/>
      <c r="NMO291" s="592"/>
      <c r="NMP291" s="592"/>
      <c r="NMQ291" s="592"/>
      <c r="NMR291" s="592"/>
      <c r="NMS291" s="592"/>
      <c r="NMT291" s="592"/>
      <c r="NMU291" s="592"/>
      <c r="NMV291" s="592"/>
      <c r="NMW291" s="592"/>
      <c r="NMX291" s="592"/>
      <c r="NMY291" s="592"/>
      <c r="NMZ291" s="592"/>
      <c r="NNA291" s="592"/>
      <c r="NNB291" s="592"/>
      <c r="NNC291" s="592"/>
      <c r="NND291" s="592"/>
      <c r="NNE291" s="592"/>
      <c r="NNF291" s="592"/>
      <c r="NNG291" s="592"/>
      <c r="NNH291" s="592"/>
      <c r="NNI291" s="592"/>
      <c r="NNJ291" s="592"/>
      <c r="NNK291" s="592"/>
      <c r="NNL291" s="592"/>
      <c r="NNM291" s="592"/>
      <c r="NNN291" s="592"/>
      <c r="NNO291" s="592"/>
      <c r="NNP291" s="592"/>
      <c r="NNQ291" s="592"/>
      <c r="NNR291" s="592"/>
      <c r="NNS291" s="592"/>
      <c r="NNT291" s="592"/>
      <c r="NNU291" s="592"/>
      <c r="NNV291" s="592"/>
      <c r="NNW291" s="592"/>
      <c r="NNX291" s="592"/>
      <c r="NNY291" s="592"/>
      <c r="NNZ291" s="592"/>
      <c r="NOA291" s="592"/>
      <c r="NOB291" s="592"/>
      <c r="NOC291" s="592"/>
      <c r="NOD291" s="592"/>
      <c r="NOE291" s="592"/>
      <c r="NOF291" s="592"/>
      <c r="NOG291" s="592"/>
      <c r="NOH291" s="592"/>
      <c r="NOI291" s="592"/>
      <c r="NOJ291" s="592"/>
      <c r="NOK291" s="592"/>
      <c r="NOL291" s="592"/>
      <c r="NOM291" s="592"/>
      <c r="NON291" s="592"/>
      <c r="NOO291" s="592"/>
      <c r="NOP291" s="592"/>
      <c r="NOQ291" s="592"/>
      <c r="NOR291" s="592"/>
      <c r="NOS291" s="592"/>
      <c r="NOT291" s="592"/>
      <c r="NOU291" s="592"/>
      <c r="NOV291" s="592"/>
      <c r="NOW291" s="592"/>
      <c r="NOX291" s="592"/>
      <c r="NOY291" s="592"/>
      <c r="NOZ291" s="592"/>
      <c r="NPA291" s="592"/>
      <c r="NPB291" s="592"/>
      <c r="NPC291" s="592"/>
      <c r="NPD291" s="592"/>
      <c r="NPE291" s="592"/>
      <c r="NPF291" s="592"/>
      <c r="NPG291" s="592"/>
      <c r="NPH291" s="592"/>
      <c r="NPI291" s="592"/>
      <c r="NPJ291" s="592"/>
      <c r="NPK291" s="592"/>
      <c r="NPL291" s="592"/>
      <c r="NPM291" s="592"/>
      <c r="NPN291" s="592"/>
      <c r="NPO291" s="592"/>
      <c r="NPP291" s="592"/>
      <c r="NPQ291" s="592"/>
      <c r="NPR291" s="592"/>
      <c r="NPS291" s="592"/>
      <c r="NPT291" s="592"/>
      <c r="NPU291" s="592"/>
      <c r="NPV291" s="592"/>
      <c r="NPW291" s="592"/>
      <c r="NPX291" s="592"/>
      <c r="NPY291" s="592"/>
      <c r="NPZ291" s="592"/>
      <c r="NQA291" s="592"/>
      <c r="NQB291" s="592"/>
      <c r="NQC291" s="592"/>
      <c r="NQD291" s="592"/>
      <c r="NQE291" s="592"/>
      <c r="NQF291" s="592"/>
      <c r="NQG291" s="592"/>
      <c r="NQH291" s="592"/>
      <c r="NQI291" s="592"/>
      <c r="NQJ291" s="592"/>
      <c r="NQK291" s="592"/>
      <c r="NQL291" s="592"/>
      <c r="NQM291" s="592"/>
      <c r="NQN291" s="592"/>
      <c r="NQO291" s="592"/>
      <c r="NQP291" s="592"/>
      <c r="NQQ291" s="592"/>
      <c r="NQR291" s="592"/>
      <c r="NQS291" s="592"/>
      <c r="NQT291" s="592"/>
      <c r="NQU291" s="592"/>
      <c r="NQV291" s="592"/>
      <c r="NQW291" s="592"/>
      <c r="NQX291" s="592"/>
      <c r="NQY291" s="592"/>
      <c r="NQZ291" s="592"/>
      <c r="NRA291" s="592"/>
      <c r="NRB291" s="592"/>
      <c r="NRC291" s="592"/>
      <c r="NRD291" s="592"/>
      <c r="NRE291" s="592"/>
      <c r="NRF291" s="592"/>
      <c r="NRG291" s="592"/>
      <c r="NRH291" s="592"/>
      <c r="NRI291" s="592"/>
      <c r="NRJ291" s="592"/>
      <c r="NRK291" s="592"/>
      <c r="NRL291" s="592"/>
      <c r="NRM291" s="592"/>
      <c r="NRN291" s="592"/>
      <c r="NRO291" s="592"/>
      <c r="NRP291" s="592"/>
      <c r="NRQ291" s="592"/>
      <c r="NRR291" s="592"/>
      <c r="NRS291" s="592"/>
      <c r="NRT291" s="592"/>
      <c r="NRU291" s="592"/>
      <c r="NRV291" s="592"/>
      <c r="NRW291" s="592"/>
      <c r="NRX291" s="592"/>
      <c r="NRY291" s="592"/>
      <c r="NRZ291" s="592"/>
      <c r="NSA291" s="592"/>
      <c r="NSB291" s="592"/>
      <c r="NSC291" s="592"/>
      <c r="NSD291" s="592"/>
      <c r="NSE291" s="592"/>
      <c r="NSF291" s="592"/>
      <c r="NSG291" s="592"/>
      <c r="NSH291" s="592"/>
      <c r="NSI291" s="592"/>
      <c r="NSJ291" s="592"/>
      <c r="NSK291" s="592"/>
      <c r="NSL291" s="592"/>
      <c r="NSM291" s="592"/>
      <c r="NSN291" s="592"/>
      <c r="NSO291" s="592"/>
      <c r="NSP291" s="592"/>
      <c r="NSQ291" s="592"/>
      <c r="NSR291" s="592"/>
      <c r="NSS291" s="592"/>
      <c r="NST291" s="592"/>
      <c r="NSU291" s="592"/>
      <c r="NSV291" s="592"/>
      <c r="NSW291" s="592"/>
      <c r="NSX291" s="592"/>
      <c r="NSY291" s="592"/>
      <c r="NSZ291" s="592"/>
      <c r="NTA291" s="592"/>
      <c r="NTB291" s="592"/>
      <c r="NTC291" s="592"/>
      <c r="NTD291" s="592"/>
      <c r="NTE291" s="592"/>
      <c r="NTF291" s="592"/>
      <c r="NTG291" s="592"/>
      <c r="NTH291" s="592"/>
      <c r="NTI291" s="592"/>
      <c r="NTJ291" s="592"/>
      <c r="NTK291" s="592"/>
      <c r="NTL291" s="592"/>
      <c r="NTM291" s="592"/>
      <c r="NTN291" s="592"/>
      <c r="NTO291" s="592"/>
      <c r="NTP291" s="592"/>
      <c r="NTQ291" s="592"/>
      <c r="NTR291" s="592"/>
      <c r="NTS291" s="592"/>
      <c r="NTT291" s="592"/>
      <c r="NTU291" s="592"/>
      <c r="NTV291" s="592"/>
      <c r="NTW291" s="592"/>
      <c r="NTX291" s="592"/>
      <c r="NTY291" s="592"/>
      <c r="NTZ291" s="592"/>
      <c r="NUA291" s="592"/>
      <c r="NUB291" s="592"/>
      <c r="NUC291" s="592"/>
      <c r="NUD291" s="592"/>
      <c r="NUE291" s="592"/>
      <c r="NUF291" s="592"/>
      <c r="NUG291" s="592"/>
      <c r="NUH291" s="592"/>
      <c r="NUI291" s="592"/>
      <c r="NUJ291" s="592"/>
      <c r="NUK291" s="592"/>
      <c r="NUL291" s="592"/>
      <c r="NUM291" s="592"/>
      <c r="NUN291" s="592"/>
      <c r="NUO291" s="592"/>
      <c r="NUP291" s="592"/>
      <c r="NUQ291" s="592"/>
      <c r="NUR291" s="592"/>
      <c r="NUS291" s="592"/>
      <c r="NUT291" s="592"/>
      <c r="NUU291" s="592"/>
      <c r="NUV291" s="592"/>
      <c r="NUW291" s="592"/>
      <c r="NUX291" s="592"/>
      <c r="NUY291" s="592"/>
      <c r="NUZ291" s="592"/>
      <c r="NVA291" s="592"/>
      <c r="NVB291" s="592"/>
      <c r="NVC291" s="592"/>
      <c r="NVD291" s="592"/>
      <c r="NVE291" s="592"/>
      <c r="NVF291" s="592"/>
      <c r="NVG291" s="592"/>
      <c r="NVH291" s="592"/>
      <c r="NVI291" s="592"/>
      <c r="NVJ291" s="592"/>
      <c r="NVK291" s="592"/>
      <c r="NVL291" s="592"/>
      <c r="NVM291" s="592"/>
      <c r="NVN291" s="592"/>
      <c r="NVO291" s="592"/>
      <c r="NVP291" s="592"/>
      <c r="NVQ291" s="592"/>
      <c r="NVR291" s="592"/>
      <c r="NVS291" s="592"/>
      <c r="NVT291" s="592"/>
      <c r="NVU291" s="592"/>
      <c r="NVV291" s="592"/>
      <c r="NVW291" s="592"/>
      <c r="NVX291" s="592"/>
      <c r="NVY291" s="592"/>
      <c r="NVZ291" s="592"/>
      <c r="NWA291" s="592"/>
      <c r="NWB291" s="592"/>
      <c r="NWC291" s="592"/>
      <c r="NWD291" s="592"/>
      <c r="NWE291" s="592"/>
      <c r="NWF291" s="592"/>
      <c r="NWG291" s="592"/>
      <c r="NWH291" s="592"/>
      <c r="NWI291" s="592"/>
      <c r="NWJ291" s="592"/>
      <c r="NWK291" s="592"/>
      <c r="NWL291" s="592"/>
      <c r="NWM291" s="592"/>
      <c r="NWN291" s="592"/>
      <c r="NWO291" s="592"/>
      <c r="NWP291" s="592"/>
      <c r="NWQ291" s="592"/>
      <c r="NWR291" s="592"/>
      <c r="NWS291" s="592"/>
      <c r="NWT291" s="592"/>
      <c r="NWU291" s="592"/>
      <c r="NWV291" s="592"/>
      <c r="NWW291" s="592"/>
      <c r="NWX291" s="592"/>
      <c r="NWY291" s="592"/>
      <c r="NWZ291" s="592"/>
      <c r="NXA291" s="592"/>
      <c r="NXB291" s="592"/>
      <c r="NXC291" s="592"/>
      <c r="NXD291" s="592"/>
      <c r="NXE291" s="592"/>
      <c r="NXF291" s="592"/>
      <c r="NXG291" s="592"/>
      <c r="NXH291" s="592"/>
      <c r="NXI291" s="592"/>
      <c r="NXJ291" s="592"/>
      <c r="NXK291" s="592"/>
      <c r="NXL291" s="592"/>
      <c r="NXM291" s="592"/>
      <c r="NXN291" s="592"/>
      <c r="NXO291" s="592"/>
      <c r="NXP291" s="592"/>
      <c r="NXQ291" s="592"/>
      <c r="NXR291" s="592"/>
      <c r="NXS291" s="592"/>
      <c r="NXT291" s="592"/>
      <c r="NXU291" s="592"/>
      <c r="NXV291" s="592"/>
      <c r="NXW291" s="592"/>
      <c r="NXX291" s="592"/>
      <c r="NXY291" s="592"/>
      <c r="NXZ291" s="592"/>
      <c r="NYA291" s="592"/>
      <c r="NYB291" s="592"/>
      <c r="NYC291" s="592"/>
      <c r="NYD291" s="592"/>
      <c r="NYE291" s="592"/>
      <c r="NYF291" s="592"/>
      <c r="NYG291" s="592"/>
      <c r="NYH291" s="592"/>
      <c r="NYI291" s="592"/>
      <c r="NYJ291" s="592"/>
      <c r="NYK291" s="592"/>
      <c r="NYL291" s="592"/>
      <c r="NYM291" s="592"/>
      <c r="NYN291" s="592"/>
      <c r="NYO291" s="592"/>
      <c r="NYP291" s="592"/>
      <c r="NYQ291" s="592"/>
      <c r="NYR291" s="592"/>
      <c r="NYS291" s="592"/>
      <c r="NYT291" s="592"/>
      <c r="NYU291" s="592"/>
      <c r="NYV291" s="592"/>
      <c r="NYW291" s="592"/>
      <c r="NYX291" s="592"/>
      <c r="NYY291" s="592"/>
      <c r="NYZ291" s="592"/>
      <c r="NZA291" s="592"/>
      <c r="NZB291" s="592"/>
      <c r="NZC291" s="592"/>
      <c r="NZD291" s="592"/>
      <c r="NZE291" s="592"/>
      <c r="NZF291" s="592"/>
      <c r="NZG291" s="592"/>
      <c r="NZH291" s="592"/>
      <c r="NZI291" s="592"/>
      <c r="NZJ291" s="592"/>
      <c r="NZK291" s="592"/>
      <c r="NZL291" s="592"/>
      <c r="NZM291" s="592"/>
      <c r="NZN291" s="592"/>
      <c r="NZO291" s="592"/>
      <c r="NZP291" s="592"/>
      <c r="NZQ291" s="592"/>
      <c r="NZR291" s="592"/>
      <c r="NZS291" s="592"/>
      <c r="NZT291" s="592"/>
      <c r="NZU291" s="592"/>
      <c r="NZV291" s="592"/>
      <c r="NZW291" s="592"/>
      <c r="NZX291" s="592"/>
      <c r="NZY291" s="592"/>
      <c r="NZZ291" s="592"/>
      <c r="OAA291" s="592"/>
      <c r="OAB291" s="592"/>
      <c r="OAC291" s="592"/>
      <c r="OAD291" s="592"/>
      <c r="OAE291" s="592"/>
      <c r="OAF291" s="592"/>
      <c r="OAG291" s="592"/>
      <c r="OAH291" s="592"/>
      <c r="OAI291" s="592"/>
      <c r="OAJ291" s="592"/>
      <c r="OAK291" s="592"/>
      <c r="OAL291" s="592"/>
      <c r="OAM291" s="592"/>
      <c r="OAN291" s="592"/>
      <c r="OAO291" s="592"/>
      <c r="OAP291" s="592"/>
      <c r="OAQ291" s="592"/>
      <c r="OAR291" s="592"/>
      <c r="OAS291" s="592"/>
      <c r="OAT291" s="592"/>
      <c r="OAU291" s="592"/>
      <c r="OAV291" s="592"/>
      <c r="OAW291" s="592"/>
      <c r="OAX291" s="592"/>
      <c r="OAY291" s="592"/>
      <c r="OAZ291" s="592"/>
      <c r="OBA291" s="592"/>
      <c r="OBB291" s="592"/>
      <c r="OBC291" s="592"/>
      <c r="OBD291" s="592"/>
      <c r="OBE291" s="592"/>
      <c r="OBF291" s="592"/>
      <c r="OBG291" s="592"/>
      <c r="OBH291" s="592"/>
      <c r="OBI291" s="592"/>
      <c r="OBJ291" s="592"/>
      <c r="OBK291" s="592"/>
      <c r="OBL291" s="592"/>
      <c r="OBM291" s="592"/>
      <c r="OBN291" s="592"/>
      <c r="OBO291" s="592"/>
      <c r="OBP291" s="592"/>
      <c r="OBQ291" s="592"/>
      <c r="OBR291" s="592"/>
      <c r="OBS291" s="592"/>
      <c r="OBT291" s="592"/>
      <c r="OBU291" s="592"/>
      <c r="OBV291" s="592"/>
      <c r="OBW291" s="592"/>
      <c r="OBX291" s="592"/>
      <c r="OBY291" s="592"/>
      <c r="OBZ291" s="592"/>
      <c r="OCA291" s="592"/>
      <c r="OCB291" s="592"/>
      <c r="OCC291" s="592"/>
      <c r="OCD291" s="592"/>
      <c r="OCE291" s="592"/>
      <c r="OCF291" s="592"/>
      <c r="OCG291" s="592"/>
      <c r="OCH291" s="592"/>
      <c r="OCI291" s="592"/>
      <c r="OCJ291" s="592"/>
      <c r="OCK291" s="592"/>
      <c r="OCL291" s="592"/>
      <c r="OCM291" s="592"/>
      <c r="OCN291" s="592"/>
      <c r="OCO291" s="592"/>
      <c r="OCP291" s="592"/>
      <c r="OCQ291" s="592"/>
      <c r="OCR291" s="592"/>
      <c r="OCS291" s="592"/>
      <c r="OCT291" s="592"/>
      <c r="OCU291" s="592"/>
      <c r="OCV291" s="592"/>
      <c r="OCW291" s="592"/>
      <c r="OCX291" s="592"/>
      <c r="OCY291" s="592"/>
      <c r="OCZ291" s="592"/>
      <c r="ODA291" s="592"/>
      <c r="ODB291" s="592"/>
      <c r="ODC291" s="592"/>
      <c r="ODD291" s="592"/>
      <c r="ODE291" s="592"/>
      <c r="ODF291" s="592"/>
      <c r="ODG291" s="592"/>
      <c r="ODH291" s="592"/>
      <c r="ODI291" s="592"/>
      <c r="ODJ291" s="592"/>
      <c r="ODK291" s="592"/>
      <c r="ODL291" s="592"/>
      <c r="ODM291" s="592"/>
      <c r="ODN291" s="592"/>
      <c r="ODO291" s="592"/>
      <c r="ODP291" s="592"/>
      <c r="ODQ291" s="592"/>
      <c r="ODR291" s="592"/>
      <c r="ODS291" s="592"/>
      <c r="ODT291" s="592"/>
      <c r="ODU291" s="592"/>
      <c r="ODV291" s="592"/>
      <c r="ODW291" s="592"/>
      <c r="ODX291" s="592"/>
      <c r="ODY291" s="592"/>
      <c r="ODZ291" s="592"/>
      <c r="OEA291" s="592"/>
      <c r="OEB291" s="592"/>
      <c r="OEC291" s="592"/>
      <c r="OED291" s="592"/>
      <c r="OEE291" s="592"/>
      <c r="OEF291" s="592"/>
      <c r="OEG291" s="592"/>
      <c r="OEH291" s="592"/>
      <c r="OEI291" s="592"/>
      <c r="OEJ291" s="592"/>
      <c r="OEK291" s="592"/>
      <c r="OEL291" s="592"/>
      <c r="OEM291" s="592"/>
      <c r="OEN291" s="592"/>
      <c r="OEO291" s="592"/>
      <c r="OEP291" s="592"/>
      <c r="OEQ291" s="592"/>
      <c r="OER291" s="592"/>
      <c r="OES291" s="592"/>
      <c r="OET291" s="592"/>
      <c r="OEU291" s="592"/>
      <c r="OEV291" s="592"/>
      <c r="OEW291" s="592"/>
      <c r="OEX291" s="592"/>
      <c r="OEY291" s="592"/>
      <c r="OEZ291" s="592"/>
      <c r="OFA291" s="592"/>
      <c r="OFB291" s="592"/>
      <c r="OFC291" s="592"/>
      <c r="OFD291" s="592"/>
      <c r="OFE291" s="592"/>
      <c r="OFF291" s="592"/>
      <c r="OFG291" s="592"/>
      <c r="OFH291" s="592"/>
      <c r="OFI291" s="592"/>
      <c r="OFJ291" s="592"/>
      <c r="OFK291" s="592"/>
      <c r="OFL291" s="592"/>
      <c r="OFM291" s="592"/>
      <c r="OFN291" s="592"/>
      <c r="OFO291" s="592"/>
      <c r="OFP291" s="592"/>
      <c r="OFQ291" s="592"/>
      <c r="OFR291" s="592"/>
      <c r="OFS291" s="592"/>
      <c r="OFT291" s="592"/>
      <c r="OFU291" s="592"/>
      <c r="OFV291" s="592"/>
      <c r="OFW291" s="592"/>
      <c r="OFX291" s="592"/>
      <c r="OFY291" s="592"/>
      <c r="OFZ291" s="592"/>
      <c r="OGA291" s="592"/>
      <c r="OGB291" s="592"/>
      <c r="OGC291" s="592"/>
      <c r="OGD291" s="592"/>
      <c r="OGE291" s="592"/>
      <c r="OGF291" s="592"/>
      <c r="OGG291" s="592"/>
      <c r="OGH291" s="592"/>
      <c r="OGI291" s="592"/>
      <c r="OGJ291" s="592"/>
      <c r="OGK291" s="592"/>
      <c r="OGL291" s="592"/>
      <c r="OGM291" s="592"/>
      <c r="OGN291" s="592"/>
      <c r="OGO291" s="592"/>
      <c r="OGP291" s="592"/>
      <c r="OGQ291" s="592"/>
      <c r="OGR291" s="592"/>
      <c r="OGS291" s="592"/>
      <c r="OGT291" s="592"/>
      <c r="OGU291" s="592"/>
      <c r="OGV291" s="592"/>
      <c r="OGW291" s="592"/>
      <c r="OGX291" s="592"/>
      <c r="OGY291" s="592"/>
      <c r="OGZ291" s="592"/>
      <c r="OHA291" s="592"/>
      <c r="OHB291" s="592"/>
      <c r="OHC291" s="592"/>
      <c r="OHD291" s="592"/>
      <c r="OHE291" s="592"/>
      <c r="OHF291" s="592"/>
      <c r="OHG291" s="592"/>
      <c r="OHH291" s="592"/>
      <c r="OHI291" s="592"/>
      <c r="OHJ291" s="592"/>
      <c r="OHK291" s="592"/>
      <c r="OHL291" s="592"/>
      <c r="OHM291" s="592"/>
      <c r="OHN291" s="592"/>
      <c r="OHO291" s="592"/>
      <c r="OHP291" s="592"/>
      <c r="OHQ291" s="592"/>
      <c r="OHR291" s="592"/>
      <c r="OHS291" s="592"/>
      <c r="OHT291" s="592"/>
      <c r="OHU291" s="592"/>
      <c r="OHV291" s="592"/>
      <c r="OHW291" s="592"/>
      <c r="OHX291" s="592"/>
      <c r="OHY291" s="592"/>
      <c r="OHZ291" s="592"/>
      <c r="OIA291" s="592"/>
      <c r="OIB291" s="592"/>
      <c r="OIC291" s="592"/>
      <c r="OID291" s="592"/>
      <c r="OIE291" s="592"/>
      <c r="OIF291" s="592"/>
      <c r="OIG291" s="592"/>
      <c r="OIH291" s="592"/>
      <c r="OII291" s="592"/>
      <c r="OIJ291" s="592"/>
      <c r="OIK291" s="592"/>
      <c r="OIL291" s="592"/>
      <c r="OIM291" s="592"/>
      <c r="OIN291" s="592"/>
      <c r="OIO291" s="592"/>
      <c r="OIP291" s="592"/>
      <c r="OIQ291" s="592"/>
      <c r="OIR291" s="592"/>
      <c r="OIS291" s="592"/>
      <c r="OIT291" s="592"/>
      <c r="OIU291" s="592"/>
      <c r="OIV291" s="592"/>
      <c r="OIW291" s="592"/>
      <c r="OIX291" s="592"/>
      <c r="OIY291" s="592"/>
      <c r="OIZ291" s="592"/>
      <c r="OJA291" s="592"/>
      <c r="OJB291" s="592"/>
      <c r="OJC291" s="592"/>
      <c r="OJD291" s="592"/>
      <c r="OJE291" s="592"/>
      <c r="OJF291" s="592"/>
      <c r="OJG291" s="592"/>
      <c r="OJH291" s="592"/>
      <c r="OJI291" s="592"/>
      <c r="OJJ291" s="592"/>
      <c r="OJK291" s="592"/>
      <c r="OJL291" s="592"/>
      <c r="OJM291" s="592"/>
      <c r="OJN291" s="592"/>
      <c r="OJO291" s="592"/>
      <c r="OJP291" s="592"/>
      <c r="OJQ291" s="592"/>
      <c r="OJR291" s="592"/>
      <c r="OJS291" s="592"/>
      <c r="OJT291" s="592"/>
      <c r="OJU291" s="592"/>
      <c r="OJV291" s="592"/>
      <c r="OJW291" s="592"/>
      <c r="OJX291" s="592"/>
      <c r="OJY291" s="592"/>
      <c r="OJZ291" s="592"/>
      <c r="OKA291" s="592"/>
      <c r="OKB291" s="592"/>
      <c r="OKC291" s="592"/>
      <c r="OKD291" s="592"/>
      <c r="OKE291" s="592"/>
      <c r="OKF291" s="592"/>
      <c r="OKG291" s="592"/>
      <c r="OKH291" s="592"/>
      <c r="OKI291" s="592"/>
      <c r="OKJ291" s="592"/>
      <c r="OKK291" s="592"/>
      <c r="OKL291" s="592"/>
      <c r="OKM291" s="592"/>
      <c r="OKN291" s="592"/>
      <c r="OKO291" s="592"/>
      <c r="OKP291" s="592"/>
      <c r="OKQ291" s="592"/>
      <c r="OKR291" s="592"/>
      <c r="OKS291" s="592"/>
      <c r="OKT291" s="592"/>
      <c r="OKU291" s="592"/>
      <c r="OKV291" s="592"/>
      <c r="OKW291" s="592"/>
      <c r="OKX291" s="592"/>
      <c r="OKY291" s="592"/>
      <c r="OKZ291" s="592"/>
      <c r="OLA291" s="592"/>
      <c r="OLB291" s="592"/>
      <c r="OLC291" s="592"/>
      <c r="OLD291" s="592"/>
      <c r="OLE291" s="592"/>
      <c r="OLF291" s="592"/>
      <c r="OLG291" s="592"/>
      <c r="OLH291" s="592"/>
      <c r="OLI291" s="592"/>
      <c r="OLJ291" s="592"/>
      <c r="OLK291" s="592"/>
      <c r="OLL291" s="592"/>
      <c r="OLM291" s="592"/>
      <c r="OLN291" s="592"/>
      <c r="OLO291" s="592"/>
      <c r="OLP291" s="592"/>
      <c r="OLQ291" s="592"/>
      <c r="OLR291" s="592"/>
      <c r="OLS291" s="592"/>
      <c r="OLT291" s="592"/>
      <c r="OLU291" s="592"/>
      <c r="OLV291" s="592"/>
      <c r="OLW291" s="592"/>
      <c r="OLX291" s="592"/>
      <c r="OLY291" s="592"/>
      <c r="OLZ291" s="592"/>
      <c r="OMA291" s="592"/>
      <c r="OMB291" s="592"/>
      <c r="OMC291" s="592"/>
      <c r="OMD291" s="592"/>
      <c r="OME291" s="592"/>
      <c r="OMF291" s="592"/>
      <c r="OMG291" s="592"/>
      <c r="OMH291" s="592"/>
      <c r="OMI291" s="592"/>
      <c r="OMJ291" s="592"/>
      <c r="OMK291" s="592"/>
      <c r="OML291" s="592"/>
      <c r="OMM291" s="592"/>
      <c r="OMN291" s="592"/>
      <c r="OMO291" s="592"/>
      <c r="OMP291" s="592"/>
      <c r="OMQ291" s="592"/>
      <c r="OMR291" s="592"/>
      <c r="OMS291" s="592"/>
      <c r="OMT291" s="592"/>
      <c r="OMU291" s="592"/>
      <c r="OMV291" s="592"/>
      <c r="OMW291" s="592"/>
      <c r="OMX291" s="592"/>
      <c r="OMY291" s="592"/>
      <c r="OMZ291" s="592"/>
      <c r="ONA291" s="592"/>
      <c r="ONB291" s="592"/>
      <c r="ONC291" s="592"/>
      <c r="OND291" s="592"/>
      <c r="ONE291" s="592"/>
      <c r="ONF291" s="592"/>
      <c r="ONG291" s="592"/>
      <c r="ONH291" s="592"/>
      <c r="ONI291" s="592"/>
      <c r="ONJ291" s="592"/>
      <c r="ONK291" s="592"/>
      <c r="ONL291" s="592"/>
      <c r="ONM291" s="592"/>
      <c r="ONN291" s="592"/>
      <c r="ONO291" s="592"/>
      <c r="ONP291" s="592"/>
      <c r="ONQ291" s="592"/>
      <c r="ONR291" s="592"/>
      <c r="ONS291" s="592"/>
      <c r="ONT291" s="592"/>
      <c r="ONU291" s="592"/>
      <c r="ONV291" s="592"/>
      <c r="ONW291" s="592"/>
      <c r="ONX291" s="592"/>
      <c r="ONY291" s="592"/>
      <c r="ONZ291" s="592"/>
      <c r="OOA291" s="592"/>
      <c r="OOB291" s="592"/>
      <c r="OOC291" s="592"/>
      <c r="OOD291" s="592"/>
      <c r="OOE291" s="592"/>
      <c r="OOF291" s="592"/>
      <c r="OOG291" s="592"/>
      <c r="OOH291" s="592"/>
      <c r="OOI291" s="592"/>
      <c r="OOJ291" s="592"/>
      <c r="OOK291" s="592"/>
      <c r="OOL291" s="592"/>
      <c r="OOM291" s="592"/>
      <c r="OON291" s="592"/>
      <c r="OOO291" s="592"/>
      <c r="OOP291" s="592"/>
      <c r="OOQ291" s="592"/>
      <c r="OOR291" s="592"/>
      <c r="OOS291" s="592"/>
      <c r="OOT291" s="592"/>
      <c r="OOU291" s="592"/>
      <c r="OOV291" s="592"/>
      <c r="OOW291" s="592"/>
      <c r="OOX291" s="592"/>
      <c r="OOY291" s="592"/>
      <c r="OOZ291" s="592"/>
      <c r="OPA291" s="592"/>
      <c r="OPB291" s="592"/>
      <c r="OPC291" s="592"/>
      <c r="OPD291" s="592"/>
      <c r="OPE291" s="592"/>
      <c r="OPF291" s="592"/>
      <c r="OPG291" s="592"/>
      <c r="OPH291" s="592"/>
      <c r="OPI291" s="592"/>
      <c r="OPJ291" s="592"/>
      <c r="OPK291" s="592"/>
      <c r="OPL291" s="592"/>
      <c r="OPM291" s="592"/>
      <c r="OPN291" s="592"/>
      <c r="OPO291" s="592"/>
      <c r="OPP291" s="592"/>
      <c r="OPQ291" s="592"/>
      <c r="OPR291" s="592"/>
      <c r="OPS291" s="592"/>
      <c r="OPT291" s="592"/>
      <c r="OPU291" s="592"/>
      <c r="OPV291" s="592"/>
      <c r="OPW291" s="592"/>
      <c r="OPX291" s="592"/>
      <c r="OPY291" s="592"/>
      <c r="OPZ291" s="592"/>
      <c r="OQA291" s="592"/>
      <c r="OQB291" s="592"/>
      <c r="OQC291" s="592"/>
      <c r="OQD291" s="592"/>
      <c r="OQE291" s="592"/>
      <c r="OQF291" s="592"/>
      <c r="OQG291" s="592"/>
      <c r="OQH291" s="592"/>
      <c r="OQI291" s="592"/>
      <c r="OQJ291" s="592"/>
      <c r="OQK291" s="592"/>
      <c r="OQL291" s="592"/>
      <c r="OQM291" s="592"/>
      <c r="OQN291" s="592"/>
      <c r="OQO291" s="592"/>
      <c r="OQP291" s="592"/>
      <c r="OQQ291" s="592"/>
      <c r="OQR291" s="592"/>
      <c r="OQS291" s="592"/>
      <c r="OQT291" s="592"/>
      <c r="OQU291" s="592"/>
      <c r="OQV291" s="592"/>
      <c r="OQW291" s="592"/>
      <c r="OQX291" s="592"/>
      <c r="OQY291" s="592"/>
      <c r="OQZ291" s="592"/>
      <c r="ORA291" s="592"/>
      <c r="ORB291" s="592"/>
      <c r="ORC291" s="592"/>
      <c r="ORD291" s="592"/>
      <c r="ORE291" s="592"/>
      <c r="ORF291" s="592"/>
      <c r="ORG291" s="592"/>
      <c r="ORH291" s="592"/>
      <c r="ORI291" s="592"/>
      <c r="ORJ291" s="592"/>
      <c r="ORK291" s="592"/>
      <c r="ORL291" s="592"/>
      <c r="ORM291" s="592"/>
      <c r="ORN291" s="592"/>
      <c r="ORO291" s="592"/>
      <c r="ORP291" s="592"/>
      <c r="ORQ291" s="592"/>
      <c r="ORR291" s="592"/>
      <c r="ORS291" s="592"/>
      <c r="ORT291" s="592"/>
      <c r="ORU291" s="592"/>
      <c r="ORV291" s="592"/>
      <c r="ORW291" s="592"/>
      <c r="ORX291" s="592"/>
      <c r="ORY291" s="592"/>
      <c r="ORZ291" s="592"/>
      <c r="OSA291" s="592"/>
      <c r="OSB291" s="592"/>
      <c r="OSC291" s="592"/>
      <c r="OSD291" s="592"/>
      <c r="OSE291" s="592"/>
      <c r="OSF291" s="592"/>
      <c r="OSG291" s="592"/>
      <c r="OSH291" s="592"/>
      <c r="OSI291" s="592"/>
      <c r="OSJ291" s="592"/>
      <c r="OSK291" s="592"/>
      <c r="OSL291" s="592"/>
      <c r="OSM291" s="592"/>
      <c r="OSN291" s="592"/>
      <c r="OSO291" s="592"/>
      <c r="OSP291" s="592"/>
      <c r="OSQ291" s="592"/>
      <c r="OSR291" s="592"/>
      <c r="OSS291" s="592"/>
      <c r="OST291" s="592"/>
      <c r="OSU291" s="592"/>
      <c r="OSV291" s="592"/>
      <c r="OSW291" s="592"/>
      <c r="OSX291" s="592"/>
      <c r="OSY291" s="592"/>
      <c r="OSZ291" s="592"/>
      <c r="OTA291" s="592"/>
      <c r="OTB291" s="592"/>
      <c r="OTC291" s="592"/>
      <c r="OTD291" s="592"/>
      <c r="OTE291" s="592"/>
      <c r="OTF291" s="592"/>
      <c r="OTG291" s="592"/>
      <c r="OTH291" s="592"/>
      <c r="OTI291" s="592"/>
      <c r="OTJ291" s="592"/>
      <c r="OTK291" s="592"/>
      <c r="OTL291" s="592"/>
      <c r="OTM291" s="592"/>
      <c r="OTN291" s="592"/>
      <c r="OTO291" s="592"/>
      <c r="OTP291" s="592"/>
      <c r="OTQ291" s="592"/>
      <c r="OTR291" s="592"/>
      <c r="OTS291" s="592"/>
      <c r="OTT291" s="592"/>
      <c r="OTU291" s="592"/>
      <c r="OTV291" s="592"/>
      <c r="OTW291" s="592"/>
      <c r="OTX291" s="592"/>
      <c r="OTY291" s="592"/>
      <c r="OTZ291" s="592"/>
      <c r="OUA291" s="592"/>
      <c r="OUB291" s="592"/>
      <c r="OUC291" s="592"/>
      <c r="OUD291" s="592"/>
      <c r="OUE291" s="592"/>
      <c r="OUF291" s="592"/>
      <c r="OUG291" s="592"/>
      <c r="OUH291" s="592"/>
      <c r="OUI291" s="592"/>
      <c r="OUJ291" s="592"/>
      <c r="OUK291" s="592"/>
      <c r="OUL291" s="592"/>
      <c r="OUM291" s="592"/>
      <c r="OUN291" s="592"/>
      <c r="OUO291" s="592"/>
      <c r="OUP291" s="592"/>
      <c r="OUQ291" s="592"/>
      <c r="OUR291" s="592"/>
      <c r="OUS291" s="592"/>
      <c r="OUT291" s="592"/>
      <c r="OUU291" s="592"/>
      <c r="OUV291" s="592"/>
      <c r="OUW291" s="592"/>
      <c r="OUX291" s="592"/>
      <c r="OUY291" s="592"/>
      <c r="OUZ291" s="592"/>
      <c r="OVA291" s="592"/>
      <c r="OVB291" s="592"/>
      <c r="OVC291" s="592"/>
      <c r="OVD291" s="592"/>
      <c r="OVE291" s="592"/>
      <c r="OVF291" s="592"/>
      <c r="OVG291" s="592"/>
      <c r="OVH291" s="592"/>
      <c r="OVI291" s="592"/>
      <c r="OVJ291" s="592"/>
      <c r="OVK291" s="592"/>
      <c r="OVL291" s="592"/>
      <c r="OVM291" s="592"/>
      <c r="OVN291" s="592"/>
      <c r="OVO291" s="592"/>
      <c r="OVP291" s="592"/>
      <c r="OVQ291" s="592"/>
      <c r="OVR291" s="592"/>
      <c r="OVS291" s="592"/>
      <c r="OVT291" s="592"/>
      <c r="OVU291" s="592"/>
      <c r="OVV291" s="592"/>
      <c r="OVW291" s="592"/>
      <c r="OVX291" s="592"/>
      <c r="OVY291" s="592"/>
      <c r="OVZ291" s="592"/>
      <c r="OWA291" s="592"/>
      <c r="OWB291" s="592"/>
      <c r="OWC291" s="592"/>
      <c r="OWD291" s="592"/>
      <c r="OWE291" s="592"/>
      <c r="OWF291" s="592"/>
      <c r="OWG291" s="592"/>
      <c r="OWH291" s="592"/>
      <c r="OWI291" s="592"/>
      <c r="OWJ291" s="592"/>
      <c r="OWK291" s="592"/>
      <c r="OWL291" s="592"/>
      <c r="OWM291" s="592"/>
      <c r="OWN291" s="592"/>
      <c r="OWO291" s="592"/>
      <c r="OWP291" s="592"/>
      <c r="OWQ291" s="592"/>
      <c r="OWR291" s="592"/>
      <c r="OWS291" s="592"/>
      <c r="OWT291" s="592"/>
      <c r="OWU291" s="592"/>
      <c r="OWV291" s="592"/>
      <c r="OWW291" s="592"/>
      <c r="OWX291" s="592"/>
      <c r="OWY291" s="592"/>
      <c r="OWZ291" s="592"/>
      <c r="OXA291" s="592"/>
      <c r="OXB291" s="592"/>
      <c r="OXC291" s="592"/>
      <c r="OXD291" s="592"/>
      <c r="OXE291" s="592"/>
      <c r="OXF291" s="592"/>
      <c r="OXG291" s="592"/>
      <c r="OXH291" s="592"/>
      <c r="OXI291" s="592"/>
      <c r="OXJ291" s="592"/>
      <c r="OXK291" s="592"/>
      <c r="OXL291" s="592"/>
      <c r="OXM291" s="592"/>
      <c r="OXN291" s="592"/>
      <c r="OXO291" s="592"/>
      <c r="OXP291" s="592"/>
      <c r="OXQ291" s="592"/>
      <c r="OXR291" s="592"/>
      <c r="OXS291" s="592"/>
      <c r="OXT291" s="592"/>
      <c r="OXU291" s="592"/>
      <c r="OXV291" s="592"/>
      <c r="OXW291" s="592"/>
      <c r="OXX291" s="592"/>
      <c r="OXY291" s="592"/>
      <c r="OXZ291" s="592"/>
      <c r="OYA291" s="592"/>
      <c r="OYB291" s="592"/>
      <c r="OYC291" s="592"/>
      <c r="OYD291" s="592"/>
      <c r="OYE291" s="592"/>
      <c r="OYF291" s="592"/>
      <c r="OYG291" s="592"/>
      <c r="OYH291" s="592"/>
      <c r="OYI291" s="592"/>
      <c r="OYJ291" s="592"/>
      <c r="OYK291" s="592"/>
      <c r="OYL291" s="592"/>
      <c r="OYM291" s="592"/>
      <c r="OYN291" s="592"/>
      <c r="OYO291" s="592"/>
      <c r="OYP291" s="592"/>
      <c r="OYQ291" s="592"/>
      <c r="OYR291" s="592"/>
      <c r="OYS291" s="592"/>
      <c r="OYT291" s="592"/>
      <c r="OYU291" s="592"/>
      <c r="OYV291" s="592"/>
      <c r="OYW291" s="592"/>
      <c r="OYX291" s="592"/>
      <c r="OYY291" s="592"/>
      <c r="OYZ291" s="592"/>
      <c r="OZA291" s="592"/>
      <c r="OZB291" s="592"/>
      <c r="OZC291" s="592"/>
      <c r="OZD291" s="592"/>
      <c r="OZE291" s="592"/>
      <c r="OZF291" s="592"/>
      <c r="OZG291" s="592"/>
      <c r="OZH291" s="592"/>
      <c r="OZI291" s="592"/>
      <c r="OZJ291" s="592"/>
      <c r="OZK291" s="592"/>
      <c r="OZL291" s="592"/>
      <c r="OZM291" s="592"/>
      <c r="OZN291" s="592"/>
      <c r="OZO291" s="592"/>
      <c r="OZP291" s="592"/>
      <c r="OZQ291" s="592"/>
      <c r="OZR291" s="592"/>
      <c r="OZS291" s="592"/>
      <c r="OZT291" s="592"/>
      <c r="OZU291" s="592"/>
      <c r="OZV291" s="592"/>
      <c r="OZW291" s="592"/>
      <c r="OZX291" s="592"/>
      <c r="OZY291" s="592"/>
      <c r="OZZ291" s="592"/>
      <c r="PAA291" s="592"/>
      <c r="PAB291" s="592"/>
      <c r="PAC291" s="592"/>
      <c r="PAD291" s="592"/>
      <c r="PAE291" s="592"/>
      <c r="PAF291" s="592"/>
      <c r="PAG291" s="592"/>
      <c r="PAH291" s="592"/>
      <c r="PAI291" s="592"/>
      <c r="PAJ291" s="592"/>
      <c r="PAK291" s="592"/>
      <c r="PAL291" s="592"/>
      <c r="PAM291" s="592"/>
      <c r="PAN291" s="592"/>
      <c r="PAO291" s="592"/>
      <c r="PAP291" s="592"/>
      <c r="PAQ291" s="592"/>
      <c r="PAR291" s="592"/>
      <c r="PAS291" s="592"/>
      <c r="PAT291" s="592"/>
      <c r="PAU291" s="592"/>
      <c r="PAV291" s="592"/>
      <c r="PAW291" s="592"/>
      <c r="PAX291" s="592"/>
      <c r="PAY291" s="592"/>
      <c r="PAZ291" s="592"/>
      <c r="PBA291" s="592"/>
      <c r="PBB291" s="592"/>
      <c r="PBC291" s="592"/>
      <c r="PBD291" s="592"/>
      <c r="PBE291" s="592"/>
      <c r="PBF291" s="592"/>
      <c r="PBG291" s="592"/>
      <c r="PBH291" s="592"/>
      <c r="PBI291" s="592"/>
      <c r="PBJ291" s="592"/>
      <c r="PBK291" s="592"/>
      <c r="PBL291" s="592"/>
      <c r="PBM291" s="592"/>
      <c r="PBN291" s="592"/>
      <c r="PBO291" s="592"/>
      <c r="PBP291" s="592"/>
      <c r="PBQ291" s="592"/>
      <c r="PBR291" s="592"/>
      <c r="PBS291" s="592"/>
      <c r="PBT291" s="592"/>
      <c r="PBU291" s="592"/>
      <c r="PBV291" s="592"/>
      <c r="PBW291" s="592"/>
      <c r="PBX291" s="592"/>
      <c r="PBY291" s="592"/>
      <c r="PBZ291" s="592"/>
      <c r="PCA291" s="592"/>
      <c r="PCB291" s="592"/>
      <c r="PCC291" s="592"/>
      <c r="PCD291" s="592"/>
      <c r="PCE291" s="592"/>
      <c r="PCF291" s="592"/>
      <c r="PCG291" s="592"/>
      <c r="PCH291" s="592"/>
      <c r="PCI291" s="592"/>
      <c r="PCJ291" s="592"/>
      <c r="PCK291" s="592"/>
      <c r="PCL291" s="592"/>
      <c r="PCM291" s="592"/>
      <c r="PCN291" s="592"/>
      <c r="PCO291" s="592"/>
      <c r="PCP291" s="592"/>
      <c r="PCQ291" s="592"/>
      <c r="PCR291" s="592"/>
      <c r="PCS291" s="592"/>
      <c r="PCT291" s="592"/>
      <c r="PCU291" s="592"/>
      <c r="PCV291" s="592"/>
      <c r="PCW291" s="592"/>
      <c r="PCX291" s="592"/>
      <c r="PCY291" s="592"/>
      <c r="PCZ291" s="592"/>
      <c r="PDA291" s="592"/>
      <c r="PDB291" s="592"/>
      <c r="PDC291" s="592"/>
      <c r="PDD291" s="592"/>
      <c r="PDE291" s="592"/>
      <c r="PDF291" s="592"/>
      <c r="PDG291" s="592"/>
      <c r="PDH291" s="592"/>
      <c r="PDI291" s="592"/>
      <c r="PDJ291" s="592"/>
      <c r="PDK291" s="592"/>
      <c r="PDL291" s="592"/>
      <c r="PDM291" s="592"/>
      <c r="PDN291" s="592"/>
      <c r="PDO291" s="592"/>
      <c r="PDP291" s="592"/>
      <c r="PDQ291" s="592"/>
      <c r="PDR291" s="592"/>
      <c r="PDS291" s="592"/>
      <c r="PDT291" s="592"/>
      <c r="PDU291" s="592"/>
      <c r="PDV291" s="592"/>
      <c r="PDW291" s="592"/>
      <c r="PDX291" s="592"/>
      <c r="PDY291" s="592"/>
      <c r="PDZ291" s="592"/>
      <c r="PEA291" s="592"/>
      <c r="PEB291" s="592"/>
      <c r="PEC291" s="592"/>
      <c r="PED291" s="592"/>
      <c r="PEE291" s="592"/>
      <c r="PEF291" s="592"/>
      <c r="PEG291" s="592"/>
      <c r="PEH291" s="592"/>
      <c r="PEI291" s="592"/>
      <c r="PEJ291" s="592"/>
      <c r="PEK291" s="592"/>
      <c r="PEL291" s="592"/>
      <c r="PEM291" s="592"/>
      <c r="PEN291" s="592"/>
      <c r="PEO291" s="592"/>
      <c r="PEP291" s="592"/>
      <c r="PEQ291" s="592"/>
      <c r="PER291" s="592"/>
      <c r="PES291" s="592"/>
      <c r="PET291" s="592"/>
      <c r="PEU291" s="592"/>
      <c r="PEV291" s="592"/>
      <c r="PEW291" s="592"/>
      <c r="PEX291" s="592"/>
      <c r="PEY291" s="592"/>
      <c r="PEZ291" s="592"/>
      <c r="PFA291" s="592"/>
      <c r="PFB291" s="592"/>
      <c r="PFC291" s="592"/>
      <c r="PFD291" s="592"/>
      <c r="PFE291" s="592"/>
      <c r="PFF291" s="592"/>
      <c r="PFG291" s="592"/>
      <c r="PFH291" s="592"/>
      <c r="PFI291" s="592"/>
      <c r="PFJ291" s="592"/>
      <c r="PFK291" s="592"/>
      <c r="PFL291" s="592"/>
      <c r="PFM291" s="592"/>
      <c r="PFN291" s="592"/>
      <c r="PFO291" s="592"/>
      <c r="PFP291" s="592"/>
      <c r="PFQ291" s="592"/>
      <c r="PFR291" s="592"/>
      <c r="PFS291" s="592"/>
      <c r="PFT291" s="592"/>
      <c r="PFU291" s="592"/>
      <c r="PFV291" s="592"/>
      <c r="PFW291" s="592"/>
      <c r="PFX291" s="592"/>
      <c r="PFY291" s="592"/>
      <c r="PFZ291" s="592"/>
      <c r="PGA291" s="592"/>
      <c r="PGB291" s="592"/>
      <c r="PGC291" s="592"/>
      <c r="PGD291" s="592"/>
      <c r="PGE291" s="592"/>
      <c r="PGF291" s="592"/>
      <c r="PGG291" s="592"/>
      <c r="PGH291" s="592"/>
      <c r="PGI291" s="592"/>
      <c r="PGJ291" s="592"/>
      <c r="PGK291" s="592"/>
      <c r="PGL291" s="592"/>
      <c r="PGM291" s="592"/>
      <c r="PGN291" s="592"/>
      <c r="PGO291" s="592"/>
      <c r="PGP291" s="592"/>
      <c r="PGQ291" s="592"/>
      <c r="PGR291" s="592"/>
      <c r="PGS291" s="592"/>
      <c r="PGT291" s="592"/>
      <c r="PGU291" s="592"/>
      <c r="PGV291" s="592"/>
      <c r="PGW291" s="592"/>
      <c r="PGX291" s="592"/>
      <c r="PGY291" s="592"/>
      <c r="PGZ291" s="592"/>
      <c r="PHA291" s="592"/>
      <c r="PHB291" s="592"/>
      <c r="PHC291" s="592"/>
      <c r="PHD291" s="592"/>
      <c r="PHE291" s="592"/>
      <c r="PHF291" s="592"/>
      <c r="PHG291" s="592"/>
      <c r="PHH291" s="592"/>
      <c r="PHI291" s="592"/>
      <c r="PHJ291" s="592"/>
      <c r="PHK291" s="592"/>
      <c r="PHL291" s="592"/>
      <c r="PHM291" s="592"/>
      <c r="PHN291" s="592"/>
      <c r="PHO291" s="592"/>
      <c r="PHP291" s="592"/>
      <c r="PHQ291" s="592"/>
      <c r="PHR291" s="592"/>
      <c r="PHS291" s="592"/>
      <c r="PHT291" s="592"/>
      <c r="PHU291" s="592"/>
      <c r="PHV291" s="592"/>
      <c r="PHW291" s="592"/>
      <c r="PHX291" s="592"/>
      <c r="PHY291" s="592"/>
      <c r="PHZ291" s="592"/>
      <c r="PIA291" s="592"/>
      <c r="PIB291" s="592"/>
      <c r="PIC291" s="592"/>
      <c r="PID291" s="592"/>
      <c r="PIE291" s="592"/>
      <c r="PIF291" s="592"/>
      <c r="PIG291" s="592"/>
      <c r="PIH291" s="592"/>
      <c r="PII291" s="592"/>
      <c r="PIJ291" s="592"/>
      <c r="PIK291" s="592"/>
      <c r="PIL291" s="592"/>
      <c r="PIM291" s="592"/>
      <c r="PIN291" s="592"/>
      <c r="PIO291" s="592"/>
      <c r="PIP291" s="592"/>
      <c r="PIQ291" s="592"/>
      <c r="PIR291" s="592"/>
      <c r="PIS291" s="592"/>
      <c r="PIT291" s="592"/>
      <c r="PIU291" s="592"/>
      <c r="PIV291" s="592"/>
      <c r="PIW291" s="592"/>
      <c r="PIX291" s="592"/>
      <c r="PIY291" s="592"/>
      <c r="PIZ291" s="592"/>
      <c r="PJA291" s="592"/>
      <c r="PJB291" s="592"/>
      <c r="PJC291" s="592"/>
      <c r="PJD291" s="592"/>
      <c r="PJE291" s="592"/>
      <c r="PJF291" s="592"/>
      <c r="PJG291" s="592"/>
      <c r="PJH291" s="592"/>
      <c r="PJI291" s="592"/>
      <c r="PJJ291" s="592"/>
      <c r="PJK291" s="592"/>
      <c r="PJL291" s="592"/>
      <c r="PJM291" s="592"/>
      <c r="PJN291" s="592"/>
      <c r="PJO291" s="592"/>
      <c r="PJP291" s="592"/>
      <c r="PJQ291" s="592"/>
      <c r="PJR291" s="592"/>
      <c r="PJS291" s="592"/>
      <c r="PJT291" s="592"/>
      <c r="PJU291" s="592"/>
      <c r="PJV291" s="592"/>
      <c r="PJW291" s="592"/>
      <c r="PJX291" s="592"/>
      <c r="PJY291" s="592"/>
      <c r="PJZ291" s="592"/>
      <c r="PKA291" s="592"/>
      <c r="PKB291" s="592"/>
      <c r="PKC291" s="592"/>
      <c r="PKD291" s="592"/>
      <c r="PKE291" s="592"/>
      <c r="PKF291" s="592"/>
      <c r="PKG291" s="592"/>
      <c r="PKH291" s="592"/>
      <c r="PKI291" s="592"/>
      <c r="PKJ291" s="592"/>
      <c r="PKK291" s="592"/>
      <c r="PKL291" s="592"/>
      <c r="PKM291" s="592"/>
      <c r="PKN291" s="592"/>
      <c r="PKO291" s="592"/>
      <c r="PKP291" s="592"/>
      <c r="PKQ291" s="592"/>
      <c r="PKR291" s="592"/>
      <c r="PKS291" s="592"/>
      <c r="PKT291" s="592"/>
      <c r="PKU291" s="592"/>
      <c r="PKV291" s="592"/>
      <c r="PKW291" s="592"/>
      <c r="PKX291" s="592"/>
      <c r="PKY291" s="592"/>
      <c r="PKZ291" s="592"/>
      <c r="PLA291" s="592"/>
      <c r="PLB291" s="592"/>
      <c r="PLC291" s="592"/>
      <c r="PLD291" s="592"/>
      <c r="PLE291" s="592"/>
      <c r="PLF291" s="592"/>
      <c r="PLG291" s="592"/>
      <c r="PLH291" s="592"/>
      <c r="PLI291" s="592"/>
      <c r="PLJ291" s="592"/>
      <c r="PLK291" s="592"/>
      <c r="PLL291" s="592"/>
      <c r="PLM291" s="592"/>
      <c r="PLN291" s="592"/>
      <c r="PLO291" s="592"/>
      <c r="PLP291" s="592"/>
      <c r="PLQ291" s="592"/>
      <c r="PLR291" s="592"/>
      <c r="PLS291" s="592"/>
      <c r="PLT291" s="592"/>
      <c r="PLU291" s="592"/>
      <c r="PLV291" s="592"/>
      <c r="PLW291" s="592"/>
      <c r="PLX291" s="592"/>
      <c r="PLY291" s="592"/>
      <c r="PLZ291" s="592"/>
      <c r="PMA291" s="592"/>
      <c r="PMB291" s="592"/>
      <c r="PMC291" s="592"/>
      <c r="PMD291" s="592"/>
      <c r="PME291" s="592"/>
      <c r="PMF291" s="592"/>
      <c r="PMG291" s="592"/>
      <c r="PMH291" s="592"/>
      <c r="PMI291" s="592"/>
      <c r="PMJ291" s="592"/>
      <c r="PMK291" s="592"/>
      <c r="PML291" s="592"/>
      <c r="PMM291" s="592"/>
      <c r="PMN291" s="592"/>
      <c r="PMO291" s="592"/>
      <c r="PMP291" s="592"/>
      <c r="PMQ291" s="592"/>
      <c r="PMR291" s="592"/>
      <c r="PMS291" s="592"/>
      <c r="PMT291" s="592"/>
      <c r="PMU291" s="592"/>
      <c r="PMV291" s="592"/>
      <c r="PMW291" s="592"/>
      <c r="PMX291" s="592"/>
      <c r="PMY291" s="592"/>
      <c r="PMZ291" s="592"/>
      <c r="PNA291" s="592"/>
      <c r="PNB291" s="592"/>
      <c r="PNC291" s="592"/>
      <c r="PND291" s="592"/>
      <c r="PNE291" s="592"/>
      <c r="PNF291" s="592"/>
      <c r="PNG291" s="592"/>
      <c r="PNH291" s="592"/>
      <c r="PNI291" s="592"/>
      <c r="PNJ291" s="592"/>
      <c r="PNK291" s="592"/>
      <c r="PNL291" s="592"/>
      <c r="PNM291" s="592"/>
      <c r="PNN291" s="592"/>
      <c r="PNO291" s="592"/>
      <c r="PNP291" s="592"/>
      <c r="PNQ291" s="592"/>
      <c r="PNR291" s="592"/>
      <c r="PNS291" s="592"/>
      <c r="PNT291" s="592"/>
      <c r="PNU291" s="592"/>
      <c r="PNV291" s="592"/>
      <c r="PNW291" s="592"/>
      <c r="PNX291" s="592"/>
      <c r="PNY291" s="592"/>
      <c r="PNZ291" s="592"/>
      <c r="POA291" s="592"/>
      <c r="POB291" s="592"/>
      <c r="POC291" s="592"/>
      <c r="POD291" s="592"/>
      <c r="POE291" s="592"/>
      <c r="POF291" s="592"/>
      <c r="POG291" s="592"/>
      <c r="POH291" s="592"/>
      <c r="POI291" s="592"/>
      <c r="POJ291" s="592"/>
      <c r="POK291" s="592"/>
      <c r="POL291" s="592"/>
      <c r="POM291" s="592"/>
      <c r="PON291" s="592"/>
      <c r="POO291" s="592"/>
      <c r="POP291" s="592"/>
      <c r="POQ291" s="592"/>
      <c r="POR291" s="592"/>
      <c r="POS291" s="592"/>
      <c r="POT291" s="592"/>
      <c r="POU291" s="592"/>
      <c r="POV291" s="592"/>
      <c r="POW291" s="592"/>
      <c r="POX291" s="592"/>
      <c r="POY291" s="592"/>
      <c r="POZ291" s="592"/>
      <c r="PPA291" s="592"/>
      <c r="PPB291" s="592"/>
      <c r="PPC291" s="592"/>
      <c r="PPD291" s="592"/>
      <c r="PPE291" s="592"/>
      <c r="PPF291" s="592"/>
      <c r="PPG291" s="592"/>
      <c r="PPH291" s="592"/>
      <c r="PPI291" s="592"/>
      <c r="PPJ291" s="592"/>
      <c r="PPK291" s="592"/>
      <c r="PPL291" s="592"/>
      <c r="PPM291" s="592"/>
      <c r="PPN291" s="592"/>
      <c r="PPO291" s="592"/>
      <c r="PPP291" s="592"/>
      <c r="PPQ291" s="592"/>
      <c r="PPR291" s="592"/>
      <c r="PPS291" s="592"/>
      <c r="PPT291" s="592"/>
      <c r="PPU291" s="592"/>
      <c r="PPV291" s="592"/>
      <c r="PPW291" s="592"/>
      <c r="PPX291" s="592"/>
      <c r="PPY291" s="592"/>
      <c r="PPZ291" s="592"/>
      <c r="PQA291" s="592"/>
      <c r="PQB291" s="592"/>
      <c r="PQC291" s="592"/>
      <c r="PQD291" s="592"/>
      <c r="PQE291" s="592"/>
      <c r="PQF291" s="592"/>
      <c r="PQG291" s="592"/>
      <c r="PQH291" s="592"/>
      <c r="PQI291" s="592"/>
      <c r="PQJ291" s="592"/>
      <c r="PQK291" s="592"/>
      <c r="PQL291" s="592"/>
      <c r="PQM291" s="592"/>
      <c r="PQN291" s="592"/>
      <c r="PQO291" s="592"/>
      <c r="PQP291" s="592"/>
      <c r="PQQ291" s="592"/>
      <c r="PQR291" s="592"/>
      <c r="PQS291" s="592"/>
      <c r="PQT291" s="592"/>
      <c r="PQU291" s="592"/>
      <c r="PQV291" s="592"/>
      <c r="PQW291" s="592"/>
      <c r="PQX291" s="592"/>
      <c r="PQY291" s="592"/>
      <c r="PQZ291" s="592"/>
      <c r="PRA291" s="592"/>
      <c r="PRB291" s="592"/>
      <c r="PRC291" s="592"/>
      <c r="PRD291" s="592"/>
      <c r="PRE291" s="592"/>
      <c r="PRF291" s="592"/>
      <c r="PRG291" s="592"/>
      <c r="PRH291" s="592"/>
      <c r="PRI291" s="592"/>
      <c r="PRJ291" s="592"/>
      <c r="PRK291" s="592"/>
      <c r="PRL291" s="592"/>
      <c r="PRM291" s="592"/>
      <c r="PRN291" s="592"/>
      <c r="PRO291" s="592"/>
      <c r="PRP291" s="592"/>
      <c r="PRQ291" s="592"/>
      <c r="PRR291" s="592"/>
      <c r="PRS291" s="592"/>
      <c r="PRT291" s="592"/>
      <c r="PRU291" s="592"/>
      <c r="PRV291" s="592"/>
      <c r="PRW291" s="592"/>
      <c r="PRX291" s="592"/>
      <c r="PRY291" s="592"/>
      <c r="PRZ291" s="592"/>
      <c r="PSA291" s="592"/>
      <c r="PSB291" s="592"/>
      <c r="PSC291" s="592"/>
      <c r="PSD291" s="592"/>
      <c r="PSE291" s="592"/>
      <c r="PSF291" s="592"/>
      <c r="PSG291" s="592"/>
      <c r="PSH291" s="592"/>
      <c r="PSI291" s="592"/>
      <c r="PSJ291" s="592"/>
      <c r="PSK291" s="592"/>
      <c r="PSL291" s="592"/>
      <c r="PSM291" s="592"/>
      <c r="PSN291" s="592"/>
      <c r="PSO291" s="592"/>
      <c r="PSP291" s="592"/>
      <c r="PSQ291" s="592"/>
      <c r="PSR291" s="592"/>
      <c r="PSS291" s="592"/>
      <c r="PST291" s="592"/>
      <c r="PSU291" s="592"/>
      <c r="PSV291" s="592"/>
      <c r="PSW291" s="592"/>
      <c r="PSX291" s="592"/>
      <c r="PSY291" s="592"/>
      <c r="PSZ291" s="592"/>
      <c r="PTA291" s="592"/>
      <c r="PTB291" s="592"/>
      <c r="PTC291" s="592"/>
      <c r="PTD291" s="592"/>
      <c r="PTE291" s="592"/>
      <c r="PTF291" s="592"/>
      <c r="PTG291" s="592"/>
      <c r="PTH291" s="592"/>
      <c r="PTI291" s="592"/>
      <c r="PTJ291" s="592"/>
      <c r="PTK291" s="592"/>
      <c r="PTL291" s="592"/>
      <c r="PTM291" s="592"/>
      <c r="PTN291" s="592"/>
      <c r="PTO291" s="592"/>
      <c r="PTP291" s="592"/>
      <c r="PTQ291" s="592"/>
      <c r="PTR291" s="592"/>
      <c r="PTS291" s="592"/>
      <c r="PTT291" s="592"/>
      <c r="PTU291" s="592"/>
      <c r="PTV291" s="592"/>
      <c r="PTW291" s="592"/>
      <c r="PTX291" s="592"/>
      <c r="PTY291" s="592"/>
      <c r="PTZ291" s="592"/>
      <c r="PUA291" s="592"/>
      <c r="PUB291" s="592"/>
      <c r="PUC291" s="592"/>
      <c r="PUD291" s="592"/>
      <c r="PUE291" s="592"/>
      <c r="PUF291" s="592"/>
      <c r="PUG291" s="592"/>
      <c r="PUH291" s="592"/>
      <c r="PUI291" s="592"/>
      <c r="PUJ291" s="592"/>
      <c r="PUK291" s="592"/>
      <c r="PUL291" s="592"/>
      <c r="PUM291" s="592"/>
      <c r="PUN291" s="592"/>
      <c r="PUO291" s="592"/>
      <c r="PUP291" s="592"/>
      <c r="PUQ291" s="592"/>
      <c r="PUR291" s="592"/>
      <c r="PUS291" s="592"/>
      <c r="PUT291" s="592"/>
      <c r="PUU291" s="592"/>
      <c r="PUV291" s="592"/>
      <c r="PUW291" s="592"/>
      <c r="PUX291" s="592"/>
      <c r="PUY291" s="592"/>
      <c r="PUZ291" s="592"/>
      <c r="PVA291" s="592"/>
      <c r="PVB291" s="592"/>
      <c r="PVC291" s="592"/>
      <c r="PVD291" s="592"/>
      <c r="PVE291" s="592"/>
      <c r="PVF291" s="592"/>
      <c r="PVG291" s="592"/>
      <c r="PVH291" s="592"/>
      <c r="PVI291" s="592"/>
      <c r="PVJ291" s="592"/>
      <c r="PVK291" s="592"/>
      <c r="PVL291" s="592"/>
      <c r="PVM291" s="592"/>
      <c r="PVN291" s="592"/>
      <c r="PVO291" s="592"/>
      <c r="PVP291" s="592"/>
      <c r="PVQ291" s="592"/>
      <c r="PVR291" s="592"/>
      <c r="PVS291" s="592"/>
      <c r="PVT291" s="592"/>
      <c r="PVU291" s="592"/>
      <c r="PVV291" s="592"/>
      <c r="PVW291" s="592"/>
      <c r="PVX291" s="592"/>
      <c r="PVY291" s="592"/>
      <c r="PVZ291" s="592"/>
      <c r="PWA291" s="592"/>
      <c r="PWB291" s="592"/>
      <c r="PWC291" s="592"/>
      <c r="PWD291" s="592"/>
      <c r="PWE291" s="592"/>
      <c r="PWF291" s="592"/>
      <c r="PWG291" s="592"/>
      <c r="PWH291" s="592"/>
      <c r="PWI291" s="592"/>
      <c r="PWJ291" s="592"/>
      <c r="PWK291" s="592"/>
      <c r="PWL291" s="592"/>
      <c r="PWM291" s="592"/>
      <c r="PWN291" s="592"/>
      <c r="PWO291" s="592"/>
      <c r="PWP291" s="592"/>
      <c r="PWQ291" s="592"/>
      <c r="PWR291" s="592"/>
      <c r="PWS291" s="592"/>
      <c r="PWT291" s="592"/>
      <c r="PWU291" s="592"/>
      <c r="PWV291" s="592"/>
      <c r="PWW291" s="592"/>
      <c r="PWX291" s="592"/>
      <c r="PWY291" s="592"/>
      <c r="PWZ291" s="592"/>
      <c r="PXA291" s="592"/>
      <c r="PXB291" s="592"/>
      <c r="PXC291" s="592"/>
      <c r="PXD291" s="592"/>
      <c r="PXE291" s="592"/>
      <c r="PXF291" s="592"/>
      <c r="PXG291" s="592"/>
      <c r="PXH291" s="592"/>
      <c r="PXI291" s="592"/>
      <c r="PXJ291" s="592"/>
      <c r="PXK291" s="592"/>
      <c r="PXL291" s="592"/>
      <c r="PXM291" s="592"/>
      <c r="PXN291" s="592"/>
      <c r="PXO291" s="592"/>
      <c r="PXP291" s="592"/>
      <c r="PXQ291" s="592"/>
      <c r="PXR291" s="592"/>
      <c r="PXS291" s="592"/>
      <c r="PXT291" s="592"/>
      <c r="PXU291" s="592"/>
      <c r="PXV291" s="592"/>
      <c r="PXW291" s="592"/>
      <c r="PXX291" s="592"/>
      <c r="PXY291" s="592"/>
      <c r="PXZ291" s="592"/>
      <c r="PYA291" s="592"/>
      <c r="PYB291" s="592"/>
      <c r="PYC291" s="592"/>
      <c r="PYD291" s="592"/>
      <c r="PYE291" s="592"/>
      <c r="PYF291" s="592"/>
      <c r="PYG291" s="592"/>
      <c r="PYH291" s="592"/>
      <c r="PYI291" s="592"/>
      <c r="PYJ291" s="592"/>
      <c r="PYK291" s="592"/>
      <c r="PYL291" s="592"/>
      <c r="PYM291" s="592"/>
      <c r="PYN291" s="592"/>
      <c r="PYO291" s="592"/>
      <c r="PYP291" s="592"/>
      <c r="PYQ291" s="592"/>
      <c r="PYR291" s="592"/>
      <c r="PYS291" s="592"/>
      <c r="PYT291" s="592"/>
      <c r="PYU291" s="592"/>
      <c r="PYV291" s="592"/>
      <c r="PYW291" s="592"/>
      <c r="PYX291" s="592"/>
      <c r="PYY291" s="592"/>
      <c r="PYZ291" s="592"/>
      <c r="PZA291" s="592"/>
      <c r="PZB291" s="592"/>
      <c r="PZC291" s="592"/>
      <c r="PZD291" s="592"/>
      <c r="PZE291" s="592"/>
      <c r="PZF291" s="592"/>
      <c r="PZG291" s="592"/>
      <c r="PZH291" s="592"/>
      <c r="PZI291" s="592"/>
      <c r="PZJ291" s="592"/>
      <c r="PZK291" s="592"/>
      <c r="PZL291" s="592"/>
      <c r="PZM291" s="592"/>
      <c r="PZN291" s="592"/>
      <c r="PZO291" s="592"/>
      <c r="PZP291" s="592"/>
      <c r="PZQ291" s="592"/>
      <c r="PZR291" s="592"/>
      <c r="PZS291" s="592"/>
      <c r="PZT291" s="592"/>
      <c r="PZU291" s="592"/>
      <c r="PZV291" s="592"/>
      <c r="PZW291" s="592"/>
      <c r="PZX291" s="592"/>
      <c r="PZY291" s="592"/>
      <c r="PZZ291" s="592"/>
      <c r="QAA291" s="592"/>
      <c r="QAB291" s="592"/>
      <c r="QAC291" s="592"/>
      <c r="QAD291" s="592"/>
      <c r="QAE291" s="592"/>
      <c r="QAF291" s="592"/>
      <c r="QAG291" s="592"/>
      <c r="QAH291" s="592"/>
      <c r="QAI291" s="592"/>
      <c r="QAJ291" s="592"/>
      <c r="QAK291" s="592"/>
      <c r="QAL291" s="592"/>
      <c r="QAM291" s="592"/>
      <c r="QAN291" s="592"/>
      <c r="QAO291" s="592"/>
      <c r="QAP291" s="592"/>
      <c r="QAQ291" s="592"/>
      <c r="QAR291" s="592"/>
      <c r="QAS291" s="592"/>
      <c r="QAT291" s="592"/>
      <c r="QAU291" s="592"/>
      <c r="QAV291" s="592"/>
      <c r="QAW291" s="592"/>
      <c r="QAX291" s="592"/>
      <c r="QAY291" s="592"/>
      <c r="QAZ291" s="592"/>
      <c r="QBA291" s="592"/>
      <c r="QBB291" s="592"/>
      <c r="QBC291" s="592"/>
      <c r="QBD291" s="592"/>
      <c r="QBE291" s="592"/>
      <c r="QBF291" s="592"/>
      <c r="QBG291" s="592"/>
      <c r="QBH291" s="592"/>
      <c r="QBI291" s="592"/>
      <c r="QBJ291" s="592"/>
      <c r="QBK291" s="592"/>
      <c r="QBL291" s="592"/>
      <c r="QBM291" s="592"/>
      <c r="QBN291" s="592"/>
      <c r="QBO291" s="592"/>
      <c r="QBP291" s="592"/>
      <c r="QBQ291" s="592"/>
      <c r="QBR291" s="592"/>
      <c r="QBS291" s="592"/>
      <c r="QBT291" s="592"/>
      <c r="QBU291" s="592"/>
      <c r="QBV291" s="592"/>
      <c r="QBW291" s="592"/>
      <c r="QBX291" s="592"/>
      <c r="QBY291" s="592"/>
      <c r="QBZ291" s="592"/>
      <c r="QCA291" s="592"/>
      <c r="QCB291" s="592"/>
      <c r="QCC291" s="592"/>
      <c r="QCD291" s="592"/>
      <c r="QCE291" s="592"/>
      <c r="QCF291" s="592"/>
      <c r="QCG291" s="592"/>
      <c r="QCH291" s="592"/>
      <c r="QCI291" s="592"/>
      <c r="QCJ291" s="592"/>
      <c r="QCK291" s="592"/>
      <c r="QCL291" s="592"/>
      <c r="QCM291" s="592"/>
      <c r="QCN291" s="592"/>
      <c r="QCO291" s="592"/>
      <c r="QCP291" s="592"/>
      <c r="QCQ291" s="592"/>
      <c r="QCR291" s="592"/>
      <c r="QCS291" s="592"/>
      <c r="QCT291" s="592"/>
      <c r="QCU291" s="592"/>
      <c r="QCV291" s="592"/>
      <c r="QCW291" s="592"/>
      <c r="QCX291" s="592"/>
      <c r="QCY291" s="592"/>
      <c r="QCZ291" s="592"/>
      <c r="QDA291" s="592"/>
      <c r="QDB291" s="592"/>
      <c r="QDC291" s="592"/>
      <c r="QDD291" s="592"/>
      <c r="QDE291" s="592"/>
      <c r="QDF291" s="592"/>
      <c r="QDG291" s="592"/>
      <c r="QDH291" s="592"/>
      <c r="QDI291" s="592"/>
      <c r="QDJ291" s="592"/>
      <c r="QDK291" s="592"/>
      <c r="QDL291" s="592"/>
      <c r="QDM291" s="592"/>
      <c r="QDN291" s="592"/>
      <c r="QDO291" s="592"/>
      <c r="QDP291" s="592"/>
      <c r="QDQ291" s="592"/>
      <c r="QDR291" s="592"/>
      <c r="QDS291" s="592"/>
      <c r="QDT291" s="592"/>
      <c r="QDU291" s="592"/>
      <c r="QDV291" s="592"/>
      <c r="QDW291" s="592"/>
      <c r="QDX291" s="592"/>
      <c r="QDY291" s="592"/>
      <c r="QDZ291" s="592"/>
      <c r="QEA291" s="592"/>
      <c r="QEB291" s="592"/>
      <c r="QEC291" s="592"/>
      <c r="QED291" s="592"/>
      <c r="QEE291" s="592"/>
      <c r="QEF291" s="592"/>
      <c r="QEG291" s="592"/>
      <c r="QEH291" s="592"/>
      <c r="QEI291" s="592"/>
      <c r="QEJ291" s="592"/>
      <c r="QEK291" s="592"/>
      <c r="QEL291" s="592"/>
      <c r="QEM291" s="592"/>
      <c r="QEN291" s="592"/>
      <c r="QEO291" s="592"/>
      <c r="QEP291" s="592"/>
      <c r="QEQ291" s="592"/>
      <c r="QER291" s="592"/>
      <c r="QES291" s="592"/>
      <c r="QET291" s="592"/>
      <c r="QEU291" s="592"/>
      <c r="QEV291" s="592"/>
      <c r="QEW291" s="592"/>
      <c r="QEX291" s="592"/>
      <c r="QEY291" s="592"/>
      <c r="QEZ291" s="592"/>
      <c r="QFA291" s="592"/>
      <c r="QFB291" s="592"/>
      <c r="QFC291" s="592"/>
      <c r="QFD291" s="592"/>
      <c r="QFE291" s="592"/>
      <c r="QFF291" s="592"/>
      <c r="QFG291" s="592"/>
      <c r="QFH291" s="592"/>
      <c r="QFI291" s="592"/>
      <c r="QFJ291" s="592"/>
      <c r="QFK291" s="592"/>
      <c r="QFL291" s="592"/>
      <c r="QFM291" s="592"/>
      <c r="QFN291" s="592"/>
      <c r="QFO291" s="592"/>
      <c r="QFP291" s="592"/>
      <c r="QFQ291" s="592"/>
      <c r="QFR291" s="592"/>
      <c r="QFS291" s="592"/>
      <c r="QFT291" s="592"/>
      <c r="QFU291" s="592"/>
      <c r="QFV291" s="592"/>
      <c r="QFW291" s="592"/>
      <c r="QFX291" s="592"/>
      <c r="QFY291" s="592"/>
      <c r="QFZ291" s="592"/>
      <c r="QGA291" s="592"/>
      <c r="QGB291" s="592"/>
      <c r="QGC291" s="592"/>
      <c r="QGD291" s="592"/>
      <c r="QGE291" s="592"/>
      <c r="QGF291" s="592"/>
      <c r="QGG291" s="592"/>
      <c r="QGH291" s="592"/>
      <c r="QGI291" s="592"/>
      <c r="QGJ291" s="592"/>
      <c r="QGK291" s="592"/>
      <c r="QGL291" s="592"/>
      <c r="QGM291" s="592"/>
      <c r="QGN291" s="592"/>
      <c r="QGO291" s="592"/>
      <c r="QGP291" s="592"/>
      <c r="QGQ291" s="592"/>
      <c r="QGR291" s="592"/>
      <c r="QGS291" s="592"/>
      <c r="QGT291" s="592"/>
      <c r="QGU291" s="592"/>
      <c r="QGV291" s="592"/>
      <c r="QGW291" s="592"/>
      <c r="QGX291" s="592"/>
      <c r="QGY291" s="592"/>
      <c r="QGZ291" s="592"/>
      <c r="QHA291" s="592"/>
      <c r="QHB291" s="592"/>
      <c r="QHC291" s="592"/>
      <c r="QHD291" s="592"/>
      <c r="QHE291" s="592"/>
      <c r="QHF291" s="592"/>
      <c r="QHG291" s="592"/>
      <c r="QHH291" s="592"/>
      <c r="QHI291" s="592"/>
      <c r="QHJ291" s="592"/>
      <c r="QHK291" s="592"/>
      <c r="QHL291" s="592"/>
      <c r="QHM291" s="592"/>
      <c r="QHN291" s="592"/>
      <c r="QHO291" s="592"/>
      <c r="QHP291" s="592"/>
      <c r="QHQ291" s="592"/>
      <c r="QHR291" s="592"/>
      <c r="QHS291" s="592"/>
      <c r="QHT291" s="592"/>
      <c r="QHU291" s="592"/>
      <c r="QHV291" s="592"/>
      <c r="QHW291" s="592"/>
      <c r="QHX291" s="592"/>
      <c r="QHY291" s="592"/>
      <c r="QHZ291" s="592"/>
      <c r="QIA291" s="592"/>
      <c r="QIB291" s="592"/>
      <c r="QIC291" s="592"/>
      <c r="QID291" s="592"/>
      <c r="QIE291" s="592"/>
      <c r="QIF291" s="592"/>
      <c r="QIG291" s="592"/>
      <c r="QIH291" s="592"/>
      <c r="QII291" s="592"/>
      <c r="QIJ291" s="592"/>
      <c r="QIK291" s="592"/>
      <c r="QIL291" s="592"/>
      <c r="QIM291" s="592"/>
      <c r="QIN291" s="592"/>
      <c r="QIO291" s="592"/>
      <c r="QIP291" s="592"/>
      <c r="QIQ291" s="592"/>
      <c r="QIR291" s="592"/>
      <c r="QIS291" s="592"/>
      <c r="QIT291" s="592"/>
      <c r="QIU291" s="592"/>
      <c r="QIV291" s="592"/>
      <c r="QIW291" s="592"/>
      <c r="QIX291" s="592"/>
      <c r="QIY291" s="592"/>
      <c r="QIZ291" s="592"/>
      <c r="QJA291" s="592"/>
      <c r="QJB291" s="592"/>
      <c r="QJC291" s="592"/>
      <c r="QJD291" s="592"/>
      <c r="QJE291" s="592"/>
      <c r="QJF291" s="592"/>
      <c r="QJG291" s="592"/>
      <c r="QJH291" s="592"/>
      <c r="QJI291" s="592"/>
      <c r="QJJ291" s="592"/>
      <c r="QJK291" s="592"/>
      <c r="QJL291" s="592"/>
      <c r="QJM291" s="592"/>
      <c r="QJN291" s="592"/>
      <c r="QJO291" s="592"/>
      <c r="QJP291" s="592"/>
      <c r="QJQ291" s="592"/>
      <c r="QJR291" s="592"/>
      <c r="QJS291" s="592"/>
      <c r="QJT291" s="592"/>
      <c r="QJU291" s="592"/>
      <c r="QJV291" s="592"/>
      <c r="QJW291" s="592"/>
      <c r="QJX291" s="592"/>
      <c r="QJY291" s="592"/>
      <c r="QJZ291" s="592"/>
      <c r="QKA291" s="592"/>
      <c r="QKB291" s="592"/>
      <c r="QKC291" s="592"/>
      <c r="QKD291" s="592"/>
      <c r="QKE291" s="592"/>
      <c r="QKF291" s="592"/>
      <c r="QKG291" s="592"/>
      <c r="QKH291" s="592"/>
      <c r="QKI291" s="592"/>
      <c r="QKJ291" s="592"/>
      <c r="QKK291" s="592"/>
      <c r="QKL291" s="592"/>
      <c r="QKM291" s="592"/>
      <c r="QKN291" s="592"/>
      <c r="QKO291" s="592"/>
      <c r="QKP291" s="592"/>
      <c r="QKQ291" s="592"/>
      <c r="QKR291" s="592"/>
      <c r="QKS291" s="592"/>
      <c r="QKT291" s="592"/>
      <c r="QKU291" s="592"/>
      <c r="QKV291" s="592"/>
      <c r="QKW291" s="592"/>
      <c r="QKX291" s="592"/>
      <c r="QKY291" s="592"/>
      <c r="QKZ291" s="592"/>
      <c r="QLA291" s="592"/>
      <c r="QLB291" s="592"/>
      <c r="QLC291" s="592"/>
      <c r="QLD291" s="592"/>
      <c r="QLE291" s="592"/>
      <c r="QLF291" s="592"/>
      <c r="QLG291" s="592"/>
      <c r="QLH291" s="592"/>
      <c r="QLI291" s="592"/>
      <c r="QLJ291" s="592"/>
      <c r="QLK291" s="592"/>
      <c r="QLL291" s="592"/>
      <c r="QLM291" s="592"/>
      <c r="QLN291" s="592"/>
      <c r="QLO291" s="592"/>
      <c r="QLP291" s="592"/>
      <c r="QLQ291" s="592"/>
      <c r="QLR291" s="592"/>
      <c r="QLS291" s="592"/>
      <c r="QLT291" s="592"/>
      <c r="QLU291" s="592"/>
      <c r="QLV291" s="592"/>
      <c r="QLW291" s="592"/>
      <c r="QLX291" s="592"/>
      <c r="QLY291" s="592"/>
      <c r="QLZ291" s="592"/>
      <c r="QMA291" s="592"/>
      <c r="QMB291" s="592"/>
      <c r="QMC291" s="592"/>
      <c r="QMD291" s="592"/>
      <c r="QME291" s="592"/>
      <c r="QMF291" s="592"/>
      <c r="QMG291" s="592"/>
      <c r="QMH291" s="592"/>
      <c r="QMI291" s="592"/>
      <c r="QMJ291" s="592"/>
      <c r="QMK291" s="592"/>
      <c r="QML291" s="592"/>
      <c r="QMM291" s="592"/>
      <c r="QMN291" s="592"/>
      <c r="QMO291" s="592"/>
      <c r="QMP291" s="592"/>
      <c r="QMQ291" s="592"/>
      <c r="QMR291" s="592"/>
      <c r="QMS291" s="592"/>
      <c r="QMT291" s="592"/>
      <c r="QMU291" s="592"/>
      <c r="QMV291" s="592"/>
      <c r="QMW291" s="592"/>
      <c r="QMX291" s="592"/>
      <c r="QMY291" s="592"/>
      <c r="QMZ291" s="592"/>
      <c r="QNA291" s="592"/>
      <c r="QNB291" s="592"/>
      <c r="QNC291" s="592"/>
      <c r="QND291" s="592"/>
      <c r="QNE291" s="592"/>
      <c r="QNF291" s="592"/>
      <c r="QNG291" s="592"/>
      <c r="QNH291" s="592"/>
      <c r="QNI291" s="592"/>
      <c r="QNJ291" s="592"/>
      <c r="QNK291" s="592"/>
      <c r="QNL291" s="592"/>
      <c r="QNM291" s="592"/>
      <c r="QNN291" s="592"/>
      <c r="QNO291" s="592"/>
      <c r="QNP291" s="592"/>
      <c r="QNQ291" s="592"/>
      <c r="QNR291" s="592"/>
      <c r="QNS291" s="592"/>
      <c r="QNT291" s="592"/>
      <c r="QNU291" s="592"/>
      <c r="QNV291" s="592"/>
      <c r="QNW291" s="592"/>
      <c r="QNX291" s="592"/>
      <c r="QNY291" s="592"/>
      <c r="QNZ291" s="592"/>
      <c r="QOA291" s="592"/>
      <c r="QOB291" s="592"/>
      <c r="QOC291" s="592"/>
      <c r="QOD291" s="592"/>
      <c r="QOE291" s="592"/>
      <c r="QOF291" s="592"/>
      <c r="QOG291" s="592"/>
      <c r="QOH291" s="592"/>
      <c r="QOI291" s="592"/>
      <c r="QOJ291" s="592"/>
      <c r="QOK291" s="592"/>
      <c r="QOL291" s="592"/>
      <c r="QOM291" s="592"/>
      <c r="QON291" s="592"/>
      <c r="QOO291" s="592"/>
      <c r="QOP291" s="592"/>
      <c r="QOQ291" s="592"/>
      <c r="QOR291" s="592"/>
      <c r="QOS291" s="592"/>
      <c r="QOT291" s="592"/>
      <c r="QOU291" s="592"/>
      <c r="QOV291" s="592"/>
      <c r="QOW291" s="592"/>
      <c r="QOX291" s="592"/>
      <c r="QOY291" s="592"/>
      <c r="QOZ291" s="592"/>
      <c r="QPA291" s="592"/>
      <c r="QPB291" s="592"/>
      <c r="QPC291" s="592"/>
      <c r="QPD291" s="592"/>
      <c r="QPE291" s="592"/>
      <c r="QPF291" s="592"/>
      <c r="QPG291" s="592"/>
      <c r="QPH291" s="592"/>
      <c r="QPI291" s="592"/>
      <c r="QPJ291" s="592"/>
      <c r="QPK291" s="592"/>
      <c r="QPL291" s="592"/>
      <c r="QPM291" s="592"/>
      <c r="QPN291" s="592"/>
      <c r="QPO291" s="592"/>
      <c r="QPP291" s="592"/>
      <c r="QPQ291" s="592"/>
      <c r="QPR291" s="592"/>
      <c r="QPS291" s="592"/>
      <c r="QPT291" s="592"/>
      <c r="QPU291" s="592"/>
      <c r="QPV291" s="592"/>
      <c r="QPW291" s="592"/>
      <c r="QPX291" s="592"/>
      <c r="QPY291" s="592"/>
      <c r="QPZ291" s="592"/>
      <c r="QQA291" s="592"/>
      <c r="QQB291" s="592"/>
      <c r="QQC291" s="592"/>
      <c r="QQD291" s="592"/>
      <c r="QQE291" s="592"/>
      <c r="QQF291" s="592"/>
      <c r="QQG291" s="592"/>
      <c r="QQH291" s="592"/>
      <c r="QQI291" s="592"/>
      <c r="QQJ291" s="592"/>
      <c r="QQK291" s="592"/>
      <c r="QQL291" s="592"/>
      <c r="QQM291" s="592"/>
      <c r="QQN291" s="592"/>
      <c r="QQO291" s="592"/>
      <c r="QQP291" s="592"/>
      <c r="QQQ291" s="592"/>
      <c r="QQR291" s="592"/>
      <c r="QQS291" s="592"/>
      <c r="QQT291" s="592"/>
      <c r="QQU291" s="592"/>
      <c r="QQV291" s="592"/>
      <c r="QQW291" s="592"/>
      <c r="QQX291" s="592"/>
      <c r="QQY291" s="592"/>
      <c r="QQZ291" s="592"/>
      <c r="QRA291" s="592"/>
      <c r="QRB291" s="592"/>
      <c r="QRC291" s="592"/>
      <c r="QRD291" s="592"/>
      <c r="QRE291" s="592"/>
      <c r="QRF291" s="592"/>
      <c r="QRG291" s="592"/>
      <c r="QRH291" s="592"/>
      <c r="QRI291" s="592"/>
      <c r="QRJ291" s="592"/>
      <c r="QRK291" s="592"/>
      <c r="QRL291" s="592"/>
      <c r="QRM291" s="592"/>
      <c r="QRN291" s="592"/>
      <c r="QRO291" s="592"/>
      <c r="QRP291" s="592"/>
      <c r="QRQ291" s="592"/>
      <c r="QRR291" s="592"/>
      <c r="QRS291" s="592"/>
      <c r="QRT291" s="592"/>
      <c r="QRU291" s="592"/>
      <c r="QRV291" s="592"/>
      <c r="QRW291" s="592"/>
      <c r="QRX291" s="592"/>
      <c r="QRY291" s="592"/>
      <c r="QRZ291" s="592"/>
      <c r="QSA291" s="592"/>
      <c r="QSB291" s="592"/>
      <c r="QSC291" s="592"/>
      <c r="QSD291" s="592"/>
      <c r="QSE291" s="592"/>
      <c r="QSF291" s="592"/>
      <c r="QSG291" s="592"/>
      <c r="QSH291" s="592"/>
      <c r="QSI291" s="592"/>
      <c r="QSJ291" s="592"/>
      <c r="QSK291" s="592"/>
      <c r="QSL291" s="592"/>
      <c r="QSM291" s="592"/>
      <c r="QSN291" s="592"/>
      <c r="QSO291" s="592"/>
      <c r="QSP291" s="592"/>
      <c r="QSQ291" s="592"/>
      <c r="QSR291" s="592"/>
      <c r="QSS291" s="592"/>
      <c r="QST291" s="592"/>
      <c r="QSU291" s="592"/>
      <c r="QSV291" s="592"/>
      <c r="QSW291" s="592"/>
      <c r="QSX291" s="592"/>
      <c r="QSY291" s="592"/>
      <c r="QSZ291" s="592"/>
      <c r="QTA291" s="592"/>
      <c r="QTB291" s="592"/>
      <c r="QTC291" s="592"/>
      <c r="QTD291" s="592"/>
      <c r="QTE291" s="592"/>
      <c r="QTF291" s="592"/>
      <c r="QTG291" s="592"/>
      <c r="QTH291" s="592"/>
      <c r="QTI291" s="592"/>
      <c r="QTJ291" s="592"/>
      <c r="QTK291" s="592"/>
      <c r="QTL291" s="592"/>
      <c r="QTM291" s="592"/>
      <c r="QTN291" s="592"/>
      <c r="QTO291" s="592"/>
      <c r="QTP291" s="592"/>
      <c r="QTQ291" s="592"/>
      <c r="QTR291" s="592"/>
      <c r="QTS291" s="592"/>
      <c r="QTT291" s="592"/>
      <c r="QTU291" s="592"/>
      <c r="QTV291" s="592"/>
      <c r="QTW291" s="592"/>
      <c r="QTX291" s="592"/>
      <c r="QTY291" s="592"/>
      <c r="QTZ291" s="592"/>
      <c r="QUA291" s="592"/>
      <c r="QUB291" s="592"/>
      <c r="QUC291" s="592"/>
      <c r="QUD291" s="592"/>
      <c r="QUE291" s="592"/>
      <c r="QUF291" s="592"/>
      <c r="QUG291" s="592"/>
      <c r="QUH291" s="592"/>
      <c r="QUI291" s="592"/>
      <c r="QUJ291" s="592"/>
      <c r="QUK291" s="592"/>
      <c r="QUL291" s="592"/>
      <c r="QUM291" s="592"/>
      <c r="QUN291" s="592"/>
      <c r="QUO291" s="592"/>
      <c r="QUP291" s="592"/>
      <c r="QUQ291" s="592"/>
      <c r="QUR291" s="592"/>
      <c r="QUS291" s="592"/>
      <c r="QUT291" s="592"/>
      <c r="QUU291" s="592"/>
      <c r="QUV291" s="592"/>
      <c r="QUW291" s="592"/>
      <c r="QUX291" s="592"/>
      <c r="QUY291" s="592"/>
      <c r="QUZ291" s="592"/>
      <c r="QVA291" s="592"/>
      <c r="QVB291" s="592"/>
      <c r="QVC291" s="592"/>
      <c r="QVD291" s="592"/>
      <c r="QVE291" s="592"/>
      <c r="QVF291" s="592"/>
      <c r="QVG291" s="592"/>
      <c r="QVH291" s="592"/>
      <c r="QVI291" s="592"/>
      <c r="QVJ291" s="592"/>
      <c r="QVK291" s="592"/>
      <c r="QVL291" s="592"/>
      <c r="QVM291" s="592"/>
      <c r="QVN291" s="592"/>
      <c r="QVO291" s="592"/>
      <c r="QVP291" s="592"/>
      <c r="QVQ291" s="592"/>
      <c r="QVR291" s="592"/>
      <c r="QVS291" s="592"/>
      <c r="QVT291" s="592"/>
      <c r="QVU291" s="592"/>
      <c r="QVV291" s="592"/>
      <c r="QVW291" s="592"/>
      <c r="QVX291" s="592"/>
      <c r="QVY291" s="592"/>
      <c r="QVZ291" s="592"/>
      <c r="QWA291" s="592"/>
      <c r="QWB291" s="592"/>
      <c r="QWC291" s="592"/>
      <c r="QWD291" s="592"/>
      <c r="QWE291" s="592"/>
      <c r="QWF291" s="592"/>
      <c r="QWG291" s="592"/>
      <c r="QWH291" s="592"/>
      <c r="QWI291" s="592"/>
      <c r="QWJ291" s="592"/>
      <c r="QWK291" s="592"/>
      <c r="QWL291" s="592"/>
      <c r="QWM291" s="592"/>
      <c r="QWN291" s="592"/>
      <c r="QWO291" s="592"/>
      <c r="QWP291" s="592"/>
      <c r="QWQ291" s="592"/>
      <c r="QWR291" s="592"/>
      <c r="QWS291" s="592"/>
      <c r="QWT291" s="592"/>
      <c r="QWU291" s="592"/>
      <c r="QWV291" s="592"/>
      <c r="QWW291" s="592"/>
      <c r="QWX291" s="592"/>
      <c r="QWY291" s="592"/>
      <c r="QWZ291" s="592"/>
      <c r="QXA291" s="592"/>
      <c r="QXB291" s="592"/>
      <c r="QXC291" s="592"/>
      <c r="QXD291" s="592"/>
      <c r="QXE291" s="592"/>
      <c r="QXF291" s="592"/>
      <c r="QXG291" s="592"/>
      <c r="QXH291" s="592"/>
      <c r="QXI291" s="592"/>
      <c r="QXJ291" s="592"/>
      <c r="QXK291" s="592"/>
      <c r="QXL291" s="592"/>
      <c r="QXM291" s="592"/>
      <c r="QXN291" s="592"/>
      <c r="QXO291" s="592"/>
      <c r="QXP291" s="592"/>
      <c r="QXQ291" s="592"/>
      <c r="QXR291" s="592"/>
      <c r="QXS291" s="592"/>
      <c r="QXT291" s="592"/>
      <c r="QXU291" s="592"/>
      <c r="QXV291" s="592"/>
      <c r="QXW291" s="592"/>
      <c r="QXX291" s="592"/>
      <c r="QXY291" s="592"/>
      <c r="QXZ291" s="592"/>
      <c r="QYA291" s="592"/>
      <c r="QYB291" s="592"/>
      <c r="QYC291" s="592"/>
      <c r="QYD291" s="592"/>
      <c r="QYE291" s="592"/>
      <c r="QYF291" s="592"/>
      <c r="QYG291" s="592"/>
      <c r="QYH291" s="592"/>
      <c r="QYI291" s="592"/>
      <c r="QYJ291" s="592"/>
      <c r="QYK291" s="592"/>
      <c r="QYL291" s="592"/>
      <c r="QYM291" s="592"/>
      <c r="QYN291" s="592"/>
      <c r="QYO291" s="592"/>
      <c r="QYP291" s="592"/>
      <c r="QYQ291" s="592"/>
      <c r="QYR291" s="592"/>
      <c r="QYS291" s="592"/>
      <c r="QYT291" s="592"/>
      <c r="QYU291" s="592"/>
      <c r="QYV291" s="592"/>
      <c r="QYW291" s="592"/>
      <c r="QYX291" s="592"/>
      <c r="QYY291" s="592"/>
      <c r="QYZ291" s="592"/>
      <c r="QZA291" s="592"/>
      <c r="QZB291" s="592"/>
      <c r="QZC291" s="592"/>
      <c r="QZD291" s="592"/>
      <c r="QZE291" s="592"/>
      <c r="QZF291" s="592"/>
      <c r="QZG291" s="592"/>
      <c r="QZH291" s="592"/>
      <c r="QZI291" s="592"/>
      <c r="QZJ291" s="592"/>
      <c r="QZK291" s="592"/>
      <c r="QZL291" s="592"/>
      <c r="QZM291" s="592"/>
      <c r="QZN291" s="592"/>
      <c r="QZO291" s="592"/>
      <c r="QZP291" s="592"/>
      <c r="QZQ291" s="592"/>
      <c r="QZR291" s="592"/>
      <c r="QZS291" s="592"/>
      <c r="QZT291" s="592"/>
      <c r="QZU291" s="592"/>
      <c r="QZV291" s="592"/>
      <c r="QZW291" s="592"/>
      <c r="QZX291" s="592"/>
      <c r="QZY291" s="592"/>
      <c r="QZZ291" s="592"/>
      <c r="RAA291" s="592"/>
      <c r="RAB291" s="592"/>
      <c r="RAC291" s="592"/>
      <c r="RAD291" s="592"/>
      <c r="RAE291" s="592"/>
      <c r="RAF291" s="592"/>
      <c r="RAG291" s="592"/>
      <c r="RAH291" s="592"/>
      <c r="RAI291" s="592"/>
      <c r="RAJ291" s="592"/>
      <c r="RAK291" s="592"/>
      <c r="RAL291" s="592"/>
      <c r="RAM291" s="592"/>
      <c r="RAN291" s="592"/>
      <c r="RAO291" s="592"/>
      <c r="RAP291" s="592"/>
      <c r="RAQ291" s="592"/>
      <c r="RAR291" s="592"/>
      <c r="RAS291" s="592"/>
      <c r="RAT291" s="592"/>
      <c r="RAU291" s="592"/>
      <c r="RAV291" s="592"/>
      <c r="RAW291" s="592"/>
      <c r="RAX291" s="592"/>
      <c r="RAY291" s="592"/>
      <c r="RAZ291" s="592"/>
      <c r="RBA291" s="592"/>
      <c r="RBB291" s="592"/>
      <c r="RBC291" s="592"/>
      <c r="RBD291" s="592"/>
      <c r="RBE291" s="592"/>
      <c r="RBF291" s="592"/>
      <c r="RBG291" s="592"/>
      <c r="RBH291" s="592"/>
      <c r="RBI291" s="592"/>
      <c r="RBJ291" s="592"/>
      <c r="RBK291" s="592"/>
      <c r="RBL291" s="592"/>
      <c r="RBM291" s="592"/>
      <c r="RBN291" s="592"/>
      <c r="RBO291" s="592"/>
      <c r="RBP291" s="592"/>
      <c r="RBQ291" s="592"/>
      <c r="RBR291" s="592"/>
      <c r="RBS291" s="592"/>
      <c r="RBT291" s="592"/>
      <c r="RBU291" s="592"/>
      <c r="RBV291" s="592"/>
      <c r="RBW291" s="592"/>
      <c r="RBX291" s="592"/>
      <c r="RBY291" s="592"/>
      <c r="RBZ291" s="592"/>
      <c r="RCA291" s="592"/>
      <c r="RCB291" s="592"/>
      <c r="RCC291" s="592"/>
      <c r="RCD291" s="592"/>
      <c r="RCE291" s="592"/>
      <c r="RCF291" s="592"/>
      <c r="RCG291" s="592"/>
      <c r="RCH291" s="592"/>
      <c r="RCI291" s="592"/>
      <c r="RCJ291" s="592"/>
      <c r="RCK291" s="592"/>
      <c r="RCL291" s="592"/>
      <c r="RCM291" s="592"/>
      <c r="RCN291" s="592"/>
      <c r="RCO291" s="592"/>
      <c r="RCP291" s="592"/>
      <c r="RCQ291" s="592"/>
      <c r="RCR291" s="592"/>
      <c r="RCS291" s="592"/>
      <c r="RCT291" s="592"/>
      <c r="RCU291" s="592"/>
      <c r="RCV291" s="592"/>
      <c r="RCW291" s="592"/>
      <c r="RCX291" s="592"/>
      <c r="RCY291" s="592"/>
      <c r="RCZ291" s="592"/>
      <c r="RDA291" s="592"/>
      <c r="RDB291" s="592"/>
      <c r="RDC291" s="592"/>
      <c r="RDD291" s="592"/>
      <c r="RDE291" s="592"/>
      <c r="RDF291" s="592"/>
      <c r="RDG291" s="592"/>
      <c r="RDH291" s="592"/>
      <c r="RDI291" s="592"/>
      <c r="RDJ291" s="592"/>
      <c r="RDK291" s="592"/>
      <c r="RDL291" s="592"/>
      <c r="RDM291" s="592"/>
      <c r="RDN291" s="592"/>
      <c r="RDO291" s="592"/>
      <c r="RDP291" s="592"/>
      <c r="RDQ291" s="592"/>
      <c r="RDR291" s="592"/>
      <c r="RDS291" s="592"/>
      <c r="RDT291" s="592"/>
      <c r="RDU291" s="592"/>
      <c r="RDV291" s="592"/>
      <c r="RDW291" s="592"/>
      <c r="RDX291" s="592"/>
      <c r="RDY291" s="592"/>
      <c r="RDZ291" s="592"/>
      <c r="REA291" s="592"/>
      <c r="REB291" s="592"/>
      <c r="REC291" s="592"/>
      <c r="RED291" s="592"/>
      <c r="REE291" s="592"/>
      <c r="REF291" s="592"/>
      <c r="REG291" s="592"/>
      <c r="REH291" s="592"/>
      <c r="REI291" s="592"/>
      <c r="REJ291" s="592"/>
      <c r="REK291" s="592"/>
      <c r="REL291" s="592"/>
      <c r="REM291" s="592"/>
      <c r="REN291" s="592"/>
      <c r="REO291" s="592"/>
      <c r="REP291" s="592"/>
      <c r="REQ291" s="592"/>
      <c r="RER291" s="592"/>
      <c r="RES291" s="592"/>
      <c r="RET291" s="592"/>
      <c r="REU291" s="592"/>
      <c r="REV291" s="592"/>
      <c r="REW291" s="592"/>
      <c r="REX291" s="592"/>
      <c r="REY291" s="592"/>
      <c r="REZ291" s="592"/>
      <c r="RFA291" s="592"/>
      <c r="RFB291" s="592"/>
      <c r="RFC291" s="592"/>
      <c r="RFD291" s="592"/>
      <c r="RFE291" s="592"/>
      <c r="RFF291" s="592"/>
      <c r="RFG291" s="592"/>
      <c r="RFH291" s="592"/>
      <c r="RFI291" s="592"/>
      <c r="RFJ291" s="592"/>
      <c r="RFK291" s="592"/>
      <c r="RFL291" s="592"/>
      <c r="RFM291" s="592"/>
      <c r="RFN291" s="592"/>
      <c r="RFO291" s="592"/>
      <c r="RFP291" s="592"/>
      <c r="RFQ291" s="592"/>
      <c r="RFR291" s="592"/>
      <c r="RFS291" s="592"/>
      <c r="RFT291" s="592"/>
      <c r="RFU291" s="592"/>
      <c r="RFV291" s="592"/>
      <c r="RFW291" s="592"/>
      <c r="RFX291" s="592"/>
      <c r="RFY291" s="592"/>
      <c r="RFZ291" s="592"/>
      <c r="RGA291" s="592"/>
      <c r="RGB291" s="592"/>
      <c r="RGC291" s="592"/>
      <c r="RGD291" s="592"/>
      <c r="RGE291" s="592"/>
      <c r="RGF291" s="592"/>
      <c r="RGG291" s="592"/>
      <c r="RGH291" s="592"/>
      <c r="RGI291" s="592"/>
      <c r="RGJ291" s="592"/>
      <c r="RGK291" s="592"/>
      <c r="RGL291" s="592"/>
      <c r="RGM291" s="592"/>
      <c r="RGN291" s="592"/>
      <c r="RGO291" s="592"/>
      <c r="RGP291" s="592"/>
      <c r="RGQ291" s="592"/>
      <c r="RGR291" s="592"/>
      <c r="RGS291" s="592"/>
      <c r="RGT291" s="592"/>
      <c r="RGU291" s="592"/>
      <c r="RGV291" s="592"/>
      <c r="RGW291" s="592"/>
      <c r="RGX291" s="592"/>
      <c r="RGY291" s="592"/>
      <c r="RGZ291" s="592"/>
      <c r="RHA291" s="592"/>
      <c r="RHB291" s="592"/>
      <c r="RHC291" s="592"/>
      <c r="RHD291" s="592"/>
      <c r="RHE291" s="592"/>
      <c r="RHF291" s="592"/>
      <c r="RHG291" s="592"/>
      <c r="RHH291" s="592"/>
      <c r="RHI291" s="592"/>
      <c r="RHJ291" s="592"/>
      <c r="RHK291" s="592"/>
      <c r="RHL291" s="592"/>
      <c r="RHM291" s="592"/>
      <c r="RHN291" s="592"/>
      <c r="RHO291" s="592"/>
      <c r="RHP291" s="592"/>
      <c r="RHQ291" s="592"/>
      <c r="RHR291" s="592"/>
      <c r="RHS291" s="592"/>
      <c r="RHT291" s="592"/>
      <c r="RHU291" s="592"/>
      <c r="RHV291" s="592"/>
      <c r="RHW291" s="592"/>
      <c r="RHX291" s="592"/>
      <c r="RHY291" s="592"/>
      <c r="RHZ291" s="592"/>
      <c r="RIA291" s="592"/>
      <c r="RIB291" s="592"/>
      <c r="RIC291" s="592"/>
      <c r="RID291" s="592"/>
      <c r="RIE291" s="592"/>
      <c r="RIF291" s="592"/>
      <c r="RIG291" s="592"/>
      <c r="RIH291" s="592"/>
      <c r="RII291" s="592"/>
      <c r="RIJ291" s="592"/>
      <c r="RIK291" s="592"/>
      <c r="RIL291" s="592"/>
      <c r="RIM291" s="592"/>
      <c r="RIN291" s="592"/>
      <c r="RIO291" s="592"/>
      <c r="RIP291" s="592"/>
      <c r="RIQ291" s="592"/>
      <c r="RIR291" s="592"/>
      <c r="RIS291" s="592"/>
      <c r="RIT291" s="592"/>
      <c r="RIU291" s="592"/>
      <c r="RIV291" s="592"/>
      <c r="RIW291" s="592"/>
      <c r="RIX291" s="592"/>
      <c r="RIY291" s="592"/>
      <c r="RIZ291" s="592"/>
      <c r="RJA291" s="592"/>
      <c r="RJB291" s="592"/>
      <c r="RJC291" s="592"/>
      <c r="RJD291" s="592"/>
      <c r="RJE291" s="592"/>
      <c r="RJF291" s="592"/>
      <c r="RJG291" s="592"/>
      <c r="RJH291" s="592"/>
      <c r="RJI291" s="592"/>
      <c r="RJJ291" s="592"/>
      <c r="RJK291" s="592"/>
      <c r="RJL291" s="592"/>
      <c r="RJM291" s="592"/>
      <c r="RJN291" s="592"/>
      <c r="RJO291" s="592"/>
      <c r="RJP291" s="592"/>
      <c r="RJQ291" s="592"/>
      <c r="RJR291" s="592"/>
      <c r="RJS291" s="592"/>
      <c r="RJT291" s="592"/>
      <c r="RJU291" s="592"/>
      <c r="RJV291" s="592"/>
      <c r="RJW291" s="592"/>
      <c r="RJX291" s="592"/>
      <c r="RJY291" s="592"/>
      <c r="RJZ291" s="592"/>
      <c r="RKA291" s="592"/>
      <c r="RKB291" s="592"/>
      <c r="RKC291" s="592"/>
      <c r="RKD291" s="592"/>
      <c r="RKE291" s="592"/>
      <c r="RKF291" s="592"/>
      <c r="RKG291" s="592"/>
      <c r="RKH291" s="592"/>
      <c r="RKI291" s="592"/>
      <c r="RKJ291" s="592"/>
      <c r="RKK291" s="592"/>
      <c r="RKL291" s="592"/>
      <c r="RKM291" s="592"/>
      <c r="RKN291" s="592"/>
      <c r="RKO291" s="592"/>
      <c r="RKP291" s="592"/>
      <c r="RKQ291" s="592"/>
      <c r="RKR291" s="592"/>
      <c r="RKS291" s="592"/>
      <c r="RKT291" s="592"/>
      <c r="RKU291" s="592"/>
      <c r="RKV291" s="592"/>
      <c r="RKW291" s="592"/>
      <c r="RKX291" s="592"/>
      <c r="RKY291" s="592"/>
      <c r="RKZ291" s="592"/>
      <c r="RLA291" s="592"/>
      <c r="RLB291" s="592"/>
      <c r="RLC291" s="592"/>
      <c r="RLD291" s="592"/>
      <c r="RLE291" s="592"/>
      <c r="RLF291" s="592"/>
      <c r="RLG291" s="592"/>
      <c r="RLH291" s="592"/>
      <c r="RLI291" s="592"/>
      <c r="RLJ291" s="592"/>
      <c r="RLK291" s="592"/>
      <c r="RLL291" s="592"/>
      <c r="RLM291" s="592"/>
      <c r="RLN291" s="592"/>
      <c r="RLO291" s="592"/>
      <c r="RLP291" s="592"/>
      <c r="RLQ291" s="592"/>
      <c r="RLR291" s="592"/>
      <c r="RLS291" s="592"/>
      <c r="RLT291" s="592"/>
      <c r="RLU291" s="592"/>
      <c r="RLV291" s="592"/>
      <c r="RLW291" s="592"/>
      <c r="RLX291" s="592"/>
      <c r="RLY291" s="592"/>
      <c r="RLZ291" s="592"/>
      <c r="RMA291" s="592"/>
      <c r="RMB291" s="592"/>
      <c r="RMC291" s="592"/>
      <c r="RMD291" s="592"/>
      <c r="RME291" s="592"/>
      <c r="RMF291" s="592"/>
      <c r="RMG291" s="592"/>
      <c r="RMH291" s="592"/>
      <c r="RMI291" s="592"/>
      <c r="RMJ291" s="592"/>
      <c r="RMK291" s="592"/>
      <c r="RML291" s="592"/>
      <c r="RMM291" s="592"/>
      <c r="RMN291" s="592"/>
      <c r="RMO291" s="592"/>
      <c r="RMP291" s="592"/>
      <c r="RMQ291" s="592"/>
      <c r="RMR291" s="592"/>
      <c r="RMS291" s="592"/>
      <c r="RMT291" s="592"/>
      <c r="RMU291" s="592"/>
      <c r="RMV291" s="592"/>
      <c r="RMW291" s="592"/>
      <c r="RMX291" s="592"/>
      <c r="RMY291" s="592"/>
      <c r="RMZ291" s="592"/>
      <c r="RNA291" s="592"/>
      <c r="RNB291" s="592"/>
      <c r="RNC291" s="592"/>
      <c r="RND291" s="592"/>
      <c r="RNE291" s="592"/>
      <c r="RNF291" s="592"/>
      <c r="RNG291" s="592"/>
      <c r="RNH291" s="592"/>
      <c r="RNI291" s="592"/>
      <c r="RNJ291" s="592"/>
      <c r="RNK291" s="592"/>
      <c r="RNL291" s="592"/>
      <c r="RNM291" s="592"/>
      <c r="RNN291" s="592"/>
      <c r="RNO291" s="592"/>
      <c r="RNP291" s="592"/>
      <c r="RNQ291" s="592"/>
      <c r="RNR291" s="592"/>
      <c r="RNS291" s="592"/>
      <c r="RNT291" s="592"/>
      <c r="RNU291" s="592"/>
      <c r="RNV291" s="592"/>
      <c r="RNW291" s="592"/>
      <c r="RNX291" s="592"/>
      <c r="RNY291" s="592"/>
      <c r="RNZ291" s="592"/>
      <c r="ROA291" s="592"/>
      <c r="ROB291" s="592"/>
      <c r="ROC291" s="592"/>
      <c r="ROD291" s="592"/>
      <c r="ROE291" s="592"/>
      <c r="ROF291" s="592"/>
      <c r="ROG291" s="592"/>
      <c r="ROH291" s="592"/>
      <c r="ROI291" s="592"/>
      <c r="ROJ291" s="592"/>
      <c r="ROK291" s="592"/>
      <c r="ROL291" s="592"/>
      <c r="ROM291" s="592"/>
      <c r="RON291" s="592"/>
      <c r="ROO291" s="592"/>
      <c r="ROP291" s="592"/>
      <c r="ROQ291" s="592"/>
      <c r="ROR291" s="592"/>
      <c r="ROS291" s="592"/>
      <c r="ROT291" s="592"/>
      <c r="ROU291" s="592"/>
      <c r="ROV291" s="592"/>
      <c r="ROW291" s="592"/>
      <c r="ROX291" s="592"/>
      <c r="ROY291" s="592"/>
      <c r="ROZ291" s="592"/>
      <c r="RPA291" s="592"/>
      <c r="RPB291" s="592"/>
      <c r="RPC291" s="592"/>
      <c r="RPD291" s="592"/>
      <c r="RPE291" s="592"/>
      <c r="RPF291" s="592"/>
      <c r="RPG291" s="592"/>
      <c r="RPH291" s="592"/>
      <c r="RPI291" s="592"/>
      <c r="RPJ291" s="592"/>
      <c r="RPK291" s="592"/>
      <c r="RPL291" s="592"/>
      <c r="RPM291" s="592"/>
      <c r="RPN291" s="592"/>
      <c r="RPO291" s="592"/>
      <c r="RPP291" s="592"/>
      <c r="RPQ291" s="592"/>
      <c r="RPR291" s="592"/>
      <c r="RPS291" s="592"/>
      <c r="RPT291" s="592"/>
      <c r="RPU291" s="592"/>
      <c r="RPV291" s="592"/>
      <c r="RPW291" s="592"/>
      <c r="RPX291" s="592"/>
      <c r="RPY291" s="592"/>
      <c r="RPZ291" s="592"/>
      <c r="RQA291" s="592"/>
      <c r="RQB291" s="592"/>
      <c r="RQC291" s="592"/>
      <c r="RQD291" s="592"/>
      <c r="RQE291" s="592"/>
      <c r="RQF291" s="592"/>
      <c r="RQG291" s="592"/>
      <c r="RQH291" s="592"/>
      <c r="RQI291" s="592"/>
      <c r="RQJ291" s="592"/>
      <c r="RQK291" s="592"/>
      <c r="RQL291" s="592"/>
      <c r="RQM291" s="592"/>
      <c r="RQN291" s="592"/>
      <c r="RQO291" s="592"/>
      <c r="RQP291" s="592"/>
      <c r="RQQ291" s="592"/>
      <c r="RQR291" s="592"/>
      <c r="RQS291" s="592"/>
      <c r="RQT291" s="592"/>
      <c r="RQU291" s="592"/>
      <c r="RQV291" s="592"/>
      <c r="RQW291" s="592"/>
      <c r="RQX291" s="592"/>
      <c r="RQY291" s="592"/>
      <c r="RQZ291" s="592"/>
      <c r="RRA291" s="592"/>
      <c r="RRB291" s="592"/>
      <c r="RRC291" s="592"/>
      <c r="RRD291" s="592"/>
      <c r="RRE291" s="592"/>
      <c r="RRF291" s="592"/>
      <c r="RRG291" s="592"/>
      <c r="RRH291" s="592"/>
      <c r="RRI291" s="592"/>
      <c r="RRJ291" s="592"/>
      <c r="RRK291" s="592"/>
      <c r="RRL291" s="592"/>
      <c r="RRM291" s="592"/>
      <c r="RRN291" s="592"/>
      <c r="RRO291" s="592"/>
      <c r="RRP291" s="592"/>
      <c r="RRQ291" s="592"/>
      <c r="RRR291" s="592"/>
      <c r="RRS291" s="592"/>
      <c r="RRT291" s="592"/>
      <c r="RRU291" s="592"/>
      <c r="RRV291" s="592"/>
      <c r="RRW291" s="592"/>
      <c r="RRX291" s="592"/>
      <c r="RRY291" s="592"/>
      <c r="RRZ291" s="592"/>
      <c r="RSA291" s="592"/>
      <c r="RSB291" s="592"/>
      <c r="RSC291" s="592"/>
      <c r="RSD291" s="592"/>
      <c r="RSE291" s="592"/>
      <c r="RSF291" s="592"/>
      <c r="RSG291" s="592"/>
      <c r="RSH291" s="592"/>
      <c r="RSI291" s="592"/>
      <c r="RSJ291" s="592"/>
      <c r="RSK291" s="592"/>
      <c r="RSL291" s="592"/>
      <c r="RSM291" s="592"/>
      <c r="RSN291" s="592"/>
      <c r="RSO291" s="592"/>
      <c r="RSP291" s="592"/>
      <c r="RSQ291" s="592"/>
      <c r="RSR291" s="592"/>
      <c r="RSS291" s="592"/>
      <c r="RST291" s="592"/>
      <c r="RSU291" s="592"/>
      <c r="RSV291" s="592"/>
      <c r="RSW291" s="592"/>
      <c r="RSX291" s="592"/>
      <c r="RSY291" s="592"/>
      <c r="RSZ291" s="592"/>
      <c r="RTA291" s="592"/>
      <c r="RTB291" s="592"/>
      <c r="RTC291" s="592"/>
      <c r="RTD291" s="592"/>
      <c r="RTE291" s="592"/>
      <c r="RTF291" s="592"/>
      <c r="RTG291" s="592"/>
      <c r="RTH291" s="592"/>
      <c r="RTI291" s="592"/>
      <c r="RTJ291" s="592"/>
      <c r="RTK291" s="592"/>
      <c r="RTL291" s="592"/>
      <c r="RTM291" s="592"/>
      <c r="RTN291" s="592"/>
      <c r="RTO291" s="592"/>
      <c r="RTP291" s="592"/>
      <c r="RTQ291" s="592"/>
      <c r="RTR291" s="592"/>
      <c r="RTS291" s="592"/>
      <c r="RTT291" s="592"/>
      <c r="RTU291" s="592"/>
      <c r="RTV291" s="592"/>
      <c r="RTW291" s="592"/>
      <c r="RTX291" s="592"/>
      <c r="RTY291" s="592"/>
      <c r="RTZ291" s="592"/>
      <c r="RUA291" s="592"/>
      <c r="RUB291" s="592"/>
      <c r="RUC291" s="592"/>
      <c r="RUD291" s="592"/>
      <c r="RUE291" s="592"/>
      <c r="RUF291" s="592"/>
      <c r="RUG291" s="592"/>
      <c r="RUH291" s="592"/>
      <c r="RUI291" s="592"/>
      <c r="RUJ291" s="592"/>
      <c r="RUK291" s="592"/>
      <c r="RUL291" s="592"/>
      <c r="RUM291" s="592"/>
      <c r="RUN291" s="592"/>
      <c r="RUO291" s="592"/>
      <c r="RUP291" s="592"/>
      <c r="RUQ291" s="592"/>
      <c r="RUR291" s="592"/>
      <c r="RUS291" s="592"/>
      <c r="RUT291" s="592"/>
      <c r="RUU291" s="592"/>
      <c r="RUV291" s="592"/>
      <c r="RUW291" s="592"/>
      <c r="RUX291" s="592"/>
      <c r="RUY291" s="592"/>
      <c r="RUZ291" s="592"/>
      <c r="RVA291" s="592"/>
      <c r="RVB291" s="592"/>
      <c r="RVC291" s="592"/>
      <c r="RVD291" s="592"/>
      <c r="RVE291" s="592"/>
      <c r="RVF291" s="592"/>
      <c r="RVG291" s="592"/>
      <c r="RVH291" s="592"/>
      <c r="RVI291" s="592"/>
      <c r="RVJ291" s="592"/>
      <c r="RVK291" s="592"/>
      <c r="RVL291" s="592"/>
      <c r="RVM291" s="592"/>
      <c r="RVN291" s="592"/>
      <c r="RVO291" s="592"/>
      <c r="RVP291" s="592"/>
      <c r="RVQ291" s="592"/>
      <c r="RVR291" s="592"/>
      <c r="RVS291" s="592"/>
      <c r="RVT291" s="592"/>
      <c r="RVU291" s="592"/>
      <c r="RVV291" s="592"/>
      <c r="RVW291" s="592"/>
      <c r="RVX291" s="592"/>
      <c r="RVY291" s="592"/>
      <c r="RVZ291" s="592"/>
      <c r="RWA291" s="592"/>
      <c r="RWB291" s="592"/>
      <c r="RWC291" s="592"/>
      <c r="RWD291" s="592"/>
      <c r="RWE291" s="592"/>
      <c r="RWF291" s="592"/>
      <c r="RWG291" s="592"/>
      <c r="RWH291" s="592"/>
      <c r="RWI291" s="592"/>
      <c r="RWJ291" s="592"/>
      <c r="RWK291" s="592"/>
      <c r="RWL291" s="592"/>
      <c r="RWM291" s="592"/>
      <c r="RWN291" s="592"/>
      <c r="RWO291" s="592"/>
      <c r="RWP291" s="592"/>
      <c r="RWQ291" s="592"/>
      <c r="RWR291" s="592"/>
      <c r="RWS291" s="592"/>
      <c r="RWT291" s="592"/>
      <c r="RWU291" s="592"/>
      <c r="RWV291" s="592"/>
      <c r="RWW291" s="592"/>
      <c r="RWX291" s="592"/>
      <c r="RWY291" s="592"/>
      <c r="RWZ291" s="592"/>
      <c r="RXA291" s="592"/>
      <c r="RXB291" s="592"/>
      <c r="RXC291" s="592"/>
      <c r="RXD291" s="592"/>
      <c r="RXE291" s="592"/>
      <c r="RXF291" s="592"/>
      <c r="RXG291" s="592"/>
      <c r="RXH291" s="592"/>
      <c r="RXI291" s="592"/>
      <c r="RXJ291" s="592"/>
      <c r="RXK291" s="592"/>
      <c r="RXL291" s="592"/>
      <c r="RXM291" s="592"/>
      <c r="RXN291" s="592"/>
      <c r="RXO291" s="592"/>
      <c r="RXP291" s="592"/>
      <c r="RXQ291" s="592"/>
      <c r="RXR291" s="592"/>
      <c r="RXS291" s="592"/>
      <c r="RXT291" s="592"/>
      <c r="RXU291" s="592"/>
      <c r="RXV291" s="592"/>
      <c r="RXW291" s="592"/>
      <c r="RXX291" s="592"/>
      <c r="RXY291" s="592"/>
      <c r="RXZ291" s="592"/>
      <c r="RYA291" s="592"/>
      <c r="RYB291" s="592"/>
      <c r="RYC291" s="592"/>
      <c r="RYD291" s="592"/>
      <c r="RYE291" s="592"/>
      <c r="RYF291" s="592"/>
      <c r="RYG291" s="592"/>
      <c r="RYH291" s="592"/>
      <c r="RYI291" s="592"/>
      <c r="RYJ291" s="592"/>
      <c r="RYK291" s="592"/>
      <c r="RYL291" s="592"/>
      <c r="RYM291" s="592"/>
      <c r="RYN291" s="592"/>
      <c r="RYO291" s="592"/>
      <c r="RYP291" s="592"/>
      <c r="RYQ291" s="592"/>
      <c r="RYR291" s="592"/>
      <c r="RYS291" s="592"/>
      <c r="RYT291" s="592"/>
      <c r="RYU291" s="592"/>
      <c r="RYV291" s="592"/>
      <c r="RYW291" s="592"/>
      <c r="RYX291" s="592"/>
      <c r="RYY291" s="592"/>
      <c r="RYZ291" s="592"/>
      <c r="RZA291" s="592"/>
      <c r="RZB291" s="592"/>
      <c r="RZC291" s="592"/>
      <c r="RZD291" s="592"/>
      <c r="RZE291" s="592"/>
      <c r="RZF291" s="592"/>
      <c r="RZG291" s="592"/>
      <c r="RZH291" s="592"/>
      <c r="RZI291" s="592"/>
      <c r="RZJ291" s="592"/>
      <c r="RZK291" s="592"/>
      <c r="RZL291" s="592"/>
      <c r="RZM291" s="592"/>
      <c r="RZN291" s="592"/>
      <c r="RZO291" s="592"/>
      <c r="RZP291" s="592"/>
      <c r="RZQ291" s="592"/>
      <c r="RZR291" s="592"/>
      <c r="RZS291" s="592"/>
      <c r="RZT291" s="592"/>
      <c r="RZU291" s="592"/>
      <c r="RZV291" s="592"/>
      <c r="RZW291" s="592"/>
      <c r="RZX291" s="592"/>
      <c r="RZY291" s="592"/>
      <c r="RZZ291" s="592"/>
      <c r="SAA291" s="592"/>
      <c r="SAB291" s="592"/>
      <c r="SAC291" s="592"/>
      <c r="SAD291" s="592"/>
      <c r="SAE291" s="592"/>
      <c r="SAF291" s="592"/>
      <c r="SAG291" s="592"/>
      <c r="SAH291" s="592"/>
      <c r="SAI291" s="592"/>
      <c r="SAJ291" s="592"/>
      <c r="SAK291" s="592"/>
      <c r="SAL291" s="592"/>
      <c r="SAM291" s="592"/>
      <c r="SAN291" s="592"/>
      <c r="SAO291" s="592"/>
      <c r="SAP291" s="592"/>
      <c r="SAQ291" s="592"/>
      <c r="SAR291" s="592"/>
      <c r="SAS291" s="592"/>
      <c r="SAT291" s="592"/>
      <c r="SAU291" s="592"/>
      <c r="SAV291" s="592"/>
      <c r="SAW291" s="592"/>
      <c r="SAX291" s="592"/>
      <c r="SAY291" s="592"/>
      <c r="SAZ291" s="592"/>
      <c r="SBA291" s="592"/>
      <c r="SBB291" s="592"/>
      <c r="SBC291" s="592"/>
      <c r="SBD291" s="592"/>
      <c r="SBE291" s="592"/>
      <c r="SBF291" s="592"/>
      <c r="SBG291" s="592"/>
      <c r="SBH291" s="592"/>
      <c r="SBI291" s="592"/>
      <c r="SBJ291" s="592"/>
      <c r="SBK291" s="592"/>
      <c r="SBL291" s="592"/>
      <c r="SBM291" s="592"/>
      <c r="SBN291" s="592"/>
      <c r="SBO291" s="592"/>
      <c r="SBP291" s="592"/>
      <c r="SBQ291" s="592"/>
      <c r="SBR291" s="592"/>
      <c r="SBS291" s="592"/>
      <c r="SBT291" s="592"/>
      <c r="SBU291" s="592"/>
      <c r="SBV291" s="592"/>
      <c r="SBW291" s="592"/>
      <c r="SBX291" s="592"/>
      <c r="SBY291" s="592"/>
      <c r="SBZ291" s="592"/>
      <c r="SCA291" s="592"/>
      <c r="SCB291" s="592"/>
      <c r="SCC291" s="592"/>
      <c r="SCD291" s="592"/>
      <c r="SCE291" s="592"/>
      <c r="SCF291" s="592"/>
      <c r="SCG291" s="592"/>
      <c r="SCH291" s="592"/>
      <c r="SCI291" s="592"/>
      <c r="SCJ291" s="592"/>
      <c r="SCK291" s="592"/>
      <c r="SCL291" s="592"/>
      <c r="SCM291" s="592"/>
      <c r="SCN291" s="592"/>
      <c r="SCO291" s="592"/>
      <c r="SCP291" s="592"/>
      <c r="SCQ291" s="592"/>
      <c r="SCR291" s="592"/>
      <c r="SCS291" s="592"/>
      <c r="SCT291" s="592"/>
      <c r="SCU291" s="592"/>
      <c r="SCV291" s="592"/>
      <c r="SCW291" s="592"/>
      <c r="SCX291" s="592"/>
      <c r="SCY291" s="592"/>
      <c r="SCZ291" s="592"/>
      <c r="SDA291" s="592"/>
      <c r="SDB291" s="592"/>
      <c r="SDC291" s="592"/>
      <c r="SDD291" s="592"/>
      <c r="SDE291" s="592"/>
      <c r="SDF291" s="592"/>
      <c r="SDG291" s="592"/>
      <c r="SDH291" s="592"/>
      <c r="SDI291" s="592"/>
      <c r="SDJ291" s="592"/>
      <c r="SDK291" s="592"/>
      <c r="SDL291" s="592"/>
      <c r="SDM291" s="592"/>
      <c r="SDN291" s="592"/>
      <c r="SDO291" s="592"/>
      <c r="SDP291" s="592"/>
      <c r="SDQ291" s="592"/>
      <c r="SDR291" s="592"/>
      <c r="SDS291" s="592"/>
      <c r="SDT291" s="592"/>
      <c r="SDU291" s="592"/>
      <c r="SDV291" s="592"/>
      <c r="SDW291" s="592"/>
      <c r="SDX291" s="592"/>
      <c r="SDY291" s="592"/>
      <c r="SDZ291" s="592"/>
      <c r="SEA291" s="592"/>
      <c r="SEB291" s="592"/>
      <c r="SEC291" s="592"/>
      <c r="SED291" s="592"/>
      <c r="SEE291" s="592"/>
      <c r="SEF291" s="592"/>
      <c r="SEG291" s="592"/>
      <c r="SEH291" s="592"/>
      <c r="SEI291" s="592"/>
      <c r="SEJ291" s="592"/>
      <c r="SEK291" s="592"/>
      <c r="SEL291" s="592"/>
      <c r="SEM291" s="592"/>
      <c r="SEN291" s="592"/>
      <c r="SEO291" s="592"/>
      <c r="SEP291" s="592"/>
      <c r="SEQ291" s="592"/>
      <c r="SER291" s="592"/>
      <c r="SES291" s="592"/>
      <c r="SET291" s="592"/>
      <c r="SEU291" s="592"/>
      <c r="SEV291" s="592"/>
      <c r="SEW291" s="592"/>
      <c r="SEX291" s="592"/>
      <c r="SEY291" s="592"/>
      <c r="SEZ291" s="592"/>
      <c r="SFA291" s="592"/>
      <c r="SFB291" s="592"/>
      <c r="SFC291" s="592"/>
      <c r="SFD291" s="592"/>
      <c r="SFE291" s="592"/>
      <c r="SFF291" s="592"/>
      <c r="SFG291" s="592"/>
      <c r="SFH291" s="592"/>
      <c r="SFI291" s="592"/>
      <c r="SFJ291" s="592"/>
      <c r="SFK291" s="592"/>
      <c r="SFL291" s="592"/>
      <c r="SFM291" s="592"/>
      <c r="SFN291" s="592"/>
      <c r="SFO291" s="592"/>
      <c r="SFP291" s="592"/>
      <c r="SFQ291" s="592"/>
      <c r="SFR291" s="592"/>
      <c r="SFS291" s="592"/>
      <c r="SFT291" s="592"/>
      <c r="SFU291" s="592"/>
      <c r="SFV291" s="592"/>
      <c r="SFW291" s="592"/>
      <c r="SFX291" s="592"/>
      <c r="SFY291" s="592"/>
      <c r="SFZ291" s="592"/>
      <c r="SGA291" s="592"/>
      <c r="SGB291" s="592"/>
      <c r="SGC291" s="592"/>
      <c r="SGD291" s="592"/>
      <c r="SGE291" s="592"/>
      <c r="SGF291" s="592"/>
      <c r="SGG291" s="592"/>
      <c r="SGH291" s="592"/>
      <c r="SGI291" s="592"/>
      <c r="SGJ291" s="592"/>
      <c r="SGK291" s="592"/>
      <c r="SGL291" s="592"/>
      <c r="SGM291" s="592"/>
      <c r="SGN291" s="592"/>
      <c r="SGO291" s="592"/>
      <c r="SGP291" s="592"/>
      <c r="SGQ291" s="592"/>
      <c r="SGR291" s="592"/>
      <c r="SGS291" s="592"/>
      <c r="SGT291" s="592"/>
      <c r="SGU291" s="592"/>
      <c r="SGV291" s="592"/>
      <c r="SGW291" s="592"/>
      <c r="SGX291" s="592"/>
      <c r="SGY291" s="592"/>
      <c r="SGZ291" s="592"/>
      <c r="SHA291" s="592"/>
      <c r="SHB291" s="592"/>
      <c r="SHC291" s="592"/>
      <c r="SHD291" s="592"/>
      <c r="SHE291" s="592"/>
      <c r="SHF291" s="592"/>
      <c r="SHG291" s="592"/>
      <c r="SHH291" s="592"/>
      <c r="SHI291" s="592"/>
      <c r="SHJ291" s="592"/>
      <c r="SHK291" s="592"/>
      <c r="SHL291" s="592"/>
      <c r="SHM291" s="592"/>
      <c r="SHN291" s="592"/>
      <c r="SHO291" s="592"/>
      <c r="SHP291" s="592"/>
      <c r="SHQ291" s="592"/>
      <c r="SHR291" s="592"/>
      <c r="SHS291" s="592"/>
      <c r="SHT291" s="592"/>
      <c r="SHU291" s="592"/>
      <c r="SHV291" s="592"/>
      <c r="SHW291" s="592"/>
      <c r="SHX291" s="592"/>
      <c r="SHY291" s="592"/>
      <c r="SHZ291" s="592"/>
      <c r="SIA291" s="592"/>
      <c r="SIB291" s="592"/>
      <c r="SIC291" s="592"/>
      <c r="SID291" s="592"/>
      <c r="SIE291" s="592"/>
      <c r="SIF291" s="592"/>
      <c r="SIG291" s="592"/>
      <c r="SIH291" s="592"/>
      <c r="SII291" s="592"/>
      <c r="SIJ291" s="592"/>
      <c r="SIK291" s="592"/>
      <c r="SIL291" s="592"/>
      <c r="SIM291" s="592"/>
      <c r="SIN291" s="592"/>
      <c r="SIO291" s="592"/>
      <c r="SIP291" s="592"/>
      <c r="SIQ291" s="592"/>
      <c r="SIR291" s="592"/>
      <c r="SIS291" s="592"/>
      <c r="SIT291" s="592"/>
      <c r="SIU291" s="592"/>
      <c r="SIV291" s="592"/>
      <c r="SIW291" s="592"/>
      <c r="SIX291" s="592"/>
      <c r="SIY291" s="592"/>
      <c r="SIZ291" s="592"/>
      <c r="SJA291" s="592"/>
      <c r="SJB291" s="592"/>
      <c r="SJC291" s="592"/>
      <c r="SJD291" s="592"/>
      <c r="SJE291" s="592"/>
      <c r="SJF291" s="592"/>
      <c r="SJG291" s="592"/>
      <c r="SJH291" s="592"/>
      <c r="SJI291" s="592"/>
      <c r="SJJ291" s="592"/>
      <c r="SJK291" s="592"/>
      <c r="SJL291" s="592"/>
      <c r="SJM291" s="592"/>
      <c r="SJN291" s="592"/>
      <c r="SJO291" s="592"/>
      <c r="SJP291" s="592"/>
      <c r="SJQ291" s="592"/>
      <c r="SJR291" s="592"/>
      <c r="SJS291" s="592"/>
      <c r="SJT291" s="592"/>
      <c r="SJU291" s="592"/>
      <c r="SJV291" s="592"/>
      <c r="SJW291" s="592"/>
      <c r="SJX291" s="592"/>
      <c r="SJY291" s="592"/>
      <c r="SJZ291" s="592"/>
      <c r="SKA291" s="592"/>
      <c r="SKB291" s="592"/>
      <c r="SKC291" s="592"/>
      <c r="SKD291" s="592"/>
      <c r="SKE291" s="592"/>
      <c r="SKF291" s="592"/>
      <c r="SKG291" s="592"/>
      <c r="SKH291" s="592"/>
      <c r="SKI291" s="592"/>
      <c r="SKJ291" s="592"/>
      <c r="SKK291" s="592"/>
      <c r="SKL291" s="592"/>
      <c r="SKM291" s="592"/>
      <c r="SKN291" s="592"/>
      <c r="SKO291" s="592"/>
      <c r="SKP291" s="592"/>
      <c r="SKQ291" s="592"/>
      <c r="SKR291" s="592"/>
      <c r="SKS291" s="592"/>
      <c r="SKT291" s="592"/>
      <c r="SKU291" s="592"/>
      <c r="SKV291" s="592"/>
      <c r="SKW291" s="592"/>
      <c r="SKX291" s="592"/>
      <c r="SKY291" s="592"/>
      <c r="SKZ291" s="592"/>
      <c r="SLA291" s="592"/>
      <c r="SLB291" s="592"/>
      <c r="SLC291" s="592"/>
      <c r="SLD291" s="592"/>
      <c r="SLE291" s="592"/>
      <c r="SLF291" s="592"/>
      <c r="SLG291" s="592"/>
      <c r="SLH291" s="592"/>
      <c r="SLI291" s="592"/>
      <c r="SLJ291" s="592"/>
      <c r="SLK291" s="592"/>
      <c r="SLL291" s="592"/>
      <c r="SLM291" s="592"/>
      <c r="SLN291" s="592"/>
      <c r="SLO291" s="592"/>
      <c r="SLP291" s="592"/>
      <c r="SLQ291" s="592"/>
      <c r="SLR291" s="592"/>
      <c r="SLS291" s="592"/>
      <c r="SLT291" s="592"/>
      <c r="SLU291" s="592"/>
      <c r="SLV291" s="592"/>
      <c r="SLW291" s="592"/>
      <c r="SLX291" s="592"/>
      <c r="SLY291" s="592"/>
      <c r="SLZ291" s="592"/>
      <c r="SMA291" s="592"/>
      <c r="SMB291" s="592"/>
      <c r="SMC291" s="592"/>
      <c r="SMD291" s="592"/>
      <c r="SME291" s="592"/>
      <c r="SMF291" s="592"/>
      <c r="SMG291" s="592"/>
      <c r="SMH291" s="592"/>
      <c r="SMI291" s="592"/>
      <c r="SMJ291" s="592"/>
      <c r="SMK291" s="592"/>
      <c r="SML291" s="592"/>
      <c r="SMM291" s="592"/>
      <c r="SMN291" s="592"/>
      <c r="SMO291" s="592"/>
      <c r="SMP291" s="592"/>
      <c r="SMQ291" s="592"/>
      <c r="SMR291" s="592"/>
      <c r="SMS291" s="592"/>
      <c r="SMT291" s="592"/>
      <c r="SMU291" s="592"/>
      <c r="SMV291" s="592"/>
      <c r="SMW291" s="592"/>
      <c r="SMX291" s="592"/>
      <c r="SMY291" s="592"/>
      <c r="SMZ291" s="592"/>
      <c r="SNA291" s="592"/>
      <c r="SNB291" s="592"/>
      <c r="SNC291" s="592"/>
      <c r="SND291" s="592"/>
      <c r="SNE291" s="592"/>
      <c r="SNF291" s="592"/>
      <c r="SNG291" s="592"/>
      <c r="SNH291" s="592"/>
      <c r="SNI291" s="592"/>
      <c r="SNJ291" s="592"/>
      <c r="SNK291" s="592"/>
      <c r="SNL291" s="592"/>
      <c r="SNM291" s="592"/>
      <c r="SNN291" s="592"/>
      <c r="SNO291" s="592"/>
      <c r="SNP291" s="592"/>
      <c r="SNQ291" s="592"/>
      <c r="SNR291" s="592"/>
      <c r="SNS291" s="592"/>
      <c r="SNT291" s="592"/>
      <c r="SNU291" s="592"/>
      <c r="SNV291" s="592"/>
      <c r="SNW291" s="592"/>
      <c r="SNX291" s="592"/>
      <c r="SNY291" s="592"/>
      <c r="SNZ291" s="592"/>
      <c r="SOA291" s="592"/>
      <c r="SOB291" s="592"/>
      <c r="SOC291" s="592"/>
      <c r="SOD291" s="592"/>
      <c r="SOE291" s="592"/>
      <c r="SOF291" s="592"/>
      <c r="SOG291" s="592"/>
      <c r="SOH291" s="592"/>
      <c r="SOI291" s="592"/>
      <c r="SOJ291" s="592"/>
      <c r="SOK291" s="592"/>
      <c r="SOL291" s="592"/>
      <c r="SOM291" s="592"/>
      <c r="SON291" s="592"/>
      <c r="SOO291" s="592"/>
      <c r="SOP291" s="592"/>
      <c r="SOQ291" s="592"/>
      <c r="SOR291" s="592"/>
      <c r="SOS291" s="592"/>
      <c r="SOT291" s="592"/>
      <c r="SOU291" s="592"/>
      <c r="SOV291" s="592"/>
      <c r="SOW291" s="592"/>
      <c r="SOX291" s="592"/>
      <c r="SOY291" s="592"/>
      <c r="SOZ291" s="592"/>
      <c r="SPA291" s="592"/>
      <c r="SPB291" s="592"/>
      <c r="SPC291" s="592"/>
      <c r="SPD291" s="592"/>
      <c r="SPE291" s="592"/>
      <c r="SPF291" s="592"/>
      <c r="SPG291" s="592"/>
      <c r="SPH291" s="592"/>
      <c r="SPI291" s="592"/>
      <c r="SPJ291" s="592"/>
      <c r="SPK291" s="592"/>
      <c r="SPL291" s="592"/>
      <c r="SPM291" s="592"/>
      <c r="SPN291" s="592"/>
      <c r="SPO291" s="592"/>
      <c r="SPP291" s="592"/>
      <c r="SPQ291" s="592"/>
      <c r="SPR291" s="592"/>
      <c r="SPS291" s="592"/>
      <c r="SPT291" s="592"/>
      <c r="SPU291" s="592"/>
      <c r="SPV291" s="592"/>
      <c r="SPW291" s="592"/>
      <c r="SPX291" s="592"/>
      <c r="SPY291" s="592"/>
      <c r="SPZ291" s="592"/>
      <c r="SQA291" s="592"/>
      <c r="SQB291" s="592"/>
      <c r="SQC291" s="592"/>
      <c r="SQD291" s="592"/>
      <c r="SQE291" s="592"/>
      <c r="SQF291" s="592"/>
      <c r="SQG291" s="592"/>
      <c r="SQH291" s="592"/>
      <c r="SQI291" s="592"/>
      <c r="SQJ291" s="592"/>
      <c r="SQK291" s="592"/>
      <c r="SQL291" s="592"/>
      <c r="SQM291" s="592"/>
      <c r="SQN291" s="592"/>
      <c r="SQO291" s="592"/>
      <c r="SQP291" s="592"/>
      <c r="SQQ291" s="592"/>
      <c r="SQR291" s="592"/>
      <c r="SQS291" s="592"/>
      <c r="SQT291" s="592"/>
      <c r="SQU291" s="592"/>
      <c r="SQV291" s="592"/>
      <c r="SQW291" s="592"/>
      <c r="SQX291" s="592"/>
      <c r="SQY291" s="592"/>
      <c r="SQZ291" s="592"/>
      <c r="SRA291" s="592"/>
      <c r="SRB291" s="592"/>
      <c r="SRC291" s="592"/>
      <c r="SRD291" s="592"/>
      <c r="SRE291" s="592"/>
      <c r="SRF291" s="592"/>
      <c r="SRG291" s="592"/>
      <c r="SRH291" s="592"/>
      <c r="SRI291" s="592"/>
      <c r="SRJ291" s="592"/>
      <c r="SRK291" s="592"/>
      <c r="SRL291" s="592"/>
      <c r="SRM291" s="592"/>
      <c r="SRN291" s="592"/>
      <c r="SRO291" s="592"/>
      <c r="SRP291" s="592"/>
      <c r="SRQ291" s="592"/>
      <c r="SRR291" s="592"/>
      <c r="SRS291" s="592"/>
      <c r="SRT291" s="592"/>
      <c r="SRU291" s="592"/>
      <c r="SRV291" s="592"/>
      <c r="SRW291" s="592"/>
      <c r="SRX291" s="592"/>
      <c r="SRY291" s="592"/>
      <c r="SRZ291" s="592"/>
      <c r="SSA291" s="592"/>
      <c r="SSB291" s="592"/>
      <c r="SSC291" s="592"/>
      <c r="SSD291" s="592"/>
      <c r="SSE291" s="592"/>
      <c r="SSF291" s="592"/>
      <c r="SSG291" s="592"/>
      <c r="SSH291" s="592"/>
      <c r="SSI291" s="592"/>
      <c r="SSJ291" s="592"/>
      <c r="SSK291" s="592"/>
      <c r="SSL291" s="592"/>
      <c r="SSM291" s="592"/>
      <c r="SSN291" s="592"/>
      <c r="SSO291" s="592"/>
      <c r="SSP291" s="592"/>
      <c r="SSQ291" s="592"/>
      <c r="SSR291" s="592"/>
      <c r="SSS291" s="592"/>
      <c r="SST291" s="592"/>
      <c r="SSU291" s="592"/>
      <c r="SSV291" s="592"/>
      <c r="SSW291" s="592"/>
      <c r="SSX291" s="592"/>
      <c r="SSY291" s="592"/>
      <c r="SSZ291" s="592"/>
      <c r="STA291" s="592"/>
      <c r="STB291" s="592"/>
      <c r="STC291" s="592"/>
      <c r="STD291" s="592"/>
      <c r="STE291" s="592"/>
      <c r="STF291" s="592"/>
      <c r="STG291" s="592"/>
      <c r="STH291" s="592"/>
      <c r="STI291" s="592"/>
      <c r="STJ291" s="592"/>
      <c r="STK291" s="592"/>
      <c r="STL291" s="592"/>
      <c r="STM291" s="592"/>
      <c r="STN291" s="592"/>
      <c r="STO291" s="592"/>
      <c r="STP291" s="592"/>
      <c r="STQ291" s="592"/>
      <c r="STR291" s="592"/>
      <c r="STS291" s="592"/>
      <c r="STT291" s="592"/>
      <c r="STU291" s="592"/>
      <c r="STV291" s="592"/>
      <c r="STW291" s="592"/>
      <c r="STX291" s="592"/>
      <c r="STY291" s="592"/>
      <c r="STZ291" s="592"/>
      <c r="SUA291" s="592"/>
      <c r="SUB291" s="592"/>
      <c r="SUC291" s="592"/>
      <c r="SUD291" s="592"/>
      <c r="SUE291" s="592"/>
      <c r="SUF291" s="592"/>
      <c r="SUG291" s="592"/>
      <c r="SUH291" s="592"/>
      <c r="SUI291" s="592"/>
      <c r="SUJ291" s="592"/>
      <c r="SUK291" s="592"/>
      <c r="SUL291" s="592"/>
      <c r="SUM291" s="592"/>
      <c r="SUN291" s="592"/>
      <c r="SUO291" s="592"/>
      <c r="SUP291" s="592"/>
      <c r="SUQ291" s="592"/>
      <c r="SUR291" s="592"/>
      <c r="SUS291" s="592"/>
      <c r="SUT291" s="592"/>
      <c r="SUU291" s="592"/>
      <c r="SUV291" s="592"/>
      <c r="SUW291" s="592"/>
      <c r="SUX291" s="592"/>
      <c r="SUY291" s="592"/>
      <c r="SUZ291" s="592"/>
      <c r="SVA291" s="592"/>
      <c r="SVB291" s="592"/>
      <c r="SVC291" s="592"/>
      <c r="SVD291" s="592"/>
      <c r="SVE291" s="592"/>
      <c r="SVF291" s="592"/>
      <c r="SVG291" s="592"/>
      <c r="SVH291" s="592"/>
      <c r="SVI291" s="592"/>
      <c r="SVJ291" s="592"/>
      <c r="SVK291" s="592"/>
      <c r="SVL291" s="592"/>
      <c r="SVM291" s="592"/>
      <c r="SVN291" s="592"/>
      <c r="SVO291" s="592"/>
      <c r="SVP291" s="592"/>
      <c r="SVQ291" s="592"/>
      <c r="SVR291" s="592"/>
      <c r="SVS291" s="592"/>
      <c r="SVT291" s="592"/>
      <c r="SVU291" s="592"/>
      <c r="SVV291" s="592"/>
      <c r="SVW291" s="592"/>
      <c r="SVX291" s="592"/>
      <c r="SVY291" s="592"/>
      <c r="SVZ291" s="592"/>
      <c r="SWA291" s="592"/>
      <c r="SWB291" s="592"/>
      <c r="SWC291" s="592"/>
      <c r="SWD291" s="592"/>
      <c r="SWE291" s="592"/>
      <c r="SWF291" s="592"/>
      <c r="SWG291" s="592"/>
      <c r="SWH291" s="592"/>
      <c r="SWI291" s="592"/>
      <c r="SWJ291" s="592"/>
      <c r="SWK291" s="592"/>
      <c r="SWL291" s="592"/>
      <c r="SWM291" s="592"/>
      <c r="SWN291" s="592"/>
      <c r="SWO291" s="592"/>
      <c r="SWP291" s="592"/>
      <c r="SWQ291" s="592"/>
      <c r="SWR291" s="592"/>
      <c r="SWS291" s="592"/>
      <c r="SWT291" s="592"/>
      <c r="SWU291" s="592"/>
      <c r="SWV291" s="592"/>
      <c r="SWW291" s="592"/>
      <c r="SWX291" s="592"/>
      <c r="SWY291" s="592"/>
      <c r="SWZ291" s="592"/>
      <c r="SXA291" s="592"/>
      <c r="SXB291" s="592"/>
      <c r="SXC291" s="592"/>
      <c r="SXD291" s="592"/>
      <c r="SXE291" s="592"/>
      <c r="SXF291" s="592"/>
      <c r="SXG291" s="592"/>
      <c r="SXH291" s="592"/>
      <c r="SXI291" s="592"/>
      <c r="SXJ291" s="592"/>
      <c r="SXK291" s="592"/>
      <c r="SXL291" s="592"/>
      <c r="SXM291" s="592"/>
      <c r="SXN291" s="592"/>
      <c r="SXO291" s="592"/>
      <c r="SXP291" s="592"/>
      <c r="SXQ291" s="592"/>
      <c r="SXR291" s="592"/>
      <c r="SXS291" s="592"/>
      <c r="SXT291" s="592"/>
      <c r="SXU291" s="592"/>
      <c r="SXV291" s="592"/>
      <c r="SXW291" s="592"/>
      <c r="SXX291" s="592"/>
      <c r="SXY291" s="592"/>
      <c r="SXZ291" s="592"/>
      <c r="SYA291" s="592"/>
      <c r="SYB291" s="592"/>
      <c r="SYC291" s="592"/>
      <c r="SYD291" s="592"/>
      <c r="SYE291" s="592"/>
      <c r="SYF291" s="592"/>
      <c r="SYG291" s="592"/>
      <c r="SYH291" s="592"/>
      <c r="SYI291" s="592"/>
      <c r="SYJ291" s="592"/>
      <c r="SYK291" s="592"/>
      <c r="SYL291" s="592"/>
      <c r="SYM291" s="592"/>
      <c r="SYN291" s="592"/>
      <c r="SYO291" s="592"/>
      <c r="SYP291" s="592"/>
      <c r="SYQ291" s="592"/>
      <c r="SYR291" s="592"/>
      <c r="SYS291" s="592"/>
      <c r="SYT291" s="592"/>
      <c r="SYU291" s="592"/>
      <c r="SYV291" s="592"/>
      <c r="SYW291" s="592"/>
      <c r="SYX291" s="592"/>
      <c r="SYY291" s="592"/>
      <c r="SYZ291" s="592"/>
      <c r="SZA291" s="592"/>
      <c r="SZB291" s="592"/>
      <c r="SZC291" s="592"/>
      <c r="SZD291" s="592"/>
      <c r="SZE291" s="592"/>
      <c r="SZF291" s="592"/>
      <c r="SZG291" s="592"/>
      <c r="SZH291" s="592"/>
      <c r="SZI291" s="592"/>
      <c r="SZJ291" s="592"/>
      <c r="SZK291" s="592"/>
      <c r="SZL291" s="592"/>
      <c r="SZM291" s="592"/>
      <c r="SZN291" s="592"/>
      <c r="SZO291" s="592"/>
      <c r="SZP291" s="592"/>
      <c r="SZQ291" s="592"/>
      <c r="SZR291" s="592"/>
      <c r="SZS291" s="592"/>
      <c r="SZT291" s="592"/>
      <c r="SZU291" s="592"/>
      <c r="SZV291" s="592"/>
      <c r="SZW291" s="592"/>
      <c r="SZX291" s="592"/>
      <c r="SZY291" s="592"/>
      <c r="SZZ291" s="592"/>
      <c r="TAA291" s="592"/>
      <c r="TAB291" s="592"/>
      <c r="TAC291" s="592"/>
      <c r="TAD291" s="592"/>
      <c r="TAE291" s="592"/>
      <c r="TAF291" s="592"/>
      <c r="TAG291" s="592"/>
      <c r="TAH291" s="592"/>
      <c r="TAI291" s="592"/>
      <c r="TAJ291" s="592"/>
      <c r="TAK291" s="592"/>
      <c r="TAL291" s="592"/>
      <c r="TAM291" s="592"/>
      <c r="TAN291" s="592"/>
      <c r="TAO291" s="592"/>
      <c r="TAP291" s="592"/>
      <c r="TAQ291" s="592"/>
      <c r="TAR291" s="592"/>
      <c r="TAS291" s="592"/>
      <c r="TAT291" s="592"/>
      <c r="TAU291" s="592"/>
      <c r="TAV291" s="592"/>
      <c r="TAW291" s="592"/>
      <c r="TAX291" s="592"/>
      <c r="TAY291" s="592"/>
      <c r="TAZ291" s="592"/>
      <c r="TBA291" s="592"/>
      <c r="TBB291" s="592"/>
      <c r="TBC291" s="592"/>
      <c r="TBD291" s="592"/>
      <c r="TBE291" s="592"/>
      <c r="TBF291" s="592"/>
      <c r="TBG291" s="592"/>
      <c r="TBH291" s="592"/>
      <c r="TBI291" s="592"/>
      <c r="TBJ291" s="592"/>
      <c r="TBK291" s="592"/>
      <c r="TBL291" s="592"/>
      <c r="TBM291" s="592"/>
      <c r="TBN291" s="592"/>
      <c r="TBO291" s="592"/>
      <c r="TBP291" s="592"/>
      <c r="TBQ291" s="592"/>
      <c r="TBR291" s="592"/>
      <c r="TBS291" s="592"/>
      <c r="TBT291" s="592"/>
      <c r="TBU291" s="592"/>
      <c r="TBV291" s="592"/>
      <c r="TBW291" s="592"/>
      <c r="TBX291" s="592"/>
      <c r="TBY291" s="592"/>
      <c r="TBZ291" s="592"/>
      <c r="TCA291" s="592"/>
      <c r="TCB291" s="592"/>
      <c r="TCC291" s="592"/>
      <c r="TCD291" s="592"/>
      <c r="TCE291" s="592"/>
      <c r="TCF291" s="592"/>
      <c r="TCG291" s="592"/>
      <c r="TCH291" s="592"/>
      <c r="TCI291" s="592"/>
      <c r="TCJ291" s="592"/>
      <c r="TCK291" s="592"/>
      <c r="TCL291" s="592"/>
      <c r="TCM291" s="592"/>
      <c r="TCN291" s="592"/>
      <c r="TCO291" s="592"/>
      <c r="TCP291" s="592"/>
      <c r="TCQ291" s="592"/>
      <c r="TCR291" s="592"/>
      <c r="TCS291" s="592"/>
      <c r="TCT291" s="592"/>
      <c r="TCU291" s="592"/>
      <c r="TCV291" s="592"/>
      <c r="TCW291" s="592"/>
      <c r="TCX291" s="592"/>
      <c r="TCY291" s="592"/>
      <c r="TCZ291" s="592"/>
      <c r="TDA291" s="592"/>
      <c r="TDB291" s="592"/>
      <c r="TDC291" s="592"/>
      <c r="TDD291" s="592"/>
      <c r="TDE291" s="592"/>
      <c r="TDF291" s="592"/>
      <c r="TDG291" s="592"/>
      <c r="TDH291" s="592"/>
      <c r="TDI291" s="592"/>
      <c r="TDJ291" s="592"/>
      <c r="TDK291" s="592"/>
      <c r="TDL291" s="592"/>
      <c r="TDM291" s="592"/>
      <c r="TDN291" s="592"/>
      <c r="TDO291" s="592"/>
      <c r="TDP291" s="592"/>
      <c r="TDQ291" s="592"/>
      <c r="TDR291" s="592"/>
      <c r="TDS291" s="592"/>
      <c r="TDT291" s="592"/>
      <c r="TDU291" s="592"/>
      <c r="TDV291" s="592"/>
      <c r="TDW291" s="592"/>
      <c r="TDX291" s="592"/>
      <c r="TDY291" s="592"/>
      <c r="TDZ291" s="592"/>
      <c r="TEA291" s="592"/>
      <c r="TEB291" s="592"/>
      <c r="TEC291" s="592"/>
      <c r="TED291" s="592"/>
      <c r="TEE291" s="592"/>
      <c r="TEF291" s="592"/>
      <c r="TEG291" s="592"/>
      <c r="TEH291" s="592"/>
      <c r="TEI291" s="592"/>
      <c r="TEJ291" s="592"/>
      <c r="TEK291" s="592"/>
      <c r="TEL291" s="592"/>
      <c r="TEM291" s="592"/>
      <c r="TEN291" s="592"/>
      <c r="TEO291" s="592"/>
      <c r="TEP291" s="592"/>
      <c r="TEQ291" s="592"/>
      <c r="TER291" s="592"/>
      <c r="TES291" s="592"/>
      <c r="TET291" s="592"/>
      <c r="TEU291" s="592"/>
      <c r="TEV291" s="592"/>
      <c r="TEW291" s="592"/>
      <c r="TEX291" s="592"/>
      <c r="TEY291" s="592"/>
      <c r="TEZ291" s="592"/>
      <c r="TFA291" s="592"/>
      <c r="TFB291" s="592"/>
      <c r="TFC291" s="592"/>
      <c r="TFD291" s="592"/>
      <c r="TFE291" s="592"/>
      <c r="TFF291" s="592"/>
      <c r="TFG291" s="592"/>
      <c r="TFH291" s="592"/>
      <c r="TFI291" s="592"/>
      <c r="TFJ291" s="592"/>
      <c r="TFK291" s="592"/>
      <c r="TFL291" s="592"/>
      <c r="TFM291" s="592"/>
      <c r="TFN291" s="592"/>
      <c r="TFO291" s="592"/>
      <c r="TFP291" s="592"/>
      <c r="TFQ291" s="592"/>
      <c r="TFR291" s="592"/>
      <c r="TFS291" s="592"/>
      <c r="TFT291" s="592"/>
      <c r="TFU291" s="592"/>
      <c r="TFV291" s="592"/>
      <c r="TFW291" s="592"/>
      <c r="TFX291" s="592"/>
      <c r="TFY291" s="592"/>
      <c r="TFZ291" s="592"/>
      <c r="TGA291" s="592"/>
      <c r="TGB291" s="592"/>
      <c r="TGC291" s="592"/>
      <c r="TGD291" s="592"/>
      <c r="TGE291" s="592"/>
      <c r="TGF291" s="592"/>
      <c r="TGG291" s="592"/>
      <c r="TGH291" s="592"/>
      <c r="TGI291" s="592"/>
      <c r="TGJ291" s="592"/>
      <c r="TGK291" s="592"/>
      <c r="TGL291" s="592"/>
      <c r="TGM291" s="592"/>
      <c r="TGN291" s="592"/>
      <c r="TGO291" s="592"/>
      <c r="TGP291" s="592"/>
      <c r="TGQ291" s="592"/>
      <c r="TGR291" s="592"/>
      <c r="TGS291" s="592"/>
      <c r="TGT291" s="592"/>
      <c r="TGU291" s="592"/>
      <c r="TGV291" s="592"/>
      <c r="TGW291" s="592"/>
      <c r="TGX291" s="592"/>
      <c r="TGY291" s="592"/>
      <c r="TGZ291" s="592"/>
      <c r="THA291" s="592"/>
      <c r="THB291" s="592"/>
      <c r="THC291" s="592"/>
      <c r="THD291" s="592"/>
      <c r="THE291" s="592"/>
      <c r="THF291" s="592"/>
      <c r="THG291" s="592"/>
      <c r="THH291" s="592"/>
      <c r="THI291" s="592"/>
      <c r="THJ291" s="592"/>
      <c r="THK291" s="592"/>
      <c r="THL291" s="592"/>
      <c r="THM291" s="592"/>
      <c r="THN291" s="592"/>
      <c r="THO291" s="592"/>
      <c r="THP291" s="592"/>
      <c r="THQ291" s="592"/>
      <c r="THR291" s="592"/>
      <c r="THS291" s="592"/>
      <c r="THT291" s="592"/>
      <c r="THU291" s="592"/>
      <c r="THV291" s="592"/>
      <c r="THW291" s="592"/>
      <c r="THX291" s="592"/>
      <c r="THY291" s="592"/>
      <c r="THZ291" s="592"/>
      <c r="TIA291" s="592"/>
      <c r="TIB291" s="592"/>
      <c r="TIC291" s="592"/>
      <c r="TID291" s="592"/>
      <c r="TIE291" s="592"/>
      <c r="TIF291" s="592"/>
      <c r="TIG291" s="592"/>
      <c r="TIH291" s="592"/>
      <c r="TII291" s="592"/>
      <c r="TIJ291" s="592"/>
      <c r="TIK291" s="592"/>
      <c r="TIL291" s="592"/>
      <c r="TIM291" s="592"/>
      <c r="TIN291" s="592"/>
      <c r="TIO291" s="592"/>
      <c r="TIP291" s="592"/>
      <c r="TIQ291" s="592"/>
      <c r="TIR291" s="592"/>
      <c r="TIS291" s="592"/>
      <c r="TIT291" s="592"/>
      <c r="TIU291" s="592"/>
      <c r="TIV291" s="592"/>
      <c r="TIW291" s="592"/>
      <c r="TIX291" s="592"/>
      <c r="TIY291" s="592"/>
      <c r="TIZ291" s="592"/>
      <c r="TJA291" s="592"/>
      <c r="TJB291" s="592"/>
      <c r="TJC291" s="592"/>
      <c r="TJD291" s="592"/>
      <c r="TJE291" s="592"/>
      <c r="TJF291" s="592"/>
      <c r="TJG291" s="592"/>
      <c r="TJH291" s="592"/>
      <c r="TJI291" s="592"/>
      <c r="TJJ291" s="592"/>
      <c r="TJK291" s="592"/>
      <c r="TJL291" s="592"/>
      <c r="TJM291" s="592"/>
      <c r="TJN291" s="592"/>
      <c r="TJO291" s="592"/>
      <c r="TJP291" s="592"/>
      <c r="TJQ291" s="592"/>
      <c r="TJR291" s="592"/>
      <c r="TJS291" s="592"/>
      <c r="TJT291" s="592"/>
      <c r="TJU291" s="592"/>
      <c r="TJV291" s="592"/>
      <c r="TJW291" s="592"/>
      <c r="TJX291" s="592"/>
      <c r="TJY291" s="592"/>
      <c r="TJZ291" s="592"/>
      <c r="TKA291" s="592"/>
      <c r="TKB291" s="592"/>
      <c r="TKC291" s="592"/>
      <c r="TKD291" s="592"/>
      <c r="TKE291" s="592"/>
      <c r="TKF291" s="592"/>
      <c r="TKG291" s="592"/>
      <c r="TKH291" s="592"/>
      <c r="TKI291" s="592"/>
      <c r="TKJ291" s="592"/>
      <c r="TKK291" s="592"/>
      <c r="TKL291" s="592"/>
      <c r="TKM291" s="592"/>
      <c r="TKN291" s="592"/>
      <c r="TKO291" s="592"/>
      <c r="TKP291" s="592"/>
      <c r="TKQ291" s="592"/>
      <c r="TKR291" s="592"/>
      <c r="TKS291" s="592"/>
      <c r="TKT291" s="592"/>
      <c r="TKU291" s="592"/>
      <c r="TKV291" s="592"/>
      <c r="TKW291" s="592"/>
      <c r="TKX291" s="592"/>
      <c r="TKY291" s="592"/>
      <c r="TKZ291" s="592"/>
      <c r="TLA291" s="592"/>
      <c r="TLB291" s="592"/>
      <c r="TLC291" s="592"/>
      <c r="TLD291" s="592"/>
      <c r="TLE291" s="592"/>
      <c r="TLF291" s="592"/>
      <c r="TLG291" s="592"/>
      <c r="TLH291" s="592"/>
      <c r="TLI291" s="592"/>
      <c r="TLJ291" s="592"/>
      <c r="TLK291" s="592"/>
      <c r="TLL291" s="592"/>
      <c r="TLM291" s="592"/>
      <c r="TLN291" s="592"/>
      <c r="TLO291" s="592"/>
      <c r="TLP291" s="592"/>
      <c r="TLQ291" s="592"/>
      <c r="TLR291" s="592"/>
      <c r="TLS291" s="592"/>
      <c r="TLT291" s="592"/>
      <c r="TLU291" s="592"/>
      <c r="TLV291" s="592"/>
      <c r="TLW291" s="592"/>
      <c r="TLX291" s="592"/>
      <c r="TLY291" s="592"/>
      <c r="TLZ291" s="592"/>
      <c r="TMA291" s="592"/>
      <c r="TMB291" s="592"/>
      <c r="TMC291" s="592"/>
      <c r="TMD291" s="592"/>
      <c r="TME291" s="592"/>
      <c r="TMF291" s="592"/>
      <c r="TMG291" s="592"/>
      <c r="TMH291" s="592"/>
      <c r="TMI291" s="592"/>
      <c r="TMJ291" s="592"/>
      <c r="TMK291" s="592"/>
      <c r="TML291" s="592"/>
      <c r="TMM291" s="592"/>
      <c r="TMN291" s="592"/>
      <c r="TMO291" s="592"/>
      <c r="TMP291" s="592"/>
      <c r="TMQ291" s="592"/>
      <c r="TMR291" s="592"/>
      <c r="TMS291" s="592"/>
      <c r="TMT291" s="592"/>
      <c r="TMU291" s="592"/>
      <c r="TMV291" s="592"/>
      <c r="TMW291" s="592"/>
      <c r="TMX291" s="592"/>
      <c r="TMY291" s="592"/>
      <c r="TMZ291" s="592"/>
      <c r="TNA291" s="592"/>
      <c r="TNB291" s="592"/>
      <c r="TNC291" s="592"/>
      <c r="TND291" s="592"/>
      <c r="TNE291" s="592"/>
      <c r="TNF291" s="592"/>
      <c r="TNG291" s="592"/>
      <c r="TNH291" s="592"/>
      <c r="TNI291" s="592"/>
      <c r="TNJ291" s="592"/>
      <c r="TNK291" s="592"/>
      <c r="TNL291" s="592"/>
      <c r="TNM291" s="592"/>
      <c r="TNN291" s="592"/>
      <c r="TNO291" s="592"/>
      <c r="TNP291" s="592"/>
      <c r="TNQ291" s="592"/>
      <c r="TNR291" s="592"/>
      <c r="TNS291" s="592"/>
      <c r="TNT291" s="592"/>
      <c r="TNU291" s="592"/>
      <c r="TNV291" s="592"/>
      <c r="TNW291" s="592"/>
      <c r="TNX291" s="592"/>
      <c r="TNY291" s="592"/>
      <c r="TNZ291" s="592"/>
      <c r="TOA291" s="592"/>
      <c r="TOB291" s="592"/>
      <c r="TOC291" s="592"/>
      <c r="TOD291" s="592"/>
      <c r="TOE291" s="592"/>
      <c r="TOF291" s="592"/>
      <c r="TOG291" s="592"/>
      <c r="TOH291" s="592"/>
      <c r="TOI291" s="592"/>
      <c r="TOJ291" s="592"/>
      <c r="TOK291" s="592"/>
      <c r="TOL291" s="592"/>
      <c r="TOM291" s="592"/>
      <c r="TON291" s="592"/>
      <c r="TOO291" s="592"/>
      <c r="TOP291" s="592"/>
      <c r="TOQ291" s="592"/>
      <c r="TOR291" s="592"/>
      <c r="TOS291" s="592"/>
      <c r="TOT291" s="592"/>
      <c r="TOU291" s="592"/>
      <c r="TOV291" s="592"/>
      <c r="TOW291" s="592"/>
      <c r="TOX291" s="592"/>
      <c r="TOY291" s="592"/>
      <c r="TOZ291" s="592"/>
      <c r="TPA291" s="592"/>
      <c r="TPB291" s="592"/>
      <c r="TPC291" s="592"/>
      <c r="TPD291" s="592"/>
      <c r="TPE291" s="592"/>
      <c r="TPF291" s="592"/>
      <c r="TPG291" s="592"/>
      <c r="TPH291" s="592"/>
      <c r="TPI291" s="592"/>
      <c r="TPJ291" s="592"/>
      <c r="TPK291" s="592"/>
      <c r="TPL291" s="592"/>
      <c r="TPM291" s="592"/>
      <c r="TPN291" s="592"/>
      <c r="TPO291" s="592"/>
      <c r="TPP291" s="592"/>
      <c r="TPQ291" s="592"/>
      <c r="TPR291" s="592"/>
      <c r="TPS291" s="592"/>
      <c r="TPT291" s="592"/>
      <c r="TPU291" s="592"/>
      <c r="TPV291" s="592"/>
      <c r="TPW291" s="592"/>
      <c r="TPX291" s="592"/>
      <c r="TPY291" s="592"/>
      <c r="TPZ291" s="592"/>
      <c r="TQA291" s="592"/>
      <c r="TQB291" s="592"/>
      <c r="TQC291" s="592"/>
      <c r="TQD291" s="592"/>
      <c r="TQE291" s="592"/>
      <c r="TQF291" s="592"/>
      <c r="TQG291" s="592"/>
      <c r="TQH291" s="592"/>
      <c r="TQI291" s="592"/>
      <c r="TQJ291" s="592"/>
      <c r="TQK291" s="592"/>
      <c r="TQL291" s="592"/>
      <c r="TQM291" s="592"/>
      <c r="TQN291" s="592"/>
      <c r="TQO291" s="592"/>
      <c r="TQP291" s="592"/>
      <c r="TQQ291" s="592"/>
      <c r="TQR291" s="592"/>
      <c r="TQS291" s="592"/>
      <c r="TQT291" s="592"/>
      <c r="TQU291" s="592"/>
      <c r="TQV291" s="592"/>
      <c r="TQW291" s="592"/>
      <c r="TQX291" s="592"/>
      <c r="TQY291" s="592"/>
      <c r="TQZ291" s="592"/>
      <c r="TRA291" s="592"/>
      <c r="TRB291" s="592"/>
      <c r="TRC291" s="592"/>
      <c r="TRD291" s="592"/>
      <c r="TRE291" s="592"/>
      <c r="TRF291" s="592"/>
      <c r="TRG291" s="592"/>
      <c r="TRH291" s="592"/>
      <c r="TRI291" s="592"/>
      <c r="TRJ291" s="592"/>
      <c r="TRK291" s="592"/>
      <c r="TRL291" s="592"/>
      <c r="TRM291" s="592"/>
      <c r="TRN291" s="592"/>
      <c r="TRO291" s="592"/>
      <c r="TRP291" s="592"/>
      <c r="TRQ291" s="592"/>
      <c r="TRR291" s="592"/>
      <c r="TRS291" s="592"/>
      <c r="TRT291" s="592"/>
      <c r="TRU291" s="592"/>
      <c r="TRV291" s="592"/>
      <c r="TRW291" s="592"/>
      <c r="TRX291" s="592"/>
      <c r="TRY291" s="592"/>
      <c r="TRZ291" s="592"/>
      <c r="TSA291" s="592"/>
      <c r="TSB291" s="592"/>
      <c r="TSC291" s="592"/>
      <c r="TSD291" s="592"/>
      <c r="TSE291" s="592"/>
      <c r="TSF291" s="592"/>
      <c r="TSG291" s="592"/>
      <c r="TSH291" s="592"/>
      <c r="TSI291" s="592"/>
      <c r="TSJ291" s="592"/>
      <c r="TSK291" s="592"/>
      <c r="TSL291" s="592"/>
      <c r="TSM291" s="592"/>
      <c r="TSN291" s="592"/>
      <c r="TSO291" s="592"/>
      <c r="TSP291" s="592"/>
      <c r="TSQ291" s="592"/>
      <c r="TSR291" s="592"/>
      <c r="TSS291" s="592"/>
      <c r="TST291" s="592"/>
      <c r="TSU291" s="592"/>
      <c r="TSV291" s="592"/>
      <c r="TSW291" s="592"/>
      <c r="TSX291" s="592"/>
      <c r="TSY291" s="592"/>
      <c r="TSZ291" s="592"/>
      <c r="TTA291" s="592"/>
      <c r="TTB291" s="592"/>
      <c r="TTC291" s="592"/>
      <c r="TTD291" s="592"/>
      <c r="TTE291" s="592"/>
      <c r="TTF291" s="592"/>
      <c r="TTG291" s="592"/>
      <c r="TTH291" s="592"/>
      <c r="TTI291" s="592"/>
      <c r="TTJ291" s="592"/>
      <c r="TTK291" s="592"/>
      <c r="TTL291" s="592"/>
      <c r="TTM291" s="592"/>
      <c r="TTN291" s="592"/>
      <c r="TTO291" s="592"/>
      <c r="TTP291" s="592"/>
      <c r="TTQ291" s="592"/>
      <c r="TTR291" s="592"/>
      <c r="TTS291" s="592"/>
      <c r="TTT291" s="592"/>
      <c r="TTU291" s="592"/>
      <c r="TTV291" s="592"/>
      <c r="TTW291" s="592"/>
      <c r="TTX291" s="592"/>
      <c r="TTY291" s="592"/>
      <c r="TTZ291" s="592"/>
      <c r="TUA291" s="592"/>
      <c r="TUB291" s="592"/>
      <c r="TUC291" s="592"/>
      <c r="TUD291" s="592"/>
      <c r="TUE291" s="592"/>
      <c r="TUF291" s="592"/>
      <c r="TUG291" s="592"/>
      <c r="TUH291" s="592"/>
      <c r="TUI291" s="592"/>
      <c r="TUJ291" s="592"/>
      <c r="TUK291" s="592"/>
      <c r="TUL291" s="592"/>
      <c r="TUM291" s="592"/>
      <c r="TUN291" s="592"/>
      <c r="TUO291" s="592"/>
      <c r="TUP291" s="592"/>
      <c r="TUQ291" s="592"/>
      <c r="TUR291" s="592"/>
      <c r="TUS291" s="592"/>
      <c r="TUT291" s="592"/>
      <c r="TUU291" s="592"/>
      <c r="TUV291" s="592"/>
      <c r="TUW291" s="592"/>
      <c r="TUX291" s="592"/>
      <c r="TUY291" s="592"/>
      <c r="TUZ291" s="592"/>
      <c r="TVA291" s="592"/>
      <c r="TVB291" s="592"/>
      <c r="TVC291" s="592"/>
      <c r="TVD291" s="592"/>
      <c r="TVE291" s="592"/>
      <c r="TVF291" s="592"/>
      <c r="TVG291" s="592"/>
      <c r="TVH291" s="592"/>
      <c r="TVI291" s="592"/>
      <c r="TVJ291" s="592"/>
      <c r="TVK291" s="592"/>
      <c r="TVL291" s="592"/>
      <c r="TVM291" s="592"/>
      <c r="TVN291" s="592"/>
      <c r="TVO291" s="592"/>
      <c r="TVP291" s="592"/>
      <c r="TVQ291" s="592"/>
      <c r="TVR291" s="592"/>
      <c r="TVS291" s="592"/>
      <c r="TVT291" s="592"/>
      <c r="TVU291" s="592"/>
      <c r="TVV291" s="592"/>
      <c r="TVW291" s="592"/>
      <c r="TVX291" s="592"/>
      <c r="TVY291" s="592"/>
      <c r="TVZ291" s="592"/>
      <c r="TWA291" s="592"/>
      <c r="TWB291" s="592"/>
      <c r="TWC291" s="592"/>
      <c r="TWD291" s="592"/>
      <c r="TWE291" s="592"/>
      <c r="TWF291" s="592"/>
      <c r="TWG291" s="592"/>
      <c r="TWH291" s="592"/>
      <c r="TWI291" s="592"/>
      <c r="TWJ291" s="592"/>
      <c r="TWK291" s="592"/>
      <c r="TWL291" s="592"/>
      <c r="TWM291" s="592"/>
      <c r="TWN291" s="592"/>
      <c r="TWO291" s="592"/>
      <c r="TWP291" s="592"/>
      <c r="TWQ291" s="592"/>
      <c r="TWR291" s="592"/>
      <c r="TWS291" s="592"/>
      <c r="TWT291" s="592"/>
      <c r="TWU291" s="592"/>
      <c r="TWV291" s="592"/>
      <c r="TWW291" s="592"/>
      <c r="TWX291" s="592"/>
      <c r="TWY291" s="592"/>
      <c r="TWZ291" s="592"/>
      <c r="TXA291" s="592"/>
      <c r="TXB291" s="592"/>
      <c r="TXC291" s="592"/>
      <c r="TXD291" s="592"/>
      <c r="TXE291" s="592"/>
      <c r="TXF291" s="592"/>
      <c r="TXG291" s="592"/>
      <c r="TXH291" s="592"/>
      <c r="TXI291" s="592"/>
      <c r="TXJ291" s="592"/>
      <c r="TXK291" s="592"/>
      <c r="TXL291" s="592"/>
      <c r="TXM291" s="592"/>
      <c r="TXN291" s="592"/>
      <c r="TXO291" s="592"/>
      <c r="TXP291" s="592"/>
      <c r="TXQ291" s="592"/>
      <c r="TXR291" s="592"/>
      <c r="TXS291" s="592"/>
      <c r="TXT291" s="592"/>
      <c r="TXU291" s="592"/>
      <c r="TXV291" s="592"/>
      <c r="TXW291" s="592"/>
      <c r="TXX291" s="592"/>
      <c r="TXY291" s="592"/>
      <c r="TXZ291" s="592"/>
      <c r="TYA291" s="592"/>
      <c r="TYB291" s="592"/>
      <c r="TYC291" s="592"/>
      <c r="TYD291" s="592"/>
      <c r="TYE291" s="592"/>
      <c r="TYF291" s="592"/>
      <c r="TYG291" s="592"/>
      <c r="TYH291" s="592"/>
      <c r="TYI291" s="592"/>
      <c r="TYJ291" s="592"/>
      <c r="TYK291" s="592"/>
      <c r="TYL291" s="592"/>
      <c r="TYM291" s="592"/>
      <c r="TYN291" s="592"/>
      <c r="TYO291" s="592"/>
      <c r="TYP291" s="592"/>
      <c r="TYQ291" s="592"/>
      <c r="TYR291" s="592"/>
      <c r="TYS291" s="592"/>
      <c r="TYT291" s="592"/>
      <c r="TYU291" s="592"/>
      <c r="TYV291" s="592"/>
      <c r="TYW291" s="592"/>
      <c r="TYX291" s="592"/>
      <c r="TYY291" s="592"/>
      <c r="TYZ291" s="592"/>
      <c r="TZA291" s="592"/>
      <c r="TZB291" s="592"/>
      <c r="TZC291" s="592"/>
      <c r="TZD291" s="592"/>
      <c r="TZE291" s="592"/>
      <c r="TZF291" s="592"/>
      <c r="TZG291" s="592"/>
      <c r="TZH291" s="592"/>
      <c r="TZI291" s="592"/>
      <c r="TZJ291" s="592"/>
      <c r="TZK291" s="592"/>
      <c r="TZL291" s="592"/>
      <c r="TZM291" s="592"/>
      <c r="TZN291" s="592"/>
      <c r="TZO291" s="592"/>
      <c r="TZP291" s="592"/>
      <c r="TZQ291" s="592"/>
      <c r="TZR291" s="592"/>
      <c r="TZS291" s="592"/>
      <c r="TZT291" s="592"/>
      <c r="TZU291" s="592"/>
      <c r="TZV291" s="592"/>
      <c r="TZW291" s="592"/>
      <c r="TZX291" s="592"/>
      <c r="TZY291" s="592"/>
      <c r="TZZ291" s="592"/>
      <c r="UAA291" s="592"/>
      <c r="UAB291" s="592"/>
      <c r="UAC291" s="592"/>
      <c r="UAD291" s="592"/>
      <c r="UAE291" s="592"/>
      <c r="UAF291" s="592"/>
      <c r="UAG291" s="592"/>
      <c r="UAH291" s="592"/>
      <c r="UAI291" s="592"/>
      <c r="UAJ291" s="592"/>
      <c r="UAK291" s="592"/>
      <c r="UAL291" s="592"/>
      <c r="UAM291" s="592"/>
      <c r="UAN291" s="592"/>
      <c r="UAO291" s="592"/>
      <c r="UAP291" s="592"/>
      <c r="UAQ291" s="592"/>
      <c r="UAR291" s="592"/>
      <c r="UAS291" s="592"/>
      <c r="UAT291" s="592"/>
      <c r="UAU291" s="592"/>
      <c r="UAV291" s="592"/>
      <c r="UAW291" s="592"/>
      <c r="UAX291" s="592"/>
      <c r="UAY291" s="592"/>
      <c r="UAZ291" s="592"/>
      <c r="UBA291" s="592"/>
      <c r="UBB291" s="592"/>
      <c r="UBC291" s="592"/>
      <c r="UBD291" s="592"/>
      <c r="UBE291" s="592"/>
      <c r="UBF291" s="592"/>
      <c r="UBG291" s="592"/>
      <c r="UBH291" s="592"/>
      <c r="UBI291" s="592"/>
      <c r="UBJ291" s="592"/>
      <c r="UBK291" s="592"/>
      <c r="UBL291" s="592"/>
      <c r="UBM291" s="592"/>
      <c r="UBN291" s="592"/>
      <c r="UBO291" s="592"/>
      <c r="UBP291" s="592"/>
      <c r="UBQ291" s="592"/>
      <c r="UBR291" s="592"/>
      <c r="UBS291" s="592"/>
      <c r="UBT291" s="592"/>
      <c r="UBU291" s="592"/>
      <c r="UBV291" s="592"/>
      <c r="UBW291" s="592"/>
      <c r="UBX291" s="592"/>
      <c r="UBY291" s="592"/>
      <c r="UBZ291" s="592"/>
      <c r="UCA291" s="592"/>
      <c r="UCB291" s="592"/>
      <c r="UCC291" s="592"/>
      <c r="UCD291" s="592"/>
      <c r="UCE291" s="592"/>
      <c r="UCF291" s="592"/>
      <c r="UCG291" s="592"/>
      <c r="UCH291" s="592"/>
      <c r="UCI291" s="592"/>
      <c r="UCJ291" s="592"/>
      <c r="UCK291" s="592"/>
      <c r="UCL291" s="592"/>
      <c r="UCM291" s="592"/>
      <c r="UCN291" s="592"/>
      <c r="UCO291" s="592"/>
      <c r="UCP291" s="592"/>
      <c r="UCQ291" s="592"/>
      <c r="UCR291" s="592"/>
      <c r="UCS291" s="592"/>
      <c r="UCT291" s="592"/>
      <c r="UCU291" s="592"/>
      <c r="UCV291" s="592"/>
      <c r="UCW291" s="592"/>
      <c r="UCX291" s="592"/>
      <c r="UCY291" s="592"/>
      <c r="UCZ291" s="592"/>
      <c r="UDA291" s="592"/>
      <c r="UDB291" s="592"/>
      <c r="UDC291" s="592"/>
      <c r="UDD291" s="592"/>
      <c r="UDE291" s="592"/>
      <c r="UDF291" s="592"/>
      <c r="UDG291" s="592"/>
      <c r="UDH291" s="592"/>
      <c r="UDI291" s="592"/>
      <c r="UDJ291" s="592"/>
      <c r="UDK291" s="592"/>
      <c r="UDL291" s="592"/>
      <c r="UDM291" s="592"/>
      <c r="UDN291" s="592"/>
      <c r="UDO291" s="592"/>
      <c r="UDP291" s="592"/>
      <c r="UDQ291" s="592"/>
      <c r="UDR291" s="592"/>
      <c r="UDS291" s="592"/>
      <c r="UDT291" s="592"/>
      <c r="UDU291" s="592"/>
      <c r="UDV291" s="592"/>
      <c r="UDW291" s="592"/>
      <c r="UDX291" s="592"/>
      <c r="UDY291" s="592"/>
      <c r="UDZ291" s="592"/>
      <c r="UEA291" s="592"/>
      <c r="UEB291" s="592"/>
      <c r="UEC291" s="592"/>
      <c r="UED291" s="592"/>
      <c r="UEE291" s="592"/>
      <c r="UEF291" s="592"/>
      <c r="UEG291" s="592"/>
      <c r="UEH291" s="592"/>
      <c r="UEI291" s="592"/>
      <c r="UEJ291" s="592"/>
      <c r="UEK291" s="592"/>
      <c r="UEL291" s="592"/>
      <c r="UEM291" s="592"/>
      <c r="UEN291" s="592"/>
      <c r="UEO291" s="592"/>
      <c r="UEP291" s="592"/>
      <c r="UEQ291" s="592"/>
      <c r="UER291" s="592"/>
      <c r="UES291" s="592"/>
      <c r="UET291" s="592"/>
      <c r="UEU291" s="592"/>
      <c r="UEV291" s="592"/>
      <c r="UEW291" s="592"/>
      <c r="UEX291" s="592"/>
      <c r="UEY291" s="592"/>
      <c r="UEZ291" s="592"/>
      <c r="UFA291" s="592"/>
      <c r="UFB291" s="592"/>
      <c r="UFC291" s="592"/>
      <c r="UFD291" s="592"/>
      <c r="UFE291" s="592"/>
      <c r="UFF291" s="592"/>
      <c r="UFG291" s="592"/>
      <c r="UFH291" s="592"/>
      <c r="UFI291" s="592"/>
      <c r="UFJ291" s="592"/>
      <c r="UFK291" s="592"/>
      <c r="UFL291" s="592"/>
      <c r="UFM291" s="592"/>
      <c r="UFN291" s="592"/>
      <c r="UFO291" s="592"/>
      <c r="UFP291" s="592"/>
      <c r="UFQ291" s="592"/>
      <c r="UFR291" s="592"/>
      <c r="UFS291" s="592"/>
      <c r="UFT291" s="592"/>
      <c r="UFU291" s="592"/>
      <c r="UFV291" s="592"/>
      <c r="UFW291" s="592"/>
      <c r="UFX291" s="592"/>
      <c r="UFY291" s="592"/>
      <c r="UFZ291" s="592"/>
      <c r="UGA291" s="592"/>
      <c r="UGB291" s="592"/>
      <c r="UGC291" s="592"/>
      <c r="UGD291" s="592"/>
      <c r="UGE291" s="592"/>
      <c r="UGF291" s="592"/>
      <c r="UGG291" s="592"/>
      <c r="UGH291" s="592"/>
      <c r="UGI291" s="592"/>
      <c r="UGJ291" s="592"/>
      <c r="UGK291" s="592"/>
      <c r="UGL291" s="592"/>
      <c r="UGM291" s="592"/>
      <c r="UGN291" s="592"/>
      <c r="UGO291" s="592"/>
      <c r="UGP291" s="592"/>
      <c r="UGQ291" s="592"/>
      <c r="UGR291" s="592"/>
      <c r="UGS291" s="592"/>
      <c r="UGT291" s="592"/>
      <c r="UGU291" s="592"/>
      <c r="UGV291" s="592"/>
      <c r="UGW291" s="592"/>
      <c r="UGX291" s="592"/>
      <c r="UGY291" s="592"/>
      <c r="UGZ291" s="592"/>
      <c r="UHA291" s="592"/>
      <c r="UHB291" s="592"/>
      <c r="UHC291" s="592"/>
      <c r="UHD291" s="592"/>
      <c r="UHE291" s="592"/>
      <c r="UHF291" s="592"/>
      <c r="UHG291" s="592"/>
      <c r="UHH291" s="592"/>
      <c r="UHI291" s="592"/>
      <c r="UHJ291" s="592"/>
      <c r="UHK291" s="592"/>
      <c r="UHL291" s="592"/>
      <c r="UHM291" s="592"/>
      <c r="UHN291" s="592"/>
      <c r="UHO291" s="592"/>
      <c r="UHP291" s="592"/>
      <c r="UHQ291" s="592"/>
      <c r="UHR291" s="592"/>
      <c r="UHS291" s="592"/>
      <c r="UHT291" s="592"/>
      <c r="UHU291" s="592"/>
      <c r="UHV291" s="592"/>
      <c r="UHW291" s="592"/>
      <c r="UHX291" s="592"/>
      <c r="UHY291" s="592"/>
      <c r="UHZ291" s="592"/>
      <c r="UIA291" s="592"/>
      <c r="UIB291" s="592"/>
      <c r="UIC291" s="592"/>
      <c r="UID291" s="592"/>
      <c r="UIE291" s="592"/>
      <c r="UIF291" s="592"/>
      <c r="UIG291" s="592"/>
      <c r="UIH291" s="592"/>
      <c r="UII291" s="592"/>
      <c r="UIJ291" s="592"/>
      <c r="UIK291" s="592"/>
      <c r="UIL291" s="592"/>
      <c r="UIM291" s="592"/>
      <c r="UIN291" s="592"/>
      <c r="UIO291" s="592"/>
      <c r="UIP291" s="592"/>
      <c r="UIQ291" s="592"/>
      <c r="UIR291" s="592"/>
      <c r="UIS291" s="592"/>
      <c r="UIT291" s="592"/>
      <c r="UIU291" s="592"/>
      <c r="UIV291" s="592"/>
      <c r="UIW291" s="592"/>
      <c r="UIX291" s="592"/>
      <c r="UIY291" s="592"/>
      <c r="UIZ291" s="592"/>
      <c r="UJA291" s="592"/>
      <c r="UJB291" s="592"/>
      <c r="UJC291" s="592"/>
      <c r="UJD291" s="592"/>
      <c r="UJE291" s="592"/>
      <c r="UJF291" s="592"/>
      <c r="UJG291" s="592"/>
      <c r="UJH291" s="592"/>
      <c r="UJI291" s="592"/>
      <c r="UJJ291" s="592"/>
      <c r="UJK291" s="592"/>
      <c r="UJL291" s="592"/>
      <c r="UJM291" s="592"/>
      <c r="UJN291" s="592"/>
      <c r="UJO291" s="592"/>
      <c r="UJP291" s="592"/>
      <c r="UJQ291" s="592"/>
      <c r="UJR291" s="592"/>
      <c r="UJS291" s="592"/>
      <c r="UJT291" s="592"/>
      <c r="UJU291" s="592"/>
      <c r="UJV291" s="592"/>
      <c r="UJW291" s="592"/>
      <c r="UJX291" s="592"/>
      <c r="UJY291" s="592"/>
      <c r="UJZ291" s="592"/>
      <c r="UKA291" s="592"/>
      <c r="UKB291" s="592"/>
      <c r="UKC291" s="592"/>
      <c r="UKD291" s="592"/>
      <c r="UKE291" s="592"/>
      <c r="UKF291" s="592"/>
      <c r="UKG291" s="592"/>
      <c r="UKH291" s="592"/>
      <c r="UKI291" s="592"/>
      <c r="UKJ291" s="592"/>
      <c r="UKK291" s="592"/>
      <c r="UKL291" s="592"/>
      <c r="UKM291" s="592"/>
      <c r="UKN291" s="592"/>
      <c r="UKO291" s="592"/>
      <c r="UKP291" s="592"/>
      <c r="UKQ291" s="592"/>
      <c r="UKR291" s="592"/>
      <c r="UKS291" s="592"/>
      <c r="UKT291" s="592"/>
      <c r="UKU291" s="592"/>
      <c r="UKV291" s="592"/>
      <c r="UKW291" s="592"/>
      <c r="UKX291" s="592"/>
      <c r="UKY291" s="592"/>
      <c r="UKZ291" s="592"/>
      <c r="ULA291" s="592"/>
      <c r="ULB291" s="592"/>
      <c r="ULC291" s="592"/>
      <c r="ULD291" s="592"/>
      <c r="ULE291" s="592"/>
      <c r="ULF291" s="592"/>
      <c r="ULG291" s="592"/>
      <c r="ULH291" s="592"/>
      <c r="ULI291" s="592"/>
      <c r="ULJ291" s="592"/>
      <c r="ULK291" s="592"/>
      <c r="ULL291" s="592"/>
      <c r="ULM291" s="592"/>
      <c r="ULN291" s="592"/>
      <c r="ULO291" s="592"/>
      <c r="ULP291" s="592"/>
      <c r="ULQ291" s="592"/>
      <c r="ULR291" s="592"/>
      <c r="ULS291" s="592"/>
      <c r="ULT291" s="592"/>
      <c r="ULU291" s="592"/>
      <c r="ULV291" s="592"/>
      <c r="ULW291" s="592"/>
      <c r="ULX291" s="592"/>
      <c r="ULY291" s="592"/>
      <c r="ULZ291" s="592"/>
      <c r="UMA291" s="592"/>
      <c r="UMB291" s="592"/>
      <c r="UMC291" s="592"/>
      <c r="UMD291" s="592"/>
      <c r="UME291" s="592"/>
      <c r="UMF291" s="592"/>
      <c r="UMG291" s="592"/>
      <c r="UMH291" s="592"/>
      <c r="UMI291" s="592"/>
      <c r="UMJ291" s="592"/>
      <c r="UMK291" s="592"/>
      <c r="UML291" s="592"/>
      <c r="UMM291" s="592"/>
      <c r="UMN291" s="592"/>
      <c r="UMO291" s="592"/>
      <c r="UMP291" s="592"/>
      <c r="UMQ291" s="592"/>
      <c r="UMR291" s="592"/>
      <c r="UMS291" s="592"/>
      <c r="UMT291" s="592"/>
      <c r="UMU291" s="592"/>
      <c r="UMV291" s="592"/>
      <c r="UMW291" s="592"/>
      <c r="UMX291" s="592"/>
      <c r="UMY291" s="592"/>
      <c r="UMZ291" s="592"/>
      <c r="UNA291" s="592"/>
      <c r="UNB291" s="592"/>
      <c r="UNC291" s="592"/>
      <c r="UND291" s="592"/>
      <c r="UNE291" s="592"/>
      <c r="UNF291" s="592"/>
      <c r="UNG291" s="592"/>
      <c r="UNH291" s="592"/>
      <c r="UNI291" s="592"/>
      <c r="UNJ291" s="592"/>
      <c r="UNK291" s="592"/>
      <c r="UNL291" s="592"/>
      <c r="UNM291" s="592"/>
      <c r="UNN291" s="592"/>
      <c r="UNO291" s="592"/>
      <c r="UNP291" s="592"/>
      <c r="UNQ291" s="592"/>
      <c r="UNR291" s="592"/>
      <c r="UNS291" s="592"/>
      <c r="UNT291" s="592"/>
      <c r="UNU291" s="592"/>
      <c r="UNV291" s="592"/>
      <c r="UNW291" s="592"/>
      <c r="UNX291" s="592"/>
      <c r="UNY291" s="592"/>
      <c r="UNZ291" s="592"/>
      <c r="UOA291" s="592"/>
      <c r="UOB291" s="592"/>
      <c r="UOC291" s="592"/>
      <c r="UOD291" s="592"/>
      <c r="UOE291" s="592"/>
      <c r="UOF291" s="592"/>
      <c r="UOG291" s="592"/>
      <c r="UOH291" s="592"/>
      <c r="UOI291" s="592"/>
      <c r="UOJ291" s="592"/>
      <c r="UOK291" s="592"/>
      <c r="UOL291" s="592"/>
      <c r="UOM291" s="592"/>
      <c r="UON291" s="592"/>
      <c r="UOO291" s="592"/>
      <c r="UOP291" s="592"/>
      <c r="UOQ291" s="592"/>
      <c r="UOR291" s="592"/>
      <c r="UOS291" s="592"/>
      <c r="UOT291" s="592"/>
      <c r="UOU291" s="592"/>
      <c r="UOV291" s="592"/>
      <c r="UOW291" s="592"/>
      <c r="UOX291" s="592"/>
      <c r="UOY291" s="592"/>
      <c r="UOZ291" s="592"/>
      <c r="UPA291" s="592"/>
      <c r="UPB291" s="592"/>
      <c r="UPC291" s="592"/>
      <c r="UPD291" s="592"/>
      <c r="UPE291" s="592"/>
      <c r="UPF291" s="592"/>
      <c r="UPG291" s="592"/>
      <c r="UPH291" s="592"/>
      <c r="UPI291" s="592"/>
      <c r="UPJ291" s="592"/>
      <c r="UPK291" s="592"/>
      <c r="UPL291" s="592"/>
      <c r="UPM291" s="592"/>
      <c r="UPN291" s="592"/>
      <c r="UPO291" s="592"/>
      <c r="UPP291" s="592"/>
      <c r="UPQ291" s="592"/>
      <c r="UPR291" s="592"/>
      <c r="UPS291" s="592"/>
      <c r="UPT291" s="592"/>
      <c r="UPU291" s="592"/>
      <c r="UPV291" s="592"/>
      <c r="UPW291" s="592"/>
      <c r="UPX291" s="592"/>
      <c r="UPY291" s="592"/>
      <c r="UPZ291" s="592"/>
      <c r="UQA291" s="592"/>
      <c r="UQB291" s="592"/>
      <c r="UQC291" s="592"/>
      <c r="UQD291" s="592"/>
      <c r="UQE291" s="592"/>
      <c r="UQF291" s="592"/>
      <c r="UQG291" s="592"/>
      <c r="UQH291" s="592"/>
      <c r="UQI291" s="592"/>
      <c r="UQJ291" s="592"/>
      <c r="UQK291" s="592"/>
      <c r="UQL291" s="592"/>
      <c r="UQM291" s="592"/>
      <c r="UQN291" s="592"/>
      <c r="UQO291" s="592"/>
      <c r="UQP291" s="592"/>
      <c r="UQQ291" s="592"/>
      <c r="UQR291" s="592"/>
      <c r="UQS291" s="592"/>
      <c r="UQT291" s="592"/>
      <c r="UQU291" s="592"/>
      <c r="UQV291" s="592"/>
      <c r="UQW291" s="592"/>
      <c r="UQX291" s="592"/>
      <c r="UQY291" s="592"/>
      <c r="UQZ291" s="592"/>
      <c r="URA291" s="592"/>
      <c r="URB291" s="592"/>
      <c r="URC291" s="592"/>
      <c r="URD291" s="592"/>
      <c r="URE291" s="592"/>
      <c r="URF291" s="592"/>
      <c r="URG291" s="592"/>
      <c r="URH291" s="592"/>
      <c r="URI291" s="592"/>
      <c r="URJ291" s="592"/>
      <c r="URK291" s="592"/>
      <c r="URL291" s="592"/>
      <c r="URM291" s="592"/>
      <c r="URN291" s="592"/>
      <c r="URO291" s="592"/>
      <c r="URP291" s="592"/>
      <c r="URQ291" s="592"/>
      <c r="URR291" s="592"/>
      <c r="URS291" s="592"/>
      <c r="URT291" s="592"/>
      <c r="URU291" s="592"/>
      <c r="URV291" s="592"/>
      <c r="URW291" s="592"/>
      <c r="URX291" s="592"/>
      <c r="URY291" s="592"/>
      <c r="URZ291" s="592"/>
      <c r="USA291" s="592"/>
      <c r="USB291" s="592"/>
      <c r="USC291" s="592"/>
      <c r="USD291" s="592"/>
      <c r="USE291" s="592"/>
      <c r="USF291" s="592"/>
      <c r="USG291" s="592"/>
      <c r="USH291" s="592"/>
      <c r="USI291" s="592"/>
      <c r="USJ291" s="592"/>
      <c r="USK291" s="592"/>
      <c r="USL291" s="592"/>
      <c r="USM291" s="592"/>
      <c r="USN291" s="592"/>
      <c r="USO291" s="592"/>
      <c r="USP291" s="592"/>
      <c r="USQ291" s="592"/>
      <c r="USR291" s="592"/>
      <c r="USS291" s="592"/>
      <c r="UST291" s="592"/>
      <c r="USU291" s="592"/>
      <c r="USV291" s="592"/>
      <c r="USW291" s="592"/>
      <c r="USX291" s="592"/>
      <c r="USY291" s="592"/>
      <c r="USZ291" s="592"/>
      <c r="UTA291" s="592"/>
      <c r="UTB291" s="592"/>
      <c r="UTC291" s="592"/>
      <c r="UTD291" s="592"/>
      <c r="UTE291" s="592"/>
      <c r="UTF291" s="592"/>
      <c r="UTG291" s="592"/>
      <c r="UTH291" s="592"/>
      <c r="UTI291" s="592"/>
      <c r="UTJ291" s="592"/>
      <c r="UTK291" s="592"/>
      <c r="UTL291" s="592"/>
      <c r="UTM291" s="592"/>
      <c r="UTN291" s="592"/>
      <c r="UTO291" s="592"/>
      <c r="UTP291" s="592"/>
      <c r="UTQ291" s="592"/>
      <c r="UTR291" s="592"/>
      <c r="UTS291" s="592"/>
      <c r="UTT291" s="592"/>
      <c r="UTU291" s="592"/>
      <c r="UTV291" s="592"/>
      <c r="UTW291" s="592"/>
      <c r="UTX291" s="592"/>
      <c r="UTY291" s="592"/>
      <c r="UTZ291" s="592"/>
      <c r="UUA291" s="592"/>
      <c r="UUB291" s="592"/>
      <c r="UUC291" s="592"/>
      <c r="UUD291" s="592"/>
      <c r="UUE291" s="592"/>
      <c r="UUF291" s="592"/>
      <c r="UUG291" s="592"/>
      <c r="UUH291" s="592"/>
      <c r="UUI291" s="592"/>
      <c r="UUJ291" s="592"/>
      <c r="UUK291" s="592"/>
      <c r="UUL291" s="592"/>
      <c r="UUM291" s="592"/>
      <c r="UUN291" s="592"/>
      <c r="UUO291" s="592"/>
      <c r="UUP291" s="592"/>
      <c r="UUQ291" s="592"/>
      <c r="UUR291" s="592"/>
      <c r="UUS291" s="592"/>
      <c r="UUT291" s="592"/>
      <c r="UUU291" s="592"/>
      <c r="UUV291" s="592"/>
      <c r="UUW291" s="592"/>
      <c r="UUX291" s="592"/>
      <c r="UUY291" s="592"/>
      <c r="UUZ291" s="592"/>
      <c r="UVA291" s="592"/>
      <c r="UVB291" s="592"/>
      <c r="UVC291" s="592"/>
      <c r="UVD291" s="592"/>
      <c r="UVE291" s="592"/>
      <c r="UVF291" s="592"/>
      <c r="UVG291" s="592"/>
      <c r="UVH291" s="592"/>
      <c r="UVI291" s="592"/>
      <c r="UVJ291" s="592"/>
      <c r="UVK291" s="592"/>
      <c r="UVL291" s="592"/>
      <c r="UVM291" s="592"/>
      <c r="UVN291" s="592"/>
      <c r="UVO291" s="592"/>
      <c r="UVP291" s="592"/>
      <c r="UVQ291" s="592"/>
      <c r="UVR291" s="592"/>
      <c r="UVS291" s="592"/>
      <c r="UVT291" s="592"/>
      <c r="UVU291" s="592"/>
      <c r="UVV291" s="592"/>
      <c r="UVW291" s="592"/>
      <c r="UVX291" s="592"/>
      <c r="UVY291" s="592"/>
      <c r="UVZ291" s="592"/>
      <c r="UWA291" s="592"/>
      <c r="UWB291" s="592"/>
      <c r="UWC291" s="592"/>
      <c r="UWD291" s="592"/>
      <c r="UWE291" s="592"/>
      <c r="UWF291" s="592"/>
      <c r="UWG291" s="592"/>
      <c r="UWH291" s="592"/>
      <c r="UWI291" s="592"/>
      <c r="UWJ291" s="592"/>
      <c r="UWK291" s="592"/>
      <c r="UWL291" s="592"/>
      <c r="UWM291" s="592"/>
      <c r="UWN291" s="592"/>
      <c r="UWO291" s="592"/>
      <c r="UWP291" s="592"/>
      <c r="UWQ291" s="592"/>
      <c r="UWR291" s="592"/>
      <c r="UWS291" s="592"/>
      <c r="UWT291" s="592"/>
      <c r="UWU291" s="592"/>
      <c r="UWV291" s="592"/>
      <c r="UWW291" s="592"/>
      <c r="UWX291" s="592"/>
      <c r="UWY291" s="592"/>
      <c r="UWZ291" s="592"/>
      <c r="UXA291" s="592"/>
      <c r="UXB291" s="592"/>
      <c r="UXC291" s="592"/>
      <c r="UXD291" s="592"/>
      <c r="UXE291" s="592"/>
      <c r="UXF291" s="592"/>
      <c r="UXG291" s="592"/>
      <c r="UXH291" s="592"/>
      <c r="UXI291" s="592"/>
      <c r="UXJ291" s="592"/>
      <c r="UXK291" s="592"/>
      <c r="UXL291" s="592"/>
      <c r="UXM291" s="592"/>
      <c r="UXN291" s="592"/>
      <c r="UXO291" s="592"/>
      <c r="UXP291" s="592"/>
      <c r="UXQ291" s="592"/>
      <c r="UXR291" s="592"/>
      <c r="UXS291" s="592"/>
      <c r="UXT291" s="592"/>
      <c r="UXU291" s="592"/>
      <c r="UXV291" s="592"/>
      <c r="UXW291" s="592"/>
      <c r="UXX291" s="592"/>
      <c r="UXY291" s="592"/>
      <c r="UXZ291" s="592"/>
      <c r="UYA291" s="592"/>
      <c r="UYB291" s="592"/>
      <c r="UYC291" s="592"/>
      <c r="UYD291" s="592"/>
      <c r="UYE291" s="592"/>
      <c r="UYF291" s="592"/>
      <c r="UYG291" s="592"/>
      <c r="UYH291" s="592"/>
      <c r="UYI291" s="592"/>
      <c r="UYJ291" s="592"/>
      <c r="UYK291" s="592"/>
      <c r="UYL291" s="592"/>
      <c r="UYM291" s="592"/>
      <c r="UYN291" s="592"/>
      <c r="UYO291" s="592"/>
      <c r="UYP291" s="592"/>
      <c r="UYQ291" s="592"/>
      <c r="UYR291" s="592"/>
      <c r="UYS291" s="592"/>
      <c r="UYT291" s="592"/>
      <c r="UYU291" s="592"/>
      <c r="UYV291" s="592"/>
      <c r="UYW291" s="592"/>
      <c r="UYX291" s="592"/>
      <c r="UYY291" s="592"/>
      <c r="UYZ291" s="592"/>
      <c r="UZA291" s="592"/>
      <c r="UZB291" s="592"/>
      <c r="UZC291" s="592"/>
      <c r="UZD291" s="592"/>
      <c r="UZE291" s="592"/>
      <c r="UZF291" s="592"/>
      <c r="UZG291" s="592"/>
      <c r="UZH291" s="592"/>
      <c r="UZI291" s="592"/>
      <c r="UZJ291" s="592"/>
      <c r="UZK291" s="592"/>
      <c r="UZL291" s="592"/>
      <c r="UZM291" s="592"/>
      <c r="UZN291" s="592"/>
      <c r="UZO291" s="592"/>
      <c r="UZP291" s="592"/>
      <c r="UZQ291" s="592"/>
      <c r="UZR291" s="592"/>
      <c r="UZS291" s="592"/>
      <c r="UZT291" s="592"/>
      <c r="UZU291" s="592"/>
      <c r="UZV291" s="592"/>
      <c r="UZW291" s="592"/>
      <c r="UZX291" s="592"/>
      <c r="UZY291" s="592"/>
      <c r="UZZ291" s="592"/>
      <c r="VAA291" s="592"/>
      <c r="VAB291" s="592"/>
      <c r="VAC291" s="592"/>
      <c r="VAD291" s="592"/>
      <c r="VAE291" s="592"/>
      <c r="VAF291" s="592"/>
      <c r="VAG291" s="592"/>
      <c r="VAH291" s="592"/>
      <c r="VAI291" s="592"/>
      <c r="VAJ291" s="592"/>
      <c r="VAK291" s="592"/>
      <c r="VAL291" s="592"/>
      <c r="VAM291" s="592"/>
      <c r="VAN291" s="592"/>
      <c r="VAO291" s="592"/>
      <c r="VAP291" s="592"/>
      <c r="VAQ291" s="592"/>
      <c r="VAR291" s="592"/>
      <c r="VAS291" s="592"/>
      <c r="VAT291" s="592"/>
      <c r="VAU291" s="592"/>
      <c r="VAV291" s="592"/>
      <c r="VAW291" s="592"/>
      <c r="VAX291" s="592"/>
      <c r="VAY291" s="592"/>
      <c r="VAZ291" s="592"/>
      <c r="VBA291" s="592"/>
      <c r="VBB291" s="592"/>
      <c r="VBC291" s="592"/>
      <c r="VBD291" s="592"/>
      <c r="VBE291" s="592"/>
      <c r="VBF291" s="592"/>
      <c r="VBG291" s="592"/>
      <c r="VBH291" s="592"/>
      <c r="VBI291" s="592"/>
      <c r="VBJ291" s="592"/>
      <c r="VBK291" s="592"/>
      <c r="VBL291" s="592"/>
      <c r="VBM291" s="592"/>
      <c r="VBN291" s="592"/>
      <c r="VBO291" s="592"/>
      <c r="VBP291" s="592"/>
      <c r="VBQ291" s="592"/>
      <c r="VBR291" s="592"/>
      <c r="VBS291" s="592"/>
      <c r="VBT291" s="592"/>
      <c r="VBU291" s="592"/>
      <c r="VBV291" s="592"/>
      <c r="VBW291" s="592"/>
      <c r="VBX291" s="592"/>
      <c r="VBY291" s="592"/>
      <c r="VBZ291" s="592"/>
      <c r="VCA291" s="592"/>
      <c r="VCB291" s="592"/>
      <c r="VCC291" s="592"/>
      <c r="VCD291" s="592"/>
      <c r="VCE291" s="592"/>
      <c r="VCF291" s="592"/>
      <c r="VCG291" s="592"/>
      <c r="VCH291" s="592"/>
      <c r="VCI291" s="592"/>
      <c r="VCJ291" s="592"/>
      <c r="VCK291" s="592"/>
      <c r="VCL291" s="592"/>
      <c r="VCM291" s="592"/>
      <c r="VCN291" s="592"/>
      <c r="VCO291" s="592"/>
      <c r="VCP291" s="592"/>
      <c r="VCQ291" s="592"/>
      <c r="VCR291" s="592"/>
      <c r="VCS291" s="592"/>
      <c r="VCT291" s="592"/>
      <c r="VCU291" s="592"/>
      <c r="VCV291" s="592"/>
      <c r="VCW291" s="592"/>
      <c r="VCX291" s="592"/>
      <c r="VCY291" s="592"/>
      <c r="VCZ291" s="592"/>
      <c r="VDA291" s="592"/>
      <c r="VDB291" s="592"/>
      <c r="VDC291" s="592"/>
      <c r="VDD291" s="592"/>
      <c r="VDE291" s="592"/>
      <c r="VDF291" s="592"/>
      <c r="VDG291" s="592"/>
      <c r="VDH291" s="592"/>
      <c r="VDI291" s="592"/>
      <c r="VDJ291" s="592"/>
      <c r="VDK291" s="592"/>
      <c r="VDL291" s="592"/>
      <c r="VDM291" s="592"/>
      <c r="VDN291" s="592"/>
      <c r="VDO291" s="592"/>
      <c r="VDP291" s="592"/>
      <c r="VDQ291" s="592"/>
      <c r="VDR291" s="592"/>
      <c r="VDS291" s="592"/>
      <c r="VDT291" s="592"/>
      <c r="VDU291" s="592"/>
      <c r="VDV291" s="592"/>
      <c r="VDW291" s="592"/>
      <c r="VDX291" s="592"/>
      <c r="VDY291" s="592"/>
      <c r="VDZ291" s="592"/>
      <c r="VEA291" s="592"/>
      <c r="VEB291" s="592"/>
      <c r="VEC291" s="592"/>
      <c r="VED291" s="592"/>
      <c r="VEE291" s="592"/>
      <c r="VEF291" s="592"/>
      <c r="VEG291" s="592"/>
      <c r="VEH291" s="592"/>
      <c r="VEI291" s="592"/>
      <c r="VEJ291" s="592"/>
      <c r="VEK291" s="592"/>
      <c r="VEL291" s="592"/>
      <c r="VEM291" s="592"/>
      <c r="VEN291" s="592"/>
      <c r="VEO291" s="592"/>
      <c r="VEP291" s="592"/>
      <c r="VEQ291" s="592"/>
      <c r="VER291" s="592"/>
      <c r="VES291" s="592"/>
      <c r="VET291" s="592"/>
      <c r="VEU291" s="592"/>
      <c r="VEV291" s="592"/>
      <c r="VEW291" s="592"/>
      <c r="VEX291" s="592"/>
      <c r="VEY291" s="592"/>
      <c r="VEZ291" s="592"/>
      <c r="VFA291" s="592"/>
      <c r="VFB291" s="592"/>
      <c r="VFC291" s="592"/>
      <c r="VFD291" s="592"/>
      <c r="VFE291" s="592"/>
      <c r="VFF291" s="592"/>
      <c r="VFG291" s="592"/>
      <c r="VFH291" s="592"/>
      <c r="VFI291" s="592"/>
      <c r="VFJ291" s="592"/>
      <c r="VFK291" s="592"/>
      <c r="VFL291" s="592"/>
      <c r="VFM291" s="592"/>
      <c r="VFN291" s="592"/>
      <c r="VFO291" s="592"/>
      <c r="VFP291" s="592"/>
      <c r="VFQ291" s="592"/>
      <c r="VFR291" s="592"/>
      <c r="VFS291" s="592"/>
      <c r="VFT291" s="592"/>
      <c r="VFU291" s="592"/>
      <c r="VFV291" s="592"/>
      <c r="VFW291" s="592"/>
      <c r="VFX291" s="592"/>
      <c r="VFY291" s="592"/>
      <c r="VFZ291" s="592"/>
      <c r="VGA291" s="592"/>
      <c r="VGB291" s="592"/>
      <c r="VGC291" s="592"/>
      <c r="VGD291" s="592"/>
      <c r="VGE291" s="592"/>
      <c r="VGF291" s="592"/>
      <c r="VGG291" s="592"/>
      <c r="VGH291" s="592"/>
      <c r="VGI291" s="592"/>
      <c r="VGJ291" s="592"/>
      <c r="VGK291" s="592"/>
      <c r="VGL291" s="592"/>
      <c r="VGM291" s="592"/>
      <c r="VGN291" s="592"/>
      <c r="VGO291" s="592"/>
      <c r="VGP291" s="592"/>
      <c r="VGQ291" s="592"/>
      <c r="VGR291" s="592"/>
      <c r="VGS291" s="592"/>
      <c r="VGT291" s="592"/>
      <c r="VGU291" s="592"/>
      <c r="VGV291" s="592"/>
      <c r="VGW291" s="592"/>
      <c r="VGX291" s="592"/>
      <c r="VGY291" s="592"/>
      <c r="VGZ291" s="592"/>
      <c r="VHA291" s="592"/>
      <c r="VHB291" s="592"/>
      <c r="VHC291" s="592"/>
      <c r="VHD291" s="592"/>
      <c r="VHE291" s="592"/>
      <c r="VHF291" s="592"/>
      <c r="VHG291" s="592"/>
      <c r="VHH291" s="592"/>
      <c r="VHI291" s="592"/>
      <c r="VHJ291" s="592"/>
      <c r="VHK291" s="592"/>
      <c r="VHL291" s="592"/>
      <c r="VHM291" s="592"/>
      <c r="VHN291" s="592"/>
      <c r="VHO291" s="592"/>
      <c r="VHP291" s="592"/>
      <c r="VHQ291" s="592"/>
      <c r="VHR291" s="592"/>
      <c r="VHS291" s="592"/>
      <c r="VHT291" s="592"/>
      <c r="VHU291" s="592"/>
      <c r="VHV291" s="592"/>
      <c r="VHW291" s="592"/>
      <c r="VHX291" s="592"/>
      <c r="VHY291" s="592"/>
      <c r="VHZ291" s="592"/>
      <c r="VIA291" s="592"/>
      <c r="VIB291" s="592"/>
      <c r="VIC291" s="592"/>
      <c r="VID291" s="592"/>
      <c r="VIE291" s="592"/>
      <c r="VIF291" s="592"/>
      <c r="VIG291" s="592"/>
      <c r="VIH291" s="592"/>
      <c r="VII291" s="592"/>
      <c r="VIJ291" s="592"/>
      <c r="VIK291" s="592"/>
      <c r="VIL291" s="592"/>
      <c r="VIM291" s="592"/>
      <c r="VIN291" s="592"/>
      <c r="VIO291" s="592"/>
      <c r="VIP291" s="592"/>
      <c r="VIQ291" s="592"/>
      <c r="VIR291" s="592"/>
      <c r="VIS291" s="592"/>
      <c r="VIT291" s="592"/>
      <c r="VIU291" s="592"/>
      <c r="VIV291" s="592"/>
      <c r="VIW291" s="592"/>
      <c r="VIX291" s="592"/>
      <c r="VIY291" s="592"/>
      <c r="VIZ291" s="592"/>
      <c r="VJA291" s="592"/>
      <c r="VJB291" s="592"/>
      <c r="VJC291" s="592"/>
      <c r="VJD291" s="592"/>
      <c r="VJE291" s="592"/>
      <c r="VJF291" s="592"/>
      <c r="VJG291" s="592"/>
      <c r="VJH291" s="592"/>
      <c r="VJI291" s="592"/>
      <c r="VJJ291" s="592"/>
      <c r="VJK291" s="592"/>
      <c r="VJL291" s="592"/>
      <c r="VJM291" s="592"/>
      <c r="VJN291" s="592"/>
      <c r="VJO291" s="592"/>
      <c r="VJP291" s="592"/>
      <c r="VJQ291" s="592"/>
      <c r="VJR291" s="592"/>
      <c r="VJS291" s="592"/>
      <c r="VJT291" s="592"/>
      <c r="VJU291" s="592"/>
      <c r="VJV291" s="592"/>
      <c r="VJW291" s="592"/>
      <c r="VJX291" s="592"/>
      <c r="VJY291" s="592"/>
      <c r="VJZ291" s="592"/>
      <c r="VKA291" s="592"/>
      <c r="VKB291" s="592"/>
      <c r="VKC291" s="592"/>
      <c r="VKD291" s="592"/>
      <c r="VKE291" s="592"/>
      <c r="VKF291" s="592"/>
      <c r="VKG291" s="592"/>
      <c r="VKH291" s="592"/>
      <c r="VKI291" s="592"/>
      <c r="VKJ291" s="592"/>
      <c r="VKK291" s="592"/>
      <c r="VKL291" s="592"/>
      <c r="VKM291" s="592"/>
      <c r="VKN291" s="592"/>
      <c r="VKO291" s="592"/>
      <c r="VKP291" s="592"/>
      <c r="VKQ291" s="592"/>
      <c r="VKR291" s="592"/>
      <c r="VKS291" s="592"/>
      <c r="VKT291" s="592"/>
      <c r="VKU291" s="592"/>
      <c r="VKV291" s="592"/>
      <c r="VKW291" s="592"/>
      <c r="VKX291" s="592"/>
      <c r="VKY291" s="592"/>
      <c r="VKZ291" s="592"/>
      <c r="VLA291" s="592"/>
      <c r="VLB291" s="592"/>
      <c r="VLC291" s="592"/>
      <c r="VLD291" s="592"/>
      <c r="VLE291" s="592"/>
      <c r="VLF291" s="592"/>
      <c r="VLG291" s="592"/>
      <c r="VLH291" s="592"/>
      <c r="VLI291" s="592"/>
      <c r="VLJ291" s="592"/>
      <c r="VLK291" s="592"/>
      <c r="VLL291" s="592"/>
      <c r="VLM291" s="592"/>
      <c r="VLN291" s="592"/>
      <c r="VLO291" s="592"/>
      <c r="VLP291" s="592"/>
      <c r="VLQ291" s="592"/>
      <c r="VLR291" s="592"/>
      <c r="VLS291" s="592"/>
      <c r="VLT291" s="592"/>
      <c r="VLU291" s="592"/>
      <c r="VLV291" s="592"/>
      <c r="VLW291" s="592"/>
      <c r="VLX291" s="592"/>
      <c r="VLY291" s="592"/>
      <c r="VLZ291" s="592"/>
      <c r="VMA291" s="592"/>
      <c r="VMB291" s="592"/>
      <c r="VMC291" s="592"/>
      <c r="VMD291" s="592"/>
      <c r="VME291" s="592"/>
      <c r="VMF291" s="592"/>
      <c r="VMG291" s="592"/>
      <c r="VMH291" s="592"/>
      <c r="VMI291" s="592"/>
      <c r="VMJ291" s="592"/>
      <c r="VMK291" s="592"/>
      <c r="VML291" s="592"/>
      <c r="VMM291" s="592"/>
      <c r="VMN291" s="592"/>
      <c r="VMO291" s="592"/>
      <c r="VMP291" s="592"/>
      <c r="VMQ291" s="592"/>
      <c r="VMR291" s="592"/>
      <c r="VMS291" s="592"/>
      <c r="VMT291" s="592"/>
      <c r="VMU291" s="592"/>
      <c r="VMV291" s="592"/>
      <c r="VMW291" s="592"/>
      <c r="VMX291" s="592"/>
      <c r="VMY291" s="592"/>
      <c r="VMZ291" s="592"/>
      <c r="VNA291" s="592"/>
      <c r="VNB291" s="592"/>
      <c r="VNC291" s="592"/>
      <c r="VND291" s="592"/>
      <c r="VNE291" s="592"/>
      <c r="VNF291" s="592"/>
      <c r="VNG291" s="592"/>
      <c r="VNH291" s="592"/>
      <c r="VNI291" s="592"/>
      <c r="VNJ291" s="592"/>
      <c r="VNK291" s="592"/>
      <c r="VNL291" s="592"/>
      <c r="VNM291" s="592"/>
      <c r="VNN291" s="592"/>
      <c r="VNO291" s="592"/>
      <c r="VNP291" s="592"/>
      <c r="VNQ291" s="592"/>
      <c r="VNR291" s="592"/>
      <c r="VNS291" s="592"/>
      <c r="VNT291" s="592"/>
      <c r="VNU291" s="592"/>
      <c r="VNV291" s="592"/>
      <c r="VNW291" s="592"/>
      <c r="VNX291" s="592"/>
      <c r="VNY291" s="592"/>
      <c r="VNZ291" s="592"/>
      <c r="VOA291" s="592"/>
      <c r="VOB291" s="592"/>
      <c r="VOC291" s="592"/>
      <c r="VOD291" s="592"/>
      <c r="VOE291" s="592"/>
      <c r="VOF291" s="592"/>
      <c r="VOG291" s="592"/>
      <c r="VOH291" s="592"/>
      <c r="VOI291" s="592"/>
      <c r="VOJ291" s="592"/>
      <c r="VOK291" s="592"/>
      <c r="VOL291" s="592"/>
      <c r="VOM291" s="592"/>
      <c r="VON291" s="592"/>
      <c r="VOO291" s="592"/>
      <c r="VOP291" s="592"/>
      <c r="VOQ291" s="592"/>
      <c r="VOR291" s="592"/>
      <c r="VOS291" s="592"/>
      <c r="VOT291" s="592"/>
      <c r="VOU291" s="592"/>
      <c r="VOV291" s="592"/>
      <c r="VOW291" s="592"/>
      <c r="VOX291" s="592"/>
      <c r="VOY291" s="592"/>
      <c r="VOZ291" s="592"/>
      <c r="VPA291" s="592"/>
      <c r="VPB291" s="592"/>
      <c r="VPC291" s="592"/>
      <c r="VPD291" s="592"/>
      <c r="VPE291" s="592"/>
      <c r="VPF291" s="592"/>
      <c r="VPG291" s="592"/>
      <c r="VPH291" s="592"/>
      <c r="VPI291" s="592"/>
      <c r="VPJ291" s="592"/>
      <c r="VPK291" s="592"/>
      <c r="VPL291" s="592"/>
      <c r="VPM291" s="592"/>
      <c r="VPN291" s="592"/>
      <c r="VPO291" s="592"/>
      <c r="VPP291" s="592"/>
      <c r="VPQ291" s="592"/>
      <c r="VPR291" s="592"/>
      <c r="VPS291" s="592"/>
      <c r="VPT291" s="592"/>
      <c r="VPU291" s="592"/>
      <c r="VPV291" s="592"/>
      <c r="VPW291" s="592"/>
      <c r="VPX291" s="592"/>
      <c r="VPY291" s="592"/>
      <c r="VPZ291" s="592"/>
      <c r="VQA291" s="592"/>
      <c r="VQB291" s="592"/>
      <c r="VQC291" s="592"/>
      <c r="VQD291" s="592"/>
      <c r="VQE291" s="592"/>
      <c r="VQF291" s="592"/>
      <c r="VQG291" s="592"/>
      <c r="VQH291" s="592"/>
      <c r="VQI291" s="592"/>
      <c r="VQJ291" s="592"/>
      <c r="VQK291" s="592"/>
      <c r="VQL291" s="592"/>
      <c r="VQM291" s="592"/>
      <c r="VQN291" s="592"/>
      <c r="VQO291" s="592"/>
      <c r="VQP291" s="592"/>
      <c r="VQQ291" s="592"/>
      <c r="VQR291" s="592"/>
      <c r="VQS291" s="592"/>
      <c r="VQT291" s="592"/>
      <c r="VQU291" s="592"/>
      <c r="VQV291" s="592"/>
      <c r="VQW291" s="592"/>
      <c r="VQX291" s="592"/>
      <c r="VQY291" s="592"/>
      <c r="VQZ291" s="592"/>
      <c r="VRA291" s="592"/>
      <c r="VRB291" s="592"/>
      <c r="VRC291" s="592"/>
      <c r="VRD291" s="592"/>
      <c r="VRE291" s="592"/>
      <c r="VRF291" s="592"/>
      <c r="VRG291" s="592"/>
      <c r="VRH291" s="592"/>
      <c r="VRI291" s="592"/>
      <c r="VRJ291" s="592"/>
      <c r="VRK291" s="592"/>
      <c r="VRL291" s="592"/>
      <c r="VRM291" s="592"/>
      <c r="VRN291" s="592"/>
      <c r="VRO291" s="592"/>
      <c r="VRP291" s="592"/>
      <c r="VRQ291" s="592"/>
      <c r="VRR291" s="592"/>
      <c r="VRS291" s="592"/>
      <c r="VRT291" s="592"/>
      <c r="VRU291" s="592"/>
      <c r="VRV291" s="592"/>
      <c r="VRW291" s="592"/>
      <c r="VRX291" s="592"/>
      <c r="VRY291" s="592"/>
      <c r="VRZ291" s="592"/>
      <c r="VSA291" s="592"/>
      <c r="VSB291" s="592"/>
      <c r="VSC291" s="592"/>
      <c r="VSD291" s="592"/>
      <c r="VSE291" s="592"/>
      <c r="VSF291" s="592"/>
      <c r="VSG291" s="592"/>
      <c r="VSH291" s="592"/>
      <c r="VSI291" s="592"/>
      <c r="VSJ291" s="592"/>
      <c r="VSK291" s="592"/>
      <c r="VSL291" s="592"/>
      <c r="VSM291" s="592"/>
      <c r="VSN291" s="592"/>
      <c r="VSO291" s="592"/>
      <c r="VSP291" s="592"/>
      <c r="VSQ291" s="592"/>
      <c r="VSR291" s="592"/>
      <c r="VSS291" s="592"/>
      <c r="VST291" s="592"/>
      <c r="VSU291" s="592"/>
      <c r="VSV291" s="592"/>
      <c r="VSW291" s="592"/>
      <c r="VSX291" s="592"/>
      <c r="VSY291" s="592"/>
      <c r="VSZ291" s="592"/>
      <c r="VTA291" s="592"/>
      <c r="VTB291" s="592"/>
      <c r="VTC291" s="592"/>
      <c r="VTD291" s="592"/>
      <c r="VTE291" s="592"/>
      <c r="VTF291" s="592"/>
      <c r="VTG291" s="592"/>
      <c r="VTH291" s="592"/>
      <c r="VTI291" s="592"/>
      <c r="VTJ291" s="592"/>
      <c r="VTK291" s="592"/>
      <c r="VTL291" s="592"/>
      <c r="VTM291" s="592"/>
      <c r="VTN291" s="592"/>
      <c r="VTO291" s="592"/>
      <c r="VTP291" s="592"/>
      <c r="VTQ291" s="592"/>
      <c r="VTR291" s="592"/>
      <c r="VTS291" s="592"/>
      <c r="VTT291" s="592"/>
      <c r="VTU291" s="592"/>
      <c r="VTV291" s="592"/>
      <c r="VTW291" s="592"/>
      <c r="VTX291" s="592"/>
      <c r="VTY291" s="592"/>
      <c r="VTZ291" s="592"/>
      <c r="VUA291" s="592"/>
      <c r="VUB291" s="592"/>
      <c r="VUC291" s="592"/>
      <c r="VUD291" s="592"/>
      <c r="VUE291" s="592"/>
      <c r="VUF291" s="592"/>
      <c r="VUG291" s="592"/>
      <c r="VUH291" s="592"/>
      <c r="VUI291" s="592"/>
      <c r="VUJ291" s="592"/>
      <c r="VUK291" s="592"/>
      <c r="VUL291" s="592"/>
      <c r="VUM291" s="592"/>
      <c r="VUN291" s="592"/>
      <c r="VUO291" s="592"/>
      <c r="VUP291" s="592"/>
      <c r="VUQ291" s="592"/>
      <c r="VUR291" s="592"/>
      <c r="VUS291" s="592"/>
      <c r="VUT291" s="592"/>
      <c r="VUU291" s="592"/>
      <c r="VUV291" s="592"/>
      <c r="VUW291" s="592"/>
      <c r="VUX291" s="592"/>
      <c r="VUY291" s="592"/>
      <c r="VUZ291" s="592"/>
      <c r="VVA291" s="592"/>
      <c r="VVB291" s="592"/>
      <c r="VVC291" s="592"/>
      <c r="VVD291" s="592"/>
      <c r="VVE291" s="592"/>
      <c r="VVF291" s="592"/>
      <c r="VVG291" s="592"/>
      <c r="VVH291" s="592"/>
      <c r="VVI291" s="592"/>
      <c r="VVJ291" s="592"/>
      <c r="VVK291" s="592"/>
      <c r="VVL291" s="592"/>
      <c r="VVM291" s="592"/>
      <c r="VVN291" s="592"/>
      <c r="VVO291" s="592"/>
      <c r="VVP291" s="592"/>
      <c r="VVQ291" s="592"/>
      <c r="VVR291" s="592"/>
      <c r="VVS291" s="592"/>
      <c r="VVT291" s="592"/>
      <c r="VVU291" s="592"/>
      <c r="VVV291" s="592"/>
      <c r="VVW291" s="592"/>
      <c r="VVX291" s="592"/>
      <c r="VVY291" s="592"/>
      <c r="VVZ291" s="592"/>
      <c r="VWA291" s="592"/>
      <c r="VWB291" s="592"/>
      <c r="VWC291" s="592"/>
      <c r="VWD291" s="592"/>
      <c r="VWE291" s="592"/>
      <c r="VWF291" s="592"/>
      <c r="VWG291" s="592"/>
      <c r="VWH291" s="592"/>
      <c r="VWI291" s="592"/>
      <c r="VWJ291" s="592"/>
      <c r="VWK291" s="592"/>
      <c r="VWL291" s="592"/>
      <c r="VWM291" s="592"/>
      <c r="VWN291" s="592"/>
      <c r="VWO291" s="592"/>
      <c r="VWP291" s="592"/>
      <c r="VWQ291" s="592"/>
      <c r="VWR291" s="592"/>
      <c r="VWS291" s="592"/>
      <c r="VWT291" s="592"/>
      <c r="VWU291" s="592"/>
      <c r="VWV291" s="592"/>
      <c r="VWW291" s="592"/>
      <c r="VWX291" s="592"/>
      <c r="VWY291" s="592"/>
      <c r="VWZ291" s="592"/>
      <c r="VXA291" s="592"/>
      <c r="VXB291" s="592"/>
      <c r="VXC291" s="592"/>
      <c r="VXD291" s="592"/>
      <c r="VXE291" s="592"/>
      <c r="VXF291" s="592"/>
      <c r="VXG291" s="592"/>
      <c r="VXH291" s="592"/>
      <c r="VXI291" s="592"/>
      <c r="VXJ291" s="592"/>
      <c r="VXK291" s="592"/>
      <c r="VXL291" s="592"/>
      <c r="VXM291" s="592"/>
      <c r="VXN291" s="592"/>
      <c r="VXO291" s="592"/>
      <c r="VXP291" s="592"/>
      <c r="VXQ291" s="592"/>
      <c r="VXR291" s="592"/>
      <c r="VXS291" s="592"/>
      <c r="VXT291" s="592"/>
      <c r="VXU291" s="592"/>
      <c r="VXV291" s="592"/>
      <c r="VXW291" s="592"/>
      <c r="VXX291" s="592"/>
      <c r="VXY291" s="592"/>
      <c r="VXZ291" s="592"/>
      <c r="VYA291" s="592"/>
      <c r="VYB291" s="592"/>
      <c r="VYC291" s="592"/>
      <c r="VYD291" s="592"/>
      <c r="VYE291" s="592"/>
      <c r="VYF291" s="592"/>
      <c r="VYG291" s="592"/>
      <c r="VYH291" s="592"/>
      <c r="VYI291" s="592"/>
      <c r="VYJ291" s="592"/>
      <c r="VYK291" s="592"/>
      <c r="VYL291" s="592"/>
      <c r="VYM291" s="592"/>
      <c r="VYN291" s="592"/>
      <c r="VYO291" s="592"/>
      <c r="VYP291" s="592"/>
      <c r="VYQ291" s="592"/>
      <c r="VYR291" s="592"/>
      <c r="VYS291" s="592"/>
      <c r="VYT291" s="592"/>
      <c r="VYU291" s="592"/>
      <c r="VYV291" s="592"/>
      <c r="VYW291" s="592"/>
      <c r="VYX291" s="592"/>
      <c r="VYY291" s="592"/>
      <c r="VYZ291" s="592"/>
      <c r="VZA291" s="592"/>
      <c r="VZB291" s="592"/>
      <c r="VZC291" s="592"/>
      <c r="VZD291" s="592"/>
      <c r="VZE291" s="592"/>
      <c r="VZF291" s="592"/>
      <c r="VZG291" s="592"/>
      <c r="VZH291" s="592"/>
      <c r="VZI291" s="592"/>
      <c r="VZJ291" s="592"/>
      <c r="VZK291" s="592"/>
      <c r="VZL291" s="592"/>
      <c r="VZM291" s="592"/>
      <c r="VZN291" s="592"/>
      <c r="VZO291" s="592"/>
      <c r="VZP291" s="592"/>
      <c r="VZQ291" s="592"/>
      <c r="VZR291" s="592"/>
      <c r="VZS291" s="592"/>
      <c r="VZT291" s="592"/>
      <c r="VZU291" s="592"/>
      <c r="VZV291" s="592"/>
      <c r="VZW291" s="592"/>
      <c r="VZX291" s="592"/>
      <c r="VZY291" s="592"/>
      <c r="VZZ291" s="592"/>
      <c r="WAA291" s="592"/>
      <c r="WAB291" s="592"/>
      <c r="WAC291" s="592"/>
      <c r="WAD291" s="592"/>
      <c r="WAE291" s="592"/>
      <c r="WAF291" s="592"/>
      <c r="WAG291" s="592"/>
      <c r="WAH291" s="592"/>
      <c r="WAI291" s="592"/>
      <c r="WAJ291" s="592"/>
      <c r="WAK291" s="592"/>
      <c r="WAL291" s="592"/>
      <c r="WAM291" s="592"/>
      <c r="WAN291" s="592"/>
      <c r="WAO291" s="592"/>
      <c r="WAP291" s="592"/>
      <c r="WAQ291" s="592"/>
      <c r="WAR291" s="592"/>
      <c r="WAS291" s="592"/>
      <c r="WAT291" s="592"/>
      <c r="WAU291" s="592"/>
      <c r="WAV291" s="592"/>
      <c r="WAW291" s="592"/>
      <c r="WAX291" s="592"/>
      <c r="WAY291" s="592"/>
      <c r="WAZ291" s="592"/>
      <c r="WBA291" s="592"/>
      <c r="WBB291" s="592"/>
      <c r="WBC291" s="592"/>
      <c r="WBD291" s="592"/>
      <c r="WBE291" s="592"/>
      <c r="WBF291" s="592"/>
      <c r="WBG291" s="592"/>
      <c r="WBH291" s="592"/>
      <c r="WBI291" s="592"/>
      <c r="WBJ291" s="592"/>
      <c r="WBK291" s="592"/>
      <c r="WBL291" s="592"/>
      <c r="WBM291" s="592"/>
      <c r="WBN291" s="592"/>
      <c r="WBO291" s="592"/>
      <c r="WBP291" s="592"/>
      <c r="WBQ291" s="592"/>
      <c r="WBR291" s="592"/>
      <c r="WBS291" s="592"/>
      <c r="WBT291" s="592"/>
      <c r="WBU291" s="592"/>
      <c r="WBV291" s="592"/>
      <c r="WBW291" s="592"/>
      <c r="WBX291" s="592"/>
      <c r="WBY291" s="592"/>
      <c r="WBZ291" s="592"/>
      <c r="WCA291" s="592"/>
      <c r="WCB291" s="592"/>
      <c r="WCC291" s="592"/>
      <c r="WCD291" s="592"/>
      <c r="WCE291" s="592"/>
      <c r="WCF291" s="592"/>
      <c r="WCG291" s="592"/>
      <c r="WCH291" s="592"/>
      <c r="WCI291" s="592"/>
      <c r="WCJ291" s="592"/>
      <c r="WCK291" s="592"/>
      <c r="WCL291" s="592"/>
      <c r="WCM291" s="592"/>
      <c r="WCN291" s="592"/>
      <c r="WCO291" s="592"/>
      <c r="WCP291" s="592"/>
      <c r="WCQ291" s="592"/>
      <c r="WCR291" s="592"/>
      <c r="WCS291" s="592"/>
      <c r="WCT291" s="592"/>
      <c r="WCU291" s="592"/>
      <c r="WCV291" s="592"/>
      <c r="WCW291" s="592"/>
      <c r="WCX291" s="592"/>
      <c r="WCY291" s="592"/>
      <c r="WCZ291" s="592"/>
      <c r="WDA291" s="592"/>
      <c r="WDB291" s="592"/>
      <c r="WDC291" s="592"/>
      <c r="WDD291" s="592"/>
      <c r="WDE291" s="592"/>
      <c r="WDF291" s="592"/>
      <c r="WDG291" s="592"/>
      <c r="WDH291" s="592"/>
      <c r="WDI291" s="592"/>
      <c r="WDJ291" s="592"/>
      <c r="WDK291" s="592"/>
      <c r="WDL291" s="592"/>
      <c r="WDM291" s="592"/>
      <c r="WDN291" s="592"/>
      <c r="WDO291" s="592"/>
      <c r="WDP291" s="592"/>
      <c r="WDQ291" s="592"/>
      <c r="WDR291" s="592"/>
      <c r="WDS291" s="592"/>
      <c r="WDT291" s="592"/>
      <c r="WDU291" s="592"/>
      <c r="WDV291" s="592"/>
      <c r="WDW291" s="592"/>
      <c r="WDX291" s="592"/>
      <c r="WDY291" s="592"/>
      <c r="WDZ291" s="592"/>
      <c r="WEA291" s="592"/>
      <c r="WEB291" s="592"/>
      <c r="WEC291" s="592"/>
      <c r="WED291" s="592"/>
      <c r="WEE291" s="592"/>
      <c r="WEF291" s="592"/>
      <c r="WEG291" s="592"/>
      <c r="WEH291" s="592"/>
      <c r="WEI291" s="592"/>
      <c r="WEJ291" s="592"/>
      <c r="WEK291" s="592"/>
      <c r="WEL291" s="592"/>
      <c r="WEM291" s="592"/>
      <c r="WEN291" s="592"/>
      <c r="WEO291" s="592"/>
      <c r="WEP291" s="592"/>
      <c r="WEQ291" s="592"/>
      <c r="WER291" s="592"/>
      <c r="WES291" s="592"/>
      <c r="WET291" s="592"/>
      <c r="WEU291" s="592"/>
      <c r="WEV291" s="592"/>
      <c r="WEW291" s="592"/>
      <c r="WEX291" s="592"/>
      <c r="WEY291" s="592"/>
      <c r="WEZ291" s="592"/>
      <c r="WFA291" s="592"/>
      <c r="WFB291" s="592"/>
      <c r="WFC291" s="592"/>
      <c r="WFD291" s="592"/>
      <c r="WFE291" s="592"/>
      <c r="WFF291" s="592"/>
      <c r="WFG291" s="592"/>
      <c r="WFH291" s="592"/>
      <c r="WFI291" s="592"/>
      <c r="WFJ291" s="592"/>
      <c r="WFK291" s="592"/>
      <c r="WFL291" s="592"/>
      <c r="WFM291" s="592"/>
      <c r="WFN291" s="592"/>
      <c r="WFO291" s="592"/>
      <c r="WFP291" s="592"/>
      <c r="WFQ291" s="592"/>
      <c r="WFR291" s="592"/>
      <c r="WFS291" s="592"/>
      <c r="WFT291" s="592"/>
      <c r="WFU291" s="592"/>
      <c r="WFV291" s="592"/>
      <c r="WFW291" s="592"/>
      <c r="WFX291" s="592"/>
      <c r="WFY291" s="592"/>
      <c r="WFZ291" s="592"/>
      <c r="WGA291" s="592"/>
      <c r="WGB291" s="592"/>
      <c r="WGC291" s="592"/>
      <c r="WGD291" s="592"/>
      <c r="WGE291" s="592"/>
      <c r="WGF291" s="592"/>
      <c r="WGG291" s="592"/>
      <c r="WGH291" s="592"/>
      <c r="WGI291" s="592"/>
      <c r="WGJ291" s="592"/>
      <c r="WGK291" s="592"/>
      <c r="WGL291" s="592"/>
      <c r="WGM291" s="592"/>
      <c r="WGN291" s="592"/>
      <c r="WGO291" s="592"/>
      <c r="WGP291" s="592"/>
      <c r="WGQ291" s="592"/>
      <c r="WGR291" s="592"/>
      <c r="WGS291" s="592"/>
      <c r="WGT291" s="592"/>
      <c r="WGU291" s="592"/>
      <c r="WGV291" s="592"/>
      <c r="WGW291" s="592"/>
      <c r="WGX291" s="592"/>
      <c r="WGY291" s="592"/>
      <c r="WGZ291" s="592"/>
      <c r="WHA291" s="592"/>
      <c r="WHB291" s="592"/>
      <c r="WHC291" s="592"/>
      <c r="WHD291" s="592"/>
      <c r="WHE291" s="592"/>
      <c r="WHF291" s="592"/>
      <c r="WHG291" s="592"/>
      <c r="WHH291" s="592"/>
      <c r="WHI291" s="592"/>
      <c r="WHJ291" s="592"/>
      <c r="WHK291" s="592"/>
      <c r="WHL291" s="592"/>
      <c r="WHM291" s="592"/>
      <c r="WHN291" s="592"/>
      <c r="WHO291" s="592"/>
      <c r="WHP291" s="592"/>
      <c r="WHQ291" s="592"/>
      <c r="WHR291" s="592"/>
      <c r="WHS291" s="592"/>
      <c r="WHT291" s="592"/>
      <c r="WHU291" s="592"/>
      <c r="WHV291" s="592"/>
      <c r="WHW291" s="592"/>
      <c r="WHX291" s="592"/>
      <c r="WHY291" s="592"/>
      <c r="WHZ291" s="592"/>
      <c r="WIA291" s="592"/>
      <c r="WIB291" s="592"/>
      <c r="WIC291" s="592"/>
      <c r="WID291" s="592"/>
      <c r="WIE291" s="592"/>
      <c r="WIF291" s="592"/>
      <c r="WIG291" s="592"/>
      <c r="WIH291" s="592"/>
      <c r="WII291" s="592"/>
      <c r="WIJ291" s="592"/>
      <c r="WIK291" s="592"/>
      <c r="WIL291" s="592"/>
      <c r="WIM291" s="592"/>
      <c r="WIN291" s="592"/>
      <c r="WIO291" s="592"/>
      <c r="WIP291" s="592"/>
      <c r="WIQ291" s="592"/>
      <c r="WIR291" s="592"/>
      <c r="WIS291" s="592"/>
      <c r="WIT291" s="592"/>
      <c r="WIU291" s="592"/>
      <c r="WIV291" s="592"/>
      <c r="WIW291" s="592"/>
      <c r="WIX291" s="592"/>
      <c r="WIY291" s="592"/>
      <c r="WIZ291" s="592"/>
      <c r="WJA291" s="592"/>
      <c r="WJB291" s="592"/>
      <c r="WJC291" s="592"/>
      <c r="WJD291" s="592"/>
      <c r="WJE291" s="592"/>
      <c r="WJF291" s="592"/>
      <c r="WJG291" s="592"/>
      <c r="WJH291" s="592"/>
      <c r="WJI291" s="592"/>
      <c r="WJJ291" s="592"/>
      <c r="WJK291" s="592"/>
      <c r="WJL291" s="592"/>
      <c r="WJM291" s="592"/>
      <c r="WJN291" s="592"/>
      <c r="WJO291" s="592"/>
      <c r="WJP291" s="592"/>
      <c r="WJQ291" s="592"/>
      <c r="WJR291" s="592"/>
      <c r="WJS291" s="592"/>
      <c r="WJT291" s="592"/>
      <c r="WJU291" s="592"/>
      <c r="WJV291" s="592"/>
      <c r="WJW291" s="592"/>
      <c r="WJX291" s="592"/>
      <c r="WJY291" s="592"/>
      <c r="WJZ291" s="592"/>
      <c r="WKA291" s="592"/>
      <c r="WKB291" s="592"/>
      <c r="WKC291" s="592"/>
      <c r="WKD291" s="592"/>
      <c r="WKE291" s="592"/>
      <c r="WKF291" s="592"/>
      <c r="WKG291" s="592"/>
      <c r="WKH291" s="592"/>
      <c r="WKI291" s="592"/>
      <c r="WKJ291" s="592"/>
      <c r="WKK291" s="592"/>
      <c r="WKL291" s="592"/>
      <c r="WKM291" s="592"/>
      <c r="WKN291" s="592"/>
      <c r="WKO291" s="592"/>
      <c r="WKP291" s="592"/>
      <c r="WKQ291" s="592"/>
      <c r="WKR291" s="592"/>
      <c r="WKS291" s="592"/>
      <c r="WKT291" s="592"/>
      <c r="WKU291" s="592"/>
      <c r="WKV291" s="592"/>
      <c r="WKW291" s="592"/>
      <c r="WKX291" s="592"/>
      <c r="WKY291" s="592"/>
      <c r="WKZ291" s="592"/>
      <c r="WLA291" s="592"/>
      <c r="WLB291" s="592"/>
      <c r="WLC291" s="592"/>
      <c r="WLD291" s="592"/>
      <c r="WLE291" s="592"/>
      <c r="WLF291" s="592"/>
      <c r="WLG291" s="592"/>
      <c r="WLH291" s="592"/>
      <c r="WLI291" s="592"/>
      <c r="WLJ291" s="592"/>
      <c r="WLK291" s="592"/>
      <c r="WLL291" s="592"/>
      <c r="WLM291" s="592"/>
      <c r="WLN291" s="592"/>
      <c r="WLO291" s="592"/>
      <c r="WLP291" s="592"/>
      <c r="WLQ291" s="592"/>
      <c r="WLR291" s="592"/>
      <c r="WLS291" s="592"/>
      <c r="WLT291" s="592"/>
      <c r="WLU291" s="592"/>
      <c r="WLV291" s="592"/>
      <c r="WLW291" s="592"/>
      <c r="WLX291" s="592"/>
      <c r="WLY291" s="592"/>
      <c r="WLZ291" s="592"/>
      <c r="WMA291" s="592"/>
      <c r="WMB291" s="592"/>
      <c r="WMC291" s="592"/>
      <c r="WMD291" s="592"/>
      <c r="WME291" s="592"/>
      <c r="WMF291" s="592"/>
      <c r="WMG291" s="592"/>
      <c r="WMH291" s="592"/>
      <c r="WMI291" s="592"/>
      <c r="WMJ291" s="592"/>
      <c r="WMK291" s="592"/>
      <c r="WML291" s="592"/>
      <c r="WMM291" s="592"/>
      <c r="WMN291" s="592"/>
      <c r="WMO291" s="592"/>
      <c r="WMP291" s="592"/>
      <c r="WMQ291" s="592"/>
      <c r="WMR291" s="592"/>
      <c r="WMS291" s="592"/>
      <c r="WMT291" s="592"/>
      <c r="WMU291" s="592"/>
      <c r="WMV291" s="592"/>
      <c r="WMW291" s="592"/>
      <c r="WMX291" s="592"/>
      <c r="WMY291" s="592"/>
      <c r="WMZ291" s="592"/>
      <c r="WNA291" s="592"/>
      <c r="WNB291" s="592"/>
      <c r="WNC291" s="592"/>
      <c r="WND291" s="592"/>
      <c r="WNE291" s="592"/>
      <c r="WNF291" s="592"/>
      <c r="WNG291" s="592"/>
      <c r="WNH291" s="592"/>
      <c r="WNI291" s="592"/>
      <c r="WNJ291" s="592"/>
      <c r="WNK291" s="592"/>
      <c r="WNL291" s="592"/>
      <c r="WNM291" s="592"/>
      <c r="WNN291" s="592"/>
      <c r="WNO291" s="592"/>
      <c r="WNP291" s="592"/>
      <c r="WNQ291" s="592"/>
      <c r="WNR291" s="592"/>
      <c r="WNS291" s="592"/>
      <c r="WNT291" s="592"/>
      <c r="WNU291" s="592"/>
      <c r="WNV291" s="592"/>
      <c r="WNW291" s="592"/>
      <c r="WNX291" s="592"/>
      <c r="WNY291" s="592"/>
      <c r="WNZ291" s="592"/>
      <c r="WOA291" s="592"/>
      <c r="WOB291" s="592"/>
      <c r="WOC291" s="592"/>
      <c r="WOD291" s="592"/>
      <c r="WOE291" s="592"/>
      <c r="WOF291" s="592"/>
      <c r="WOG291" s="592"/>
      <c r="WOH291" s="592"/>
      <c r="WOI291" s="592"/>
      <c r="WOJ291" s="592"/>
      <c r="WOK291" s="592"/>
      <c r="WOL291" s="592"/>
      <c r="WOM291" s="592"/>
      <c r="WON291" s="592"/>
      <c r="WOO291" s="592"/>
      <c r="WOP291" s="592"/>
      <c r="WOQ291" s="592"/>
      <c r="WOR291" s="592"/>
      <c r="WOS291" s="592"/>
      <c r="WOT291" s="592"/>
      <c r="WOU291" s="592"/>
      <c r="WOV291" s="592"/>
      <c r="WOW291" s="592"/>
      <c r="WOX291" s="592"/>
      <c r="WOY291" s="592"/>
      <c r="WOZ291" s="592"/>
      <c r="WPA291" s="592"/>
      <c r="WPB291" s="592"/>
      <c r="WPC291" s="592"/>
      <c r="WPD291" s="592"/>
      <c r="WPE291" s="592"/>
      <c r="WPF291" s="592"/>
      <c r="WPG291" s="592"/>
      <c r="WPH291" s="592"/>
      <c r="WPI291" s="592"/>
      <c r="WPJ291" s="592"/>
      <c r="WPK291" s="592"/>
      <c r="WPL291" s="592"/>
      <c r="WPM291" s="592"/>
      <c r="WPN291" s="592"/>
      <c r="WPO291" s="592"/>
      <c r="WPP291" s="592"/>
      <c r="WPQ291" s="592"/>
      <c r="WPR291" s="592"/>
      <c r="WPS291" s="592"/>
      <c r="WPT291" s="592"/>
      <c r="WPU291" s="592"/>
      <c r="WPV291" s="592"/>
      <c r="WPW291" s="592"/>
      <c r="WPX291" s="592"/>
      <c r="WPY291" s="592"/>
      <c r="WPZ291" s="592"/>
      <c r="WQA291" s="592"/>
      <c r="WQB291" s="592"/>
      <c r="WQC291" s="592"/>
      <c r="WQD291" s="592"/>
      <c r="WQE291" s="592"/>
      <c r="WQF291" s="592"/>
      <c r="WQG291" s="592"/>
      <c r="WQH291" s="592"/>
      <c r="WQI291" s="592"/>
      <c r="WQJ291" s="592"/>
      <c r="WQK291" s="592"/>
      <c r="WQL291" s="592"/>
      <c r="WQM291" s="592"/>
      <c r="WQN291" s="592"/>
      <c r="WQO291" s="592"/>
      <c r="WQP291" s="592"/>
      <c r="WQQ291" s="592"/>
      <c r="WQR291" s="592"/>
      <c r="WQS291" s="592"/>
      <c r="WQT291" s="592"/>
      <c r="WQU291" s="592"/>
      <c r="WQV291" s="592"/>
      <c r="WQW291" s="592"/>
      <c r="WQX291" s="592"/>
      <c r="WQY291" s="592"/>
      <c r="WQZ291" s="592"/>
      <c r="WRA291" s="592"/>
      <c r="WRB291" s="592"/>
      <c r="WRC291" s="592"/>
      <c r="WRD291" s="592"/>
      <c r="WRE291" s="592"/>
      <c r="WRF291" s="592"/>
      <c r="WRG291" s="592"/>
      <c r="WRH291" s="592"/>
      <c r="WRI291" s="592"/>
      <c r="WRJ291" s="592"/>
      <c r="WRK291" s="592"/>
      <c r="WRL291" s="592"/>
      <c r="WRM291" s="592"/>
      <c r="WRN291" s="592"/>
      <c r="WRO291" s="592"/>
      <c r="WRP291" s="592"/>
      <c r="WRQ291" s="592"/>
      <c r="WRR291" s="592"/>
      <c r="WRS291" s="592"/>
      <c r="WRT291" s="592"/>
      <c r="WRU291" s="592"/>
      <c r="WRV291" s="592"/>
      <c r="WRW291" s="592"/>
      <c r="WRX291" s="592"/>
      <c r="WRY291" s="592"/>
      <c r="WRZ291" s="592"/>
      <c r="WSA291" s="592"/>
      <c r="WSB291" s="592"/>
      <c r="WSC291" s="592"/>
      <c r="WSD291" s="592"/>
      <c r="WSE291" s="592"/>
      <c r="WSF291" s="592"/>
      <c r="WSG291" s="592"/>
      <c r="WSH291" s="592"/>
      <c r="WSI291" s="592"/>
      <c r="WSJ291" s="592"/>
      <c r="WSK291" s="592"/>
      <c r="WSL291" s="592"/>
      <c r="WSM291" s="592"/>
      <c r="WSN291" s="592"/>
      <c r="WSO291" s="592"/>
      <c r="WSP291" s="592"/>
      <c r="WSQ291" s="592"/>
      <c r="WSR291" s="592"/>
      <c r="WSS291" s="592"/>
      <c r="WST291" s="592"/>
      <c r="WSU291" s="592"/>
      <c r="WSV291" s="592"/>
      <c r="WSW291" s="592"/>
      <c r="WSX291" s="592"/>
      <c r="WSY291" s="592"/>
      <c r="WSZ291" s="592"/>
      <c r="WTA291" s="592"/>
      <c r="WTB291" s="592"/>
      <c r="WTC291" s="592"/>
      <c r="WTD291" s="592"/>
      <c r="WTE291" s="592"/>
      <c r="WTF291" s="592"/>
      <c r="WTG291" s="592"/>
      <c r="WTH291" s="592"/>
      <c r="WTI291" s="592"/>
      <c r="WTJ291" s="592"/>
      <c r="WTK291" s="592"/>
      <c r="WTL291" s="592"/>
      <c r="WTM291" s="592"/>
      <c r="WTN291" s="592"/>
      <c r="WTO291" s="592"/>
      <c r="WTP291" s="592"/>
      <c r="WTQ291" s="592"/>
      <c r="WTR291" s="592"/>
      <c r="WTS291" s="592"/>
      <c r="WTT291" s="592"/>
      <c r="WTU291" s="592"/>
      <c r="WTV291" s="592"/>
      <c r="WTW291" s="592"/>
      <c r="WTX291" s="592"/>
      <c r="WTY291" s="592"/>
      <c r="WTZ291" s="592"/>
      <c r="WUA291" s="592"/>
      <c r="WUB291" s="592"/>
      <c r="WUC291" s="592"/>
      <c r="WUD291" s="592"/>
      <c r="WUE291" s="592"/>
      <c r="WUF291" s="592"/>
      <c r="WUG291" s="592"/>
      <c r="WUH291" s="592"/>
      <c r="WUI291" s="592"/>
      <c r="WUJ291" s="592"/>
      <c r="WUK291" s="592"/>
      <c r="WUL291" s="592"/>
      <c r="WUM291" s="592"/>
      <c r="WUN291" s="592"/>
      <c r="WUO291" s="592"/>
      <c r="WUP291" s="592"/>
      <c r="WUQ291" s="592"/>
      <c r="WUR291" s="592"/>
      <c r="WUS291" s="592"/>
      <c r="WUT291" s="592"/>
      <c r="WUU291" s="592"/>
      <c r="WUV291" s="592"/>
      <c r="WUW291" s="592"/>
      <c r="WUX291" s="592"/>
      <c r="WUY291" s="592"/>
      <c r="WUZ291" s="592"/>
      <c r="WVA291" s="592"/>
      <c r="WVB291" s="592"/>
      <c r="WVC291" s="592"/>
      <c r="WVD291" s="592"/>
      <c r="WVE291" s="592"/>
      <c r="WVF291" s="592"/>
      <c r="WVG291" s="592"/>
      <c r="WVH291" s="592"/>
      <c r="WVI291" s="592"/>
      <c r="WVJ291" s="592"/>
      <c r="WVK291" s="592"/>
      <c r="WVL291" s="592"/>
      <c r="WVM291" s="592"/>
      <c r="WVN291" s="592"/>
      <c r="WVO291" s="592"/>
      <c r="WVP291" s="592"/>
      <c r="WVQ291" s="592"/>
      <c r="WVR291" s="592"/>
      <c r="WVS291" s="592"/>
      <c r="WVT291" s="592"/>
      <c r="WVU291" s="592"/>
      <c r="WVV291" s="592"/>
      <c r="WVW291" s="592"/>
      <c r="WVX291" s="592"/>
      <c r="WVY291" s="592"/>
      <c r="WVZ291" s="592"/>
      <c r="WWA291" s="592"/>
      <c r="WWB291" s="592"/>
      <c r="WWC291" s="592"/>
      <c r="WWD291" s="592"/>
      <c r="WWE291" s="592"/>
      <c r="WWF291" s="592"/>
      <c r="WWG291" s="592"/>
      <c r="WWH291" s="592"/>
      <c r="WWI291" s="592"/>
      <c r="WWJ291" s="592"/>
      <c r="WWK291" s="592"/>
      <c r="WWL291" s="592"/>
      <c r="WWM291" s="592"/>
      <c r="WWN291" s="592"/>
      <c r="WWO291" s="592"/>
      <c r="WWP291" s="592"/>
      <c r="WWQ291" s="592"/>
      <c r="WWR291" s="592"/>
      <c r="WWS291" s="592"/>
      <c r="WWT291" s="592"/>
      <c r="WWU291" s="592"/>
      <c r="WWV291" s="592"/>
      <c r="WWW291" s="592"/>
      <c r="WWX291" s="592"/>
      <c r="WWY291" s="592"/>
      <c r="WWZ291" s="592"/>
      <c r="WXA291" s="592"/>
      <c r="WXB291" s="592"/>
      <c r="WXC291" s="592"/>
      <c r="WXD291" s="592"/>
      <c r="WXE291" s="592"/>
      <c r="WXF291" s="592"/>
      <c r="WXG291" s="592"/>
      <c r="WXH291" s="592"/>
      <c r="WXI291" s="592"/>
      <c r="WXJ291" s="592"/>
      <c r="WXK291" s="592"/>
      <c r="WXL291" s="592"/>
      <c r="WXM291" s="592"/>
      <c r="WXN291" s="592"/>
      <c r="WXO291" s="592"/>
      <c r="WXP291" s="592"/>
      <c r="WXQ291" s="592"/>
      <c r="WXR291" s="592"/>
      <c r="WXS291" s="592"/>
      <c r="WXT291" s="592"/>
      <c r="WXU291" s="592"/>
      <c r="WXV291" s="592"/>
      <c r="WXW291" s="592"/>
      <c r="WXX291" s="592"/>
      <c r="WXY291" s="592"/>
      <c r="WXZ291" s="592"/>
      <c r="WYA291" s="592"/>
      <c r="WYB291" s="592"/>
      <c r="WYC291" s="592"/>
      <c r="WYD291" s="592"/>
      <c r="WYE291" s="592"/>
      <c r="WYF291" s="592"/>
      <c r="WYG291" s="592"/>
      <c r="WYH291" s="592"/>
      <c r="WYI291" s="592"/>
      <c r="WYJ291" s="592"/>
      <c r="WYK291" s="592"/>
      <c r="WYL291" s="592"/>
      <c r="WYM291" s="592"/>
      <c r="WYN291" s="592"/>
      <c r="WYO291" s="592"/>
      <c r="WYP291" s="592"/>
      <c r="WYQ291" s="592"/>
      <c r="WYR291" s="592"/>
      <c r="WYS291" s="592"/>
      <c r="WYT291" s="592"/>
      <c r="WYU291" s="592"/>
      <c r="WYV291" s="592"/>
      <c r="WYW291" s="592"/>
      <c r="WYX291" s="592"/>
      <c r="WYY291" s="592"/>
      <c r="WYZ291" s="592"/>
      <c r="WZA291" s="592"/>
      <c r="WZB291" s="592"/>
      <c r="WZC291" s="592"/>
      <c r="WZD291" s="592"/>
      <c r="WZE291" s="592"/>
      <c r="WZF291" s="592"/>
      <c r="WZG291" s="592"/>
      <c r="WZH291" s="592"/>
      <c r="WZI291" s="592"/>
      <c r="WZJ291" s="592"/>
      <c r="WZK291" s="592"/>
      <c r="WZL291" s="592"/>
      <c r="WZM291" s="592"/>
      <c r="WZN291" s="592"/>
      <c r="WZO291" s="592"/>
      <c r="WZP291" s="592"/>
      <c r="WZQ291" s="592"/>
      <c r="WZR291" s="592"/>
      <c r="WZS291" s="592"/>
      <c r="WZT291" s="592"/>
      <c r="WZU291" s="592"/>
      <c r="WZV291" s="592"/>
      <c r="WZW291" s="592"/>
      <c r="WZX291" s="592"/>
      <c r="WZY291" s="592"/>
      <c r="WZZ291" s="592"/>
      <c r="XAA291" s="592"/>
      <c r="XAB291" s="592"/>
      <c r="XAC291" s="592"/>
      <c r="XAD291" s="592"/>
      <c r="XAE291" s="592"/>
      <c r="XAF291" s="592"/>
      <c r="XAG291" s="592"/>
      <c r="XAH291" s="592"/>
      <c r="XAI291" s="592"/>
      <c r="XAJ291" s="592"/>
      <c r="XAK291" s="592"/>
      <c r="XAL291" s="592"/>
      <c r="XAM291" s="592"/>
      <c r="XAN291" s="592"/>
      <c r="XAO291" s="592"/>
      <c r="XAP291" s="592"/>
      <c r="XAQ291" s="592"/>
      <c r="XAR291" s="592"/>
      <c r="XAS291" s="592"/>
      <c r="XAT291" s="592"/>
      <c r="XAU291" s="592"/>
      <c r="XAV291" s="592"/>
      <c r="XAW291" s="592"/>
      <c r="XAX291" s="592"/>
      <c r="XAY291" s="592"/>
      <c r="XAZ291" s="592"/>
      <c r="XBA291" s="592"/>
      <c r="XBB291" s="592"/>
      <c r="XBC291" s="592"/>
      <c r="XBD291" s="592"/>
      <c r="XBE291" s="592"/>
      <c r="XBF291" s="592"/>
      <c r="XBG291" s="592"/>
      <c r="XBH291" s="592"/>
      <c r="XBI291" s="592"/>
      <c r="XBJ291" s="592"/>
      <c r="XBK291" s="592"/>
      <c r="XBL291" s="592"/>
      <c r="XBM291" s="592"/>
      <c r="XBN291" s="592"/>
      <c r="XBO291" s="592"/>
      <c r="XBP291" s="592"/>
      <c r="XBQ291" s="592"/>
      <c r="XBR291" s="592"/>
      <c r="XBS291" s="592"/>
      <c r="XBT291" s="592"/>
      <c r="XBU291" s="592"/>
      <c r="XBV291" s="592"/>
      <c r="XBW291" s="592"/>
      <c r="XBX291" s="592"/>
      <c r="XBY291" s="592"/>
      <c r="XBZ291" s="592"/>
      <c r="XCA291" s="592"/>
      <c r="XCB291" s="592"/>
      <c r="XCC291" s="592"/>
      <c r="XCD291" s="592"/>
      <c r="XCE291" s="592"/>
      <c r="XCF291" s="592"/>
      <c r="XCG291" s="592"/>
      <c r="XCH291" s="592"/>
      <c r="XCI291" s="592"/>
      <c r="XCJ291" s="592"/>
      <c r="XCK291" s="592"/>
      <c r="XCL291" s="592"/>
      <c r="XCM291" s="592"/>
      <c r="XCN291" s="592"/>
      <c r="XCO291" s="592"/>
      <c r="XCP291" s="592"/>
      <c r="XCQ291" s="592"/>
      <c r="XCR291" s="592"/>
      <c r="XCS291" s="592"/>
      <c r="XCT291" s="592"/>
      <c r="XCU291" s="592"/>
      <c r="XCV291" s="592"/>
      <c r="XCW291" s="592"/>
      <c r="XCX291" s="592"/>
      <c r="XCY291" s="592"/>
      <c r="XCZ291" s="592"/>
      <c r="XDA291" s="592"/>
      <c r="XDB291" s="592"/>
      <c r="XDC291" s="592"/>
      <c r="XDD291" s="592"/>
      <c r="XDE291" s="592"/>
      <c r="XDF291" s="592"/>
      <c r="XDG291" s="592"/>
      <c r="XDH291" s="592"/>
      <c r="XDI291" s="592"/>
      <c r="XDJ291" s="592"/>
      <c r="XDK291" s="592"/>
      <c r="XDL291" s="592"/>
      <c r="XDM291" s="592"/>
      <c r="XDN291" s="592"/>
      <c r="XDO291" s="592"/>
      <c r="XDP291" s="592"/>
      <c r="XDQ291" s="592"/>
      <c r="XDR291" s="592"/>
      <c r="XDS291" s="592"/>
      <c r="XDT291" s="592"/>
      <c r="XDU291" s="592"/>
      <c r="XDV291" s="592"/>
      <c r="XDW291" s="592"/>
      <c r="XDX291" s="592"/>
      <c r="XDY291" s="592"/>
      <c r="XDZ291" s="592"/>
      <c r="XEA291" s="592"/>
      <c r="XEB291" s="592"/>
      <c r="XEC291" s="592"/>
      <c r="XED291" s="592"/>
      <c r="XEE291" s="592"/>
      <c r="XEF291" s="592"/>
      <c r="XEG291" s="592"/>
      <c r="XEH291" s="592"/>
      <c r="XEI291" s="592"/>
      <c r="XEJ291" s="592"/>
      <c r="XEK291" s="592"/>
      <c r="XEL291" s="592"/>
      <c r="XEM291" s="592"/>
      <c r="XEN291" s="592"/>
      <c r="XEO291" s="592"/>
      <c r="XEP291" s="592"/>
      <c r="XEQ291" s="592"/>
      <c r="XER291" s="592"/>
      <c r="XES291" s="592"/>
      <c r="XET291" s="592"/>
      <c r="XEU291" s="592"/>
      <c r="XEV291" s="592"/>
      <c r="XEW291" s="592"/>
      <c r="XEX291" s="592"/>
      <c r="XEY291" s="592"/>
      <c r="XEZ291" s="592"/>
      <c r="XFA291" s="592"/>
      <c r="XFB291" s="592"/>
      <c r="XFC291" s="592"/>
      <c r="XFD291" s="592"/>
    </row>
    <row r="292" spans="1:16384" s="593" customFormat="1" ht="15" customHeight="1" x14ac:dyDescent="0.2">
      <c r="A292" s="598">
        <v>62008047</v>
      </c>
      <c r="B292" s="598" t="s">
        <v>613</v>
      </c>
      <c r="C292" s="598" t="s">
        <v>773</v>
      </c>
      <c r="D292" s="599" t="s">
        <v>743</v>
      </c>
      <c r="E292" s="600" t="s">
        <v>986</v>
      </c>
      <c r="F292" s="601" t="s">
        <v>1014</v>
      </c>
      <c r="G292" s="602" t="s">
        <v>987</v>
      </c>
      <c r="H292" s="602" t="s">
        <v>685</v>
      </c>
      <c r="I292" s="603"/>
      <c r="J292" s="604">
        <v>21.730094000000001</v>
      </c>
      <c r="K292" s="604">
        <v>47.308360999999998</v>
      </c>
      <c r="L292" s="604">
        <v>29.348237999999998</v>
      </c>
      <c r="M292" s="604">
        <v>21.335429999999999</v>
      </c>
      <c r="N292" s="605">
        <v>4250</v>
      </c>
      <c r="O292" s="605">
        <v>30.36</v>
      </c>
      <c r="P292" s="605">
        <v>0.3201</v>
      </c>
      <c r="Q292" s="605">
        <v>1.9560000000000001E-2</v>
      </c>
      <c r="R292" s="606">
        <v>2.9262899999999998E-3</v>
      </c>
      <c r="S292" s="606">
        <f>R292+R291</f>
        <v>2.9262899999999998E-3</v>
      </c>
      <c r="T292" s="607">
        <v>77.2</v>
      </c>
      <c r="U292" s="607">
        <v>76.900000000000006</v>
      </c>
      <c r="V292" s="608">
        <v>0</v>
      </c>
      <c r="W292" s="608">
        <v>352</v>
      </c>
      <c r="X292" s="608">
        <f>W292-V292</f>
        <v>352</v>
      </c>
      <c r="Y292" s="608">
        <f>X292/$R292</f>
        <v>120288.82988357272</v>
      </c>
      <c r="Z292" s="609">
        <v>0.02</v>
      </c>
      <c r="AA292" s="608">
        <v>205.66</v>
      </c>
      <c r="AB292" s="608">
        <f>AA292-Z292</f>
        <v>205.64</v>
      </c>
      <c r="AC292" s="610">
        <f>AB292/$R292</f>
        <v>70273.281185391737</v>
      </c>
      <c r="AD292" s="609">
        <v>0.03</v>
      </c>
      <c r="AE292" s="608">
        <v>-26.93</v>
      </c>
      <c r="AF292" s="608">
        <f>AE292-AD292</f>
        <v>-26.96</v>
      </c>
      <c r="AG292" s="610">
        <f>AF292/$R292</f>
        <v>-9213.0308342645476</v>
      </c>
      <c r="AH292" s="609">
        <v>0</v>
      </c>
      <c r="AI292" s="608">
        <v>112.6</v>
      </c>
      <c r="AJ292" s="608">
        <f>AI292-AH292</f>
        <v>112.6</v>
      </c>
      <c r="AK292" s="610">
        <f>AJ292/$R292</f>
        <v>38478.756377529229</v>
      </c>
      <c r="AL292" s="609">
        <v>0</v>
      </c>
      <c r="AM292" s="608">
        <v>92.85</v>
      </c>
      <c r="AN292" s="608">
        <f>AM292-AL292</f>
        <v>92.85</v>
      </c>
      <c r="AO292" s="610">
        <f>AN292/$R292</f>
        <v>31729.596178095813</v>
      </c>
      <c r="AP292" s="611">
        <v>77.2</v>
      </c>
      <c r="AQ292" s="611">
        <v>76.900000000000006</v>
      </c>
      <c r="AR292" s="611">
        <f>AQ292-AP292</f>
        <v>-0.29999999999999716</v>
      </c>
      <c r="AS292" s="609">
        <v>1.9</v>
      </c>
      <c r="AT292" s="608">
        <v>5.8</v>
      </c>
      <c r="AU292" s="612">
        <f>AT292-AS292</f>
        <v>3.9</v>
      </c>
      <c r="AV292" s="611"/>
      <c r="AW292" s="611"/>
      <c r="AX292" s="611"/>
      <c r="AY292" s="611"/>
      <c r="AZ292" s="602" t="s">
        <v>888</v>
      </c>
      <c r="BA292" s="593">
        <v>0</v>
      </c>
      <c r="BB292" s="593" t="s">
        <v>691</v>
      </c>
      <c r="BC292" s="593">
        <v>0</v>
      </c>
      <c r="BD292" s="593">
        <v>0</v>
      </c>
      <c r="BE292" s="593">
        <v>0</v>
      </c>
      <c r="BF292" s="593">
        <v>0</v>
      </c>
      <c r="BG292" s="593" t="s">
        <v>691</v>
      </c>
      <c r="BH292" s="593">
        <v>0</v>
      </c>
      <c r="BI292" s="593">
        <v>0</v>
      </c>
      <c r="BJ292" s="593" t="s">
        <v>691</v>
      </c>
      <c r="BK292" s="593" t="s">
        <v>691</v>
      </c>
      <c r="BL292" s="593" t="s">
        <v>691</v>
      </c>
    </row>
    <row r="306" spans="1:65" x14ac:dyDescent="0.2">
      <c r="W306" s="588"/>
    </row>
    <row r="309" spans="1:65" x14ac:dyDescent="0.2">
      <c r="A309" s="631" t="s">
        <v>168</v>
      </c>
      <c r="B309" s="631"/>
      <c r="C309" s="579"/>
      <c r="D309" s="580" t="str">
        <f>REPT(A309, 20)</f>
        <v xml:space="preserv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v>
      </c>
      <c r="E309" s="581"/>
      <c r="F309" s="579"/>
      <c r="G309" s="581"/>
      <c r="H309" s="582"/>
      <c r="I309" s="581"/>
      <c r="J309" s="581"/>
      <c r="K309" s="581"/>
      <c r="L309" s="581"/>
      <c r="M309" s="581"/>
      <c r="N309" s="581"/>
      <c r="O309" s="581"/>
      <c r="P309" s="581"/>
      <c r="Q309" s="581"/>
      <c r="R309" s="581"/>
      <c r="S309" s="581"/>
      <c r="T309" s="581"/>
      <c r="U309" s="581"/>
      <c r="V309" s="583"/>
      <c r="W309" s="583"/>
      <c r="X309" s="581"/>
      <c r="Y309" s="581"/>
      <c r="Z309" s="583"/>
      <c r="AA309" s="583"/>
      <c r="AB309" s="581"/>
      <c r="AC309" s="581"/>
      <c r="AD309" s="583"/>
      <c r="AE309" s="583"/>
      <c r="AF309" s="581"/>
      <c r="AG309" s="581"/>
      <c r="AH309" s="581"/>
      <c r="AI309" s="581"/>
      <c r="AJ309" s="581"/>
      <c r="AK309" s="581"/>
      <c r="AL309" s="583"/>
      <c r="AM309" s="583"/>
      <c r="AN309" s="581"/>
      <c r="AO309" s="581"/>
      <c r="AP309" s="581"/>
      <c r="AQ309" s="581"/>
      <c r="AR309" s="581"/>
      <c r="AS309" s="584"/>
      <c r="AT309" s="584"/>
      <c r="AU309" s="581"/>
      <c r="AV309" s="581"/>
      <c r="AW309" s="581"/>
      <c r="AX309" s="581"/>
      <c r="AY309" s="581"/>
      <c r="AZ309" s="581"/>
      <c r="BA309" s="581"/>
      <c r="BB309" s="581"/>
      <c r="BC309" s="581"/>
      <c r="BD309" s="581"/>
      <c r="BE309" s="581"/>
      <c r="BF309" s="581"/>
      <c r="BG309" s="581"/>
      <c r="BH309" s="581"/>
      <c r="BI309" s="581"/>
      <c r="BJ309" s="581"/>
      <c r="BK309" s="581"/>
      <c r="BL309" s="583"/>
      <c r="BM309" s="583"/>
    </row>
    <row r="310" spans="1:65" ht="22.5" x14ac:dyDescent="0.2">
      <c r="A310" s="361">
        <v>-1</v>
      </c>
      <c r="B310" s="361" t="s">
        <v>468</v>
      </c>
      <c r="C310" s="369"/>
      <c r="D310" s="402" t="s">
        <v>469</v>
      </c>
      <c r="E310" s="346" t="s">
        <v>470</v>
      </c>
      <c r="F310" s="374" t="str">
        <f>LEFT(E310,8)</f>
        <v>##INFO(T</v>
      </c>
      <c r="G310" s="362" t="s">
        <v>471</v>
      </c>
      <c r="H310" s="362" t="s">
        <v>472</v>
      </c>
      <c r="I310" s="370"/>
      <c r="J310" s="363" t="s">
        <v>473</v>
      </c>
      <c r="K310" s="363" t="s">
        <v>474</v>
      </c>
      <c r="L310" s="363" t="s">
        <v>475</v>
      </c>
      <c r="M310" s="363" t="s">
        <v>476</v>
      </c>
      <c r="N310" s="347" t="s">
        <v>477</v>
      </c>
      <c r="O310" s="347" t="s">
        <v>478</v>
      </c>
      <c r="P310" s="347" t="s">
        <v>479</v>
      </c>
      <c r="Q310" s="347" t="s">
        <v>480</v>
      </c>
      <c r="R310" s="348" t="s">
        <v>481</v>
      </c>
      <c r="S310" s="348" t="e">
        <f>R310+R309</f>
        <v>#VALUE!</v>
      </c>
      <c r="T310" s="380" t="s">
        <v>673</v>
      </c>
      <c r="U310" s="380" t="s">
        <v>697</v>
      </c>
      <c r="V310" s="352" t="s">
        <v>482</v>
      </c>
      <c r="W310" s="352" t="s">
        <v>483</v>
      </c>
      <c r="X310" s="352" t="e">
        <f>W310-V310</f>
        <v>#VALUE!</v>
      </c>
      <c r="Y310" s="352" t="e">
        <f>X310/$R310</f>
        <v>#VALUE!</v>
      </c>
      <c r="Z310" s="372" t="s">
        <v>484</v>
      </c>
      <c r="AA310" s="352" t="s">
        <v>485</v>
      </c>
      <c r="AB310" s="352" t="e">
        <f>AA310-Z310</f>
        <v>#VALUE!</v>
      </c>
      <c r="AC310" s="371" t="e">
        <f>AB310/$R310</f>
        <v>#VALUE!</v>
      </c>
      <c r="AD310" s="372" t="s">
        <v>488</v>
      </c>
      <c r="AE310" s="352" t="s">
        <v>489</v>
      </c>
      <c r="AF310" s="352" t="e">
        <f>AE310-AD310</f>
        <v>#VALUE!</v>
      </c>
      <c r="AG310" s="371" t="e">
        <f>AF310/$R310</f>
        <v>#VALUE!</v>
      </c>
      <c r="AH310" s="372" t="s">
        <v>660</v>
      </c>
      <c r="AI310" s="352" t="s">
        <v>661</v>
      </c>
      <c r="AJ310" s="352" t="e">
        <f>AI310-AH310</f>
        <v>#VALUE!</v>
      </c>
      <c r="AK310" s="371" t="e">
        <f>AJ310/$R310</f>
        <v>#VALUE!</v>
      </c>
      <c r="AL310" s="372" t="s">
        <v>654</v>
      </c>
      <c r="AM310" s="352" t="s">
        <v>655</v>
      </c>
      <c r="AN310" s="352" t="e">
        <f>AM310-AL310</f>
        <v>#VALUE!</v>
      </c>
      <c r="AO310" s="371" t="e">
        <f>AN310/$R310</f>
        <v>#VALUE!</v>
      </c>
      <c r="AP310" s="341" t="s">
        <v>673</v>
      </c>
      <c r="AQ310" s="341" t="s">
        <v>672</v>
      </c>
      <c r="AR310" s="341" t="e">
        <f>AQ310-AP310</f>
        <v>#VALUE!</v>
      </c>
      <c r="AS310" s="372" t="s">
        <v>486</v>
      </c>
      <c r="AT310" s="352" t="s">
        <v>487</v>
      </c>
      <c r="AU310" s="383" t="e">
        <f>AT310-AS310</f>
        <v>#VALUE!</v>
      </c>
      <c r="AV310" s="341"/>
      <c r="AW310" s="341"/>
      <c r="AX310" s="341"/>
      <c r="AY310" s="341"/>
      <c r="AZ310" s="362" t="s">
        <v>490</v>
      </c>
      <c r="BA310" s="550" t="s">
        <v>491</v>
      </c>
      <c r="BB310" s="550" t="s">
        <v>492</v>
      </c>
      <c r="BC310" s="550" t="s">
        <v>493</v>
      </c>
      <c r="BD310" s="550" t="s">
        <v>494</v>
      </c>
      <c r="BE310" s="550" t="s">
        <v>495</v>
      </c>
      <c r="BF310" s="550" t="s">
        <v>496</v>
      </c>
      <c r="BG310" s="550" t="s">
        <v>497</v>
      </c>
      <c r="BH310" s="550" t="s">
        <v>498</v>
      </c>
      <c r="BI310" s="550" t="s">
        <v>499</v>
      </c>
      <c r="BJ310" s="550" t="s">
        <v>500</v>
      </c>
      <c r="BK310" s="550" t="s">
        <v>501</v>
      </c>
      <c r="BL310" s="550" t="s">
        <v>502</v>
      </c>
    </row>
    <row r="311" spans="1:65" ht="22.5" x14ac:dyDescent="0.2">
      <c r="A311" s="361">
        <v>-1</v>
      </c>
      <c r="B311" s="361" t="s">
        <v>503</v>
      </c>
      <c r="C311" s="361"/>
      <c r="D311" s="402" t="s">
        <v>469</v>
      </c>
      <c r="E311" s="346" t="s">
        <v>470</v>
      </c>
      <c r="F311" s="374" t="str">
        <f>LEFT(E311,8)</f>
        <v>##INFO(T</v>
      </c>
      <c r="G311" s="362" t="s">
        <v>471</v>
      </c>
      <c r="H311" s="362" t="s">
        <v>472</v>
      </c>
      <c r="I311" s="370"/>
      <c r="J311" s="363" t="s">
        <v>473</v>
      </c>
      <c r="K311" s="363" t="s">
        <v>474</v>
      </c>
      <c r="L311" s="363" t="s">
        <v>475</v>
      </c>
      <c r="M311" s="363" t="s">
        <v>476</v>
      </c>
      <c r="N311" s="347" t="s">
        <v>477</v>
      </c>
      <c r="O311" s="347" t="s">
        <v>478</v>
      </c>
      <c r="P311" s="347" t="s">
        <v>479</v>
      </c>
      <c r="Q311" s="347" t="s">
        <v>480</v>
      </c>
      <c r="R311" s="348" t="s">
        <v>481</v>
      </c>
      <c r="S311" s="348" t="e">
        <f>R311+R310</f>
        <v>#VALUE!</v>
      </c>
      <c r="T311" s="380" t="s">
        <v>696</v>
      </c>
      <c r="U311" s="380" t="s">
        <v>697</v>
      </c>
      <c r="V311" s="352" t="s">
        <v>482</v>
      </c>
      <c r="W311" s="352" t="s">
        <v>483</v>
      </c>
      <c r="X311" s="352" t="e">
        <f>W311-V311-X312</f>
        <v>#VALUE!</v>
      </c>
      <c r="Y311" s="352" t="e">
        <f>X311/$R311</f>
        <v>#VALUE!</v>
      </c>
      <c r="Z311" s="372" t="s">
        <v>484</v>
      </c>
      <c r="AA311" s="352" t="s">
        <v>485</v>
      </c>
      <c r="AB311" s="352" t="e">
        <f>AA311-Z311-AB312</f>
        <v>#VALUE!</v>
      </c>
      <c r="AC311" s="371" t="e">
        <f>AB311/$R311</f>
        <v>#VALUE!</v>
      </c>
      <c r="AD311" s="372" t="s">
        <v>488</v>
      </c>
      <c r="AE311" s="352" t="s">
        <v>489</v>
      </c>
      <c r="AF311" s="352" t="e">
        <f>AE311-AD311-AF312</f>
        <v>#VALUE!</v>
      </c>
      <c r="AG311" s="371" t="e">
        <f>AF311/$R311</f>
        <v>#VALUE!</v>
      </c>
      <c r="AH311" s="372" t="s">
        <v>660</v>
      </c>
      <c r="AI311" s="352" t="s">
        <v>661</v>
      </c>
      <c r="AJ311" s="352" t="e">
        <f>AI311-AH311-AJ312</f>
        <v>#VALUE!</v>
      </c>
      <c r="AK311" s="371" t="e">
        <f>AJ311/$R311</f>
        <v>#VALUE!</v>
      </c>
      <c r="AL311" s="372" t="s">
        <v>654</v>
      </c>
      <c r="AM311" s="352" t="s">
        <v>655</v>
      </c>
      <c r="AN311" s="352" t="e">
        <f>AM311-AL311-AN312</f>
        <v>#VALUE!</v>
      </c>
      <c r="AO311" s="371" t="e">
        <f>AN311/$R311</f>
        <v>#VALUE!</v>
      </c>
      <c r="AP311" s="341" t="s">
        <v>673</v>
      </c>
      <c r="AQ311" s="341" t="s">
        <v>672</v>
      </c>
      <c r="AR311" s="341" t="e">
        <f>AQ311-AP311-AR312</f>
        <v>#VALUE!</v>
      </c>
      <c r="AS311" s="372" t="s">
        <v>486</v>
      </c>
      <c r="AT311" s="352" t="s">
        <v>487</v>
      </c>
      <c r="AU311" s="383" t="e">
        <f>AT311-AS311-AU312</f>
        <v>#VALUE!</v>
      </c>
      <c r="AV311" s="341"/>
      <c r="AW311" s="341"/>
      <c r="AX311" s="341"/>
      <c r="AY311" s="341"/>
      <c r="AZ311" s="362" t="s">
        <v>490</v>
      </c>
      <c r="BA311" s="550" t="s">
        <v>491</v>
      </c>
      <c r="BB311" s="550" t="s">
        <v>492</v>
      </c>
      <c r="BC311" s="550" t="s">
        <v>493</v>
      </c>
      <c r="BD311" s="550" t="s">
        <v>494</v>
      </c>
      <c r="BE311" s="550" t="s">
        <v>495</v>
      </c>
      <c r="BF311" s="550" t="s">
        <v>496</v>
      </c>
      <c r="BG311" s="550" t="s">
        <v>497</v>
      </c>
      <c r="BH311" s="550" t="s">
        <v>498</v>
      </c>
      <c r="BI311" s="550" t="s">
        <v>499</v>
      </c>
      <c r="BJ311" s="550" t="s">
        <v>500</v>
      </c>
      <c r="BK311" s="550" t="s">
        <v>501</v>
      </c>
      <c r="BL311" s="550" t="s">
        <v>502</v>
      </c>
    </row>
    <row r="312" spans="1:65" ht="22.5" x14ac:dyDescent="0.2">
      <c r="A312" s="361">
        <v>-1</v>
      </c>
      <c r="B312" s="361" t="s">
        <v>504</v>
      </c>
      <c r="C312" s="361"/>
      <c r="D312" s="402" t="s">
        <v>469</v>
      </c>
      <c r="E312" s="346" t="s">
        <v>470</v>
      </c>
      <c r="F312" s="374" t="str">
        <f>LEFT(E312,8)</f>
        <v>##INFO(T</v>
      </c>
      <c r="G312" s="362" t="s">
        <v>471</v>
      </c>
      <c r="H312" s="362" t="s">
        <v>472</v>
      </c>
      <c r="I312" s="370"/>
      <c r="J312" s="364" t="e">
        <f>AVERAGE(J310:J311)</f>
        <v>#DIV/0!</v>
      </c>
      <c r="K312" s="364" t="e">
        <f>AVERAGE(K310:K311)</f>
        <v>#DIV/0!</v>
      </c>
      <c r="L312" s="364" t="e">
        <f>AVERAGE(L310:L311)</f>
        <v>#DIV/0!</v>
      </c>
      <c r="M312" s="364" t="e">
        <f>AVERAGE(M310:M311)</f>
        <v>#DIV/0!</v>
      </c>
      <c r="N312" s="349"/>
      <c r="O312" s="347"/>
      <c r="P312" s="366"/>
      <c r="Q312" s="365"/>
      <c r="R312" s="350" t="e">
        <f>R311+R310</f>
        <v>#VALUE!</v>
      </c>
      <c r="S312" s="350" t="e">
        <f>S311</f>
        <v>#VALUE!</v>
      </c>
      <c r="T312" s="381" t="str">
        <f>T310</f>
        <v>##DATA(Exhaust_Bag, =$$, HVBatt_SOC_HEV__per)</v>
      </c>
      <c r="U312" s="381" t="str">
        <f>U311</f>
        <v>##DATA(Exhaust_Bag, =$$-,HVBatt_SOC_HEV__per)</v>
      </c>
      <c r="V312" s="353" t="str">
        <f>V310</f>
        <v>##DATA(Exhaust_Bag, =$$, WP1)</v>
      </c>
      <c r="W312" s="353" t="str">
        <f>W311</f>
        <v>##DATA(Exhaust_Bag, =$$-, WP1)</v>
      </c>
      <c r="X312" s="353" t="e">
        <f>SUM(X310:X311)</f>
        <v>#VALUE!</v>
      </c>
      <c r="Y312" s="353" t="e">
        <f>X312/$R312</f>
        <v>#VALUE!</v>
      </c>
      <c r="Z312" s="353" t="str">
        <f>Z310</f>
        <v>##DATA(Exhaust_Bag, =$$, WP2)</v>
      </c>
      <c r="AA312" s="353" t="str">
        <f>AA311</f>
        <v>##DATA(Exhaust_Bag, =$$-, WP2)</v>
      </c>
      <c r="AB312" s="353" t="e">
        <f>SUM(AB310:AB311)</f>
        <v>#VALUE!</v>
      </c>
      <c r="AC312" s="351" t="e">
        <f>AB312/$R312</f>
        <v>#VALUE!</v>
      </c>
      <c r="AD312" s="353" t="str">
        <f>AD310</f>
        <v>##DATA(Exhaust_Bag, =$$, WP4)</v>
      </c>
      <c r="AE312" s="353" t="str">
        <f>AE311</f>
        <v>##DATA(Exhaust_Bag, =$$-, WP4)</v>
      </c>
      <c r="AF312" s="353" t="e">
        <f>SUM(AF310:AF311)</f>
        <v>#VALUE!</v>
      </c>
      <c r="AG312" s="351" t="e">
        <f>AF312/$R312</f>
        <v>#VALUE!</v>
      </c>
      <c r="AH312" s="353" t="str">
        <f>AH310</f>
        <v>##DATA(Exhaust_Bag, =$$, AC_Comp_WP_CALC__Wh)</v>
      </c>
      <c r="AI312" s="353" t="str">
        <f>AI311</f>
        <v>##DATA(Exhaust_Bag, =$$-, AC_Comp_WP_CALC__Wh)</v>
      </c>
      <c r="AJ312" s="353" t="e">
        <f>SUM(AJ310:AJ311)</f>
        <v>#VALUE!</v>
      </c>
      <c r="AK312" s="351" t="e">
        <f>AJ312/$R312</f>
        <v>#VALUE!</v>
      </c>
      <c r="AL312" s="353" t="str">
        <f>AL310</f>
        <v>##DATA(Exhaust_Bag, =$$, PTC_WP_CALC__Wh)</v>
      </c>
      <c r="AM312" s="353" t="str">
        <f>AM311</f>
        <v>##DATA(Exhaust_Bag, =$$-, PTC_WP_CALC__Wh)</v>
      </c>
      <c r="AN312" s="353" t="e">
        <f>SUM(AN310:AN311)</f>
        <v>#VALUE!</v>
      </c>
      <c r="AO312" s="351" t="e">
        <f>AN312/$R312</f>
        <v>#VALUE!</v>
      </c>
      <c r="AP312" s="343"/>
      <c r="AQ312" s="343"/>
      <c r="AR312" s="343" t="e">
        <f>SUM(AR310:AR311)</f>
        <v>#VALUE!</v>
      </c>
      <c r="AS312" s="353" t="str">
        <f>AS310</f>
        <v>##DATA(Exhaust_Bag, =$$, WP3)</v>
      </c>
      <c r="AT312" s="353" t="str">
        <f>AT311</f>
        <v>##DATA(Exhaust_Bag, =$$-, WP3)</v>
      </c>
      <c r="AU312" s="384" t="e">
        <f>SUM(AU310:AU311)</f>
        <v>#VALUE!</v>
      </c>
      <c r="AV312" s="343"/>
      <c r="AW312" s="343"/>
      <c r="AX312" s="343"/>
      <c r="AY312" s="343"/>
      <c r="AZ312" s="362" t="s">
        <v>490</v>
      </c>
      <c r="BA312" s="550" t="s">
        <v>491</v>
      </c>
      <c r="BB312" s="550" t="s">
        <v>492</v>
      </c>
      <c r="BC312" s="550" t="s">
        <v>493</v>
      </c>
      <c r="BD312" s="550" t="s">
        <v>494</v>
      </c>
      <c r="BE312" s="550" t="s">
        <v>495</v>
      </c>
      <c r="BF312" s="550" t="s">
        <v>496</v>
      </c>
      <c r="BG312" s="550" t="s">
        <v>497</v>
      </c>
      <c r="BH312" s="550" t="s">
        <v>498</v>
      </c>
      <c r="BI312" s="550" t="s">
        <v>499</v>
      </c>
      <c r="BJ312" s="550" t="s">
        <v>500</v>
      </c>
      <c r="BK312" s="550" t="s">
        <v>501</v>
      </c>
      <c r="BL312" s="550" t="s">
        <v>502</v>
      </c>
    </row>
  </sheetData>
  <mergeCells count="5">
    <mergeCell ref="A309:B309"/>
    <mergeCell ref="T3:U3"/>
    <mergeCell ref="Y3:Z3"/>
    <mergeCell ref="AV6:AY6"/>
    <mergeCell ref="AP6:AR6"/>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76"/>
  <sheetViews>
    <sheetView topLeftCell="J7" zoomScale="85" zoomScaleNormal="85" workbookViewId="0">
      <selection activeCell="O25" sqref="O25"/>
    </sheetView>
  </sheetViews>
  <sheetFormatPr defaultColWidth="9.140625" defaultRowHeight="15" x14ac:dyDescent="0.25"/>
  <cols>
    <col min="1" max="1" width="9.140625" style="411"/>
    <col min="2" max="2" width="9" style="411" customWidth="1"/>
    <col min="3" max="3" width="22.42578125" style="411" bestFit="1" customWidth="1"/>
    <col min="4" max="4" width="37.5703125" style="411" customWidth="1"/>
    <col min="5" max="5" width="21" style="411" customWidth="1"/>
    <col min="6" max="6" width="27" style="411" customWidth="1"/>
    <col min="7" max="7" width="9.140625" style="411" bestFit="1" customWidth="1"/>
    <col min="8" max="10" width="9" style="411" customWidth="1"/>
    <col min="11" max="12" width="19.28515625" style="411" customWidth="1"/>
    <col min="13" max="13" width="9" style="411" customWidth="1"/>
    <col min="14" max="14" width="27.42578125" style="411" customWidth="1"/>
    <col min="15" max="15" width="11.42578125" style="513" customWidth="1"/>
    <col min="16" max="16" width="11.5703125" style="411" customWidth="1"/>
    <col min="17" max="17" width="10" style="411" customWidth="1"/>
    <col min="18" max="18" width="9.140625" style="411" customWidth="1"/>
    <col min="19" max="19" width="13.42578125" style="411" bestFit="1" customWidth="1"/>
    <col min="20" max="20" width="16.42578125" style="411" bestFit="1" customWidth="1"/>
    <col min="21" max="22" width="12.28515625" style="411" bestFit="1" customWidth="1"/>
    <col min="23" max="23" width="9.140625" style="411" customWidth="1"/>
    <col min="24" max="24" width="12.85546875" style="411" customWidth="1"/>
    <col min="25" max="28" width="9.140625" style="411" customWidth="1"/>
    <col min="29" max="29" width="16.85546875" style="1" customWidth="1"/>
    <col min="30" max="35" width="9.140625" style="411" customWidth="1"/>
    <col min="36" max="36" width="11.7109375" style="411" customWidth="1"/>
    <col min="37" max="37" width="11.140625" style="411" customWidth="1"/>
    <col min="38" max="40" width="9.140625" style="411"/>
    <col min="41" max="41" width="10.85546875" style="411" customWidth="1"/>
    <col min="42" max="42" width="11.7109375" style="411" bestFit="1" customWidth="1"/>
    <col min="43" max="54" width="9.140625" style="411"/>
    <col min="55" max="55" width="9.85546875" style="411" bestFit="1" customWidth="1"/>
    <col min="56" max="16384" width="9.140625" style="411"/>
  </cols>
  <sheetData>
    <row r="1" spans="1:44" x14ac:dyDescent="0.25">
      <c r="B1" s="413"/>
      <c r="C1" s="413"/>
      <c r="D1" s="413"/>
      <c r="E1" s="413"/>
      <c r="F1" s="413"/>
      <c r="G1" s="413"/>
      <c r="K1" s="18"/>
      <c r="L1" s="18"/>
      <c r="O1" s="513" t="s">
        <v>949</v>
      </c>
      <c r="P1" s="411" t="s">
        <v>950</v>
      </c>
    </row>
    <row r="2" spans="1:44" x14ac:dyDescent="0.25">
      <c r="B2" s="413"/>
      <c r="C2" s="413"/>
      <c r="D2" s="413"/>
      <c r="E2" s="413"/>
      <c r="J2" s="18"/>
      <c r="O2" s="513" t="s">
        <v>286</v>
      </c>
      <c r="P2" s="411" t="s">
        <v>948</v>
      </c>
    </row>
    <row r="3" spans="1:44" x14ac:dyDescent="0.25">
      <c r="B3" s="3"/>
      <c r="C3" s="3"/>
      <c r="D3" s="3"/>
      <c r="E3" s="3"/>
      <c r="F3" s="3"/>
      <c r="J3" s="18"/>
    </row>
    <row r="4" spans="1:44" x14ac:dyDescent="0.25">
      <c r="B4" s="3"/>
      <c r="C4" s="3"/>
      <c r="D4" s="3"/>
      <c r="E4" s="3"/>
      <c r="F4" s="3"/>
      <c r="J4" s="18"/>
    </row>
    <row r="5" spans="1:44" ht="15.75" thickBot="1" x14ac:dyDescent="0.3">
      <c r="B5" s="411">
        <v>1</v>
      </c>
      <c r="C5" s="411">
        <v>2</v>
      </c>
      <c r="D5" s="411">
        <v>7</v>
      </c>
      <c r="E5" s="411">
        <v>9</v>
      </c>
      <c r="F5" s="411">
        <v>10</v>
      </c>
      <c r="G5" s="411">
        <v>25</v>
      </c>
      <c r="H5" s="411">
        <v>22</v>
      </c>
      <c r="I5" s="411">
        <v>23</v>
      </c>
      <c r="J5" s="18">
        <v>21</v>
      </c>
      <c r="K5" s="18">
        <v>25</v>
      </c>
      <c r="L5" s="18">
        <v>41</v>
      </c>
    </row>
    <row r="6" spans="1:44" ht="96" customHeight="1" x14ac:dyDescent="0.25">
      <c r="A6" s="411">
        <v>7</v>
      </c>
      <c r="B6" s="119" t="str">
        <f>INDEX(TestSummary!$A$1:$BL$366,'J1634 Calcs'!$A6,'J1634 Calcs'!B$5)</f>
        <v>Test ID [#]</v>
      </c>
      <c r="C6" s="120" t="str">
        <f>INDEX(TestSummary!$A$1:$BL$366,'J1634 Calcs'!$A6,'J1634 Calcs'!C$5)</f>
        <v>Cycle</v>
      </c>
      <c r="D6" s="121" t="str">
        <f>INDEX(TestSummary!$A$1:$BL$366,'J1634 Calcs'!$A6,'J1634 Calcs'!D$5)</f>
        <v>Start Comments</v>
      </c>
      <c r="E6" s="122" t="str">
        <f>INDEX(TestSummary!$A$1:$BL$366,'J1634 Calcs'!$A6,'J1634 Calcs'!E$5)</f>
        <v>SPECIAL COMMENTS</v>
      </c>
      <c r="F6" s="122" t="str">
        <f>INDEX(TestSummary!$A$1:$BL$366,'J1634 Calcs'!$A6,'J1634 Calcs'!F$5)</f>
        <v>Test Cell Temp [C]</v>
      </c>
      <c r="G6" s="123" t="str">
        <f>INDEX(TestSummary!$A$1:$BL$366,'J1634 Calcs'!$A6,'J1634 Calcs'!G$5)</f>
        <v>HV Batt (500A) Energy consumption ΔWP1
[Wh/mi]</v>
      </c>
      <c r="H6" s="123" t="str">
        <f>INDEX(TestSummary!$A$1:$BL$366,'J1634 Calcs'!$A6,'J1634 Calcs'!H$5)</f>
        <v xml:space="preserve">HV Batt (500A)
Start 
WP1 [Wh]
</v>
      </c>
      <c r="I6" s="123" t="str">
        <f>INDEX(TestSummary!$A$1:$BL$366,'J1634 Calcs'!$A6,'J1634 Calcs'!I$5)</f>
        <v>HV Batt Out (500A) End
WP1 [Wh]</v>
      </c>
      <c r="J6" s="124" t="str">
        <f>INDEX(TestSummary!$A$1:$BL$366,'J1634 Calcs'!$A6,'J1634 Calcs'!J$5)</f>
        <v>End SOC</v>
      </c>
      <c r="K6" s="125" t="str">
        <f>INDEX(TestSummary!$A$1:$BL$366,'J1634 Calcs'!$A6,'J1634 Calcs'!K$5)</f>
        <v>HV Batt (500A) Energy consumption ΔWP1
[Wh/mi]</v>
      </c>
      <c r="L6" s="125" t="str">
        <f>INDEX(TestSummary!$A$1:$BL$366,'J1634 Calcs'!$A6,'J1634 Calcs'!L$5)</f>
        <v>PTC Heater Δ WP7&amp;8 [Wh/mi]</v>
      </c>
      <c r="N6" s="411" t="s">
        <v>273</v>
      </c>
      <c r="Q6" s="411" t="s">
        <v>389</v>
      </c>
      <c r="AC6" s="531" t="s">
        <v>274</v>
      </c>
      <c r="AD6" s="630" t="s">
        <v>1019</v>
      </c>
      <c r="AE6" s="630" t="s">
        <v>1020</v>
      </c>
      <c r="AF6" s="630" t="s">
        <v>1021</v>
      </c>
      <c r="AG6" s="630" t="s">
        <v>1018</v>
      </c>
      <c r="AH6" s="630" t="s">
        <v>1022</v>
      </c>
      <c r="AI6" s="630" t="s">
        <v>1023</v>
      </c>
    </row>
    <row r="7" spans="1:44" x14ac:dyDescent="0.25">
      <c r="B7" s="401"/>
      <c r="C7" s="376"/>
      <c r="D7" s="377"/>
      <c r="E7" s="376"/>
      <c r="F7" s="376"/>
      <c r="G7" s="375"/>
      <c r="H7" s="375"/>
      <c r="I7" s="375"/>
      <c r="J7" s="378"/>
      <c r="K7" s="375"/>
      <c r="L7" s="375"/>
      <c r="AC7" s="1" t="s">
        <v>208</v>
      </c>
      <c r="AD7" s="105">
        <f>SUM(K10:L10)</f>
        <v>539.57030404629222</v>
      </c>
      <c r="AE7" s="105">
        <f>SUM(K17:L17)</f>
        <v>454.22105247703433</v>
      </c>
      <c r="AF7" s="105">
        <f>SUM(K24:L24)</f>
        <v>362.12279082035781</v>
      </c>
      <c r="AG7" s="105">
        <f>K42</f>
        <v>209.4282460330657</v>
      </c>
      <c r="AH7" s="105">
        <f>K53</f>
        <v>310.37308558405277</v>
      </c>
      <c r="AI7" s="105">
        <f>K61</f>
        <v>255.36671523792654</v>
      </c>
    </row>
    <row r="8" spans="1:44" ht="17.25" customHeight="1" thickBot="1" x14ac:dyDescent="0.3">
      <c r="AC8" s="1" t="s">
        <v>280</v>
      </c>
      <c r="AD8" s="105">
        <f>SUM(K11:L11)</f>
        <v>359.09103531634133</v>
      </c>
      <c r="AE8" s="105">
        <f>SUM(K18:L18)</f>
        <v>303.34532435039824</v>
      </c>
      <c r="AF8" s="105">
        <f>SUM(K25:L25)</f>
        <v>286.97784376953621</v>
      </c>
      <c r="AG8" s="105">
        <f t="shared" ref="AG8:AG9" si="0">K43</f>
        <v>219.60358492135728</v>
      </c>
      <c r="AH8" s="105">
        <f>K54</f>
        <v>232.78653137069216</v>
      </c>
      <c r="AI8" s="105">
        <f>K62</f>
        <v>223.50638166254637</v>
      </c>
      <c r="AO8" s="118"/>
    </row>
    <row r="9" spans="1:44" ht="16.5" thickBot="1" x14ac:dyDescent="0.3">
      <c r="B9" s="86" t="s">
        <v>385</v>
      </c>
      <c r="C9" s="126"/>
      <c r="D9" s="126"/>
      <c r="E9" s="116"/>
      <c r="F9" s="116"/>
      <c r="G9" s="126"/>
      <c r="H9" s="126"/>
      <c r="I9" s="126"/>
      <c r="J9" s="126"/>
      <c r="K9" s="126"/>
      <c r="L9" s="585"/>
      <c r="N9" s="127" t="s">
        <v>278</v>
      </c>
      <c r="O9" s="513" t="s">
        <v>293</v>
      </c>
      <c r="P9" s="411" t="s">
        <v>294</v>
      </c>
      <c r="Q9" s="128" t="s">
        <v>279</v>
      </c>
      <c r="R9" s="129"/>
      <c r="S9" s="129"/>
      <c r="T9" s="129"/>
      <c r="U9" s="129"/>
      <c r="V9" s="129"/>
      <c r="W9" s="129"/>
      <c r="X9" s="129"/>
      <c r="Y9" s="129"/>
      <c r="Z9" s="130"/>
      <c r="AC9" s="1" t="s">
        <v>209</v>
      </c>
      <c r="AD9" s="105">
        <f>SUM(K12:L12)</f>
        <v>468.77459057259136</v>
      </c>
      <c r="AE9" s="105">
        <f>SUM(K19:L19)</f>
        <v>355.65285258307136</v>
      </c>
      <c r="AF9" s="105">
        <f>SUM(K26:L26)</f>
        <v>333.17954577589052</v>
      </c>
      <c r="AG9" s="105">
        <f t="shared" si="0"/>
        <v>184.48504647904815</v>
      </c>
      <c r="AH9" s="105">
        <f>K55</f>
        <v>247.11909501717622</v>
      </c>
      <c r="AI9" s="105">
        <f>K63</f>
        <v>209.91474861171858</v>
      </c>
      <c r="AK9" s="105"/>
      <c r="AL9" s="105"/>
      <c r="AM9" s="105"/>
      <c r="AO9" s="118"/>
      <c r="AP9" s="141"/>
      <c r="AQ9" s="141"/>
      <c r="AR9" s="141"/>
    </row>
    <row r="10" spans="1:44" s="7" customFormat="1" ht="27" customHeight="1" x14ac:dyDescent="0.25">
      <c r="A10" s="525">
        <v>256</v>
      </c>
      <c r="B10" s="264">
        <f>INDEX(TestSummary!$A$1:$BL$366,'J1634 Calcs'!$A10,'J1634 Calcs'!B$5)</f>
        <v>62008040</v>
      </c>
      <c r="C10" s="264" t="str">
        <f>INDEX(TestSummary!$A$1:$BL$366,'J1634 Calcs'!$A10,'J1634 Calcs'!C$5)</f>
        <v>UDDS 1 , Combined</v>
      </c>
      <c r="D10" s="265" t="str">
        <f>INDEX(TestSummary!$A$1:$BL$366,'J1634 Calcs'!$A10,'J1634 Calcs'!D$5)</f>
        <v>J1634 MCT in super cold test cell (0°F) after long soak over weekend, E-Pedal ON, HVAC AUTO 72°F, UDDS-HWY-UDDS-US06</v>
      </c>
      <c r="E10" s="362">
        <f>INDEX(TestSummary!$A$1:$BL$366,'J1634 Calcs'!$A10,'J1634 Calcs'!E$5)</f>
        <v>0</v>
      </c>
      <c r="F10" s="362">
        <f>INDEX(TestSummary!$A$1:$BL$366,'J1634 Calcs'!$A10,'J1634 Calcs'!F$5)</f>
        <v>-17.308002500000001</v>
      </c>
      <c r="G10" s="266">
        <f>INDEX(TestSummary!$A$1:$BL$366,'J1634 Calcs'!$A10,'J1634 Calcs'!G$5)</f>
        <v>314.90832525470631</v>
      </c>
      <c r="H10" s="266">
        <f>INDEX(TestSummary!$A$1:$BL$366,'J1634 Calcs'!$A10,'J1634 Calcs'!H$5)</f>
        <v>-7576</v>
      </c>
      <c r="I10" s="266">
        <f>INDEX(TestSummary!$A$1:$BL$366,'J1634 Calcs'!$A10,'J1634 Calcs'!I$5)</f>
        <v>-5239</v>
      </c>
      <c r="J10" s="267">
        <f>INDEX(TestSummary!$A$1:$BL$366,'J1634 Calcs'!$A10,'J1634 Calcs'!J$5)</f>
        <v>89.6</v>
      </c>
      <c r="K10" s="268">
        <f>INDEX(TestSummary!$A$1:$BL$366,'J1634 Calcs'!$A10,'J1634 Calcs'!K$5)</f>
        <v>314.90832525470631</v>
      </c>
      <c r="L10" s="268">
        <f>INDEX(TestSummary!$A$1:$BL$366,'J1634 Calcs'!$A10,'J1634 Calcs'!L$5)</f>
        <v>224.66197879158597</v>
      </c>
      <c r="N10" s="134" t="s">
        <v>846</v>
      </c>
      <c r="O10" s="269">
        <f>TestSummary!AU276</f>
        <v>64309.599999999999</v>
      </c>
      <c r="P10" s="269">
        <f>$O$32</f>
        <v>68019.200000000012</v>
      </c>
      <c r="Q10" s="270" t="s">
        <v>16</v>
      </c>
      <c r="R10" s="271" t="s">
        <v>1</v>
      </c>
      <c r="S10" s="271" t="s">
        <v>392</v>
      </c>
      <c r="T10" s="272" t="s">
        <v>281</v>
      </c>
      <c r="U10" s="271" t="s">
        <v>282</v>
      </c>
      <c r="V10" s="272" t="s">
        <v>283</v>
      </c>
      <c r="W10" s="273" t="s">
        <v>947</v>
      </c>
      <c r="X10" s="274" t="s">
        <v>284</v>
      </c>
      <c r="Y10" s="273" t="s">
        <v>285</v>
      </c>
      <c r="Z10" s="275"/>
      <c r="AC10" s="532" t="s">
        <v>288</v>
      </c>
      <c r="AD10" s="105">
        <f>SUM(K13:L13)</f>
        <v>449.02449074659825</v>
      </c>
      <c r="AE10" s="105">
        <f>SUM(K20:L20)</f>
        <v>375.3819379986947</v>
      </c>
      <c r="AF10" s="105">
        <f>SUM(K27:L27)</f>
        <v>364.80216254486703</v>
      </c>
      <c r="AG10" s="276">
        <f>K35</f>
        <v>301.41035271617523</v>
      </c>
      <c r="AH10" s="276">
        <f>K56</f>
        <v>311.83267705480091</v>
      </c>
      <c r="AI10" s="105">
        <f>K64</f>
        <v>302.11556291577176</v>
      </c>
      <c r="AK10" s="276"/>
      <c r="AL10" s="276"/>
      <c r="AM10" s="276"/>
      <c r="AO10" s="277"/>
    </row>
    <row r="11" spans="1:44" x14ac:dyDescent="0.25">
      <c r="A11" s="525">
        <f>A10+1</f>
        <v>257</v>
      </c>
      <c r="B11" s="361">
        <f>INDEX(TestSummary!$A$1:$BL$366,'J1634 Calcs'!$A11,'J1634 Calcs'!B$5)</f>
        <v>62008040</v>
      </c>
      <c r="C11" s="361" t="str">
        <f>INDEX(TestSummary!$A$1:$BL$366,'J1634 Calcs'!$A11,'J1634 Calcs'!C$5)</f>
        <v>HWY 1</v>
      </c>
      <c r="D11" s="346" t="str">
        <f>INDEX(TestSummary!$A$1:$BL$366,'J1634 Calcs'!$A11,'J1634 Calcs'!D$5)</f>
        <v>J1634 MCT in super cold test cell (0°F) after long soak over weekend, E-Pedal ON, HVAC AUTO 72°F, UDDS-HWY-UDDS-US06</v>
      </c>
      <c r="E11" s="402">
        <f>INDEX(TestSummary!$A$1:$BL$366,'J1634 Calcs'!$A11,'J1634 Calcs'!E$5)</f>
        <v>0</v>
      </c>
      <c r="F11" s="402">
        <f>INDEX(TestSummary!$A$1:$BL$366,'J1634 Calcs'!$A11,'J1634 Calcs'!F$5)</f>
        <v>-13.954682</v>
      </c>
      <c r="G11" s="131">
        <f>INDEX(TestSummary!$A$1:$BL$366,'J1634 Calcs'!$A11,'J1634 Calcs'!G$5)</f>
        <v>268.07040749568125</v>
      </c>
      <c r="H11" s="131">
        <f>INDEX(TestSummary!$A$1:$BL$366,'J1634 Calcs'!$A11,'J1634 Calcs'!H$5)</f>
        <v>-5238</v>
      </c>
      <c r="I11" s="131">
        <f>INDEX(TestSummary!$A$1:$BL$366,'J1634 Calcs'!$A11,'J1634 Calcs'!I$5)</f>
        <v>-2492</v>
      </c>
      <c r="J11" s="132">
        <f>INDEX(TestSummary!$A$1:$BL$366,'J1634 Calcs'!$A11,'J1634 Calcs'!J$5)</f>
        <v>83.8</v>
      </c>
      <c r="K11" s="133">
        <f>INDEX(TestSummary!$A$1:$BL$366,'J1634 Calcs'!$A11,'J1634 Calcs'!K$5)</f>
        <v>268.07040749568125</v>
      </c>
      <c r="L11" s="133">
        <f>INDEX(TestSummary!$A$1:$BL$366,'J1634 Calcs'!$A11,'J1634 Calcs'!L$5)</f>
        <v>91.020627820660081</v>
      </c>
      <c r="N11" s="142" t="s">
        <v>286</v>
      </c>
      <c r="O11" s="143">
        <f>TestSummary!W275-TestSummary!V254</f>
        <v>44577</v>
      </c>
      <c r="P11" s="143">
        <f>$O$33</f>
        <v>59240</v>
      </c>
      <c r="Q11" s="135" t="s">
        <v>287</v>
      </c>
      <c r="R11" s="136" t="s">
        <v>57</v>
      </c>
      <c r="S11" s="136">
        <v>3</v>
      </c>
      <c r="T11" s="144"/>
      <c r="U11" s="144">
        <f>(I10-H10)/O11</f>
        <v>5.2426139040312271E-2</v>
      </c>
      <c r="V11" s="144">
        <f>(1-U11)/S11</f>
        <v>0.31585795365322927</v>
      </c>
      <c r="W11" s="145">
        <f>U11*(K10+L10)+V11*(K12+L12)*3</f>
        <v>472.48613649062179</v>
      </c>
      <c r="X11" s="145">
        <f>P11/W11</f>
        <v>125.37934010086205</v>
      </c>
      <c r="Y11" s="146">
        <f>W11/T14</f>
        <v>681.63838847964848</v>
      </c>
      <c r="Z11" s="140"/>
      <c r="AD11" s="39"/>
      <c r="AE11" s="39"/>
      <c r="AF11" s="39"/>
      <c r="AG11" s="39"/>
      <c r="AH11" s="39"/>
      <c r="AK11" s="105"/>
      <c r="AL11" s="105"/>
      <c r="AM11" s="105"/>
      <c r="AO11" s="118"/>
    </row>
    <row r="12" spans="1:44" x14ac:dyDescent="0.25">
      <c r="A12" s="525">
        <f>A11+3</f>
        <v>260</v>
      </c>
      <c r="B12" s="361">
        <f>INDEX(TestSummary!$A$1:$BL$366,'J1634 Calcs'!$A12,'J1634 Calcs'!B$5)</f>
        <v>62008040</v>
      </c>
      <c r="C12" s="361" t="str">
        <f>INDEX(TestSummary!$A$1:$BL$366,'J1634 Calcs'!$A12,'J1634 Calcs'!C$5)</f>
        <v>UDDS 2, combined</v>
      </c>
      <c r="D12" s="346" t="str">
        <f>INDEX(TestSummary!$A$1:$BL$366,'J1634 Calcs'!$A12,'J1634 Calcs'!D$5)</f>
        <v>J1634 MCT in super cold test cell (0°F) after long soak over weekend, E-Pedal ON, HVAC AUTO 72°F, UDDS-HWY-UDDS-US06</v>
      </c>
      <c r="E12" s="402">
        <f>INDEX(TestSummary!$A$1:$BL$366,'J1634 Calcs'!$A12,'J1634 Calcs'!E$5)</f>
        <v>0</v>
      </c>
      <c r="F12" s="402">
        <f>INDEX(TestSummary!$A$1:$BL$366,'J1634 Calcs'!$A12,'J1634 Calcs'!F$5)</f>
        <v>-18.004924500000001</v>
      </c>
      <c r="G12" s="131">
        <f>INDEX(TestSummary!$A$1:$BL$366,'J1634 Calcs'!$A12,'J1634 Calcs'!G$5)</f>
        <v>255.65519121032602</v>
      </c>
      <c r="H12" s="131">
        <f>INDEX(TestSummary!$A$1:$BL$366,'J1634 Calcs'!$A12,'J1634 Calcs'!H$5)</f>
        <v>-2489</v>
      </c>
      <c r="I12" s="131">
        <f>INDEX(TestSummary!$A$1:$BL$366,'J1634 Calcs'!$A12,'J1634 Calcs'!I$5)</f>
        <v>-592</v>
      </c>
      <c r="J12" s="132">
        <f>INDEX(TestSummary!$A$1:$BL$366,'J1634 Calcs'!$A12,'J1634 Calcs'!J$5)</f>
        <v>78.2</v>
      </c>
      <c r="K12" s="133">
        <f>INDEX(TestSummary!$A$1:$BL$366,'J1634 Calcs'!$A12,'J1634 Calcs'!K$5)</f>
        <v>255.65519121032602</v>
      </c>
      <c r="L12" s="133">
        <f>INDEX(TestSummary!$A$1:$BL$366,'J1634 Calcs'!$A12,'J1634 Calcs'!L$5)</f>
        <v>213.11939936226534</v>
      </c>
      <c r="Q12" s="135" t="s">
        <v>287</v>
      </c>
      <c r="R12" s="136" t="s">
        <v>55</v>
      </c>
      <c r="S12" s="136">
        <v>2</v>
      </c>
      <c r="T12" s="144">
        <f>1/S12</f>
        <v>0.5</v>
      </c>
      <c r="U12" s="144"/>
      <c r="V12" s="144"/>
      <c r="W12" s="145">
        <f>T12*(K11+L11)*2</f>
        <v>359.09103531634133</v>
      </c>
      <c r="X12" s="145">
        <f>P11/W12</f>
        <v>164.97209390875634</v>
      </c>
      <c r="Y12" s="146">
        <f>W12/T14</f>
        <v>518.04744251025829</v>
      </c>
      <c r="Z12" s="140"/>
      <c r="AC12" s="531" t="s">
        <v>289</v>
      </c>
      <c r="AD12" s="39"/>
      <c r="AE12" s="39"/>
      <c r="AF12" s="39"/>
      <c r="AG12" s="39"/>
      <c r="AH12" s="39"/>
    </row>
    <row r="13" spans="1:44" x14ac:dyDescent="0.25">
      <c r="A13" s="525">
        <f>A12+3</f>
        <v>263</v>
      </c>
      <c r="B13" s="361">
        <f>INDEX(TestSummary!$A$1:$BL$366,'J1634 Calcs'!$A13,'J1634 Calcs'!B$5)</f>
        <v>62008040</v>
      </c>
      <c r="C13" s="361" t="str">
        <f>INDEX(TestSummary!$A$1:$BL$366,'J1634 Calcs'!$A13,'J1634 Calcs'!C$5)</f>
        <v>US06 1, combined</v>
      </c>
      <c r="D13" s="346" t="str">
        <f>INDEX(TestSummary!$A$1:$BL$366,'J1634 Calcs'!$A13,'J1634 Calcs'!D$5)</f>
        <v>J1634 MCT in super cold test cell (0°F) after long soak over weekend, E-Pedal ON, HVAC AUTO 72°F, UDDS-HWY-UDDS-US06</v>
      </c>
      <c r="E13" s="402">
        <f>INDEX(TestSummary!$A$1:$BL$366,'J1634 Calcs'!$A13,'J1634 Calcs'!E$5)</f>
        <v>0</v>
      </c>
      <c r="F13" s="402">
        <f>INDEX(TestSummary!$A$1:$BL$366,'J1634 Calcs'!$A13,'J1634 Calcs'!F$5)</f>
        <v>-12.748239</v>
      </c>
      <c r="G13" s="131">
        <f>INDEX(TestSummary!$A$1:$BL$366,'J1634 Calcs'!$A13,'J1634 Calcs'!G$5)</f>
        <v>369.77640199099176</v>
      </c>
      <c r="H13" s="131">
        <f>INDEX(TestSummary!$A$1:$BL$366,'J1634 Calcs'!$A13,'J1634 Calcs'!H$5)</f>
        <v>-584</v>
      </c>
      <c r="I13" s="131">
        <f>INDEX(TestSummary!$A$1:$BL$366,'J1634 Calcs'!$A13,'J1634 Calcs'!I$5)</f>
        <v>2121.466602</v>
      </c>
      <c r="J13" s="132">
        <f>INDEX(TestSummary!$A$1:$BL$366,'J1634 Calcs'!$A13,'J1634 Calcs'!J$5)</f>
        <v>72.599999999999994</v>
      </c>
      <c r="K13" s="133">
        <f>INDEX(TestSummary!$A$1:$BL$366,'J1634 Calcs'!$A13,'J1634 Calcs'!K$5)</f>
        <v>369.77640199099176</v>
      </c>
      <c r="L13" s="133">
        <f>INDEX(TestSummary!$A$1:$BL$366,'J1634 Calcs'!$A13,'J1634 Calcs'!L$5)</f>
        <v>79.248088755606489</v>
      </c>
      <c r="N13" s="39"/>
      <c r="Q13" s="135" t="s">
        <v>287</v>
      </c>
      <c r="R13" s="136" t="s">
        <v>210</v>
      </c>
      <c r="S13" s="136">
        <v>2</v>
      </c>
      <c r="T13" s="144">
        <f>1/S13</f>
        <v>0.5</v>
      </c>
      <c r="U13" s="144"/>
      <c r="V13" s="144"/>
      <c r="W13" s="145">
        <f>T13*(K13+L13)*2</f>
        <v>449.02449074659825</v>
      </c>
      <c r="X13" s="145">
        <f>P11/W13</f>
        <v>131.93044303997976</v>
      </c>
      <c r="Y13" s="146">
        <f>W13/T14</f>
        <v>647.79113421983163</v>
      </c>
      <c r="Z13" s="140"/>
      <c r="AC13" s="1" t="s">
        <v>57</v>
      </c>
      <c r="AD13" s="105">
        <f>Y11</f>
        <v>681.63838847964848</v>
      </c>
      <c r="AE13" s="105">
        <f>Y18</f>
        <v>428.12528840674207</v>
      </c>
      <c r="AF13" s="105">
        <f>Y26</f>
        <v>397.3951693217457</v>
      </c>
      <c r="AG13" s="105">
        <f>Y43</f>
        <v>211.31564960585933</v>
      </c>
      <c r="AH13" s="105">
        <f>Y55</f>
        <v>282.06883181782172</v>
      </c>
      <c r="AI13" s="105">
        <f>Y63</f>
        <v>238.88661062261102</v>
      </c>
      <c r="AP13" s="141"/>
    </row>
    <row r="14" spans="1:44" ht="15.75" thickBot="1" x14ac:dyDescent="0.3">
      <c r="B14" s="368"/>
      <c r="C14" s="368"/>
      <c r="D14" s="19"/>
      <c r="E14" s="115"/>
      <c r="F14" s="115"/>
      <c r="G14" s="154"/>
      <c r="H14" s="154"/>
      <c r="I14" s="154"/>
      <c r="J14" s="155"/>
      <c r="K14" s="156"/>
      <c r="L14" s="156"/>
      <c r="Q14" s="147" t="s">
        <v>287</v>
      </c>
      <c r="R14" s="148" t="s">
        <v>290</v>
      </c>
      <c r="S14" s="148"/>
      <c r="T14" s="278">
        <f>O11/O10</f>
        <v>0.69316245164019064</v>
      </c>
      <c r="U14" s="149"/>
      <c r="V14" s="149"/>
      <c r="W14" s="150" t="s">
        <v>274</v>
      </c>
      <c r="X14" s="150" t="s">
        <v>291</v>
      </c>
      <c r="Y14" s="151" t="s">
        <v>289</v>
      </c>
      <c r="Z14" s="152"/>
      <c r="AC14" s="1" t="s">
        <v>55</v>
      </c>
      <c r="AD14" s="105">
        <f>Y12</f>
        <v>518.04744251025829</v>
      </c>
      <c r="AE14" s="105">
        <f>Y19</f>
        <v>360.39112052801261</v>
      </c>
      <c r="AF14" s="105">
        <f>Y27</f>
        <v>340.94564306964344</v>
      </c>
      <c r="AG14" s="105">
        <f t="shared" ref="AG14:AG15" si="1">Y44</f>
        <v>254.22899515125798</v>
      </c>
      <c r="AH14" s="105">
        <f>Y56</f>
        <v>263.09274687639231</v>
      </c>
      <c r="AI14" s="105">
        <f>Y64</f>
        <v>252.60442496290372</v>
      </c>
    </row>
    <row r="15" spans="1:44" ht="15.75" thickBot="1" x14ac:dyDescent="0.3">
      <c r="AC15" s="1" t="s">
        <v>210</v>
      </c>
      <c r="AD15" s="105">
        <f>Y13</f>
        <v>647.79113421983163</v>
      </c>
      <c r="AE15" s="105">
        <f>Y20</f>
        <v>445.97462496259811</v>
      </c>
      <c r="AF15" s="105">
        <f>Y28</f>
        <v>433.40526316707746</v>
      </c>
      <c r="AG15" s="105">
        <f t="shared" si="1"/>
        <v>347.15814678052328</v>
      </c>
      <c r="AH15" s="105">
        <f>Y57</f>
        <v>352.42982095696743</v>
      </c>
      <c r="AI15" s="105">
        <f>Y65</f>
        <v>341.44764670704228</v>
      </c>
    </row>
    <row r="16" spans="1:44" ht="16.5" thickBot="1" x14ac:dyDescent="0.3">
      <c r="B16" s="86" t="s">
        <v>919</v>
      </c>
      <c r="C16" s="126"/>
      <c r="D16" s="126"/>
      <c r="E16" s="116"/>
      <c r="F16" s="116"/>
      <c r="G16" s="126"/>
      <c r="H16" s="126"/>
      <c r="I16" s="126"/>
      <c r="J16" s="126"/>
      <c r="K16" s="126"/>
      <c r="L16" s="585"/>
      <c r="N16" s="127" t="s">
        <v>278</v>
      </c>
      <c r="O16" s="513" t="s">
        <v>293</v>
      </c>
      <c r="P16" s="411" t="s">
        <v>294</v>
      </c>
      <c r="Q16" s="128" t="s">
        <v>279</v>
      </c>
      <c r="R16" s="129"/>
      <c r="S16" s="129"/>
      <c r="T16" s="129"/>
      <c r="U16" s="129"/>
      <c r="V16" s="129"/>
      <c r="W16" s="129"/>
      <c r="X16" s="129"/>
      <c r="Y16" s="129"/>
      <c r="Z16" s="130"/>
      <c r="AD16" s="39"/>
      <c r="AE16" s="39"/>
      <c r="AF16" s="39"/>
      <c r="AG16" s="39"/>
      <c r="AH16" s="39"/>
    </row>
    <row r="17" spans="1:41" x14ac:dyDescent="0.25">
      <c r="A17" s="525">
        <v>199</v>
      </c>
      <c r="B17" s="361">
        <f>INDEX(TestSummary!$A$1:$BL$366,'J1634 Calcs'!$A17,'J1634 Calcs'!B$5)</f>
        <v>62008029</v>
      </c>
      <c r="C17" s="361" t="str">
        <f>INDEX(TestSummary!$A$1:$BL$366,'J1634 Calcs'!$A17,'J1634 Calcs'!C$5)</f>
        <v>UDDS 1 , Combined</v>
      </c>
      <c r="D17" s="346" t="str">
        <f>INDEX(TestSummary!$A$1:$BL$366,'J1634 Calcs'!$A17,'J1634 Calcs'!D$5)</f>
        <v>J1634MCT in cold test cell (20°F), HVAC AUTO 72°F, Use Calc EV Phases 2019 Leaf to combine PTC Power</v>
      </c>
      <c r="E17" s="402">
        <f>INDEX(TestSummary!$A$1:$BL$366,'J1634 Calcs'!$A17,'J1634 Calcs'!E$5)</f>
        <v>0</v>
      </c>
      <c r="F17" s="402">
        <f>INDEX(TestSummary!$A$1:$BL$366,'J1634 Calcs'!$A17,'J1634 Calcs'!F$5)</f>
        <v>-6.4680374999999994</v>
      </c>
      <c r="G17" s="131">
        <f>INDEX(TestSummary!$A$1:$BL$366,'J1634 Calcs'!$A17,'J1634 Calcs'!G$5)</f>
        <v>358.02556320826375</v>
      </c>
      <c r="H17" s="131">
        <f>INDEX(TestSummary!$A$1:$BL$366,'J1634 Calcs'!$A17,'J1634 Calcs'!H$5)</f>
        <v>-906</v>
      </c>
      <c r="I17" s="131">
        <f>INDEX(TestSummary!$A$1:$BL$366,'J1634 Calcs'!$A17,'J1634 Calcs'!I$5)</f>
        <v>1754</v>
      </c>
      <c r="J17" s="132">
        <f>INDEX(TestSummary!$A$1:$BL$366,'J1634 Calcs'!$A17,'J1634 Calcs'!J$5)</f>
        <v>92</v>
      </c>
      <c r="K17" s="133">
        <f>INDEX(TestSummary!$A$1:$BL$366,'J1634 Calcs'!$A17,'J1634 Calcs'!K$5)</f>
        <v>358.02556320826375</v>
      </c>
      <c r="L17" s="133">
        <f>INDEX(TestSummary!$A$1:$BL$366,'J1634 Calcs'!$A17,'J1634 Calcs'!L$5)</f>
        <v>96.195489268770586</v>
      </c>
      <c r="M17" s="39"/>
      <c r="N17" s="134" t="s">
        <v>846</v>
      </c>
      <c r="O17" s="586">
        <f>TestSummary!AU239</f>
        <v>66204.399999999994</v>
      </c>
      <c r="P17" s="269">
        <f>$O$32</f>
        <v>68019.200000000012</v>
      </c>
      <c r="Q17" s="135" t="s">
        <v>16</v>
      </c>
      <c r="R17" s="136" t="s">
        <v>1</v>
      </c>
      <c r="S17" s="136" t="s">
        <v>392</v>
      </c>
      <c r="T17" s="137" t="s">
        <v>281</v>
      </c>
      <c r="U17" s="136" t="s">
        <v>282</v>
      </c>
      <c r="V17" s="137" t="s">
        <v>283</v>
      </c>
      <c r="W17" s="138" t="s">
        <v>947</v>
      </c>
      <c r="X17" s="139" t="s">
        <v>284</v>
      </c>
      <c r="Y17" s="138" t="s">
        <v>285</v>
      </c>
      <c r="Z17" s="140"/>
      <c r="AC17" s="531" t="s">
        <v>390</v>
      </c>
      <c r="AD17" s="420"/>
      <c r="AE17" s="420"/>
      <c r="AF17" s="420"/>
      <c r="AG17" s="420"/>
    </row>
    <row r="18" spans="1:41" x14ac:dyDescent="0.25">
      <c r="A18" s="525">
        <f>A17+1</f>
        <v>200</v>
      </c>
      <c r="B18" s="361">
        <f>INDEX(TestSummary!$A$1:$BL$366,'J1634 Calcs'!$A18,'J1634 Calcs'!B$5)</f>
        <v>62008029</v>
      </c>
      <c r="C18" s="361" t="str">
        <f>INDEX(TestSummary!$A$1:$BL$366,'J1634 Calcs'!$A18,'J1634 Calcs'!C$5)</f>
        <v>HWY 1</v>
      </c>
      <c r="D18" s="346" t="str">
        <f>INDEX(TestSummary!$A$1:$BL$366,'J1634 Calcs'!$A18,'J1634 Calcs'!D$5)</f>
        <v>J1634MCT in cold test cell (20°F), HVAC AUTO 72°F, Use Calc EV Phases 2019 Leaf to combine PTC Power</v>
      </c>
      <c r="E18" s="402">
        <f>INDEX(TestSummary!$A$1:$BL$366,'J1634 Calcs'!$A18,'J1634 Calcs'!E$5)</f>
        <v>0</v>
      </c>
      <c r="F18" s="402">
        <f>INDEX(TestSummary!$A$1:$BL$366,'J1634 Calcs'!$A18,'J1634 Calcs'!F$5)</f>
        <v>-3.2424309999999998</v>
      </c>
      <c r="G18" s="131">
        <f>INDEX(TestSummary!$A$1:$BL$366,'J1634 Calcs'!$A18,'J1634 Calcs'!G$5)</f>
        <v>289.89964228804854</v>
      </c>
      <c r="H18" s="131">
        <f>INDEX(TestSummary!$A$1:$BL$366,'J1634 Calcs'!$A18,'J1634 Calcs'!H$5)</f>
        <v>1761</v>
      </c>
      <c r="I18" s="131">
        <f>INDEX(TestSummary!$A$1:$BL$366,'J1634 Calcs'!$A18,'J1634 Calcs'!I$5)</f>
        <v>4731</v>
      </c>
      <c r="J18" s="132">
        <f>INDEX(TestSummary!$A$1:$BL$366,'J1634 Calcs'!$A18,'J1634 Calcs'!J$5)</f>
        <v>87.3</v>
      </c>
      <c r="K18" s="133">
        <f>INDEX(TestSummary!$A$1:$BL$366,'J1634 Calcs'!$A18,'J1634 Calcs'!K$5)</f>
        <v>289.89964228804854</v>
      </c>
      <c r="L18" s="133">
        <f>INDEX(TestSummary!$A$1:$BL$366,'J1634 Calcs'!$A18,'J1634 Calcs'!L$5)</f>
        <v>13.445682062349725</v>
      </c>
      <c r="M18" s="39"/>
      <c r="N18" s="142" t="s">
        <v>286</v>
      </c>
      <c r="O18" s="587">
        <f>TestSummary!W238-TestSummary!V220</f>
        <v>55725</v>
      </c>
      <c r="P18" s="143">
        <f>$O$33</f>
        <v>59240</v>
      </c>
      <c r="Q18" s="135" t="s">
        <v>287</v>
      </c>
      <c r="R18" s="136" t="s">
        <v>57</v>
      </c>
      <c r="S18" s="136">
        <v>3</v>
      </c>
      <c r="T18" s="144"/>
      <c r="U18" s="144">
        <f>(I17-H17)/O18</f>
        <v>4.7734410049349481E-2</v>
      </c>
      <c r="V18" s="144">
        <f>(1-U18)/S18</f>
        <v>0.31742186331688349</v>
      </c>
      <c r="W18" s="145">
        <f>U18*(K17+L17)+V18*(K19+L19)*3</f>
        <v>360.35794745463602</v>
      </c>
      <c r="X18" s="145">
        <f>P18/W18</f>
        <v>164.39210073882853</v>
      </c>
      <c r="Y18" s="146">
        <f>W18/T21</f>
        <v>428.12528840674207</v>
      </c>
      <c r="Z18" s="140"/>
      <c r="AC18" s="1" t="s">
        <v>57</v>
      </c>
      <c r="AD18" s="153">
        <f t="shared" ref="AD18:AI20" si="2">AD13/$AG13-1</f>
        <v>2.2256881577442247</v>
      </c>
      <c r="AE18" s="153">
        <f t="shared" si="2"/>
        <v>1.025998969812556</v>
      </c>
      <c r="AF18" s="153">
        <f t="shared" si="2"/>
        <v>0.88057614314395183</v>
      </c>
      <c r="AG18" s="153">
        <f t="shared" si="2"/>
        <v>0</v>
      </c>
      <c r="AH18" s="153">
        <f t="shared" si="2"/>
        <v>0.33482225449903713</v>
      </c>
      <c r="AI18" s="153">
        <f t="shared" si="2"/>
        <v>0.13047287821879894</v>
      </c>
    </row>
    <row r="19" spans="1:41" x14ac:dyDescent="0.25">
      <c r="A19" s="525">
        <f>A18+3</f>
        <v>203</v>
      </c>
      <c r="B19" s="361">
        <f>INDEX(TestSummary!$A$1:$BL$366,'J1634 Calcs'!$A19,'J1634 Calcs'!B$5)</f>
        <v>62008029</v>
      </c>
      <c r="C19" s="361" t="str">
        <f>INDEX(TestSummary!$A$1:$BL$366,'J1634 Calcs'!$A19,'J1634 Calcs'!C$5)</f>
        <v>UDDS 2, combined</v>
      </c>
      <c r="D19" s="346" t="str">
        <f>INDEX(TestSummary!$A$1:$BL$366,'J1634 Calcs'!$A19,'J1634 Calcs'!D$5)</f>
        <v>J1634MCT in cold test cell (20°F), HVAC AUTO 72°F, Use Calc EV Phases 2019 Leaf to combine PTC Power</v>
      </c>
      <c r="E19" s="402">
        <f>INDEX(TestSummary!$A$1:$BL$366,'J1634 Calcs'!$A19,'J1634 Calcs'!E$5)</f>
        <v>0</v>
      </c>
      <c r="F19" s="402">
        <f>INDEX(TestSummary!$A$1:$BL$366,'J1634 Calcs'!$A19,'J1634 Calcs'!F$5)</f>
        <v>-7.0921249999999993</v>
      </c>
      <c r="G19" s="131">
        <f>INDEX(TestSummary!$A$1:$BL$366,'J1634 Calcs'!$A19,'J1634 Calcs'!G$5)</f>
        <v>322.33740525679667</v>
      </c>
      <c r="H19" s="131">
        <f>INDEX(TestSummary!$A$1:$BL$366,'J1634 Calcs'!$A19,'J1634 Calcs'!H$5)</f>
        <v>4737</v>
      </c>
      <c r="I19" s="131">
        <f>INDEX(TestSummary!$A$1:$BL$366,'J1634 Calcs'!$A19,'J1634 Calcs'!I$5)</f>
        <v>7135</v>
      </c>
      <c r="J19" s="132">
        <f>INDEX(TestSummary!$A$1:$BL$366,'J1634 Calcs'!$A19,'J1634 Calcs'!J$5)</f>
        <v>83.2</v>
      </c>
      <c r="K19" s="133">
        <f>INDEX(TestSummary!$A$1:$BL$366,'J1634 Calcs'!$A19,'J1634 Calcs'!K$5)</f>
        <v>322.33740525679667</v>
      </c>
      <c r="L19" s="133">
        <f>INDEX(TestSummary!$A$1:$BL$366,'J1634 Calcs'!$A19,'J1634 Calcs'!L$5)</f>
        <v>33.315447326274686</v>
      </c>
      <c r="M19" s="39"/>
      <c r="Q19" s="135" t="s">
        <v>287</v>
      </c>
      <c r="R19" s="136" t="s">
        <v>55</v>
      </c>
      <c r="S19" s="136">
        <v>2</v>
      </c>
      <c r="T19" s="144">
        <f>1/S19</f>
        <v>0.5</v>
      </c>
      <c r="U19" s="144"/>
      <c r="V19" s="144"/>
      <c r="W19" s="145">
        <f>T19*(K18+L18)*2</f>
        <v>303.34532435039824</v>
      </c>
      <c r="X19" s="145">
        <f>P18/W19</f>
        <v>195.28898336198213</v>
      </c>
      <c r="Y19" s="146">
        <f>W19/T21</f>
        <v>360.39112052801261</v>
      </c>
      <c r="Z19" s="140"/>
      <c r="AC19" s="1" t="s">
        <v>55</v>
      </c>
      <c r="AD19" s="153">
        <f t="shared" si="2"/>
        <v>1.0377197424001023</v>
      </c>
      <c r="AE19" s="153">
        <f t="shared" si="2"/>
        <v>0.41758464770547365</v>
      </c>
      <c r="AF19" s="153">
        <f t="shared" si="2"/>
        <v>0.34109660806703768</v>
      </c>
      <c r="AG19" s="153">
        <f>AG14/$AG14-1</f>
        <v>0</v>
      </c>
      <c r="AH19" s="153">
        <f t="shared" si="2"/>
        <v>3.4865227390214359E-2</v>
      </c>
      <c r="AI19" s="153">
        <f t="shared" si="2"/>
        <v>-6.3901845160804216E-3</v>
      </c>
    </row>
    <row r="20" spans="1:41" x14ac:dyDescent="0.25">
      <c r="A20" s="525">
        <f>A19+3</f>
        <v>206</v>
      </c>
      <c r="B20" s="361">
        <f>INDEX(TestSummary!$A$1:$BL$366,'J1634 Calcs'!$A20,'J1634 Calcs'!B$5)</f>
        <v>62008029</v>
      </c>
      <c r="C20" s="361" t="str">
        <f>INDEX(TestSummary!$A$1:$BL$366,'J1634 Calcs'!$A20,'J1634 Calcs'!C$5)</f>
        <v>US06 1, combined</v>
      </c>
      <c r="D20" s="346" t="str">
        <f>INDEX(TestSummary!$A$1:$BL$366,'J1634 Calcs'!$A20,'J1634 Calcs'!D$5)</f>
        <v>J1634MCT in cold test cell (20°F), HVAC AUTO 72°F, Use Calc EV Phases 2019 Leaf to combine PTC Power</v>
      </c>
      <c r="E20" s="402">
        <f>INDEX(TestSummary!$A$1:$BL$366,'J1634 Calcs'!$A20,'J1634 Calcs'!E$5)</f>
        <v>0</v>
      </c>
      <c r="F20" s="402">
        <f>INDEX(TestSummary!$A$1:$BL$366,'J1634 Calcs'!$A20,'J1634 Calcs'!F$5)</f>
        <v>-2.9472040000000002</v>
      </c>
      <c r="G20" s="131">
        <f>INDEX(TestSummary!$A$1:$BL$366,'J1634 Calcs'!$A20,'J1634 Calcs'!G$5)</f>
        <v>372.47412013965283</v>
      </c>
      <c r="H20" s="131">
        <f>INDEX(TestSummary!$A$1:$BL$366,'J1634 Calcs'!$A20,'J1634 Calcs'!H$5)</f>
        <v>7178.8137059999999</v>
      </c>
      <c r="I20" s="131">
        <f>INDEX(TestSummary!$A$1:$BL$366,'J1634 Calcs'!$A20,'J1634 Calcs'!I$5)</f>
        <v>9905</v>
      </c>
      <c r="J20" s="132">
        <f>INDEX(TestSummary!$A$1:$BL$366,'J1634 Calcs'!$A20,'J1634 Calcs'!J$5)</f>
        <v>78.8</v>
      </c>
      <c r="K20" s="133">
        <f>INDEX(TestSummary!$A$1:$BL$366,'J1634 Calcs'!$A20,'J1634 Calcs'!K$5)</f>
        <v>372.47412013965283</v>
      </c>
      <c r="L20" s="133">
        <f>INDEX(TestSummary!$A$1:$BL$366,'J1634 Calcs'!$A20,'J1634 Calcs'!L$5)</f>
        <v>2.9078178590418724</v>
      </c>
      <c r="M20" s="39"/>
      <c r="Q20" s="135" t="s">
        <v>287</v>
      </c>
      <c r="R20" s="136" t="s">
        <v>210</v>
      </c>
      <c r="S20" s="136">
        <v>2</v>
      </c>
      <c r="T20" s="144">
        <f>1/S20</f>
        <v>0.5</v>
      </c>
      <c r="U20" s="144"/>
      <c r="V20" s="144"/>
      <c r="W20" s="145">
        <f>T20*(K20+L20)*2</f>
        <v>375.3819379986947</v>
      </c>
      <c r="X20" s="145">
        <f>P18/W20</f>
        <v>157.81260098935817</v>
      </c>
      <c r="Y20" s="146">
        <f>W20/T21</f>
        <v>445.97462496259811</v>
      </c>
      <c r="Z20" s="140"/>
      <c r="AC20" s="1" t="s">
        <v>210</v>
      </c>
      <c r="AD20" s="153">
        <f t="shared" si="2"/>
        <v>0.86598280993063215</v>
      </c>
      <c r="AE20" s="153">
        <f t="shared" si="2"/>
        <v>0.28464398458880913</v>
      </c>
      <c r="AF20" s="153">
        <f t="shared" si="2"/>
        <v>0.24843754117941086</v>
      </c>
      <c r="AG20" s="153">
        <f t="shared" si="2"/>
        <v>0</v>
      </c>
      <c r="AH20" s="153">
        <f t="shared" si="2"/>
        <v>1.5185223867947961E-2</v>
      </c>
      <c r="AI20" s="153">
        <f t="shared" si="2"/>
        <v>-1.6449275716093781E-2</v>
      </c>
    </row>
    <row r="21" spans="1:41" ht="18" customHeight="1" thickBot="1" x14ac:dyDescent="0.3">
      <c r="B21" s="368"/>
      <c r="C21" s="368"/>
      <c r="D21" s="19"/>
      <c r="E21" s="115"/>
      <c r="F21" s="115"/>
      <c r="G21" s="527"/>
      <c r="H21" s="527"/>
      <c r="I21" s="527"/>
      <c r="J21" s="378"/>
      <c r="K21" s="527"/>
      <c r="L21" s="527"/>
      <c r="Q21" s="147" t="s">
        <v>287</v>
      </c>
      <c r="R21" s="148" t="s">
        <v>290</v>
      </c>
      <c r="S21" s="148"/>
      <c r="T21" s="278">
        <f>O18/O17</f>
        <v>0.84171142703506119</v>
      </c>
      <c r="U21" s="149"/>
      <c r="V21" s="149"/>
      <c r="W21" s="150" t="s">
        <v>274</v>
      </c>
      <c r="X21" s="150" t="s">
        <v>291</v>
      </c>
      <c r="Y21" s="151" t="s">
        <v>289</v>
      </c>
      <c r="Z21" s="152"/>
      <c r="AD21" s="153"/>
      <c r="AE21" s="153"/>
      <c r="AF21" s="153"/>
      <c r="AG21" s="153"/>
      <c r="AH21" s="153"/>
      <c r="AI21" s="153"/>
    </row>
    <row r="22" spans="1:41" ht="18" customHeight="1" x14ac:dyDescent="0.25">
      <c r="B22" s="368"/>
      <c r="C22" s="368"/>
      <c r="D22" s="19"/>
      <c r="E22" s="115"/>
      <c r="F22" s="115"/>
      <c r="G22" s="527"/>
      <c r="H22" s="527"/>
      <c r="I22" s="527"/>
      <c r="J22" s="378"/>
      <c r="K22" s="527"/>
      <c r="L22" s="527"/>
      <c r="O22" s="396"/>
      <c r="P22" s="18"/>
      <c r="Q22" s="401"/>
      <c r="R22" s="536"/>
      <c r="S22" s="536"/>
      <c r="T22" s="537"/>
      <c r="U22" s="81"/>
      <c r="V22" s="81"/>
      <c r="W22" s="538"/>
      <c r="X22" s="538"/>
      <c r="Y22" s="539"/>
      <c r="Z22" s="401"/>
      <c r="AD22" s="153"/>
      <c r="AE22" s="153"/>
      <c r="AF22" s="153"/>
      <c r="AG22" s="153"/>
      <c r="AH22" s="153"/>
      <c r="AI22" s="153"/>
    </row>
    <row r="23" spans="1:41" ht="18" customHeight="1" thickBot="1" x14ac:dyDescent="0.3">
      <c r="B23" s="86" t="s">
        <v>844</v>
      </c>
      <c r="C23" s="126"/>
      <c r="D23" s="126"/>
      <c r="E23" s="116"/>
      <c r="F23" s="116"/>
      <c r="G23" s="126"/>
      <c r="H23" s="126"/>
      <c r="I23" s="126"/>
      <c r="J23" s="126"/>
      <c r="K23" s="126"/>
      <c r="L23" s="585"/>
      <c r="AD23" s="153"/>
      <c r="AE23" s="153"/>
      <c r="AF23" s="153"/>
      <c r="AG23" s="153"/>
      <c r="AH23" s="153"/>
      <c r="AI23" s="153"/>
    </row>
    <row r="24" spans="1:41" ht="18" customHeight="1" thickBot="1" x14ac:dyDescent="0.3">
      <c r="A24" s="525">
        <v>245</v>
      </c>
      <c r="B24" s="361">
        <f>INDEX(TestSummary!$A$1:$BL$366,'J1634 Calcs'!$A24,'J1634 Calcs'!B$5)</f>
        <v>62008039</v>
      </c>
      <c r="C24" s="361" t="str">
        <f>INDEX(TestSummary!$A$1:$BL$366,'J1634 Calcs'!$A24,'J1634 Calcs'!C$5)</f>
        <v>UDDS 1 , Combined</v>
      </c>
      <c r="D24" s="346" t="str">
        <f>INDEX(TestSummary!$A$1:$BL$366,'J1634 Calcs'!$A24,'J1634 Calcs'!D$5)</f>
        <v>J1634 MCT first half with Climate pre-conditioning. 1 hour log of vehicle prior to cycle start</v>
      </c>
      <c r="E24" s="402">
        <f>INDEX(TestSummary!$A$1:$BL$366,'J1634 Calcs'!$A24,'J1634 Calcs'!E$5)</f>
        <v>0</v>
      </c>
      <c r="F24" s="402">
        <f>INDEX(TestSummary!$A$1:$BL$366,'J1634 Calcs'!$A24,'J1634 Calcs'!F$5)</f>
        <v>-5.9922194999999991</v>
      </c>
      <c r="G24" s="131">
        <f>INDEX(TestSummary!$A$1:$BL$366,'J1634 Calcs'!$A24,'J1634 Calcs'!G$5)</f>
        <v>340.55350380642119</v>
      </c>
      <c r="H24" s="131">
        <f>INDEX(TestSummary!$A$1:$BL$366,'J1634 Calcs'!$A24,'J1634 Calcs'!H$5)</f>
        <v>-7048</v>
      </c>
      <c r="I24" s="131">
        <f>INDEX(TestSummary!$A$1:$BL$366,'J1634 Calcs'!$A24,'J1634 Calcs'!I$5)</f>
        <v>-4521</v>
      </c>
      <c r="J24" s="132">
        <f>INDEX(TestSummary!$A$1:$BL$366,'J1634 Calcs'!$A24,'J1634 Calcs'!J$5)</f>
        <v>92</v>
      </c>
      <c r="K24" s="133">
        <f>INDEX(TestSummary!$A$1:$BL$366,'J1634 Calcs'!$A24,'J1634 Calcs'!K$5)</f>
        <v>340.55350380642119</v>
      </c>
      <c r="L24" s="133">
        <f>INDEX(TestSummary!$A$1:$BL$366,'J1634 Calcs'!$A24,'J1634 Calcs'!L$5)</f>
        <v>21.569287013936595</v>
      </c>
      <c r="N24" s="127" t="s">
        <v>278</v>
      </c>
      <c r="O24" s="513" t="s">
        <v>293</v>
      </c>
      <c r="P24" s="411" t="s">
        <v>294</v>
      </c>
      <c r="Q24" s="128" t="s">
        <v>279</v>
      </c>
      <c r="R24" s="129"/>
      <c r="S24" s="129"/>
      <c r="T24" s="129"/>
      <c r="U24" s="129"/>
      <c r="V24" s="129"/>
      <c r="W24" s="129"/>
      <c r="X24" s="129"/>
      <c r="Y24" s="129"/>
      <c r="Z24" s="130"/>
      <c r="AD24" s="153"/>
      <c r="AE24" s="153"/>
      <c r="AF24" s="153"/>
      <c r="AG24" s="153"/>
      <c r="AH24" s="153"/>
      <c r="AI24" s="153"/>
    </row>
    <row r="25" spans="1:41" ht="18" customHeight="1" x14ac:dyDescent="0.25">
      <c r="A25" s="525">
        <f>A24+1</f>
        <v>246</v>
      </c>
      <c r="B25" s="361">
        <f>INDEX(TestSummary!$A$1:$BL$366,'J1634 Calcs'!$A25,'J1634 Calcs'!B$5)</f>
        <v>62008039</v>
      </c>
      <c r="C25" s="361" t="str">
        <f>INDEX(TestSummary!$A$1:$BL$366,'J1634 Calcs'!$A25,'J1634 Calcs'!C$5)</f>
        <v>HWY 1</v>
      </c>
      <c r="D25" s="346" t="str">
        <f>INDEX(TestSummary!$A$1:$BL$366,'J1634 Calcs'!$A25,'J1634 Calcs'!D$5)</f>
        <v>J1634 MCT first half with Climate pre-conditioning. 1 hour log of vehicle prior to cycle start</v>
      </c>
      <c r="E25" s="402">
        <f>INDEX(TestSummary!$A$1:$BL$366,'J1634 Calcs'!$A25,'J1634 Calcs'!E$5)</f>
        <v>0</v>
      </c>
      <c r="F25" s="402">
        <f>INDEX(TestSummary!$A$1:$BL$366,'J1634 Calcs'!$A25,'J1634 Calcs'!F$5)</f>
        <v>-3.3024640000000001</v>
      </c>
      <c r="G25" s="131">
        <f>INDEX(TestSummary!$A$1:$BL$366,'J1634 Calcs'!$A25,'J1634 Calcs'!G$5)</f>
        <v>285.20677160054333</v>
      </c>
      <c r="H25" s="131">
        <f>INDEX(TestSummary!$A$1:$BL$366,'J1634 Calcs'!$A25,'J1634 Calcs'!H$5)</f>
        <v>-4514</v>
      </c>
      <c r="I25" s="131">
        <f>INDEX(TestSummary!$A$1:$BL$366,'J1634 Calcs'!$A25,'J1634 Calcs'!I$5)</f>
        <v>-1592</v>
      </c>
      <c r="J25" s="132">
        <f>INDEX(TestSummary!$A$1:$BL$366,'J1634 Calcs'!$A25,'J1634 Calcs'!J$5)</f>
        <v>87.6</v>
      </c>
      <c r="K25" s="133">
        <f>INDEX(TestSummary!$A$1:$BL$366,'J1634 Calcs'!$A25,'J1634 Calcs'!K$5)</f>
        <v>285.20677160054333</v>
      </c>
      <c r="L25" s="133">
        <f>INDEX(TestSummary!$A$1:$BL$366,'J1634 Calcs'!$A25,'J1634 Calcs'!L$5)</f>
        <v>1.7710721689928561</v>
      </c>
      <c r="N25" s="134" t="s">
        <v>846</v>
      </c>
      <c r="O25" s="546">
        <f>O17</f>
        <v>66204.399999999994</v>
      </c>
      <c r="P25" s="269">
        <f>$O$32</f>
        <v>68019.200000000012</v>
      </c>
      <c r="Q25" s="135" t="s">
        <v>16</v>
      </c>
      <c r="R25" s="136" t="s">
        <v>1</v>
      </c>
      <c r="S25" s="136" t="s">
        <v>392</v>
      </c>
      <c r="T25" s="137" t="s">
        <v>281</v>
      </c>
      <c r="U25" s="136" t="s">
        <v>282</v>
      </c>
      <c r="V25" s="137" t="s">
        <v>283</v>
      </c>
      <c r="W25" s="138" t="s">
        <v>947</v>
      </c>
      <c r="X25" s="139" t="s">
        <v>284</v>
      </c>
      <c r="Y25" s="138" t="s">
        <v>285</v>
      </c>
      <c r="Z25" s="140"/>
      <c r="AD25" s="153"/>
      <c r="AE25" s="153"/>
      <c r="AF25" s="153"/>
      <c r="AG25" s="153"/>
      <c r="AH25" s="153"/>
      <c r="AI25" s="153"/>
    </row>
    <row r="26" spans="1:41" ht="18" customHeight="1" x14ac:dyDescent="0.25">
      <c r="A26" s="525">
        <f>A25+3</f>
        <v>249</v>
      </c>
      <c r="B26" s="361">
        <f>INDEX(TestSummary!$A$1:$BL$366,'J1634 Calcs'!$A26,'J1634 Calcs'!B$5)</f>
        <v>62008039</v>
      </c>
      <c r="C26" s="361" t="str">
        <f>INDEX(TestSummary!$A$1:$BL$366,'J1634 Calcs'!$A26,'J1634 Calcs'!C$5)</f>
        <v>UDDS 2, combined</v>
      </c>
      <c r="D26" s="346" t="str">
        <f>INDEX(TestSummary!$A$1:$BL$366,'J1634 Calcs'!$A26,'J1634 Calcs'!D$5)</f>
        <v>J1634 MCT first half with Climate pre-conditioning. 1 hour log of vehicle prior to cycle start</v>
      </c>
      <c r="E26" s="402">
        <f>INDEX(TestSummary!$A$1:$BL$366,'J1634 Calcs'!$A26,'J1634 Calcs'!E$5)</f>
        <v>0</v>
      </c>
      <c r="F26" s="402">
        <f>INDEX(TestSummary!$A$1:$BL$366,'J1634 Calcs'!$A26,'J1634 Calcs'!F$5)</f>
        <v>-6.8879440000000001</v>
      </c>
      <c r="G26" s="131">
        <f>INDEX(TestSummary!$A$1:$BL$366,'J1634 Calcs'!$A26,'J1634 Calcs'!G$5)</f>
        <v>319.26822956295126</v>
      </c>
      <c r="H26" s="131">
        <f>INDEX(TestSummary!$A$1:$BL$366,'J1634 Calcs'!$A26,'J1634 Calcs'!H$5)</f>
        <v>-1587</v>
      </c>
      <c r="I26" s="131">
        <f>INDEX(TestSummary!$A$1:$BL$366,'J1634 Calcs'!$A26,'J1634 Calcs'!I$5)</f>
        <v>782</v>
      </c>
      <c r="J26" s="132">
        <f>INDEX(TestSummary!$A$1:$BL$366,'J1634 Calcs'!$A26,'J1634 Calcs'!J$5)</f>
        <v>83.8</v>
      </c>
      <c r="K26" s="133">
        <f>INDEX(TestSummary!$A$1:$BL$366,'J1634 Calcs'!$A26,'J1634 Calcs'!K$5)</f>
        <v>319.26822956295126</v>
      </c>
      <c r="L26" s="133">
        <f>INDEX(TestSummary!$A$1:$BL$366,'J1634 Calcs'!$A26,'J1634 Calcs'!L$5)</f>
        <v>13.911316212939253</v>
      </c>
      <c r="N26" s="142" t="s">
        <v>286</v>
      </c>
      <c r="O26" s="547">
        <f>O18</f>
        <v>55725</v>
      </c>
      <c r="P26" s="143">
        <f>$O$33</f>
        <v>59240</v>
      </c>
      <c r="Q26" s="135" t="s">
        <v>287</v>
      </c>
      <c r="R26" s="136" t="s">
        <v>57</v>
      </c>
      <c r="S26" s="136">
        <v>3</v>
      </c>
      <c r="T26" s="144"/>
      <c r="U26" s="144">
        <f>(I24-H24)/O26</f>
        <v>4.5347689546882008E-2</v>
      </c>
      <c r="V26" s="144">
        <f>(1-U26)/S26</f>
        <v>0.31821743681770598</v>
      </c>
      <c r="W26" s="145">
        <f>U26*(K24+L24)+V26*(K26+L26)*3</f>
        <v>334.49205506664634</v>
      </c>
      <c r="X26" s="145">
        <f>P26/W26</f>
        <v>177.10435600091202</v>
      </c>
      <c r="Y26" s="146">
        <f>W26/T29</f>
        <v>397.3951693217457</v>
      </c>
      <c r="Z26" s="140"/>
      <c r="AD26" s="153"/>
      <c r="AE26" s="153"/>
      <c r="AF26" s="153"/>
      <c r="AG26" s="153"/>
      <c r="AH26" s="153"/>
      <c r="AI26" s="153"/>
    </row>
    <row r="27" spans="1:41" ht="18" customHeight="1" x14ac:dyDescent="0.25">
      <c r="A27" s="525">
        <f>A26+3</f>
        <v>252</v>
      </c>
      <c r="B27" s="361">
        <f>INDEX(TestSummary!$A$1:$BL$366,'J1634 Calcs'!$A27,'J1634 Calcs'!B$5)</f>
        <v>62008039</v>
      </c>
      <c r="C27" s="361" t="str">
        <f>INDEX(TestSummary!$A$1:$BL$366,'J1634 Calcs'!$A27,'J1634 Calcs'!C$5)</f>
        <v>US06 1, combined</v>
      </c>
      <c r="D27" s="346" t="str">
        <f>INDEX(TestSummary!$A$1:$BL$366,'J1634 Calcs'!$A27,'J1634 Calcs'!D$5)</f>
        <v>J1634 MCT first half with Climate pre-conditioning. 1 hour log of vehicle prior to cycle start</v>
      </c>
      <c r="E27" s="402">
        <f>INDEX(TestSummary!$A$1:$BL$366,'J1634 Calcs'!$A27,'J1634 Calcs'!E$5)</f>
        <v>0</v>
      </c>
      <c r="F27" s="402">
        <f>INDEX(TestSummary!$A$1:$BL$366,'J1634 Calcs'!$A27,'J1634 Calcs'!F$5)</f>
        <v>-2.6521970000000001</v>
      </c>
      <c r="G27" s="131">
        <f>INDEX(TestSummary!$A$1:$BL$366,'J1634 Calcs'!$A27,'J1634 Calcs'!G$5)</f>
        <v>363.38191984848959</v>
      </c>
      <c r="H27" s="131">
        <f>INDEX(TestSummary!$A$1:$BL$366,'J1634 Calcs'!$A27,'J1634 Calcs'!H$5)</f>
        <v>824</v>
      </c>
      <c r="I27" s="131">
        <f>INDEX(TestSummary!$A$1:$BL$366,'J1634 Calcs'!$A27,'J1634 Calcs'!I$5)</f>
        <v>3482</v>
      </c>
      <c r="J27" s="132">
        <f>INDEX(TestSummary!$A$1:$BL$366,'J1634 Calcs'!$A27,'J1634 Calcs'!J$5)</f>
        <v>79.5</v>
      </c>
      <c r="K27" s="133">
        <f>INDEX(TestSummary!$A$1:$BL$366,'J1634 Calcs'!$A27,'J1634 Calcs'!K$5)</f>
        <v>363.38191984848959</v>
      </c>
      <c r="L27" s="133">
        <f>INDEX(TestSummary!$A$1:$BL$366,'J1634 Calcs'!$A27,'J1634 Calcs'!L$5)</f>
        <v>1.420242696377465</v>
      </c>
      <c r="N27" s="589" t="s">
        <v>952</v>
      </c>
      <c r="Q27" s="135" t="s">
        <v>287</v>
      </c>
      <c r="R27" s="136" t="s">
        <v>55</v>
      </c>
      <c r="S27" s="136">
        <v>2</v>
      </c>
      <c r="T27" s="144">
        <f>1/S27</f>
        <v>0.5</v>
      </c>
      <c r="U27" s="144"/>
      <c r="V27" s="144"/>
      <c r="W27" s="145">
        <f>T27*(K25+L25)*2</f>
        <v>286.97784376953621</v>
      </c>
      <c r="X27" s="145">
        <f>P26/W27</f>
        <v>206.42708587487323</v>
      </c>
      <c r="Y27" s="146">
        <f>W27/T29</f>
        <v>340.94564306964344</v>
      </c>
      <c r="Z27" s="140"/>
      <c r="AD27" s="153"/>
      <c r="AE27" s="153"/>
      <c r="AF27" s="153"/>
      <c r="AG27" s="153"/>
      <c r="AH27" s="153"/>
      <c r="AI27" s="153"/>
    </row>
    <row r="28" spans="1:41" ht="18" customHeight="1" x14ac:dyDescent="0.25">
      <c r="B28" s="368"/>
      <c r="C28" s="368"/>
      <c r="D28" s="19"/>
      <c r="E28" s="115"/>
      <c r="F28" s="115"/>
      <c r="G28" s="154"/>
      <c r="H28" s="154"/>
      <c r="I28" s="154"/>
      <c r="J28" s="155"/>
      <c r="K28" s="156"/>
      <c r="L28" s="156"/>
      <c r="Q28" s="135" t="s">
        <v>287</v>
      </c>
      <c r="R28" s="136" t="s">
        <v>210</v>
      </c>
      <c r="S28" s="136">
        <v>2</v>
      </c>
      <c r="T28" s="144">
        <f>1/S28</f>
        <v>0.5</v>
      </c>
      <c r="U28" s="144"/>
      <c r="V28" s="144"/>
      <c r="W28" s="145">
        <f>T28*(K27+L27)*2</f>
        <v>364.80216254486703</v>
      </c>
      <c r="X28" s="145">
        <f>P26/W28</f>
        <v>162.38938822824019</v>
      </c>
      <c r="Y28" s="146">
        <f>W28/T29</f>
        <v>433.40526316707746</v>
      </c>
      <c r="Z28" s="140"/>
      <c r="AD28" s="153"/>
      <c r="AE28" s="153"/>
      <c r="AF28" s="153"/>
      <c r="AG28" s="153"/>
      <c r="AH28" s="153"/>
      <c r="AI28" s="153"/>
    </row>
    <row r="29" spans="1:41" ht="18" customHeight="1" thickBot="1" x14ac:dyDescent="0.3">
      <c r="Q29" s="147" t="s">
        <v>287</v>
      </c>
      <c r="R29" s="148" t="s">
        <v>290</v>
      </c>
      <c r="S29" s="148"/>
      <c r="T29" s="278">
        <f>O26/O25</f>
        <v>0.84171142703506119</v>
      </c>
      <c r="U29" s="149"/>
      <c r="V29" s="149"/>
      <c r="W29" s="150" t="s">
        <v>274</v>
      </c>
      <c r="X29" s="150" t="s">
        <v>291</v>
      </c>
      <c r="Y29" s="151" t="s">
        <v>289</v>
      </c>
      <c r="Z29" s="152"/>
      <c r="AD29" s="153"/>
      <c r="AE29" s="153"/>
      <c r="AF29" s="153"/>
      <c r="AG29" s="153"/>
      <c r="AH29" s="153"/>
      <c r="AI29" s="153"/>
    </row>
    <row r="30" spans="1:41" ht="15.75" thickBot="1" x14ac:dyDescent="0.3">
      <c r="AC30" s="531" t="s">
        <v>817</v>
      </c>
      <c r="AD30" s="420"/>
      <c r="AE30" s="420"/>
      <c r="AF30" s="420"/>
      <c r="AG30" s="420"/>
    </row>
    <row r="31" spans="1:41" ht="16.5" thickBot="1" x14ac:dyDescent="0.3">
      <c r="B31" s="86" t="s">
        <v>847</v>
      </c>
      <c r="C31" s="126"/>
      <c r="D31" s="126"/>
      <c r="E31" s="116"/>
      <c r="F31" s="116"/>
      <c r="G31" s="126"/>
      <c r="H31" s="126"/>
      <c r="I31" s="126"/>
      <c r="J31" s="126"/>
      <c r="K31" s="126"/>
      <c r="L31" s="585"/>
      <c r="N31" s="127" t="s">
        <v>278</v>
      </c>
      <c r="O31" s="528" t="s">
        <v>293</v>
      </c>
      <c r="P31" s="529" t="s">
        <v>294</v>
      </c>
      <c r="Q31" s="128" t="s">
        <v>279</v>
      </c>
      <c r="R31" s="129"/>
      <c r="S31" s="129"/>
      <c r="T31" s="129"/>
      <c r="U31" s="129"/>
      <c r="V31" s="129"/>
      <c r="W31" s="129"/>
      <c r="X31" s="129"/>
      <c r="Y31" s="129"/>
      <c r="Z31" s="130"/>
      <c r="AC31" s="1" t="s">
        <v>57</v>
      </c>
      <c r="AD31" s="153">
        <f t="shared" ref="AD31:AE34" si="3">AD7/$AG7-1</f>
        <v>1.5763969964256961</v>
      </c>
      <c r="AE31" s="153">
        <f t="shared" si="3"/>
        <v>1.168862419853907</v>
      </c>
      <c r="AF31" s="153">
        <f>AF7/$AG7-1</f>
        <v>0.72910196059792165</v>
      </c>
      <c r="AG31" s="153">
        <f>AG7/$AG7-1</f>
        <v>0</v>
      </c>
      <c r="AH31" s="153">
        <f>AH7/$AG7-1</f>
        <v>0.48200202915823165</v>
      </c>
      <c r="AI31" s="153">
        <f>AI7/$AG7-1</f>
        <v>0.21935183087771182</v>
      </c>
    </row>
    <row r="32" spans="1:41" ht="17.25" customHeight="1" x14ac:dyDescent="0.25">
      <c r="A32" s="525">
        <v>41</v>
      </c>
      <c r="B32" s="361">
        <f>INDEX(TestSummary!$A$1:$BL$366,'J1634 Calcs'!$A32,'J1634 Calcs'!B$5)</f>
        <v>62007023</v>
      </c>
      <c r="C32" s="361" t="str">
        <f>INDEX(TestSummary!$A$1:$BL$366,'J1634 Calcs'!$A32,'J1634 Calcs'!C$5)</f>
        <v>UDDS 1 , Combined</v>
      </c>
      <c r="D32" s="346" t="str">
        <f>INDEX(TestSummary!$A$1:$BL$366,'J1634 Calcs'!$A32,'J1634 Calcs'!D$5)</f>
        <v>J1634 MCT, FWD (2WD) mode, using MAINTENANCE MODE, E-PEDAL ON, Robot Driver, UDDS-HWY-UDDS-US06</v>
      </c>
      <c r="E32" s="402">
        <f>INDEX(TestSummary!$A$1:$BL$366,'J1634 Calcs'!$A32,'J1634 Calcs'!E$5)</f>
        <v>0</v>
      </c>
      <c r="F32" s="402">
        <f>INDEX(TestSummary!$A$1:$BL$366,'J1634 Calcs'!$A32,'J1634 Calcs'!F$5)</f>
        <v>23.087074000000001</v>
      </c>
      <c r="G32" s="131">
        <f>INDEX(TestSummary!$A$1:$BL$366,'J1634 Calcs'!$A32,'J1634 Calcs'!G$5)</f>
        <v>215.64891551608372</v>
      </c>
      <c r="H32" s="131">
        <f>INDEX(TestSummary!$A$1:$BL$366,'J1634 Calcs'!$A32,'J1634 Calcs'!H$5)</f>
        <v>-378</v>
      </c>
      <c r="I32" s="131">
        <f>INDEX(TestSummary!$A$1:$BL$366,'J1634 Calcs'!$A32,'J1634 Calcs'!I$5)</f>
        <v>1223</v>
      </c>
      <c r="J32" s="132">
        <f>INDEX(TestSummary!$A$1:$BL$366,'J1634 Calcs'!$A32,'J1634 Calcs'!J$5)</f>
        <v>95.9</v>
      </c>
      <c r="K32" s="133">
        <f>INDEX(TestSummary!$A$1:$BL$366,'J1634 Calcs'!$A32,'J1634 Calcs'!K$5)</f>
        <v>215.64891551608372</v>
      </c>
      <c r="L32" s="156"/>
      <c r="N32" s="134" t="s">
        <v>846</v>
      </c>
      <c r="O32" s="157">
        <f>TestSummary!AU61</f>
        <v>68019.200000000012</v>
      </c>
      <c r="P32" s="269">
        <f>$O$32</f>
        <v>68019.200000000012</v>
      </c>
      <c r="Q32" s="135" t="s">
        <v>16</v>
      </c>
      <c r="R32" s="136" t="s">
        <v>1</v>
      </c>
      <c r="S32" s="136" t="s">
        <v>392</v>
      </c>
      <c r="T32" s="137" t="s">
        <v>281</v>
      </c>
      <c r="U32" s="136" t="s">
        <v>282</v>
      </c>
      <c r="V32" s="137" t="s">
        <v>283</v>
      </c>
      <c r="W32" s="138" t="s">
        <v>947</v>
      </c>
      <c r="X32" s="139" t="s">
        <v>284</v>
      </c>
      <c r="Y32" s="138" t="s">
        <v>285</v>
      </c>
      <c r="Z32" s="140"/>
      <c r="AC32" s="1" t="s">
        <v>55</v>
      </c>
      <c r="AD32" s="153">
        <f t="shared" si="3"/>
        <v>0.6351783849290813</v>
      </c>
      <c r="AE32" s="153">
        <f t="shared" si="3"/>
        <v>0.38133138609294526</v>
      </c>
      <c r="AF32" s="153">
        <f t="shared" ref="AF32:AI34" si="4">AF8/$AG8-1</f>
        <v>0.30679944898124711</v>
      </c>
      <c r="AG32" s="153">
        <f t="shared" si="4"/>
        <v>0</v>
      </c>
      <c r="AH32" s="153">
        <f t="shared" si="4"/>
        <v>6.0030652295844034E-2</v>
      </c>
      <c r="AI32" s="153">
        <f t="shared" si="4"/>
        <v>1.7772008333045708E-2</v>
      </c>
      <c r="AO32" s="118"/>
    </row>
    <row r="33" spans="1:51" x14ac:dyDescent="0.25">
      <c r="A33" s="525">
        <f>A32+1</f>
        <v>42</v>
      </c>
      <c r="B33" s="361">
        <f>INDEX(TestSummary!$A$1:$BL$366,'J1634 Calcs'!$A33,'J1634 Calcs'!B$5)</f>
        <v>62007023</v>
      </c>
      <c r="C33" s="361" t="str">
        <f>INDEX(TestSummary!$A$1:$BL$366,'J1634 Calcs'!$A33,'J1634 Calcs'!C$5)</f>
        <v>HWY 1</v>
      </c>
      <c r="D33" s="346" t="str">
        <f>INDEX(TestSummary!$A$1:$BL$366,'J1634 Calcs'!$A33,'J1634 Calcs'!D$5)</f>
        <v>J1634 MCT, FWD (2WD) mode, using MAINTENANCE MODE, E-PEDAL ON, Robot Driver, UDDS-HWY-UDDS-US06</v>
      </c>
      <c r="E33" s="402">
        <f>INDEX(TestSummary!$A$1:$BL$366,'J1634 Calcs'!$A33,'J1634 Calcs'!E$5)</f>
        <v>0</v>
      </c>
      <c r="F33" s="402">
        <f>INDEX(TestSummary!$A$1:$BL$366,'J1634 Calcs'!$A33,'J1634 Calcs'!F$5)</f>
        <v>25.021509000000002</v>
      </c>
      <c r="G33" s="131">
        <f>INDEX(TestSummary!$A$1:$BL$366,'J1634 Calcs'!$A33,'J1634 Calcs'!G$5)</f>
        <v>222.04513333886877</v>
      </c>
      <c r="H33" s="131">
        <f>INDEX(TestSummary!$A$1:$BL$366,'J1634 Calcs'!$A33,'J1634 Calcs'!H$5)</f>
        <v>1224</v>
      </c>
      <c r="I33" s="131">
        <f>INDEX(TestSummary!$A$1:$BL$366,'J1634 Calcs'!$A33,'J1634 Calcs'!I$5)</f>
        <v>3499</v>
      </c>
      <c r="J33" s="132">
        <f>INDEX(TestSummary!$A$1:$BL$366,'J1634 Calcs'!$A33,'J1634 Calcs'!J$5)</f>
        <v>92.6</v>
      </c>
      <c r="K33" s="133">
        <f>INDEX(TestSummary!$A$1:$BL$366,'J1634 Calcs'!$A33,'J1634 Calcs'!K$5)</f>
        <v>222.04513333886877</v>
      </c>
      <c r="L33" s="156"/>
      <c r="N33" s="142" t="s">
        <v>286</v>
      </c>
      <c r="O33" s="143">
        <f>TestSummary!W60-TestSummary!V39</f>
        <v>59240</v>
      </c>
      <c r="P33" s="143">
        <f>$O$33</f>
        <v>59240</v>
      </c>
      <c r="Q33" s="135" t="s">
        <v>287</v>
      </c>
      <c r="R33" s="136" t="s">
        <v>57</v>
      </c>
      <c r="S33" s="136">
        <v>3</v>
      </c>
      <c r="T33" s="144"/>
      <c r="U33" s="144">
        <f>(I32-H32)/O33</f>
        <v>2.7025658338960163E-2</v>
      </c>
      <c r="V33" s="144">
        <f>(1-U33)/S33</f>
        <v>0.32432478055367991</v>
      </c>
      <c r="W33" s="145">
        <f>U33*K32+(V33*K34)+(V33*K37)+(V33*K39)</f>
        <v>184.14565020910837</v>
      </c>
      <c r="X33" s="145">
        <f>P33/W33</f>
        <v>321.70186986621434</v>
      </c>
      <c r="Y33" s="146">
        <f>W33/T36</f>
        <v>211.43551334745757</v>
      </c>
      <c r="Z33" s="140"/>
      <c r="AC33" s="1" t="s">
        <v>818</v>
      </c>
      <c r="AD33" s="153">
        <f t="shared" si="3"/>
        <v>1.540989633139886</v>
      </c>
      <c r="AE33" s="153">
        <f t="shared" si="3"/>
        <v>0.92781398476901833</v>
      </c>
      <c r="AF33" s="153">
        <f t="shared" si="4"/>
        <v>0.80599757072305311</v>
      </c>
      <c r="AG33" s="153">
        <f t="shared" si="4"/>
        <v>0</v>
      </c>
      <c r="AH33" s="153">
        <f t="shared" si="4"/>
        <v>0.33950745457974763</v>
      </c>
      <c r="AI33" s="153">
        <f t="shared" si="4"/>
        <v>0.13784153576674019</v>
      </c>
      <c r="AK33" s="105"/>
      <c r="AL33" s="105"/>
      <c r="AM33" s="105"/>
      <c r="AO33" s="118"/>
      <c r="AP33" s="141"/>
      <c r="AQ33" s="141"/>
      <c r="AR33" s="141"/>
    </row>
    <row r="34" spans="1:51" x14ac:dyDescent="0.25">
      <c r="A34" s="525">
        <f>A33+3</f>
        <v>45</v>
      </c>
      <c r="B34" s="361">
        <f>INDEX(TestSummary!$A$1:$BL$366,'J1634 Calcs'!$A34,'J1634 Calcs'!B$5)</f>
        <v>62007023</v>
      </c>
      <c r="C34" s="361" t="str">
        <f>INDEX(TestSummary!$A$1:$BL$366,'J1634 Calcs'!$A34,'J1634 Calcs'!C$5)</f>
        <v>UDDS 2, combined</v>
      </c>
      <c r="D34" s="346" t="str">
        <f>INDEX(TestSummary!$A$1:$BL$366,'J1634 Calcs'!$A34,'J1634 Calcs'!D$5)</f>
        <v>J1634 MCT, FWD (2WD) mode, using MAINTENANCE MODE, E-PEDAL ON, Robot Driver, UDDS-HWY-UDDS-US06</v>
      </c>
      <c r="E34" s="402">
        <f>INDEX(TestSummary!$A$1:$BL$366,'J1634 Calcs'!$A34,'J1634 Calcs'!E$5)</f>
        <v>0</v>
      </c>
      <c r="F34" s="402">
        <f>INDEX(TestSummary!$A$1:$BL$366,'J1634 Calcs'!$A34,'J1634 Calcs'!F$5)</f>
        <v>20.3349665</v>
      </c>
      <c r="G34" s="131">
        <f>INDEX(TestSummary!$A$1:$BL$366,'J1634 Calcs'!$A34,'J1634 Calcs'!G$5)</f>
        <v>186.92043361807578</v>
      </c>
      <c r="H34" s="131">
        <f>INDEX(TestSummary!$A$1:$BL$366,'J1634 Calcs'!$A34,'J1634 Calcs'!H$5)</f>
        <v>3504</v>
      </c>
      <c r="I34" s="131">
        <f>INDEX(TestSummary!$A$1:$BL$366,'J1634 Calcs'!$A34,'J1634 Calcs'!I$5)</f>
        <v>4892</v>
      </c>
      <c r="J34" s="132">
        <f>INDEX(TestSummary!$A$1:$BL$366,'J1634 Calcs'!$A34,'J1634 Calcs'!J$5)</f>
        <v>90.5</v>
      </c>
      <c r="K34" s="133">
        <f>INDEX(TestSummary!$A$1:$BL$366,'J1634 Calcs'!$A34,'J1634 Calcs'!K$5)</f>
        <v>186.92043361807578</v>
      </c>
      <c r="L34" s="156"/>
      <c r="N34" s="529"/>
      <c r="O34" s="528"/>
      <c r="P34" s="529"/>
      <c r="Q34" s="135" t="s">
        <v>287</v>
      </c>
      <c r="R34" s="136" t="s">
        <v>55</v>
      </c>
      <c r="S34" s="136">
        <v>2</v>
      </c>
      <c r="T34" s="144">
        <f>1/S34</f>
        <v>0.5</v>
      </c>
      <c r="U34" s="144"/>
      <c r="V34" s="144"/>
      <c r="W34" s="145">
        <f>T34*K33*2</f>
        <v>222.04513333886877</v>
      </c>
      <c r="X34" s="145">
        <f>P33/W34</f>
        <v>266.79260702189009</v>
      </c>
      <c r="Y34" s="146">
        <f>W34/T36</f>
        <v>254.95159239708281</v>
      </c>
      <c r="Z34" s="140"/>
      <c r="AC34" s="1" t="s">
        <v>210</v>
      </c>
      <c r="AD34" s="153">
        <f t="shared" si="3"/>
        <v>0.48974475063709821</v>
      </c>
      <c r="AE34" s="153">
        <f t="shared" si="3"/>
        <v>0.24541819687320165</v>
      </c>
      <c r="AF34" s="153">
        <f t="shared" si="4"/>
        <v>0.21031729420516965</v>
      </c>
      <c r="AG34" s="153">
        <f t="shared" si="4"/>
        <v>0</v>
      </c>
      <c r="AH34" s="153">
        <f t="shared" si="4"/>
        <v>3.4578521423382913E-2</v>
      </c>
      <c r="AI34" s="153">
        <f t="shared" si="4"/>
        <v>2.3397013182908655E-3</v>
      </c>
      <c r="AK34" s="105"/>
      <c r="AL34" s="105"/>
      <c r="AM34" s="105"/>
      <c r="AO34" s="118"/>
    </row>
    <row r="35" spans="1:51" x14ac:dyDescent="0.25">
      <c r="A35" s="525">
        <f>A34+3</f>
        <v>48</v>
      </c>
      <c r="B35" s="361">
        <f>INDEX(TestSummary!$A$1:$BL$366,'J1634 Calcs'!$A35,'J1634 Calcs'!B$5)</f>
        <v>62007023</v>
      </c>
      <c r="C35" s="361" t="str">
        <f>INDEX(TestSummary!$A$1:$BL$366,'J1634 Calcs'!$A35,'J1634 Calcs'!C$5)</f>
        <v>US06 1, combined</v>
      </c>
      <c r="D35" s="346" t="str">
        <f>INDEX(TestSummary!$A$1:$BL$366,'J1634 Calcs'!$A35,'J1634 Calcs'!D$5)</f>
        <v>J1634 MCT, FWD (2WD) mode, using MAINTENANCE MODE, E-PEDAL ON, Robot Driver, UDDS-HWY-UDDS-US06</v>
      </c>
      <c r="E35" s="402">
        <f>INDEX(TestSummary!$A$1:$BL$366,'J1634 Calcs'!$A35,'J1634 Calcs'!E$5)</f>
        <v>0</v>
      </c>
      <c r="F35" s="402">
        <f>INDEX(TestSummary!$A$1:$BL$366,'J1634 Calcs'!$A35,'J1634 Calcs'!F$5)</f>
        <v>25.146729999999998</v>
      </c>
      <c r="G35" s="131">
        <f>INDEX(TestSummary!$A$1:$BL$366,'J1634 Calcs'!$A35,'J1634 Calcs'!G$5)</f>
        <v>301.41035271617523</v>
      </c>
      <c r="H35" s="131">
        <f>INDEX(TestSummary!$A$1:$BL$366,'J1634 Calcs'!$A35,'J1634 Calcs'!H$5)</f>
        <v>4897</v>
      </c>
      <c r="I35" s="131">
        <f>INDEX(TestSummary!$A$1:$BL$366,'J1634 Calcs'!$A35,'J1634 Calcs'!I$5)</f>
        <v>7124</v>
      </c>
      <c r="J35" s="132">
        <f>INDEX(TestSummary!$A$1:$BL$366,'J1634 Calcs'!$A35,'J1634 Calcs'!J$5)</f>
        <v>87.1</v>
      </c>
      <c r="K35" s="133">
        <f>INDEX(TestSummary!$A$1:$BL$366,'J1634 Calcs'!$A35,'J1634 Calcs'!K$5)</f>
        <v>301.41035271617523</v>
      </c>
      <c r="L35" s="156"/>
      <c r="N35" s="142" t="s">
        <v>819</v>
      </c>
      <c r="O35" s="143">
        <f>TestSummary!W60-TestSummary!V39</f>
        <v>59240</v>
      </c>
      <c r="P35" s="143">
        <f>$O$35</f>
        <v>59240</v>
      </c>
      <c r="Q35" s="135" t="s">
        <v>287</v>
      </c>
      <c r="R35" s="136" t="s">
        <v>210</v>
      </c>
      <c r="S35" s="136">
        <v>2</v>
      </c>
      <c r="T35" s="144">
        <f>1/S35</f>
        <v>0.5</v>
      </c>
      <c r="U35" s="144"/>
      <c r="V35" s="144"/>
      <c r="W35" s="145">
        <f>T35*K35*2</f>
        <v>301.41035271617523</v>
      </c>
      <c r="X35" s="145">
        <f>P33/W35</f>
        <v>196.54268496803653</v>
      </c>
      <c r="Y35" s="146">
        <f>W35/T36</f>
        <v>346.07851221256027</v>
      </c>
      <c r="Z35" s="140"/>
      <c r="AD35" s="153"/>
      <c r="AE35" s="153"/>
      <c r="AF35" s="153"/>
      <c r="AG35" s="153"/>
      <c r="AH35" s="153"/>
      <c r="AI35" s="153"/>
      <c r="AK35" s="105"/>
      <c r="AL35" s="105"/>
      <c r="AM35" s="105"/>
      <c r="AO35" s="118"/>
    </row>
    <row r="36" spans="1:51" ht="15.75" thickBot="1" x14ac:dyDescent="0.3">
      <c r="A36" s="525">
        <f>A35+4</f>
        <v>52</v>
      </c>
      <c r="B36" s="361">
        <f>INDEX(TestSummary!$A$1:$BL$366,'J1634 Calcs'!$A36,'J1634 Calcs'!B$5)</f>
        <v>62007025</v>
      </c>
      <c r="C36" s="361" t="str">
        <f>INDEX(TestSummary!$A$1:$BL$366,'J1634 Calcs'!$A36,'J1634 Calcs'!C$5)</f>
        <v>US06 2, combined</v>
      </c>
      <c r="D36" s="346" t="str">
        <f>INDEX(TestSummary!$A$1:$BL$366,'J1634 Calcs'!$A36,'J1634 Calcs'!D$5)</f>
        <v>J1634 MCT, FWD (2WD) mode, using MAINTENANCE MODE, E-PEDAL ON, Robot Driver, US06-UDDS-HWY-UDDS</v>
      </c>
      <c r="E36" s="402">
        <f>INDEX(TestSummary!$A$1:$BL$366,'J1634 Calcs'!$A36,'J1634 Calcs'!E$5)</f>
        <v>0</v>
      </c>
      <c r="F36" s="402">
        <f>INDEX(TestSummary!$A$1:$BL$366,'J1634 Calcs'!$A36,'J1634 Calcs'!F$5)</f>
        <v>24.259021000000001</v>
      </c>
      <c r="G36" s="131">
        <f>INDEX(TestSummary!$A$1:$BL$366,'J1634 Calcs'!$A36,'J1634 Calcs'!G$5)</f>
        <v>296.12242842644901</v>
      </c>
      <c r="H36" s="131">
        <f>INDEX(TestSummary!$A$1:$BL$366,'J1634 Calcs'!$A36,'J1634 Calcs'!H$5)</f>
        <v>46583</v>
      </c>
      <c r="I36" s="131">
        <f>INDEX(TestSummary!$A$1:$BL$366,'J1634 Calcs'!$A36,'J1634 Calcs'!I$5)</f>
        <v>48776</v>
      </c>
      <c r="J36" s="132">
        <f>INDEX(TestSummary!$A$1:$BL$366,'J1634 Calcs'!$A36,'J1634 Calcs'!J$5)</f>
        <v>18.399999999999999</v>
      </c>
      <c r="K36" s="133">
        <f>INDEX(TestSummary!$A$1:$BL$366,'J1634 Calcs'!$A36,'J1634 Calcs'!K$5)</f>
        <v>296.12242842644901</v>
      </c>
      <c r="L36" s="156"/>
      <c r="Q36" s="147" t="s">
        <v>287</v>
      </c>
      <c r="R36" s="148" t="s">
        <v>290</v>
      </c>
      <c r="S36" s="148"/>
      <c r="T36" s="278">
        <f>O33/O32</f>
        <v>0.87093056078283759</v>
      </c>
      <c r="U36" s="149"/>
      <c r="V36" s="149"/>
      <c r="W36" s="150" t="s">
        <v>274</v>
      </c>
      <c r="X36" s="150" t="s">
        <v>291</v>
      </c>
      <c r="Y36" s="151" t="s">
        <v>289</v>
      </c>
      <c r="Z36" s="152"/>
      <c r="AC36" s="531" t="s">
        <v>292</v>
      </c>
      <c r="AD36" s="39"/>
      <c r="AE36" s="39"/>
      <c r="AF36" s="39"/>
      <c r="AG36" s="39"/>
      <c r="AH36" s="39"/>
    </row>
    <row r="37" spans="1:51" x14ac:dyDescent="0.25">
      <c r="A37" s="525">
        <f>A36+3</f>
        <v>55</v>
      </c>
      <c r="B37" s="361">
        <f>INDEX(TestSummary!$A$1:$BL$366,'J1634 Calcs'!$A37,'J1634 Calcs'!B$5)</f>
        <v>62007025</v>
      </c>
      <c r="C37" s="361" t="str">
        <f>INDEX(TestSummary!$A$1:$BL$366,'J1634 Calcs'!$A37,'J1634 Calcs'!C$5)</f>
        <v>UDDS 3, combined</v>
      </c>
      <c r="D37" s="346" t="str">
        <f>INDEX(TestSummary!$A$1:$BL$366,'J1634 Calcs'!$A37,'J1634 Calcs'!D$5)</f>
        <v>J1634 MCT, FWD (2WD) mode, using MAINTENANCE MODE, E-PEDAL ON, Robot Driver, US06-UDDS-HWY-UDDS</v>
      </c>
      <c r="E37" s="402">
        <f>INDEX(TestSummary!$A$1:$BL$366,'J1634 Calcs'!$A37,'J1634 Calcs'!E$5)</f>
        <v>0</v>
      </c>
      <c r="F37" s="402">
        <f>INDEX(TestSummary!$A$1:$BL$366,'J1634 Calcs'!$A37,'J1634 Calcs'!F$5)</f>
        <v>20.935992499999998</v>
      </c>
      <c r="G37" s="131">
        <f>INDEX(TestSummary!$A$1:$BL$366,'J1634 Calcs'!$A37,'J1634 Calcs'!G$5)</f>
        <v>181.70035662459648</v>
      </c>
      <c r="H37" s="131">
        <f>INDEX(TestSummary!$A$1:$BL$366,'J1634 Calcs'!$A37,'J1634 Calcs'!H$5)</f>
        <v>48956</v>
      </c>
      <c r="I37" s="131">
        <f>INDEX(TestSummary!$A$1:$BL$366,'J1634 Calcs'!$A37,'J1634 Calcs'!I$5)</f>
        <v>50305</v>
      </c>
      <c r="J37" s="132">
        <f>INDEX(TestSummary!$A$1:$BL$366,'J1634 Calcs'!$A37,'J1634 Calcs'!J$5)</f>
        <v>15.7</v>
      </c>
      <c r="K37" s="133">
        <f>INDEX(TestSummary!$A$1:$BL$366,'J1634 Calcs'!$A37,'J1634 Calcs'!K$5)</f>
        <v>181.70035662459648</v>
      </c>
      <c r="L37" s="156"/>
      <c r="AC37" s="1" t="s">
        <v>57</v>
      </c>
      <c r="AD37" s="105">
        <f>X11</f>
        <v>125.37934010086205</v>
      </c>
      <c r="AE37" s="105">
        <f>X18</f>
        <v>164.39210073882853</v>
      </c>
      <c r="AF37" s="105">
        <f>X26</f>
        <v>177.10435600091202</v>
      </c>
      <c r="AG37" s="105">
        <f>X33</f>
        <v>321.70186986621434</v>
      </c>
      <c r="AH37" s="105">
        <f>X55</f>
        <v>237.36188162410329</v>
      </c>
      <c r="AI37" s="105">
        <f>X63</f>
        <v>280.26848592850246</v>
      </c>
      <c r="AK37" s="153">
        <f>(AK54-AK53)/AK53</f>
        <v>-0.10964146636229366</v>
      </c>
      <c r="AO37" s="153">
        <f>(AO54-AO53)/AO53</f>
        <v>-6.2084257206208429E-2</v>
      </c>
      <c r="AP37" s="141"/>
      <c r="AS37" s="153">
        <f>(AS54-AS53)/AS53</f>
        <v>3</v>
      </c>
      <c r="AW37" s="153">
        <f>(AW54-AW53)/AW53</f>
        <v>2.315252074026803</v>
      </c>
    </row>
    <row r="38" spans="1:51" x14ac:dyDescent="0.25">
      <c r="A38" s="525">
        <f>A37+1</f>
        <v>56</v>
      </c>
      <c r="B38" s="361">
        <f>INDEX(TestSummary!$A$1:$BL$366,'J1634 Calcs'!$A38,'J1634 Calcs'!B$5)</f>
        <v>62007025</v>
      </c>
      <c r="C38" s="361" t="str">
        <f>INDEX(TestSummary!$A$1:$BL$366,'J1634 Calcs'!$A38,'J1634 Calcs'!C$5)</f>
        <v>HWY</v>
      </c>
      <c r="D38" s="346" t="str">
        <f>INDEX(TestSummary!$A$1:$BL$366,'J1634 Calcs'!$A38,'J1634 Calcs'!D$5)</f>
        <v>J1634 MCT, FWD (2WD) mode, using MAINTENANCE MODE, E-PEDAL ON, Robot Driver, US06-UDDS-HWY-UDDS</v>
      </c>
      <c r="E38" s="402">
        <f>INDEX(TestSummary!$A$1:$BL$366,'J1634 Calcs'!$A38,'J1634 Calcs'!E$5)</f>
        <v>0</v>
      </c>
      <c r="F38" s="402">
        <f>INDEX(TestSummary!$A$1:$BL$366,'J1634 Calcs'!$A38,'J1634 Calcs'!F$5)</f>
        <v>25.654754000000001</v>
      </c>
      <c r="G38" s="131">
        <f>INDEX(TestSummary!$A$1:$BL$366,'J1634 Calcs'!$A38,'J1634 Calcs'!G$5)</f>
        <v>214.8255250820435</v>
      </c>
      <c r="H38" s="131">
        <f>INDEX(TestSummary!$A$1:$BL$366,'J1634 Calcs'!$A38,'J1634 Calcs'!H$5)</f>
        <v>50305</v>
      </c>
      <c r="I38" s="131">
        <f>INDEX(TestSummary!$A$1:$BL$366,'J1634 Calcs'!$A38,'J1634 Calcs'!I$5)</f>
        <v>52506</v>
      </c>
      <c r="J38" s="132">
        <f>INDEX(TestSummary!$A$1:$BL$366,'J1634 Calcs'!$A38,'J1634 Calcs'!J$5)</f>
        <v>11.8</v>
      </c>
      <c r="K38" s="133">
        <f>INDEX(TestSummary!$A$1:$BL$366,'J1634 Calcs'!$A38,'J1634 Calcs'!K$5)</f>
        <v>214.8255250820435</v>
      </c>
      <c r="L38" s="156"/>
      <c r="AC38" s="1" t="s">
        <v>55</v>
      </c>
      <c r="AD38" s="105">
        <f>X12</f>
        <v>164.97209390875634</v>
      </c>
      <c r="AE38" s="105">
        <f>X19</f>
        <v>195.28898336198213</v>
      </c>
      <c r="AF38" s="105">
        <f>X27</f>
        <v>206.42708587487323</v>
      </c>
      <c r="AG38" s="105">
        <f>X34</f>
        <v>266.79260702189009</v>
      </c>
      <c r="AH38" s="105">
        <f>X56</f>
        <v>254.48207699639414</v>
      </c>
      <c r="AI38" s="105">
        <f>X64</f>
        <v>265.04836040628823</v>
      </c>
    </row>
    <row r="39" spans="1:51" x14ac:dyDescent="0.25">
      <c r="A39" s="525">
        <f>A38+3</f>
        <v>59</v>
      </c>
      <c r="B39" s="361">
        <f>INDEX(TestSummary!$A$1:$BL$366,'J1634 Calcs'!$A39,'J1634 Calcs'!B$5)</f>
        <v>62007025</v>
      </c>
      <c r="C39" s="361" t="str">
        <f>INDEX(TestSummary!$A$1:$BL$366,'J1634 Calcs'!$A39,'J1634 Calcs'!C$5)</f>
        <v>UDDS 4, combined</v>
      </c>
      <c r="D39" s="346" t="str">
        <f>INDEX(TestSummary!$A$1:$BL$366,'J1634 Calcs'!$A39,'J1634 Calcs'!D$5)</f>
        <v>J1634 MCT, FWD (2WD) mode, using MAINTENANCE MODE, E-PEDAL ON, Robot Driver, US06-UDDS-HWY-UDDS</v>
      </c>
      <c r="E39" s="402">
        <f>INDEX(TestSummary!$A$1:$BL$366,'J1634 Calcs'!$A39,'J1634 Calcs'!E$5)</f>
        <v>0</v>
      </c>
      <c r="F39" s="402">
        <f>INDEX(TestSummary!$A$1:$BL$366,'J1634 Calcs'!$A39,'J1634 Calcs'!F$5)</f>
        <v>20.149991</v>
      </c>
      <c r="G39" s="131">
        <f>INDEX(TestSummary!$A$1:$BL$366,'J1634 Calcs'!$A39,'J1634 Calcs'!G$5)</f>
        <v>181.1910249161437</v>
      </c>
      <c r="H39" s="131">
        <f>INDEX(TestSummary!$A$1:$BL$366,'J1634 Calcs'!$A39,'J1634 Calcs'!H$5)</f>
        <v>52513</v>
      </c>
      <c r="I39" s="131">
        <f>INDEX(TestSummary!$A$1:$BL$366,'J1634 Calcs'!$A39,'J1634 Calcs'!I$5)</f>
        <v>53859</v>
      </c>
      <c r="J39" s="132">
        <f>INDEX(TestSummary!$A$1:$BL$366,'J1634 Calcs'!$A39,'J1634 Calcs'!J$5)</f>
        <v>9.4</v>
      </c>
      <c r="K39" s="133">
        <f>INDEX(TestSummary!$A$1:$BL$366,'J1634 Calcs'!$A39,'J1634 Calcs'!K$5)</f>
        <v>181.1910249161437</v>
      </c>
      <c r="L39" s="156"/>
      <c r="AC39" s="1" t="s">
        <v>210</v>
      </c>
      <c r="AD39" s="105">
        <f>X13</f>
        <v>131.93044303997976</v>
      </c>
      <c r="AE39" s="105">
        <f>X20</f>
        <v>157.81260098935817</v>
      </c>
      <c r="AF39" s="105">
        <f>X28</f>
        <v>162.38938822824019</v>
      </c>
      <c r="AG39" s="105">
        <f>X35</f>
        <v>196.54268496803653</v>
      </c>
      <c r="AH39" s="105">
        <f>X57</f>
        <v>189.97367613782589</v>
      </c>
      <c r="AI39" s="105">
        <f>X65</f>
        <v>196.08390719188407</v>
      </c>
    </row>
    <row r="40" spans="1:51" ht="15.75" thickBot="1" x14ac:dyDescent="0.3">
      <c r="AK40" s="637" t="s">
        <v>820</v>
      </c>
      <c r="AL40" s="637"/>
      <c r="AM40" s="637"/>
      <c r="AO40" s="637" t="s">
        <v>821</v>
      </c>
      <c r="AP40" s="637"/>
      <c r="AQ40" s="637"/>
      <c r="AS40" s="637" t="s">
        <v>822</v>
      </c>
      <c r="AT40" s="637"/>
      <c r="AU40" s="637"/>
      <c r="AW40" s="637" t="s">
        <v>823</v>
      </c>
      <c r="AX40" s="637"/>
      <c r="AY40" s="637"/>
    </row>
    <row r="41" spans="1:51" ht="16.5" thickBot="1" x14ac:dyDescent="0.3">
      <c r="B41" s="86" t="s">
        <v>848</v>
      </c>
      <c r="C41" s="126"/>
      <c r="D41" s="126"/>
      <c r="E41" s="116"/>
      <c r="F41" s="116"/>
      <c r="G41" s="126"/>
      <c r="H41" s="126"/>
      <c r="I41" s="126"/>
      <c r="J41" s="126"/>
      <c r="K41" s="126"/>
      <c r="L41" s="585"/>
      <c r="N41" s="127" t="s">
        <v>278</v>
      </c>
      <c r="O41" s="513" t="s">
        <v>293</v>
      </c>
      <c r="P41" s="411" t="s">
        <v>294</v>
      </c>
      <c r="Q41" s="128" t="s">
        <v>279</v>
      </c>
      <c r="R41" s="129"/>
      <c r="S41" s="129"/>
      <c r="T41" s="129"/>
      <c r="U41" s="129"/>
      <c r="V41" s="129"/>
      <c r="W41" s="129"/>
      <c r="X41" s="129"/>
      <c r="Y41" s="129"/>
      <c r="Z41" s="130"/>
      <c r="AC41" s="1" t="s">
        <v>842</v>
      </c>
      <c r="AD41" s="411">
        <v>79218.399999999994</v>
      </c>
      <c r="AE41" s="411">
        <v>89577</v>
      </c>
      <c r="AF41" s="524">
        <f>AD41/AE41</f>
        <v>0.88436094086651706</v>
      </c>
    </row>
    <row r="42" spans="1:51" x14ac:dyDescent="0.25">
      <c r="A42" s="525">
        <v>65</v>
      </c>
      <c r="B42" s="361">
        <f>INDEX(TestSummary!$A$1:$BL$366,'J1634 Calcs'!$A42,'J1634 Calcs'!B$5)</f>
        <v>62008001</v>
      </c>
      <c r="C42" s="361" t="str">
        <f>INDEX(TestSummary!$A$1:$BL$366,'J1634 Calcs'!$A42,'J1634 Calcs'!C$5)</f>
        <v>UDDS 1 , Combined</v>
      </c>
      <c r="D42" s="346" t="str">
        <f>INDEX(TestSummary!$A$1:$BL$366,'J1634 Calcs'!$A42,'J1634 Calcs'!D$5)</f>
        <v>J1634 MCT, Repeat #1, using Maintenance Mode, E-Pedal ON, UDDS-HWY-UDDS-US06</v>
      </c>
      <c r="E42" s="402">
        <f>INDEX(TestSummary!$A$1:$BL$366,'J1634 Calcs'!$A42,'J1634 Calcs'!E$5)</f>
        <v>0</v>
      </c>
      <c r="F42" s="402">
        <f>INDEX(TestSummary!$A$1:$BL$366,'J1634 Calcs'!$A42,'J1634 Calcs'!F$5)</f>
        <v>21.840674</v>
      </c>
      <c r="G42" s="131">
        <f>INDEX(TestSummary!$A$1:$BL$366,'J1634 Calcs'!$A42,'J1634 Calcs'!G$5)</f>
        <v>209.4282460330657</v>
      </c>
      <c r="H42" s="131">
        <f>INDEX(TestSummary!$A$1:$BL$366,'J1634 Calcs'!$A42,'J1634 Calcs'!H$5)</f>
        <v>12</v>
      </c>
      <c r="I42" s="131">
        <f>INDEX(TestSummary!$A$1:$BL$366,'J1634 Calcs'!$A42,'J1634 Calcs'!I$5)</f>
        <v>1567</v>
      </c>
      <c r="J42" s="132">
        <f>INDEX(TestSummary!$A$1:$BL$366,'J1634 Calcs'!$A42,'J1634 Calcs'!J$5)</f>
        <v>95.3</v>
      </c>
      <c r="K42" s="133">
        <f>INDEX(TestSummary!$A$1:$BL$366,'J1634 Calcs'!$A42,'J1634 Calcs'!K$5)</f>
        <v>209.4282460330657</v>
      </c>
      <c r="L42" s="156"/>
      <c r="N42" s="134" t="s">
        <v>846</v>
      </c>
      <c r="O42" s="157">
        <f>TestSummary!AU85</f>
        <v>67998.200000000012</v>
      </c>
      <c r="P42" s="269">
        <f>$O$32</f>
        <v>68019.200000000012</v>
      </c>
      <c r="Q42" s="135" t="s">
        <v>16</v>
      </c>
      <c r="R42" s="136" t="s">
        <v>1</v>
      </c>
      <c r="S42" s="136" t="s">
        <v>392</v>
      </c>
      <c r="T42" s="137" t="s">
        <v>281</v>
      </c>
      <c r="U42" s="136" t="s">
        <v>282</v>
      </c>
      <c r="V42" s="137" t="s">
        <v>283</v>
      </c>
      <c r="W42" s="138" t="s">
        <v>947</v>
      </c>
      <c r="X42" s="139" t="s">
        <v>284</v>
      </c>
      <c r="Y42" s="138" t="s">
        <v>285</v>
      </c>
      <c r="Z42" s="140"/>
      <c r="AC42" s="1" t="s">
        <v>843</v>
      </c>
      <c r="AD42" s="411">
        <v>79764.800000000003</v>
      </c>
      <c r="AE42" s="411">
        <v>89907</v>
      </c>
      <c r="AF42" s="524">
        <f>AD42/AE42</f>
        <v>0.88719232095387457</v>
      </c>
    </row>
    <row r="43" spans="1:51" x14ac:dyDescent="0.25">
      <c r="A43" s="525">
        <f>A42+1</f>
        <v>66</v>
      </c>
      <c r="B43" s="361">
        <f>INDEX(TestSummary!$A$1:$BL$366,'J1634 Calcs'!$A43,'J1634 Calcs'!B$5)</f>
        <v>62008001</v>
      </c>
      <c r="C43" s="361" t="str">
        <f>INDEX(TestSummary!$A$1:$BL$366,'J1634 Calcs'!$A43,'J1634 Calcs'!C$5)</f>
        <v>HWY 1</v>
      </c>
      <c r="D43" s="346" t="str">
        <f>INDEX(TestSummary!$A$1:$BL$366,'J1634 Calcs'!$A43,'J1634 Calcs'!D$5)</f>
        <v>J1634 MCT, Repeat #1, using Maintenance Mode, E-Pedal ON, UDDS-HWY-UDDS-US06</v>
      </c>
      <c r="E43" s="402">
        <f>INDEX(TestSummary!$A$1:$BL$366,'J1634 Calcs'!$A43,'J1634 Calcs'!E$5)</f>
        <v>0</v>
      </c>
      <c r="F43" s="402">
        <f>INDEX(TestSummary!$A$1:$BL$366,'J1634 Calcs'!$A43,'J1634 Calcs'!F$5)</f>
        <v>25.001605000000001</v>
      </c>
      <c r="G43" s="131">
        <f>INDEX(TestSummary!$A$1:$BL$366,'J1634 Calcs'!$A43,'J1634 Calcs'!G$5)</f>
        <v>219.60358492135728</v>
      </c>
      <c r="H43" s="131">
        <f>INDEX(TestSummary!$A$1:$BL$366,'J1634 Calcs'!$A43,'J1634 Calcs'!H$5)</f>
        <v>1568</v>
      </c>
      <c r="I43" s="131">
        <f>INDEX(TestSummary!$A$1:$BL$366,'J1634 Calcs'!$A43,'J1634 Calcs'!I$5)</f>
        <v>3818</v>
      </c>
      <c r="J43" s="132">
        <f>INDEX(TestSummary!$A$1:$BL$366,'J1634 Calcs'!$A43,'J1634 Calcs'!J$5)</f>
        <v>92</v>
      </c>
      <c r="K43" s="133">
        <f>INDEX(TestSummary!$A$1:$BL$366,'J1634 Calcs'!$A43,'J1634 Calcs'!K$5)</f>
        <v>219.60358492135728</v>
      </c>
      <c r="L43" s="156"/>
      <c r="N43" s="142" t="s">
        <v>286</v>
      </c>
      <c r="O43" s="143">
        <f>TestSummary!W84-TestSummary!V63</f>
        <v>58737</v>
      </c>
      <c r="P43" s="143">
        <f>$O$33</f>
        <v>59240</v>
      </c>
      <c r="Q43" s="135" t="s">
        <v>287</v>
      </c>
      <c r="R43" s="136" t="s">
        <v>57</v>
      </c>
      <c r="S43" s="136">
        <v>3</v>
      </c>
      <c r="T43" s="144"/>
      <c r="U43" s="144">
        <f>(I42-H42)/O43</f>
        <v>2.6473943170403663E-2</v>
      </c>
      <c r="V43" s="144">
        <f>(1-U43)/S43</f>
        <v>0.32450868560986545</v>
      </c>
      <c r="W43" s="145">
        <f>U43*K42+(V43*K44)+(V43*K47)+(V43*K49)</f>
        <v>182.53493932044316</v>
      </c>
      <c r="X43" s="145">
        <f>P43/W43</f>
        <v>324.54060696841816</v>
      </c>
      <c r="Y43" s="146">
        <f>W43/T46</f>
        <v>211.31564960585933</v>
      </c>
      <c r="Z43" s="140"/>
    </row>
    <row r="44" spans="1:51" x14ac:dyDescent="0.25">
      <c r="A44" s="525">
        <f>A43+3</f>
        <v>69</v>
      </c>
      <c r="B44" s="361">
        <f>INDEX(TestSummary!$A$1:$BL$366,'J1634 Calcs'!$A44,'J1634 Calcs'!B$5)</f>
        <v>62008001</v>
      </c>
      <c r="C44" s="361" t="str">
        <f>INDEX(TestSummary!$A$1:$BL$366,'J1634 Calcs'!$A44,'J1634 Calcs'!C$5)</f>
        <v>UDDS 2, combined</v>
      </c>
      <c r="D44" s="346" t="str">
        <f>INDEX(TestSummary!$A$1:$BL$366,'J1634 Calcs'!$A44,'J1634 Calcs'!D$5)</f>
        <v>J1634 MCT, Repeat #1, using Maintenance Mode, E-Pedal ON, UDDS-HWY-UDDS-US06</v>
      </c>
      <c r="E44" s="402">
        <f>INDEX(TestSummary!$A$1:$BL$366,'J1634 Calcs'!$A44,'J1634 Calcs'!E$5)</f>
        <v>0</v>
      </c>
      <c r="F44" s="402">
        <f>INDEX(TestSummary!$A$1:$BL$366,'J1634 Calcs'!$A44,'J1634 Calcs'!F$5)</f>
        <v>20.207065999999998</v>
      </c>
      <c r="G44" s="131">
        <f>INDEX(TestSummary!$A$1:$BL$366,'J1634 Calcs'!$A44,'J1634 Calcs'!G$5)</f>
        <v>184.48504647904815</v>
      </c>
      <c r="H44" s="131">
        <f>INDEX(TestSummary!$A$1:$BL$366,'J1634 Calcs'!$A44,'J1634 Calcs'!H$5)</f>
        <v>3825</v>
      </c>
      <c r="I44" s="131">
        <f>INDEX(TestSummary!$A$1:$BL$366,'J1634 Calcs'!$A44,'J1634 Calcs'!I$5)</f>
        <v>5195</v>
      </c>
      <c r="J44" s="132">
        <f>INDEX(TestSummary!$A$1:$BL$366,'J1634 Calcs'!$A44,'J1634 Calcs'!J$5)</f>
        <v>89.9</v>
      </c>
      <c r="K44" s="133">
        <f>INDEX(TestSummary!$A$1:$BL$366,'J1634 Calcs'!$A44,'J1634 Calcs'!K$5)</f>
        <v>184.48504647904815</v>
      </c>
      <c r="L44" s="156"/>
      <c r="Q44" s="135" t="s">
        <v>287</v>
      </c>
      <c r="R44" s="136" t="s">
        <v>55</v>
      </c>
      <c r="S44" s="136">
        <v>2</v>
      </c>
      <c r="T44" s="144">
        <f>1/S44</f>
        <v>0.5</v>
      </c>
      <c r="U44" s="144"/>
      <c r="V44" s="144"/>
      <c r="W44" s="145">
        <f>T44*K43*2</f>
        <v>219.60358492135728</v>
      </c>
      <c r="X44" s="145">
        <f>P43/W44</f>
        <v>269.7588020760889</v>
      </c>
      <c r="Y44" s="146">
        <f>W44/T46</f>
        <v>254.22899515125798</v>
      </c>
      <c r="Z44" s="140"/>
    </row>
    <row r="45" spans="1:51" x14ac:dyDescent="0.25">
      <c r="A45" s="525">
        <f>A44+3</f>
        <v>72</v>
      </c>
      <c r="B45" s="361">
        <f>INDEX(TestSummary!$A$1:$BL$366,'J1634 Calcs'!$A45,'J1634 Calcs'!B$5)</f>
        <v>62008001</v>
      </c>
      <c r="C45" s="361" t="str">
        <f>INDEX(TestSummary!$A$1:$BL$366,'J1634 Calcs'!$A45,'J1634 Calcs'!C$5)</f>
        <v>US06 1, combined</v>
      </c>
      <c r="D45" s="346" t="str">
        <f>INDEX(TestSummary!$A$1:$BL$366,'J1634 Calcs'!$A45,'J1634 Calcs'!D$5)</f>
        <v>J1634 MCT, Repeat #1, using Maintenance Mode, E-Pedal ON, UDDS-HWY-UDDS-US06</v>
      </c>
      <c r="E45" s="402">
        <f>INDEX(TestSummary!$A$1:$BL$366,'J1634 Calcs'!$A45,'J1634 Calcs'!E$5)</f>
        <v>0</v>
      </c>
      <c r="F45" s="402">
        <f>INDEX(TestSummary!$A$1:$BL$366,'J1634 Calcs'!$A45,'J1634 Calcs'!F$5)</f>
        <v>25.043946999999999</v>
      </c>
      <c r="G45" s="131">
        <f>INDEX(TestSummary!$A$1:$BL$366,'J1634 Calcs'!$A45,'J1634 Calcs'!G$5)</f>
        <v>299.87599770946281</v>
      </c>
      <c r="H45" s="131">
        <f>INDEX(TestSummary!$A$1:$BL$366,'J1634 Calcs'!$A45,'J1634 Calcs'!H$5)</f>
        <v>5199</v>
      </c>
      <c r="I45" s="131">
        <f>INDEX(TestSummary!$A$1:$BL$366,'J1634 Calcs'!$A45,'J1634 Calcs'!I$5)</f>
        <v>7415</v>
      </c>
      <c r="J45" s="132">
        <f>INDEX(TestSummary!$A$1:$BL$366,'J1634 Calcs'!$A45,'J1634 Calcs'!J$5)</f>
        <v>86.5</v>
      </c>
      <c r="K45" s="133">
        <f>INDEX(TestSummary!$A$1:$BL$366,'J1634 Calcs'!$A45,'J1634 Calcs'!K$5)</f>
        <v>299.87599770946281</v>
      </c>
      <c r="L45" s="156"/>
      <c r="N45" s="142" t="s">
        <v>819</v>
      </c>
      <c r="O45" s="143">
        <f>TestSummary!W346</f>
        <v>0</v>
      </c>
      <c r="P45" s="143">
        <f>$O$33</f>
        <v>59240</v>
      </c>
      <c r="Q45" s="135" t="s">
        <v>287</v>
      </c>
      <c r="R45" s="136" t="s">
        <v>210</v>
      </c>
      <c r="S45" s="136">
        <v>2</v>
      </c>
      <c r="T45" s="144">
        <f>1/S45</f>
        <v>0.5</v>
      </c>
      <c r="U45" s="144"/>
      <c r="V45" s="144"/>
      <c r="W45" s="145">
        <f>T45*K45*2</f>
        <v>299.87599770946281</v>
      </c>
      <c r="X45" s="145">
        <f>P43/W45</f>
        <v>197.54832148118481</v>
      </c>
      <c r="Y45" s="146">
        <f>W45/T46</f>
        <v>347.15814678052328</v>
      </c>
      <c r="Z45" s="140"/>
    </row>
    <row r="46" spans="1:51" ht="15.75" thickBot="1" x14ac:dyDescent="0.3">
      <c r="A46" s="525">
        <f>A45+4</f>
        <v>76</v>
      </c>
      <c r="B46" s="361">
        <f>INDEX(TestSummary!$A$1:$BL$366,'J1634 Calcs'!$A46,'J1634 Calcs'!B$5)</f>
        <v>62008003</v>
      </c>
      <c r="C46" s="361" t="str">
        <f>INDEX(TestSummary!$A$1:$BL$366,'J1634 Calcs'!$A46,'J1634 Calcs'!C$5)</f>
        <v>US06 2, combined</v>
      </c>
      <c r="D46" s="346" t="str">
        <f>INDEX(TestSummary!$A$1:$BL$366,'J1634 Calcs'!$A46,'J1634 Calcs'!D$5)</f>
        <v>J1634 MCT, Repeat #1, using Maintenance Mode, E-Pedal ON, 65 MPH Middel Deplete</v>
      </c>
      <c r="E46" s="402">
        <f>INDEX(TestSummary!$A$1:$BL$366,'J1634 Calcs'!$A46,'J1634 Calcs'!E$5)</f>
        <v>0</v>
      </c>
      <c r="F46" s="402">
        <f>INDEX(TestSummary!$A$1:$BL$366,'J1634 Calcs'!$A46,'J1634 Calcs'!F$5)</f>
        <v>23.968371000000001</v>
      </c>
      <c r="G46" s="131">
        <f>INDEX(TestSummary!$A$1:$BL$366,'J1634 Calcs'!$A46,'J1634 Calcs'!G$5)</f>
        <v>295.96320819564403</v>
      </c>
      <c r="H46" s="131">
        <f>INDEX(TestSummary!$A$1:$BL$366,'J1634 Calcs'!$A46,'J1634 Calcs'!H$5)</f>
        <v>46638</v>
      </c>
      <c r="I46" s="131">
        <f>INDEX(TestSummary!$A$1:$BL$366,'J1634 Calcs'!$A46,'J1634 Calcs'!I$5)</f>
        <v>48832</v>
      </c>
      <c r="J46" s="132">
        <f>INDEX(TestSummary!$A$1:$BL$366,'J1634 Calcs'!$A46,'J1634 Calcs'!J$5)</f>
        <v>18.100000000000001</v>
      </c>
      <c r="K46" s="133">
        <f>INDEX(TestSummary!$A$1:$BL$366,'J1634 Calcs'!$A46,'J1634 Calcs'!K$5)</f>
        <v>295.96320819564403</v>
      </c>
      <c r="L46" s="156"/>
      <c r="Q46" s="147" t="s">
        <v>287</v>
      </c>
      <c r="R46" s="148" t="s">
        <v>290</v>
      </c>
      <c r="S46" s="148"/>
      <c r="T46" s="278">
        <f>O43/O42</f>
        <v>0.86380227711910007</v>
      </c>
      <c r="U46" s="149"/>
      <c r="V46" s="149"/>
      <c r="W46" s="150" t="s">
        <v>274</v>
      </c>
      <c r="X46" s="150" t="s">
        <v>291</v>
      </c>
      <c r="Y46" s="151" t="s">
        <v>289</v>
      </c>
      <c r="Z46" s="152"/>
    </row>
    <row r="47" spans="1:51" x14ac:dyDescent="0.25">
      <c r="A47" s="525">
        <f>A46+3</f>
        <v>79</v>
      </c>
      <c r="B47" s="361">
        <f>INDEX(TestSummary!$A$1:$BL$366,'J1634 Calcs'!$A47,'J1634 Calcs'!B$5)</f>
        <v>62008003</v>
      </c>
      <c r="C47" s="361" t="str">
        <f>INDEX(TestSummary!$A$1:$BL$366,'J1634 Calcs'!$A47,'J1634 Calcs'!C$5)</f>
        <v>UDDS 3, combined</v>
      </c>
      <c r="D47" s="346" t="str">
        <f>INDEX(TestSummary!$A$1:$BL$366,'J1634 Calcs'!$A47,'J1634 Calcs'!D$5)</f>
        <v>J1634 MCT, Repeat #1, using Maintenance Mode, E-Pedal ON, 65 MPH Middel Deplete</v>
      </c>
      <c r="E47" s="402">
        <f>INDEX(TestSummary!$A$1:$BL$366,'J1634 Calcs'!$A47,'J1634 Calcs'!E$5)</f>
        <v>0</v>
      </c>
      <c r="F47" s="402">
        <f>INDEX(TestSummary!$A$1:$BL$366,'J1634 Calcs'!$A47,'J1634 Calcs'!F$5)</f>
        <v>20.967715500000001</v>
      </c>
      <c r="G47" s="131">
        <f>INDEX(TestSummary!$A$1:$BL$366,'J1634 Calcs'!$A47,'J1634 Calcs'!G$5)</f>
        <v>180.7328469141745</v>
      </c>
      <c r="H47" s="131">
        <f>INDEX(TestSummary!$A$1:$BL$366,'J1634 Calcs'!$A47,'J1634 Calcs'!H$5)</f>
        <v>49010</v>
      </c>
      <c r="I47" s="131">
        <f>INDEX(TestSummary!$A$1:$BL$366,'J1634 Calcs'!$A47,'J1634 Calcs'!I$5)</f>
        <v>50352</v>
      </c>
      <c r="J47" s="132">
        <f>INDEX(TestSummary!$A$1:$BL$366,'J1634 Calcs'!$A47,'J1634 Calcs'!J$5)</f>
        <v>15.3</v>
      </c>
      <c r="K47" s="133">
        <f>INDEX(TestSummary!$A$1:$BL$366,'J1634 Calcs'!$A47,'J1634 Calcs'!K$5)</f>
        <v>180.7328469141745</v>
      </c>
      <c r="L47" s="156"/>
    </row>
    <row r="48" spans="1:51" x14ac:dyDescent="0.25">
      <c r="A48" s="525">
        <f>A47+1</f>
        <v>80</v>
      </c>
      <c r="B48" s="361">
        <f>INDEX(TestSummary!$A$1:$BL$366,'J1634 Calcs'!$A48,'J1634 Calcs'!B$5)</f>
        <v>62008003</v>
      </c>
      <c r="C48" s="361" t="str">
        <f>INDEX(TestSummary!$A$1:$BL$366,'J1634 Calcs'!$A48,'J1634 Calcs'!C$5)</f>
        <v>HWY</v>
      </c>
      <c r="D48" s="346" t="str">
        <f>INDEX(TestSummary!$A$1:$BL$366,'J1634 Calcs'!$A48,'J1634 Calcs'!D$5)</f>
        <v>J1634 MCT, Repeat #1, using Maintenance Mode, E-Pedal ON, 65 MPH Middel Deplete</v>
      </c>
      <c r="E48" s="402">
        <f>INDEX(TestSummary!$A$1:$BL$366,'J1634 Calcs'!$A48,'J1634 Calcs'!E$5)</f>
        <v>0</v>
      </c>
      <c r="F48" s="402">
        <f>INDEX(TestSummary!$A$1:$BL$366,'J1634 Calcs'!$A48,'J1634 Calcs'!F$5)</f>
        <v>25.591560999999999</v>
      </c>
      <c r="G48" s="131">
        <f>INDEX(TestSummary!$A$1:$BL$366,'J1634 Calcs'!$A48,'J1634 Calcs'!G$5)</f>
        <v>213.67563770930357</v>
      </c>
      <c r="H48" s="131">
        <f>INDEX(TestSummary!$A$1:$BL$366,'J1634 Calcs'!$A48,'J1634 Calcs'!H$5)</f>
        <v>50353</v>
      </c>
      <c r="I48" s="131">
        <f>INDEX(TestSummary!$A$1:$BL$366,'J1634 Calcs'!$A48,'J1634 Calcs'!I$5)</f>
        <v>52542</v>
      </c>
      <c r="J48" s="132">
        <f>INDEX(TestSummary!$A$1:$BL$366,'J1634 Calcs'!$A48,'J1634 Calcs'!J$5)</f>
        <v>11.5</v>
      </c>
      <c r="K48" s="133">
        <f>INDEX(TestSummary!$A$1:$BL$366,'J1634 Calcs'!$A48,'J1634 Calcs'!K$5)</f>
        <v>213.67563770930357</v>
      </c>
      <c r="L48" s="156"/>
    </row>
    <row r="49" spans="1:59" x14ac:dyDescent="0.25">
      <c r="A49" s="525">
        <f>A48+3</f>
        <v>83</v>
      </c>
      <c r="B49" s="361">
        <f>INDEX(TestSummary!$A$1:$BL$366,'J1634 Calcs'!$A49,'J1634 Calcs'!B$5)</f>
        <v>62008003</v>
      </c>
      <c r="C49" s="361" t="str">
        <f>INDEX(TestSummary!$A$1:$BL$366,'J1634 Calcs'!$A49,'J1634 Calcs'!C$5)</f>
        <v>UDDS 4, combined</v>
      </c>
      <c r="D49" s="346" t="str">
        <f>INDEX(TestSummary!$A$1:$BL$366,'J1634 Calcs'!$A49,'J1634 Calcs'!D$5)</f>
        <v>J1634 MCT, Repeat #1, using Maintenance Mode, E-Pedal ON, 65 MPH Middel Deplete</v>
      </c>
      <c r="E49" s="402">
        <f>INDEX(TestSummary!$A$1:$BL$366,'J1634 Calcs'!$A49,'J1634 Calcs'!E$5)</f>
        <v>0</v>
      </c>
      <c r="F49" s="402">
        <f>INDEX(TestSummary!$A$1:$BL$366,'J1634 Calcs'!$A49,'J1634 Calcs'!F$5)</f>
        <v>20.01709</v>
      </c>
      <c r="G49" s="131">
        <f>INDEX(TestSummary!$A$1:$BL$366,'J1634 Calcs'!$A49,'J1634 Calcs'!G$5)</f>
        <v>180.19292513096951</v>
      </c>
      <c r="H49" s="131">
        <f>INDEX(TestSummary!$A$1:$BL$366,'J1634 Calcs'!$A49,'J1634 Calcs'!H$5)</f>
        <v>52548</v>
      </c>
      <c r="I49" s="131">
        <f>INDEX(TestSummary!$A$1:$BL$366,'J1634 Calcs'!$A49,'J1634 Calcs'!I$5)</f>
        <v>53886</v>
      </c>
      <c r="J49" s="132">
        <f>INDEX(TestSummary!$A$1:$BL$366,'J1634 Calcs'!$A49,'J1634 Calcs'!J$5)</f>
        <v>9.1</v>
      </c>
      <c r="K49" s="133">
        <f>INDEX(TestSummary!$A$1:$BL$366,'J1634 Calcs'!$A49,'J1634 Calcs'!K$5)</f>
        <v>180.19292513096951</v>
      </c>
      <c r="L49" s="156"/>
    </row>
    <row r="50" spans="1:59" s="401" customFormat="1" x14ac:dyDescent="0.25">
      <c r="B50" s="368"/>
      <c r="C50" s="368"/>
      <c r="D50" s="377"/>
      <c r="E50" s="376"/>
      <c r="F50" s="376"/>
      <c r="G50" s="527"/>
      <c r="H50" s="527"/>
      <c r="I50" s="527"/>
      <c r="J50" s="378"/>
      <c r="K50" s="527"/>
      <c r="L50" s="527"/>
      <c r="O50" s="99"/>
    </row>
    <row r="51" spans="1:59" s="401" customFormat="1" x14ac:dyDescent="0.25">
      <c r="B51" s="368"/>
      <c r="C51" s="368"/>
      <c r="D51" s="377"/>
      <c r="E51" s="376"/>
      <c r="F51" s="376"/>
      <c r="G51" s="527"/>
      <c r="H51" s="527"/>
      <c r="I51" s="527"/>
      <c r="J51" s="378"/>
      <c r="K51" s="527"/>
      <c r="L51" s="527"/>
      <c r="O51" s="99"/>
    </row>
    <row r="52" spans="1:59" ht="16.5" thickBot="1" x14ac:dyDescent="0.3">
      <c r="B52" s="86" t="s">
        <v>824</v>
      </c>
      <c r="C52" s="126"/>
      <c r="D52" s="126"/>
      <c r="E52" s="116"/>
      <c r="F52" s="116"/>
      <c r="G52" s="126"/>
      <c r="H52" s="126"/>
      <c r="I52" s="126"/>
      <c r="J52" s="126"/>
      <c r="K52" s="126"/>
      <c r="L52" s="585"/>
      <c r="AC52" s="1" t="s">
        <v>391</v>
      </c>
      <c r="AD52" s="420"/>
      <c r="AE52" s="420"/>
      <c r="AF52" s="420"/>
      <c r="AG52" s="420"/>
      <c r="AK52" s="411" t="s">
        <v>825</v>
      </c>
      <c r="AL52" s="411" t="s">
        <v>826</v>
      </c>
      <c r="AM52" s="411" t="s">
        <v>827</v>
      </c>
      <c r="AO52" s="411" t="s">
        <v>825</v>
      </c>
      <c r="AP52" s="411" t="s">
        <v>826</v>
      </c>
      <c r="AQ52" s="411" t="s">
        <v>827</v>
      </c>
      <c r="AS52" s="411" t="s">
        <v>825</v>
      </c>
      <c r="AT52" s="411" t="s">
        <v>826</v>
      </c>
      <c r="AU52" s="411" t="s">
        <v>827</v>
      </c>
      <c r="AW52" s="411" t="s">
        <v>825</v>
      </c>
      <c r="AX52" s="411" t="s">
        <v>826</v>
      </c>
      <c r="AY52" s="411" t="s">
        <v>827</v>
      </c>
      <c r="BC52" s="411" t="s">
        <v>828</v>
      </c>
      <c r="BD52" s="411" t="s">
        <v>829</v>
      </c>
      <c r="BF52" s="411" t="s">
        <v>575</v>
      </c>
      <c r="BG52" s="411" t="s">
        <v>205</v>
      </c>
    </row>
    <row r="53" spans="1:59" ht="15.75" thickBot="1" x14ac:dyDescent="0.3">
      <c r="A53" s="525">
        <v>164</v>
      </c>
      <c r="B53" s="361">
        <f>INDEX(TestSummary!$A$1:$BL$366,'J1634 Calcs'!$A53,'J1634 Calcs'!B$5)</f>
        <v>62008020</v>
      </c>
      <c r="C53" s="361" t="str">
        <f>INDEX(TestSummary!$A$1:$BL$366,'J1634 Calcs'!$A53,'J1634 Calcs'!C$5)</f>
        <v>UDDS 1 , Combined</v>
      </c>
      <c r="D53" s="346" t="str">
        <f>INDEX(TestSummary!$A$1:$BL$366,'J1634 Calcs'!$A53,'J1634 Calcs'!D$5)</f>
        <v>j1634MCT in hot test cel (95°F) with solar (850W/m^2), HVAC AUTO 72°F, solar lights on 30 minutes prior to first test</v>
      </c>
      <c r="E53" s="402">
        <f>INDEX(TestSummary!$A$1:$BL$366,'J1634 Calcs'!$A53,'J1634 Calcs'!E$5)</f>
        <v>0</v>
      </c>
      <c r="F53" s="402">
        <f>INDEX(TestSummary!$A$1:$BL$366,'J1634 Calcs'!$A53,'J1634 Calcs'!F$5)</f>
        <v>35.171544999999995</v>
      </c>
      <c r="G53" s="131">
        <f>INDEX(TestSummary!$A$1:$BL$366,'J1634 Calcs'!$A53,'J1634 Calcs'!G$5)</f>
        <v>310.37308558405277</v>
      </c>
      <c r="H53" s="131">
        <f>INDEX(TestSummary!$A$1:$BL$366,'J1634 Calcs'!$A53,'J1634 Calcs'!H$5)</f>
        <v>9</v>
      </c>
      <c r="I53" s="131">
        <f>INDEX(TestSummary!$A$1:$BL$366,'J1634 Calcs'!$A53,'J1634 Calcs'!I$5)</f>
        <v>2313</v>
      </c>
      <c r="J53" s="132">
        <f>INDEX(TestSummary!$A$1:$BL$366,'J1634 Calcs'!$A53,'J1634 Calcs'!J$5)</f>
        <v>94.7</v>
      </c>
      <c r="K53" s="133">
        <f>INDEX(TestSummary!$A$1:$BL$366,'J1634 Calcs'!$A53,'J1634 Calcs'!K$5)</f>
        <v>310.37308558405277</v>
      </c>
      <c r="L53" s="156"/>
      <c r="N53" s="127" t="s">
        <v>278</v>
      </c>
      <c r="O53" s="513" t="s">
        <v>293</v>
      </c>
      <c r="P53" s="411" t="s">
        <v>294</v>
      </c>
      <c r="Q53" s="128" t="s">
        <v>279</v>
      </c>
      <c r="R53" s="129"/>
      <c r="S53" s="129"/>
      <c r="T53" s="129"/>
      <c r="U53" s="129"/>
      <c r="V53" s="129"/>
      <c r="W53" s="129"/>
      <c r="X53" s="129"/>
      <c r="Y53" s="129"/>
      <c r="Z53" s="130"/>
      <c r="AC53" s="1" t="s">
        <v>57</v>
      </c>
      <c r="AD53" s="153">
        <f t="shared" ref="AD53:AE55" si="5">(AD37/$AG37)</f>
        <v>0.38973767902873352</v>
      </c>
      <c r="AE53" s="153">
        <f t="shared" si="5"/>
        <v>0.51100760094180997</v>
      </c>
      <c r="AF53" s="153"/>
      <c r="AG53" s="153">
        <f>(AG37/$AG37)</f>
        <v>1</v>
      </c>
      <c r="AH53" s="153">
        <f>(AH37/$AG37)</f>
        <v>0.73783183704469801</v>
      </c>
      <c r="AJ53" s="411" t="s">
        <v>830</v>
      </c>
      <c r="AK53" s="411">
        <v>1489.4</v>
      </c>
      <c r="AL53" s="411">
        <v>7.4589999999999996</v>
      </c>
      <c r="AM53" s="411">
        <f t="shared" ref="AM53:AM58" si="6">AK53/AL53</f>
        <v>199.67824105107925</v>
      </c>
      <c r="AO53" s="411">
        <v>1353</v>
      </c>
      <c r="AP53" s="411">
        <v>7.4550000000000001</v>
      </c>
      <c r="AQ53" s="411">
        <f t="shared" ref="AQ53:AQ58" si="7">AO53/AP53</f>
        <v>181.48893360160966</v>
      </c>
      <c r="AS53" s="39">
        <f>I32</f>
        <v>1223</v>
      </c>
      <c r="AT53" s="522">
        <f>J32</f>
        <v>95.9</v>
      </c>
      <c r="AU53" s="411">
        <f t="shared" ref="AU53:AU58" si="8">AS53/AT53</f>
        <v>12.752867570385817</v>
      </c>
      <c r="AW53" s="39">
        <f>I42</f>
        <v>1567</v>
      </c>
      <c r="AX53" s="39">
        <f>J42</f>
        <v>95.3</v>
      </c>
      <c r="AY53" s="411">
        <f t="shared" ref="AY53:AY58" si="9">AW53/AX53</f>
        <v>16.442812172088143</v>
      </c>
      <c r="BC53" s="523">
        <f t="shared" ref="BC53:BC58" si="10">(AU53-AM53)/AM53</f>
        <v>-0.93613291311433622</v>
      </c>
      <c r="BD53" s="523">
        <f t="shared" ref="BD53:BD58" si="11">(AU53-AQ53)/AQ53</f>
        <v>-0.92973198245585653</v>
      </c>
      <c r="BE53" s="411" t="s">
        <v>57</v>
      </c>
      <c r="BF53" s="411">
        <v>455.32</v>
      </c>
    </row>
    <row r="54" spans="1:59" x14ac:dyDescent="0.25">
      <c r="A54" s="525">
        <v>165</v>
      </c>
      <c r="B54" s="361">
        <f>INDEX(TestSummary!$A$1:$BL$366,'J1634 Calcs'!$A54,'J1634 Calcs'!B$5)</f>
        <v>62008020</v>
      </c>
      <c r="C54" s="361" t="str">
        <f>INDEX(TestSummary!$A$1:$BL$366,'J1634 Calcs'!$A54,'J1634 Calcs'!C$5)</f>
        <v>HWY 1</v>
      </c>
      <c r="D54" s="346" t="str">
        <f>INDEX(TestSummary!$A$1:$BL$366,'J1634 Calcs'!$A54,'J1634 Calcs'!D$5)</f>
        <v>j1634MCT in hot test cel (95°F) with solar (850W/m^2), HVAC AUTO 72°F, solar lights on 30 minutes prior to first test</v>
      </c>
      <c r="E54" s="402">
        <f>INDEX(TestSummary!$A$1:$BL$366,'J1634 Calcs'!$A54,'J1634 Calcs'!E$5)</f>
        <v>0</v>
      </c>
      <c r="F54" s="402">
        <f>INDEX(TestSummary!$A$1:$BL$366,'J1634 Calcs'!$A54,'J1634 Calcs'!F$5)</f>
        <v>37.879582999999997</v>
      </c>
      <c r="G54" s="131">
        <f>INDEX(TestSummary!$A$1:$BL$366,'J1634 Calcs'!$A54,'J1634 Calcs'!G$5)</f>
        <v>232.78653137069216</v>
      </c>
      <c r="H54" s="131">
        <f>INDEX(TestSummary!$A$1:$BL$366,'J1634 Calcs'!$A54,'J1634 Calcs'!H$5)</f>
        <v>2321</v>
      </c>
      <c r="I54" s="131">
        <f>INDEX(TestSummary!$A$1:$BL$366,'J1634 Calcs'!$A54,'J1634 Calcs'!I$5)</f>
        <v>4706</v>
      </c>
      <c r="J54" s="132">
        <f>INDEX(TestSummary!$A$1:$BL$366,'J1634 Calcs'!$A54,'J1634 Calcs'!J$5)</f>
        <v>91.2</v>
      </c>
      <c r="K54" s="133">
        <f>INDEX(TestSummary!$A$1:$BL$366,'J1634 Calcs'!$A54,'J1634 Calcs'!K$5)</f>
        <v>232.78653137069216</v>
      </c>
      <c r="L54" s="156"/>
      <c r="N54" s="134" t="s">
        <v>846</v>
      </c>
      <c r="O54" s="157">
        <f>TestSummary!AU184</f>
        <v>67020.2</v>
      </c>
      <c r="P54" s="269">
        <f>$O$32</f>
        <v>68019.200000000012</v>
      </c>
      <c r="Q54" s="135" t="s">
        <v>16</v>
      </c>
      <c r="R54" s="136" t="s">
        <v>1</v>
      </c>
      <c r="S54" s="136" t="s">
        <v>392</v>
      </c>
      <c r="T54" s="137" t="s">
        <v>281</v>
      </c>
      <c r="U54" s="136" t="s">
        <v>282</v>
      </c>
      <c r="V54" s="137" t="s">
        <v>283</v>
      </c>
      <c r="W54" s="138" t="s">
        <v>947</v>
      </c>
      <c r="X54" s="139" t="s">
        <v>284</v>
      </c>
      <c r="Y54" s="138" t="s">
        <v>285</v>
      </c>
      <c r="Z54" s="140"/>
      <c r="AC54" s="1" t="s">
        <v>55</v>
      </c>
      <c r="AD54" s="153">
        <f t="shared" si="5"/>
        <v>0.61835331852063102</v>
      </c>
      <c r="AE54" s="153">
        <f t="shared" si="5"/>
        <v>0.73198798700579759</v>
      </c>
      <c r="AF54" s="153"/>
      <c r="AG54" s="153">
        <f>(AG38/$AG37)</f>
        <v>0.82931630808624368</v>
      </c>
      <c r="AH54" s="153">
        <f>(AH38/$AG38)</f>
        <v>0.95385730450737005</v>
      </c>
      <c r="AJ54" s="411" t="s">
        <v>831</v>
      </c>
      <c r="AK54" s="411">
        <v>1326.1</v>
      </c>
      <c r="AL54" s="411">
        <v>7.4530000000000003</v>
      </c>
      <c r="AM54" s="411">
        <f t="shared" si="6"/>
        <v>177.92835099959746</v>
      </c>
      <c r="AO54" s="411">
        <v>1269</v>
      </c>
      <c r="AP54" s="411">
        <v>7.4589999999999996</v>
      </c>
      <c r="AQ54" s="411">
        <f t="shared" si="7"/>
        <v>170.13004424185547</v>
      </c>
      <c r="AS54" s="141">
        <f>I34</f>
        <v>4892</v>
      </c>
      <c r="AT54" s="522">
        <f>J34</f>
        <v>90.5</v>
      </c>
      <c r="AU54" s="411">
        <f t="shared" si="8"/>
        <v>54.055248618784532</v>
      </c>
      <c r="AW54" s="141">
        <f>I44</f>
        <v>5195</v>
      </c>
      <c r="AX54" s="141">
        <f>J44</f>
        <v>89.9</v>
      </c>
      <c r="AY54" s="411">
        <f t="shared" si="9"/>
        <v>57.786429365962178</v>
      </c>
      <c r="BC54" s="523">
        <f t="shared" si="10"/>
        <v>-0.69619654026408173</v>
      </c>
      <c r="BD54" s="523">
        <f t="shared" si="11"/>
        <v>-0.68227100122339335</v>
      </c>
      <c r="BF54" s="411">
        <v>422.7</v>
      </c>
    </row>
    <row r="55" spans="1:59" x14ac:dyDescent="0.25">
      <c r="A55" s="525">
        <v>168</v>
      </c>
      <c r="B55" s="361">
        <f>INDEX(TestSummary!$A$1:$BL$366,'J1634 Calcs'!$A55,'J1634 Calcs'!B$5)</f>
        <v>62008020</v>
      </c>
      <c r="C55" s="361" t="str">
        <f>INDEX(TestSummary!$A$1:$BL$366,'J1634 Calcs'!$A55,'J1634 Calcs'!C$5)</f>
        <v>UDDS 2, combined</v>
      </c>
      <c r="D55" s="346" t="str">
        <f>INDEX(TestSummary!$A$1:$BL$366,'J1634 Calcs'!$A55,'J1634 Calcs'!D$5)</f>
        <v>j1634MCT in hot test cel (95°F) with solar (850W/m^2), HVAC AUTO 72°F, solar lights on 30 minutes prior to first test</v>
      </c>
      <c r="E55" s="402">
        <f>INDEX(TestSummary!$A$1:$BL$366,'J1634 Calcs'!$A55,'J1634 Calcs'!E$5)</f>
        <v>0</v>
      </c>
      <c r="F55" s="402">
        <f>INDEX(TestSummary!$A$1:$BL$366,'J1634 Calcs'!$A55,'J1634 Calcs'!F$5)</f>
        <v>33.952994000000004</v>
      </c>
      <c r="G55" s="131">
        <f>INDEX(TestSummary!$A$1:$BL$366,'J1634 Calcs'!$A55,'J1634 Calcs'!G$5)</f>
        <v>247.11909501717622</v>
      </c>
      <c r="H55" s="131">
        <f>INDEX(TestSummary!$A$1:$BL$366,'J1634 Calcs'!$A55,'J1634 Calcs'!H$5)</f>
        <v>4713</v>
      </c>
      <c r="I55" s="131">
        <f>INDEX(TestSummary!$A$1:$BL$366,'J1634 Calcs'!$A55,'J1634 Calcs'!I$5)</f>
        <v>6548</v>
      </c>
      <c r="J55" s="132">
        <f>INDEX(TestSummary!$A$1:$BL$366,'J1634 Calcs'!$A55,'J1634 Calcs'!J$5)</f>
        <v>88.4</v>
      </c>
      <c r="K55" s="133">
        <f>INDEX(TestSummary!$A$1:$BL$366,'J1634 Calcs'!$A55,'J1634 Calcs'!K$5)</f>
        <v>247.11909501717622</v>
      </c>
      <c r="L55" s="156"/>
      <c r="N55" s="142" t="s">
        <v>286</v>
      </c>
      <c r="O55" s="143">
        <f>TestSummary!W183-TestSummary!V162</f>
        <v>59300</v>
      </c>
      <c r="P55" s="143">
        <f>$O$33</f>
        <v>59240</v>
      </c>
      <c r="Q55" s="135" t="s">
        <v>287</v>
      </c>
      <c r="R55" s="136" t="s">
        <v>57</v>
      </c>
      <c r="S55" s="136">
        <v>3</v>
      </c>
      <c r="T55" s="144"/>
      <c r="U55" s="144">
        <f>(I53-H53)/O55</f>
        <v>3.8853288364249582E-2</v>
      </c>
      <c r="V55" s="144">
        <f>(1-U55)/S55</f>
        <v>0.32038223721191678</v>
      </c>
      <c r="W55" s="145">
        <f>U55*K53+V55*K55*3</f>
        <v>249.57672055286059</v>
      </c>
      <c r="X55" s="145">
        <f>P55/W55</f>
        <v>237.36188162410329</v>
      </c>
      <c r="Y55" s="146">
        <f>W55/T58</f>
        <v>282.06883181782172</v>
      </c>
      <c r="Z55" s="140"/>
      <c r="AC55" s="1" t="s">
        <v>210</v>
      </c>
      <c r="AD55" s="153">
        <f t="shared" si="5"/>
        <v>0.67125593130792649</v>
      </c>
      <c r="AE55" s="153">
        <f t="shared" si="5"/>
        <v>0.80294314191862715</v>
      </c>
      <c r="AF55" s="153"/>
      <c r="AG55" s="153">
        <f>(AG39/$AG38)</f>
        <v>0.73668714872564056</v>
      </c>
      <c r="AH55" s="153">
        <f>(AH39/$AG39)</f>
        <v>0.96657718993063035</v>
      </c>
      <c r="AJ55" s="411" t="s">
        <v>832</v>
      </c>
      <c r="AK55" s="411">
        <v>1271.5</v>
      </c>
      <c r="AL55" s="411">
        <v>7.4669999999999996</v>
      </c>
      <c r="AM55" s="411">
        <f t="shared" si="6"/>
        <v>170.28257667068436</v>
      </c>
      <c r="AO55" s="411">
        <v>1252</v>
      </c>
      <c r="AP55" s="411">
        <v>7.4429999999999996</v>
      </c>
      <c r="AQ55" s="411">
        <f t="shared" si="7"/>
        <v>168.21174257691791</v>
      </c>
      <c r="AS55" s="39">
        <f>I37</f>
        <v>50305</v>
      </c>
      <c r="AT55" s="522">
        <f>J37</f>
        <v>15.7</v>
      </c>
      <c r="AU55" s="411">
        <f t="shared" si="8"/>
        <v>3204.1401273885353</v>
      </c>
      <c r="AW55" s="39">
        <f>I47</f>
        <v>50352</v>
      </c>
      <c r="AX55" s="39">
        <f>J47</f>
        <v>15.3</v>
      </c>
      <c r="AY55" s="411">
        <f t="shared" si="9"/>
        <v>3290.9803921568628</v>
      </c>
      <c r="BC55" s="523">
        <f t="shared" si="10"/>
        <v>17.816605844443721</v>
      </c>
      <c r="BD55" s="523">
        <f t="shared" si="11"/>
        <v>18.048254766895262</v>
      </c>
    </row>
    <row r="56" spans="1:59" x14ac:dyDescent="0.25">
      <c r="A56" s="545">
        <v>171</v>
      </c>
      <c r="B56" s="361">
        <f>INDEX(TestSummary!$A$1:$BL$366,'J1634 Calcs'!$A56,'J1634 Calcs'!B$5)</f>
        <v>62008020</v>
      </c>
      <c r="C56" s="361" t="str">
        <f>INDEX(TestSummary!$A$1:$BL$366,'J1634 Calcs'!$A56,'J1634 Calcs'!C$5)</f>
        <v>US06 1, combined</v>
      </c>
      <c r="D56" s="346" t="str">
        <f>INDEX(TestSummary!$A$1:$BL$366,'J1634 Calcs'!$A56,'J1634 Calcs'!D$5)</f>
        <v>j1634MCT in hot test cel (95°F) with solar (850W/m^2), HVAC AUTO 72°F, solar lights on 30 minutes prior to first test</v>
      </c>
      <c r="E56" s="402">
        <f>INDEX(TestSummary!$A$1:$BL$366,'J1634 Calcs'!$A56,'J1634 Calcs'!E$5)</f>
        <v>0</v>
      </c>
      <c r="F56" s="402">
        <f>INDEX(TestSummary!$A$1:$BL$366,'J1634 Calcs'!$A56,'J1634 Calcs'!F$5)</f>
        <v>37.663222000000005</v>
      </c>
      <c r="G56" s="131">
        <f>INDEX(TestSummary!$A$1:$BL$366,'J1634 Calcs'!$A56,'J1634 Calcs'!G$5)</f>
        <v>311.83267705480091</v>
      </c>
      <c r="H56" s="131">
        <f>INDEX(TestSummary!$A$1:$BL$366,'J1634 Calcs'!$A56,'J1634 Calcs'!H$5)</f>
        <v>6588</v>
      </c>
      <c r="I56" s="131">
        <f>INDEX(TestSummary!$A$1:$BL$366,'J1634 Calcs'!$A56,'J1634 Calcs'!I$5)</f>
        <v>8867</v>
      </c>
      <c r="J56" s="132">
        <f>INDEX(TestSummary!$A$1:$BL$366,'J1634 Calcs'!$A56,'J1634 Calcs'!J$5)</f>
        <v>84.9</v>
      </c>
      <c r="K56" s="133">
        <f>INDEX(TestSummary!$A$1:$BL$366,'J1634 Calcs'!$A56,'J1634 Calcs'!K$5)</f>
        <v>311.83267705480091</v>
      </c>
      <c r="L56" s="156"/>
      <c r="Q56" s="135" t="s">
        <v>287</v>
      </c>
      <c r="R56" s="136" t="s">
        <v>55</v>
      </c>
      <c r="S56" s="136">
        <v>2</v>
      </c>
      <c r="T56" s="144">
        <f>1/S56</f>
        <v>0.5</v>
      </c>
      <c r="U56" s="144"/>
      <c r="V56" s="144"/>
      <c r="W56" s="145">
        <f>T56*K54*2</f>
        <v>232.78653137069216</v>
      </c>
      <c r="X56" s="145">
        <f>P55/W56</f>
        <v>254.48207699639414</v>
      </c>
      <c r="Y56" s="146">
        <f>W56/T58</f>
        <v>263.09274687639231</v>
      </c>
      <c r="Z56" s="140"/>
      <c r="AJ56" s="411" t="s">
        <v>833</v>
      </c>
      <c r="AK56" s="411">
        <v>1285.5999999999999</v>
      </c>
      <c r="AL56" s="411">
        <v>7.4630000000000001</v>
      </c>
      <c r="AM56" s="411">
        <f t="shared" si="6"/>
        <v>172.2631649470722</v>
      </c>
      <c r="AO56" s="411">
        <v>1261</v>
      </c>
      <c r="AP56" s="411">
        <v>7.452</v>
      </c>
      <c r="AQ56" s="411">
        <f t="shared" si="7"/>
        <v>169.2163177670424</v>
      </c>
      <c r="AS56" s="39">
        <f>I39</f>
        <v>53859</v>
      </c>
      <c r="AT56" s="522">
        <f>J39</f>
        <v>9.4</v>
      </c>
      <c r="AU56" s="411">
        <f t="shared" si="8"/>
        <v>5729.6808510638293</v>
      </c>
      <c r="AW56" s="39">
        <f>I49</f>
        <v>53886</v>
      </c>
      <c r="AX56" s="39">
        <f>J49</f>
        <v>9.1</v>
      </c>
      <c r="AY56" s="411">
        <f t="shared" si="9"/>
        <v>5921.5384615384619</v>
      </c>
      <c r="BC56" s="523">
        <f t="shared" si="10"/>
        <v>32.261207367368826</v>
      </c>
      <c r="BD56" s="523">
        <f t="shared" si="11"/>
        <v>32.860096512393064</v>
      </c>
    </row>
    <row r="57" spans="1:59" x14ac:dyDescent="0.25">
      <c r="B57" s="368"/>
      <c r="C57" s="368"/>
      <c r="D57" s="19"/>
      <c r="E57" s="115"/>
      <c r="F57" s="115"/>
      <c r="G57" s="154"/>
      <c r="H57" s="154"/>
      <c r="I57" s="154"/>
      <c r="J57" s="155"/>
      <c r="K57" s="156"/>
      <c r="L57" s="156"/>
      <c r="Q57" s="135" t="s">
        <v>287</v>
      </c>
      <c r="R57" s="136" t="s">
        <v>210</v>
      </c>
      <c r="S57" s="136">
        <v>2</v>
      </c>
      <c r="T57" s="144">
        <f>1/S57</f>
        <v>0.5</v>
      </c>
      <c r="U57" s="144"/>
      <c r="V57" s="144"/>
      <c r="W57" s="145">
        <f>T57*K56*2</f>
        <v>311.83267705480091</v>
      </c>
      <c r="X57" s="145">
        <f>P55/W57</f>
        <v>189.97367613782589</v>
      </c>
      <c r="Y57" s="146">
        <f>W57/T58</f>
        <v>352.42982095696743</v>
      </c>
      <c r="Z57" s="140"/>
      <c r="AJ57" s="411" t="s">
        <v>834</v>
      </c>
      <c r="AK57" s="411">
        <v>1950.9</v>
      </c>
      <c r="AL57" s="411">
        <v>10.266</v>
      </c>
      <c r="AM57" s="411">
        <f t="shared" si="6"/>
        <v>190.03506721215663</v>
      </c>
      <c r="AO57" s="411">
        <v>1844</v>
      </c>
      <c r="AP57" s="411">
        <v>10.262</v>
      </c>
      <c r="AQ57" s="411">
        <f t="shared" si="7"/>
        <v>179.69206782303644</v>
      </c>
      <c r="AS57" s="39">
        <f>I33</f>
        <v>3499</v>
      </c>
      <c r="AT57" s="522">
        <f>J33</f>
        <v>92.6</v>
      </c>
      <c r="AU57" s="411">
        <f t="shared" si="8"/>
        <v>37.786177105831534</v>
      </c>
      <c r="AW57" s="39">
        <f>I43</f>
        <v>3818</v>
      </c>
      <c r="AX57" s="39">
        <f>J43</f>
        <v>92</v>
      </c>
      <c r="AY57" s="411">
        <f t="shared" si="9"/>
        <v>41.5</v>
      </c>
      <c r="BC57" s="523">
        <f t="shared" si="10"/>
        <v>-0.80116208202959316</v>
      </c>
      <c r="BD57" s="523">
        <f t="shared" si="11"/>
        <v>-0.78971705560735184</v>
      </c>
    </row>
    <row r="58" spans="1:59" ht="15.75" thickBot="1" x14ac:dyDescent="0.3">
      <c r="Q58" s="147" t="s">
        <v>287</v>
      </c>
      <c r="R58" s="148" t="s">
        <v>290</v>
      </c>
      <c r="S58" s="148"/>
      <c r="T58" s="278">
        <f>O55/O54</f>
        <v>0.88480786389775024</v>
      </c>
      <c r="U58" s="149"/>
      <c r="V58" s="149"/>
      <c r="W58" s="150" t="s">
        <v>274</v>
      </c>
      <c r="X58" s="150" t="s">
        <v>291</v>
      </c>
      <c r="Y58" s="151" t="s">
        <v>289</v>
      </c>
      <c r="Z58" s="152"/>
      <c r="AJ58" s="411" t="s">
        <v>835</v>
      </c>
      <c r="AK58" s="411">
        <v>1895.5</v>
      </c>
      <c r="AL58" s="411">
        <v>10.257999999999999</v>
      </c>
      <c r="AM58" s="411">
        <f t="shared" si="6"/>
        <v>184.78260869565219</v>
      </c>
      <c r="AO58" s="411">
        <v>1863</v>
      </c>
      <c r="AP58" s="411">
        <v>10.266999999999999</v>
      </c>
      <c r="AQ58" s="411">
        <f t="shared" si="7"/>
        <v>181.45514756014416</v>
      </c>
      <c r="AS58" s="39">
        <f>I38</f>
        <v>52506</v>
      </c>
      <c r="AT58" s="522">
        <f>J38</f>
        <v>11.8</v>
      </c>
      <c r="AU58" s="411">
        <f t="shared" si="8"/>
        <v>4449.6610169491523</v>
      </c>
      <c r="AW58" s="39">
        <f>I47</f>
        <v>50352</v>
      </c>
      <c r="AX58" s="39">
        <f>J47</f>
        <v>15.3</v>
      </c>
      <c r="AY58" s="411">
        <f t="shared" si="9"/>
        <v>3290.9803921568628</v>
      </c>
      <c r="BC58" s="523">
        <f t="shared" si="10"/>
        <v>23.080518444666001</v>
      </c>
      <c r="BD58" s="523">
        <f t="shared" si="11"/>
        <v>23.522098583476623</v>
      </c>
    </row>
    <row r="59" spans="1:59" s="18" customFormat="1" x14ac:dyDescent="0.25">
      <c r="O59" s="396"/>
      <c r="Q59" s="401"/>
      <c r="R59" s="536"/>
      <c r="S59" s="536"/>
      <c r="T59" s="537"/>
      <c r="U59" s="81"/>
      <c r="V59" s="81"/>
      <c r="W59" s="538"/>
      <c r="X59" s="538"/>
      <c r="Y59" s="539"/>
      <c r="Z59" s="401"/>
      <c r="AC59" s="401"/>
      <c r="AS59" s="540"/>
      <c r="AT59" s="541"/>
      <c r="AW59" s="540"/>
      <c r="AX59" s="540"/>
      <c r="BC59" s="542"/>
      <c r="BD59" s="542"/>
    </row>
    <row r="60" spans="1:59" ht="16.5" thickBot="1" x14ac:dyDescent="0.3">
      <c r="B60" s="86" t="s">
        <v>845</v>
      </c>
      <c r="C60" s="126"/>
      <c r="D60" s="126"/>
      <c r="E60" s="116"/>
      <c r="F60" s="116"/>
      <c r="G60" s="126"/>
      <c r="H60" s="126"/>
      <c r="I60" s="126"/>
      <c r="J60" s="126"/>
      <c r="K60" s="126"/>
      <c r="L60" s="585"/>
    </row>
    <row r="61" spans="1:59" ht="15.75" thickBot="1" x14ac:dyDescent="0.3">
      <c r="A61" s="525">
        <v>188</v>
      </c>
      <c r="B61" s="361">
        <f>INDEX(TestSummary!$A$1:$BL$366,'J1634 Calcs'!$A61,'J1634 Calcs'!B$5)</f>
        <v>62008028</v>
      </c>
      <c r="C61" s="361" t="str">
        <f>INDEX(TestSummary!$A$1:$BL$366,'J1634 Calcs'!$A61,'J1634 Calcs'!C$5)</f>
        <v>UDDS 1 , Combined</v>
      </c>
      <c r="D61" s="346" t="str">
        <f>INDEX(TestSummary!$A$1:$BL$366,'J1634 Calcs'!$A61,'J1634 Calcs'!D$5)</f>
        <v>J1634MCT in hot test cell (95°F), first half with NO SOLAR, HVAC AUTO 72°F</v>
      </c>
      <c r="E61" s="402">
        <f>INDEX(TestSummary!$A$1:$BL$366,'J1634 Calcs'!$A61,'J1634 Calcs'!E$5)</f>
        <v>0</v>
      </c>
      <c r="F61" s="402">
        <f>INDEX(TestSummary!$A$1:$BL$366,'J1634 Calcs'!$A61,'J1634 Calcs'!F$5)</f>
        <v>34.273290000000003</v>
      </c>
      <c r="G61" s="131">
        <f>INDEX(TestSummary!$A$1:$BL$366,'J1634 Calcs'!$A61,'J1634 Calcs'!G$5)</f>
        <v>255.36671523792654</v>
      </c>
      <c r="H61" s="131">
        <f>INDEX(TestSummary!$A$1:$BL$366,'J1634 Calcs'!$A61,'J1634 Calcs'!H$5)</f>
        <v>-370</v>
      </c>
      <c r="I61" s="131">
        <f>INDEX(TestSummary!$A$1:$BL$366,'J1634 Calcs'!$A61,'J1634 Calcs'!I$5)</f>
        <v>1527</v>
      </c>
      <c r="J61" s="132">
        <f>INDEX(TestSummary!$A$1:$BL$366,'J1634 Calcs'!$A61,'J1634 Calcs'!J$5)</f>
        <v>93.6</v>
      </c>
      <c r="K61" s="133">
        <f>INDEX(TestSummary!$A$1:$BL$366,'J1634 Calcs'!$A61,'J1634 Calcs'!K$5)</f>
        <v>255.36671523792654</v>
      </c>
      <c r="L61" s="156"/>
      <c r="N61" s="127" t="s">
        <v>278</v>
      </c>
      <c r="O61" s="513" t="s">
        <v>293</v>
      </c>
      <c r="P61" s="411" t="s">
        <v>294</v>
      </c>
      <c r="Q61" s="128" t="s">
        <v>279</v>
      </c>
      <c r="R61" s="129"/>
      <c r="S61" s="129"/>
      <c r="T61" s="129"/>
      <c r="U61" s="129"/>
      <c r="V61" s="129"/>
      <c r="W61" s="129"/>
      <c r="X61" s="129"/>
      <c r="Y61" s="129"/>
      <c r="Z61" s="130"/>
    </row>
    <row r="62" spans="1:59" x14ac:dyDescent="0.25">
      <c r="A62" s="525">
        <f>A61+1</f>
        <v>189</v>
      </c>
      <c r="B62" s="361">
        <f>INDEX(TestSummary!$A$1:$BL$366,'J1634 Calcs'!$A62,'J1634 Calcs'!B$5)</f>
        <v>62008028</v>
      </c>
      <c r="C62" s="361" t="str">
        <f>INDEX(TestSummary!$A$1:$BL$366,'J1634 Calcs'!$A62,'J1634 Calcs'!C$5)</f>
        <v>HWY 1</v>
      </c>
      <c r="D62" s="346" t="str">
        <f>INDEX(TestSummary!$A$1:$BL$366,'J1634 Calcs'!$A62,'J1634 Calcs'!D$5)</f>
        <v>J1634MCT in hot test cell (95°F), first half with NO SOLAR, HVAC AUTO 72°F</v>
      </c>
      <c r="E62" s="402">
        <f>INDEX(TestSummary!$A$1:$BL$366,'J1634 Calcs'!$A62,'J1634 Calcs'!E$5)</f>
        <v>0</v>
      </c>
      <c r="F62" s="402">
        <f>INDEX(TestSummary!$A$1:$BL$366,'J1634 Calcs'!$A62,'J1634 Calcs'!F$5)</f>
        <v>37.256883999999999</v>
      </c>
      <c r="G62" s="131">
        <f>INDEX(TestSummary!$A$1:$BL$366,'J1634 Calcs'!$A62,'J1634 Calcs'!G$5)</f>
        <v>223.50638166254637</v>
      </c>
      <c r="H62" s="131">
        <f>INDEX(TestSummary!$A$1:$BL$366,'J1634 Calcs'!$A62,'J1634 Calcs'!H$5)</f>
        <v>1533</v>
      </c>
      <c r="I62" s="131">
        <f>INDEX(TestSummary!$A$1:$BL$366,'J1634 Calcs'!$A62,'J1634 Calcs'!I$5)</f>
        <v>3823</v>
      </c>
      <c r="J62" s="132">
        <f>INDEX(TestSummary!$A$1:$BL$366,'J1634 Calcs'!$A62,'J1634 Calcs'!J$5)</f>
        <v>90.2</v>
      </c>
      <c r="K62" s="133">
        <f>INDEX(TestSummary!$A$1:$BL$366,'J1634 Calcs'!$A62,'J1634 Calcs'!K$5)</f>
        <v>223.50638166254637</v>
      </c>
      <c r="L62" s="156"/>
      <c r="N62" s="134" t="s">
        <v>846</v>
      </c>
      <c r="O62" s="546">
        <f>O54</f>
        <v>67020.2</v>
      </c>
      <c r="P62" s="269">
        <f>$O$32</f>
        <v>68019.200000000012</v>
      </c>
      <c r="Q62" s="135" t="s">
        <v>16</v>
      </c>
      <c r="R62" s="136" t="s">
        <v>1</v>
      </c>
      <c r="S62" s="136" t="s">
        <v>392</v>
      </c>
      <c r="T62" s="137" t="s">
        <v>281</v>
      </c>
      <c r="U62" s="136" t="s">
        <v>282</v>
      </c>
      <c r="V62" s="137" t="s">
        <v>283</v>
      </c>
      <c r="W62" s="138" t="s">
        <v>947</v>
      </c>
      <c r="X62" s="139" t="s">
        <v>284</v>
      </c>
      <c r="Y62" s="138" t="s">
        <v>285</v>
      </c>
      <c r="Z62" s="140"/>
    </row>
    <row r="63" spans="1:59" x14ac:dyDescent="0.25">
      <c r="A63" s="525">
        <f>A62+3</f>
        <v>192</v>
      </c>
      <c r="B63" s="361">
        <f>INDEX(TestSummary!$A$1:$BL$366,'J1634 Calcs'!$A63,'J1634 Calcs'!B$5)</f>
        <v>62008028</v>
      </c>
      <c r="C63" s="361" t="str">
        <f>INDEX(TestSummary!$A$1:$BL$366,'J1634 Calcs'!$A63,'J1634 Calcs'!C$5)</f>
        <v>UDDS 2, combined</v>
      </c>
      <c r="D63" s="346" t="str">
        <f>INDEX(TestSummary!$A$1:$BL$366,'J1634 Calcs'!$A63,'J1634 Calcs'!D$5)</f>
        <v>J1634MCT in hot test cell (95°F), first half with NO SOLAR, HVAC AUTO 72°F</v>
      </c>
      <c r="E63" s="402">
        <f>INDEX(TestSummary!$A$1:$BL$366,'J1634 Calcs'!$A63,'J1634 Calcs'!E$5)</f>
        <v>0</v>
      </c>
      <c r="F63" s="402">
        <f>INDEX(TestSummary!$A$1:$BL$366,'J1634 Calcs'!$A63,'J1634 Calcs'!F$5)</f>
        <v>32.505319499999999</v>
      </c>
      <c r="G63" s="131">
        <f>INDEX(TestSummary!$A$1:$BL$366,'J1634 Calcs'!$A63,'J1634 Calcs'!G$5)</f>
        <v>209.91474861171858</v>
      </c>
      <c r="H63" s="131">
        <f>INDEX(TestSummary!$A$1:$BL$366,'J1634 Calcs'!$A63,'J1634 Calcs'!H$5)</f>
        <v>3829</v>
      </c>
      <c r="I63" s="131">
        <f>INDEX(TestSummary!$A$1:$BL$366,'J1634 Calcs'!$A63,'J1634 Calcs'!I$5)</f>
        <v>5388</v>
      </c>
      <c r="J63" s="132">
        <f>INDEX(TestSummary!$A$1:$BL$366,'J1634 Calcs'!$A63,'J1634 Calcs'!J$5)</f>
        <v>87.8</v>
      </c>
      <c r="K63" s="133">
        <f>INDEX(TestSummary!$A$1:$BL$366,'J1634 Calcs'!$A63,'J1634 Calcs'!K$5)</f>
        <v>209.91474861171858</v>
      </c>
      <c r="L63" s="156"/>
      <c r="N63" s="142" t="s">
        <v>286</v>
      </c>
      <c r="O63" s="547">
        <f>O55</f>
        <v>59300</v>
      </c>
      <c r="P63" s="143">
        <f>$O$33</f>
        <v>59240</v>
      </c>
      <c r="Q63" s="135" t="s">
        <v>287</v>
      </c>
      <c r="R63" s="136" t="s">
        <v>57</v>
      </c>
      <c r="S63" s="136">
        <v>3</v>
      </c>
      <c r="T63" s="144"/>
      <c r="U63" s="144">
        <f>(I61-H61)/O63</f>
        <v>3.1989881956155146E-2</v>
      </c>
      <c r="V63" s="144">
        <f>(1-U63)/S63</f>
        <v>0.3226700393479483</v>
      </c>
      <c r="W63" s="145">
        <f>U63*K61+V63*K63*3</f>
        <v>211.36875165876606</v>
      </c>
      <c r="X63" s="145">
        <f>P63/W63</f>
        <v>280.26848592850246</v>
      </c>
      <c r="Y63" s="146">
        <f>W63/T66</f>
        <v>238.88661062261102</v>
      </c>
      <c r="Z63" s="140"/>
    </row>
    <row r="64" spans="1:59" ht="15.75" customHeight="1" x14ac:dyDescent="0.25">
      <c r="A64" s="525">
        <f>A63+3</f>
        <v>195</v>
      </c>
      <c r="B64" s="361">
        <f>INDEX(TestSummary!$A$1:$BL$366,'J1634 Calcs'!$A64,'J1634 Calcs'!B$5)</f>
        <v>62008028</v>
      </c>
      <c r="C64" s="361" t="str">
        <f>INDEX(TestSummary!$A$1:$BL$366,'J1634 Calcs'!$A64,'J1634 Calcs'!C$5)</f>
        <v>US06 1, combined</v>
      </c>
      <c r="D64" s="346" t="str">
        <f>INDEX(TestSummary!$A$1:$BL$366,'J1634 Calcs'!$A64,'J1634 Calcs'!D$5)</f>
        <v>J1634MCT in hot test cell (95°F), first half with NO SOLAR, HVAC AUTO 72°F</v>
      </c>
      <c r="E64" s="402">
        <f>INDEX(TestSummary!$A$1:$BL$366,'J1634 Calcs'!$A64,'J1634 Calcs'!E$5)</f>
        <v>0</v>
      </c>
      <c r="F64" s="402">
        <f>INDEX(TestSummary!$A$1:$BL$366,'J1634 Calcs'!$A64,'J1634 Calcs'!F$5)</f>
        <v>36.401289000000006</v>
      </c>
      <c r="G64" s="131">
        <f>INDEX(TestSummary!$A$1:$BL$366,'J1634 Calcs'!$A64,'J1634 Calcs'!G$5)</f>
        <v>302.11556291577176</v>
      </c>
      <c r="H64" s="131">
        <f>INDEX(TestSummary!$A$1:$BL$366,'J1634 Calcs'!$A64,'J1634 Calcs'!H$5)</f>
        <v>5411</v>
      </c>
      <c r="I64" s="131">
        <f>INDEX(TestSummary!$A$1:$BL$366,'J1634 Calcs'!$A64,'J1634 Calcs'!I$5)</f>
        <v>7631</v>
      </c>
      <c r="J64" s="132">
        <f>INDEX(TestSummary!$A$1:$BL$366,'J1634 Calcs'!$A64,'J1634 Calcs'!J$5)</f>
        <v>84.4</v>
      </c>
      <c r="K64" s="133">
        <f>INDEX(TestSummary!$A$1:$BL$366,'J1634 Calcs'!$A64,'J1634 Calcs'!K$5)</f>
        <v>302.11556291577176</v>
      </c>
      <c r="L64" s="156"/>
      <c r="N64" s="589" t="s">
        <v>953</v>
      </c>
      <c r="Q64" s="135" t="s">
        <v>287</v>
      </c>
      <c r="R64" s="136" t="s">
        <v>55</v>
      </c>
      <c r="S64" s="136">
        <v>2</v>
      </c>
      <c r="T64" s="144">
        <f>1/S64</f>
        <v>0.5</v>
      </c>
      <c r="U64" s="144"/>
      <c r="V64" s="144"/>
      <c r="W64" s="145">
        <f>T64*K62*2</f>
        <v>223.50638166254637</v>
      </c>
      <c r="X64" s="145">
        <f>P63/W64</f>
        <v>265.04836040628823</v>
      </c>
      <c r="Y64" s="146">
        <f>W64/T66</f>
        <v>252.60442496290372</v>
      </c>
      <c r="Z64" s="140"/>
    </row>
    <row r="65" spans="2:56" x14ac:dyDescent="0.25">
      <c r="B65" s="368"/>
      <c r="C65" s="368"/>
      <c r="D65" s="19"/>
      <c r="E65" s="115"/>
      <c r="F65" s="115"/>
      <c r="G65" s="154"/>
      <c r="H65" s="154"/>
      <c r="I65" s="154"/>
      <c r="J65" s="155"/>
      <c r="K65" s="156"/>
      <c r="L65" s="156"/>
      <c r="Q65" s="135" t="s">
        <v>287</v>
      </c>
      <c r="R65" s="136" t="s">
        <v>210</v>
      </c>
      <c r="S65" s="136">
        <v>2</v>
      </c>
      <c r="T65" s="144">
        <f>1/S65</f>
        <v>0.5</v>
      </c>
      <c r="U65" s="144"/>
      <c r="V65" s="144"/>
      <c r="W65" s="145">
        <f>T65*K64*2</f>
        <v>302.11556291577176</v>
      </c>
      <c r="X65" s="145">
        <f>P63/W65</f>
        <v>196.08390719188407</v>
      </c>
      <c r="Y65" s="146">
        <f>W65/T66</f>
        <v>341.44764670704228</v>
      </c>
      <c r="Z65" s="140"/>
    </row>
    <row r="66" spans="2:56" ht="15.75" thickBot="1" x14ac:dyDescent="0.3">
      <c r="Q66" s="147" t="s">
        <v>287</v>
      </c>
      <c r="R66" s="148" t="s">
        <v>290</v>
      </c>
      <c r="S66" s="148"/>
      <c r="T66" s="278">
        <f>O63/O62</f>
        <v>0.88480786389775024</v>
      </c>
      <c r="U66" s="149"/>
      <c r="V66" s="149"/>
      <c r="W66" s="150" t="s">
        <v>274</v>
      </c>
      <c r="X66" s="150" t="s">
        <v>291</v>
      </c>
      <c r="Y66" s="151" t="s">
        <v>289</v>
      </c>
      <c r="Z66" s="152"/>
    </row>
    <row r="67" spans="2:56" s="18" customFormat="1" x14ac:dyDescent="0.25">
      <c r="AC67" s="401"/>
      <c r="AS67" s="540"/>
      <c r="AT67" s="541"/>
      <c r="AW67" s="540"/>
      <c r="AX67" s="540"/>
      <c r="BC67" s="542"/>
      <c r="BD67" s="542"/>
    </row>
    <row r="68" spans="2:56" s="18" customFormat="1" x14ac:dyDescent="0.25">
      <c r="AC68" s="401"/>
      <c r="AS68" s="540"/>
      <c r="AT68" s="541"/>
      <c r="AW68" s="540"/>
      <c r="AX68" s="540"/>
      <c r="BC68" s="542"/>
      <c r="BD68" s="542"/>
    </row>
    <row r="69" spans="2:56" s="18" customFormat="1" x14ac:dyDescent="0.25">
      <c r="AC69" s="401"/>
      <c r="AS69" s="540"/>
      <c r="AT69" s="541"/>
      <c r="AW69" s="540"/>
      <c r="AX69" s="540"/>
      <c r="BC69" s="542"/>
      <c r="BD69" s="542"/>
    </row>
    <row r="70" spans="2:56" s="18" customFormat="1" x14ac:dyDescent="0.25">
      <c r="AC70" s="401"/>
      <c r="AS70" s="540"/>
      <c r="AT70" s="541"/>
      <c r="AW70" s="540"/>
      <c r="AX70" s="540"/>
      <c r="BC70" s="542"/>
      <c r="BD70" s="542"/>
    </row>
    <row r="71" spans="2:56" s="18" customFormat="1" x14ac:dyDescent="0.25">
      <c r="AC71" s="401"/>
      <c r="AS71" s="540"/>
      <c r="AT71" s="541"/>
      <c r="AW71" s="540"/>
      <c r="AX71" s="540"/>
      <c r="BC71" s="542"/>
      <c r="BD71" s="542"/>
    </row>
    <row r="72" spans="2:56" s="18" customFormat="1" x14ac:dyDescent="0.25">
      <c r="AC72" s="401"/>
      <c r="AS72" s="540"/>
      <c r="AT72" s="541"/>
      <c r="AW72" s="540"/>
      <c r="AX72" s="540"/>
      <c r="BC72" s="542"/>
      <c r="BD72" s="542"/>
    </row>
    <row r="73" spans="2:56" x14ac:dyDescent="0.25">
      <c r="O73" s="411"/>
      <c r="AC73" s="1" t="s">
        <v>836</v>
      </c>
      <c r="AJ73" s="411" t="s">
        <v>837</v>
      </c>
      <c r="AK73" s="411">
        <v>64945.5</v>
      </c>
      <c r="AL73" s="411">
        <v>344.048</v>
      </c>
      <c r="AM73" s="411">
        <f>AK73/AL73</f>
        <v>188.76871831837417</v>
      </c>
      <c r="AO73" s="411">
        <v>62943</v>
      </c>
      <c r="AP73" s="411">
        <v>287.036</v>
      </c>
      <c r="AQ73" s="411">
        <f>AO73/AP73</f>
        <v>219.28608258197579</v>
      </c>
      <c r="AS73" s="411">
        <f>TestSummary!X313+TestSummary!X314+TestSummary!X317</f>
        <v>0</v>
      </c>
      <c r="AU73" s="411">
        <f>TestSummary!Y313+TestSummary!Y314+TestSummary!Y317</f>
        <v>0</v>
      </c>
      <c r="AY73" s="411">
        <f>TestSummary!AC313+TestSummary!AC314+TestSummary!AC317</f>
        <v>0</v>
      </c>
      <c r="BC73" s="153"/>
    </row>
    <row r="74" spans="2:56" s="18" customFormat="1" x14ac:dyDescent="0.25">
      <c r="AC74" s="401"/>
      <c r="AD74" s="543">
        <f>T14</f>
        <v>0.69316245164019064</v>
      </c>
      <c r="AE74" s="543">
        <f>T21</f>
        <v>0.84171142703506119</v>
      </c>
      <c r="AF74" s="543">
        <f>T29</f>
        <v>0.84171142703506119</v>
      </c>
      <c r="AG74" s="543">
        <f>T36</f>
        <v>0.87093056078283759</v>
      </c>
      <c r="AH74" s="543">
        <f>T58</f>
        <v>0.88480786389775024</v>
      </c>
      <c r="AI74" s="543">
        <f>T66</f>
        <v>0.88480786389775024</v>
      </c>
      <c r="AJ74" s="18" t="s">
        <v>838</v>
      </c>
      <c r="AK74" s="18">
        <v>5053.8999999999996</v>
      </c>
      <c r="AL74" s="18">
        <v>25.983000000000001</v>
      </c>
      <c r="AM74" s="18">
        <f>AK74/AL74</f>
        <v>194.50794750413729</v>
      </c>
      <c r="AO74" s="18">
        <v>7980</v>
      </c>
      <c r="AP74" s="18">
        <v>36.113999999999997</v>
      </c>
      <c r="AQ74" s="18">
        <f>AO74/AP74</f>
        <v>220.96693802957304</v>
      </c>
      <c r="AS74" s="18">
        <f>TestSummary!X325</f>
        <v>0</v>
      </c>
      <c r="AU74" s="18">
        <f>TestSummary!Y325</f>
        <v>0</v>
      </c>
      <c r="AY74" s="18">
        <f>TestSummary!AC325</f>
        <v>0</v>
      </c>
      <c r="BC74" s="544"/>
    </row>
    <row r="75" spans="2:56" s="18" customFormat="1" x14ac:dyDescent="0.25">
      <c r="O75" s="396"/>
      <c r="AC75" s="401"/>
      <c r="AJ75" s="18" t="s">
        <v>839</v>
      </c>
      <c r="AK75" s="18">
        <v>79218</v>
      </c>
      <c r="AL75" s="18">
        <v>420.39699999999999</v>
      </c>
      <c r="AO75" s="541">
        <f>SUM(AO53:AO74)</f>
        <v>79765</v>
      </c>
      <c r="AP75" s="541">
        <f>SUM(AP53:AP74)</f>
        <v>373.488</v>
      </c>
      <c r="AS75" s="540">
        <f>SUM(AS53:AS74)</f>
        <v>166284</v>
      </c>
      <c r="AW75" s="540"/>
      <c r="BC75" s="542">
        <f>(AS75-AK75)/AK75</f>
        <v>1.0990683935469212</v>
      </c>
      <c r="BD75" s="542">
        <f>(AS75-AO75)/AO75</f>
        <v>1.0846737290791701</v>
      </c>
    </row>
    <row r="76" spans="2:56" x14ac:dyDescent="0.25">
      <c r="AD76" s="411" t="s">
        <v>213</v>
      </c>
      <c r="AE76" s="411" t="s">
        <v>840</v>
      </c>
      <c r="AF76" s="411" t="s">
        <v>841</v>
      </c>
    </row>
  </sheetData>
  <mergeCells count="4">
    <mergeCell ref="AK40:AM40"/>
    <mergeCell ref="AO40:AQ40"/>
    <mergeCell ref="AS40:AU40"/>
    <mergeCell ref="AW40:AY40"/>
  </mergeCell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G76"/>
  <sheetViews>
    <sheetView tabSelected="1" topLeftCell="X34" zoomScale="85" zoomScaleNormal="85" workbookViewId="0">
      <selection activeCell="BA66" sqref="BA66"/>
    </sheetView>
  </sheetViews>
  <sheetFormatPr defaultColWidth="9.140625" defaultRowHeight="15" x14ac:dyDescent="0.25"/>
  <cols>
    <col min="1" max="1" width="9.140625" style="411"/>
    <col min="2" max="2" width="9" style="411" customWidth="1"/>
    <col min="3" max="3" width="22.42578125" style="411" bestFit="1" customWidth="1"/>
    <col min="4" max="4" width="37.5703125" style="411" customWidth="1"/>
    <col min="5" max="5" width="21" style="411" customWidth="1"/>
    <col min="6" max="6" width="27" style="411" customWidth="1"/>
    <col min="7" max="7" width="9.140625" style="411" bestFit="1" customWidth="1"/>
    <col min="8" max="10" width="9" style="411" customWidth="1"/>
    <col min="11" max="12" width="19.28515625" style="411" customWidth="1"/>
    <col min="13" max="13" width="9" style="411" customWidth="1"/>
    <col min="14" max="14" width="27.42578125" style="411" customWidth="1"/>
    <col min="15" max="15" width="11.42578125" style="629" customWidth="1"/>
    <col min="16" max="16" width="11.5703125" style="411" customWidth="1"/>
    <col min="17" max="17" width="10" style="411" customWidth="1"/>
    <col min="18" max="18" width="9.140625" style="411" customWidth="1"/>
    <col min="19" max="19" width="13.42578125" style="411" bestFit="1" customWidth="1"/>
    <col min="20" max="20" width="16.42578125" style="411" bestFit="1" customWidth="1"/>
    <col min="21" max="22" width="12.28515625" style="411" bestFit="1" customWidth="1"/>
    <col min="23" max="23" width="9.140625" style="411" customWidth="1"/>
    <col min="24" max="24" width="12.85546875" style="411" customWidth="1"/>
    <col min="25" max="28" width="9.140625" style="411" customWidth="1"/>
    <col min="29" max="29" width="16.85546875" style="1" customWidth="1"/>
    <col min="30" max="35" width="9.140625" style="411" customWidth="1"/>
    <col min="36" max="36" width="11.7109375" style="411" customWidth="1"/>
    <col min="37" max="37" width="11.140625" style="411" customWidth="1"/>
    <col min="38" max="40" width="9.140625" style="411"/>
    <col min="41" max="41" width="10.85546875" style="411" customWidth="1"/>
    <col min="42" max="42" width="11.7109375" style="411" bestFit="1" customWidth="1"/>
    <col min="43" max="54" width="9.140625" style="411"/>
    <col min="55" max="55" width="9.85546875" style="411" bestFit="1" customWidth="1"/>
    <col min="56" max="16384" width="9.140625" style="411"/>
  </cols>
  <sheetData>
    <row r="1" spans="1:44" x14ac:dyDescent="0.25">
      <c r="B1" s="413"/>
      <c r="C1" s="413"/>
      <c r="D1" s="413"/>
      <c r="E1" s="413"/>
      <c r="F1" s="413"/>
      <c r="G1" s="413"/>
      <c r="K1" s="18"/>
      <c r="L1" s="18"/>
      <c r="O1" s="629" t="s">
        <v>949</v>
      </c>
      <c r="P1" s="411" t="s">
        <v>950</v>
      </c>
    </row>
    <row r="2" spans="1:44" x14ac:dyDescent="0.25">
      <c r="B2" s="413"/>
      <c r="C2" s="413"/>
      <c r="D2" s="413"/>
      <c r="E2" s="413"/>
      <c r="J2" s="18"/>
      <c r="O2" s="629" t="s">
        <v>286</v>
      </c>
      <c r="P2" s="411" t="s">
        <v>948</v>
      </c>
    </row>
    <row r="3" spans="1:44" x14ac:dyDescent="0.25">
      <c r="B3" s="3"/>
      <c r="C3" s="3"/>
      <c r="D3" s="3"/>
      <c r="E3" s="3"/>
      <c r="F3" s="3"/>
      <c r="J3" s="18"/>
    </row>
    <row r="4" spans="1:44" x14ac:dyDescent="0.25">
      <c r="B4" s="3"/>
      <c r="C4" s="3"/>
      <c r="D4" s="3"/>
      <c r="E4" s="3"/>
      <c r="F4" s="3"/>
      <c r="J4" s="18"/>
    </row>
    <row r="5" spans="1:44" ht="15.75" thickBot="1" x14ac:dyDescent="0.3">
      <c r="B5" s="411">
        <v>1</v>
      </c>
      <c r="C5" s="411">
        <v>2</v>
      </c>
      <c r="D5" s="411">
        <v>7</v>
      </c>
      <c r="E5" s="411">
        <v>9</v>
      </c>
      <c r="F5" s="411">
        <v>10</v>
      </c>
      <c r="G5" s="411">
        <v>25</v>
      </c>
      <c r="H5" s="411">
        <v>22</v>
      </c>
      <c r="I5" s="411">
        <v>23</v>
      </c>
      <c r="J5" s="18">
        <v>21</v>
      </c>
      <c r="K5" s="18">
        <v>25</v>
      </c>
      <c r="L5" s="18">
        <v>41</v>
      </c>
    </row>
    <row r="6" spans="1:44" ht="96" customHeight="1" x14ac:dyDescent="0.25">
      <c r="A6" s="411">
        <v>7</v>
      </c>
      <c r="B6" s="119" t="str">
        <f>INDEX(TestSummary!$A$1:$BL$366,'J1634 Calcs no precondition'!$A6,'J1634 Calcs no precondition'!B$5)</f>
        <v>Test ID [#]</v>
      </c>
      <c r="C6" s="120" t="str">
        <f>INDEX(TestSummary!$A$1:$BL$366,'J1634 Calcs no precondition'!$A6,'J1634 Calcs no precondition'!C$5)</f>
        <v>Cycle</v>
      </c>
      <c r="D6" s="121" t="str">
        <f>INDEX(TestSummary!$A$1:$BL$366,'J1634 Calcs no precondition'!$A6,'J1634 Calcs no precondition'!D$5)</f>
        <v>Start Comments</v>
      </c>
      <c r="E6" s="122" t="str">
        <f>INDEX(TestSummary!$A$1:$BL$366,'J1634 Calcs no precondition'!$A6,'J1634 Calcs no precondition'!E$5)</f>
        <v>SPECIAL COMMENTS</v>
      </c>
      <c r="F6" s="122" t="str">
        <f>INDEX(TestSummary!$A$1:$BL$366,'J1634 Calcs no precondition'!$A6,'J1634 Calcs no precondition'!F$5)</f>
        <v>Test Cell Temp [C]</v>
      </c>
      <c r="G6" s="123" t="str">
        <f>INDEX(TestSummary!$A$1:$BL$366,'J1634 Calcs no precondition'!$A6,'J1634 Calcs no precondition'!G$5)</f>
        <v>HV Batt (500A) Energy consumption ΔWP1
[Wh/mi]</v>
      </c>
      <c r="H6" s="123" t="str">
        <f>INDEX(TestSummary!$A$1:$BL$366,'J1634 Calcs no precondition'!$A6,'J1634 Calcs no precondition'!H$5)</f>
        <v xml:space="preserve">HV Batt (500A)
Start 
WP1 [Wh]
</v>
      </c>
      <c r="I6" s="123" t="str">
        <f>INDEX(TestSummary!$A$1:$BL$366,'J1634 Calcs no precondition'!$A6,'J1634 Calcs no precondition'!I$5)</f>
        <v>HV Batt Out (500A) End
WP1 [Wh]</v>
      </c>
      <c r="J6" s="124" t="str">
        <f>INDEX(TestSummary!$A$1:$BL$366,'J1634 Calcs no precondition'!$A6,'J1634 Calcs no precondition'!J$5)</f>
        <v>End SOC</v>
      </c>
      <c r="K6" s="125" t="str">
        <f>INDEX(TestSummary!$A$1:$BL$366,'J1634 Calcs no precondition'!$A6,'J1634 Calcs no precondition'!K$5)</f>
        <v>HV Batt (500A) Energy consumption ΔWP1
[Wh/mi]</v>
      </c>
      <c r="L6" s="125" t="str">
        <f>INDEX(TestSummary!$A$1:$BL$366,'J1634 Calcs no precondition'!$A6,'J1634 Calcs no precondition'!L$5)</f>
        <v>PTC Heater Δ WP7&amp;8 [Wh/mi]</v>
      </c>
      <c r="N6" s="411" t="s">
        <v>273</v>
      </c>
      <c r="Q6" s="411" t="s">
        <v>389</v>
      </c>
      <c r="AC6" s="531" t="s">
        <v>274</v>
      </c>
      <c r="AD6" s="630" t="s">
        <v>1019</v>
      </c>
      <c r="AE6" s="630" t="s">
        <v>1020</v>
      </c>
      <c r="AF6" s="630" t="s">
        <v>1021</v>
      </c>
      <c r="AG6" s="630" t="s">
        <v>1018</v>
      </c>
      <c r="AH6" s="630" t="s">
        <v>1022</v>
      </c>
      <c r="AI6" s="630" t="s">
        <v>1023</v>
      </c>
    </row>
    <row r="7" spans="1:44" x14ac:dyDescent="0.25">
      <c r="B7" s="401"/>
      <c r="C7" s="376"/>
      <c r="D7" s="377"/>
      <c r="E7" s="376"/>
      <c r="F7" s="376"/>
      <c r="G7" s="375"/>
      <c r="H7" s="375"/>
      <c r="I7" s="375"/>
      <c r="J7" s="378"/>
      <c r="K7" s="375"/>
      <c r="L7" s="375"/>
      <c r="AC7" s="1" t="s">
        <v>208</v>
      </c>
      <c r="AD7" s="105">
        <f>SUM(K10:L10)</f>
        <v>539.57030404629222</v>
      </c>
      <c r="AE7" s="105">
        <f>SUM(K17:L17)</f>
        <v>454.22105247703433</v>
      </c>
      <c r="AF7" s="105">
        <f>SUM(K24:L24)</f>
        <v>362.12279082035781</v>
      </c>
      <c r="AG7" s="105">
        <f>K42</f>
        <v>209.4282460330657</v>
      </c>
      <c r="AH7" s="105">
        <f>K53</f>
        <v>310.37308558405277</v>
      </c>
      <c r="AI7" s="105">
        <f>K61</f>
        <v>255.36671523792654</v>
      </c>
    </row>
    <row r="8" spans="1:44" ht="17.25" customHeight="1" thickBot="1" x14ac:dyDescent="0.3">
      <c r="AC8" s="1" t="s">
        <v>280</v>
      </c>
      <c r="AD8" s="105">
        <f>SUM(K11:L11)</f>
        <v>359.09103531634133</v>
      </c>
      <c r="AE8" s="105">
        <f>SUM(K18:L18)</f>
        <v>303.34532435039824</v>
      </c>
      <c r="AF8" s="105">
        <f>SUM(K25:L25)</f>
        <v>286.97784376953621</v>
      </c>
      <c r="AG8" s="105">
        <f t="shared" ref="AG8:AG9" si="0">K43</f>
        <v>219.60358492135728</v>
      </c>
      <c r="AH8" s="105">
        <f>K54</f>
        <v>232.78653137069216</v>
      </c>
      <c r="AI8" s="105">
        <f>K62</f>
        <v>223.50638166254637</v>
      </c>
      <c r="AO8" s="118"/>
    </row>
    <row r="9" spans="1:44" ht="16.5" thickBot="1" x14ac:dyDescent="0.3">
      <c r="B9" s="86" t="s">
        <v>385</v>
      </c>
      <c r="C9" s="126"/>
      <c r="D9" s="126"/>
      <c r="E9" s="116"/>
      <c r="F9" s="116"/>
      <c r="G9" s="126"/>
      <c r="H9" s="126"/>
      <c r="I9" s="126"/>
      <c r="J9" s="126"/>
      <c r="K9" s="126"/>
      <c r="L9" s="585"/>
      <c r="N9" s="127" t="s">
        <v>278</v>
      </c>
      <c r="O9" s="629" t="s">
        <v>293</v>
      </c>
      <c r="P9" s="411" t="s">
        <v>294</v>
      </c>
      <c r="Q9" s="128" t="s">
        <v>279</v>
      </c>
      <c r="R9" s="129"/>
      <c r="S9" s="129"/>
      <c r="T9" s="129"/>
      <c r="U9" s="129"/>
      <c r="V9" s="129"/>
      <c r="W9" s="129"/>
      <c r="X9" s="129"/>
      <c r="Y9" s="129"/>
      <c r="Z9" s="130"/>
      <c r="AC9" s="1" t="s">
        <v>209</v>
      </c>
      <c r="AD9" s="105">
        <f>SUM(K12:L12)</f>
        <v>468.77459057259136</v>
      </c>
      <c r="AE9" s="105">
        <f>SUM(K19:L19)</f>
        <v>355.65285258307136</v>
      </c>
      <c r="AF9" s="105">
        <f>SUM(K26:L26)</f>
        <v>333.17954577589052</v>
      </c>
      <c r="AG9" s="105">
        <f t="shared" si="0"/>
        <v>184.48504647904815</v>
      </c>
      <c r="AH9" s="105">
        <f>K55</f>
        <v>247.11909501717622</v>
      </c>
      <c r="AI9" s="105">
        <f>K63</f>
        <v>209.91474861171858</v>
      </c>
      <c r="AK9" s="105"/>
      <c r="AL9" s="105"/>
      <c r="AM9" s="105"/>
      <c r="AO9" s="118"/>
      <c r="AP9" s="141"/>
      <c r="AQ9" s="141"/>
      <c r="AR9" s="141"/>
    </row>
    <row r="10" spans="1:44" s="7" customFormat="1" ht="27" customHeight="1" x14ac:dyDescent="0.25">
      <c r="A10" s="525">
        <v>256</v>
      </c>
      <c r="B10" s="264">
        <f>INDEX(TestSummary!$A$1:$BL$366,'J1634 Calcs no precondition'!$A10,'J1634 Calcs no precondition'!B$5)</f>
        <v>62008040</v>
      </c>
      <c r="C10" s="264" t="str">
        <f>INDEX(TestSummary!$A$1:$BL$366,'J1634 Calcs no precondition'!$A10,'J1634 Calcs no precondition'!C$5)</f>
        <v>UDDS 1 , Combined</v>
      </c>
      <c r="D10" s="265" t="str">
        <f>INDEX(TestSummary!$A$1:$BL$366,'J1634 Calcs no precondition'!$A10,'J1634 Calcs no precondition'!D$5)</f>
        <v>J1634 MCT in super cold test cell (0°F) after long soak over weekend, E-Pedal ON, HVAC AUTO 72°F, UDDS-HWY-UDDS-US06</v>
      </c>
      <c r="E10" s="602">
        <f>INDEX(TestSummary!$A$1:$BL$366,'J1634 Calcs no precondition'!$A10,'J1634 Calcs no precondition'!E$5)</f>
        <v>0</v>
      </c>
      <c r="F10" s="602">
        <f>INDEX(TestSummary!$A$1:$BL$366,'J1634 Calcs no precondition'!$A10,'J1634 Calcs no precondition'!F$5)</f>
        <v>-17.308002500000001</v>
      </c>
      <c r="G10" s="266">
        <f>INDEX(TestSummary!$A$1:$BL$366,'J1634 Calcs no precondition'!$A10,'J1634 Calcs no precondition'!G$5)</f>
        <v>314.90832525470631</v>
      </c>
      <c r="H10" s="266">
        <f>INDEX(TestSummary!$A$1:$BL$366,'J1634 Calcs no precondition'!$A10,'J1634 Calcs no precondition'!H$5)</f>
        <v>-7576</v>
      </c>
      <c r="I10" s="266">
        <f>INDEX(TestSummary!$A$1:$BL$366,'J1634 Calcs no precondition'!$A10,'J1634 Calcs no precondition'!I$5)</f>
        <v>-5239</v>
      </c>
      <c r="J10" s="267">
        <f>INDEX(TestSummary!$A$1:$BL$366,'J1634 Calcs no precondition'!$A10,'J1634 Calcs no precondition'!J$5)</f>
        <v>89.6</v>
      </c>
      <c r="K10" s="268">
        <f>INDEX(TestSummary!$A$1:$BL$366,'J1634 Calcs no precondition'!$A10,'J1634 Calcs no precondition'!K$5)</f>
        <v>314.90832525470631</v>
      </c>
      <c r="L10" s="268">
        <f>INDEX(TestSummary!$A$1:$BL$366,'J1634 Calcs no precondition'!$A10,'J1634 Calcs no precondition'!L$5)</f>
        <v>224.66197879158597</v>
      </c>
      <c r="N10" s="134" t="s">
        <v>846</v>
      </c>
      <c r="O10" s="269">
        <f>TestSummary!AU276</f>
        <v>64309.599999999999</v>
      </c>
      <c r="P10" s="269">
        <f>$O$32</f>
        <v>68019.200000000012</v>
      </c>
      <c r="Q10" s="270" t="s">
        <v>16</v>
      </c>
      <c r="R10" s="271" t="s">
        <v>1</v>
      </c>
      <c r="S10" s="271" t="s">
        <v>392</v>
      </c>
      <c r="T10" s="272" t="s">
        <v>281</v>
      </c>
      <c r="U10" s="271" t="s">
        <v>282</v>
      </c>
      <c r="V10" s="272" t="s">
        <v>283</v>
      </c>
      <c r="W10" s="273" t="s">
        <v>947</v>
      </c>
      <c r="X10" s="274" t="s">
        <v>284</v>
      </c>
      <c r="Y10" s="273" t="s">
        <v>285</v>
      </c>
      <c r="Z10" s="275"/>
      <c r="AC10" s="532" t="s">
        <v>288</v>
      </c>
      <c r="AD10" s="105">
        <f>SUM(K13:L13)</f>
        <v>449.02449074659825</v>
      </c>
      <c r="AE10" s="105">
        <f>SUM(K20:L20)</f>
        <v>375.3819379986947</v>
      </c>
      <c r="AF10" s="105">
        <f>SUM(K27:L27)</f>
        <v>364.80216254486703</v>
      </c>
      <c r="AG10" s="276">
        <f>K35</f>
        <v>301.41035271617523</v>
      </c>
      <c r="AH10" s="276">
        <f>K56</f>
        <v>311.83267705480091</v>
      </c>
      <c r="AI10" s="105">
        <f>K64</f>
        <v>302.11556291577176</v>
      </c>
      <c r="AK10" s="276"/>
      <c r="AL10" s="276"/>
      <c r="AM10" s="276"/>
      <c r="AO10" s="277"/>
    </row>
    <row r="11" spans="1:44" x14ac:dyDescent="0.25">
      <c r="A11" s="525">
        <f>A10+1</f>
        <v>257</v>
      </c>
      <c r="B11" s="361">
        <f>INDEX(TestSummary!$A$1:$BL$366,'J1634 Calcs no precondition'!$A11,'J1634 Calcs no precondition'!B$5)</f>
        <v>62008040</v>
      </c>
      <c r="C11" s="361" t="str">
        <f>INDEX(TestSummary!$A$1:$BL$366,'J1634 Calcs no precondition'!$A11,'J1634 Calcs no precondition'!C$5)</f>
        <v>HWY 1</v>
      </c>
      <c r="D11" s="600" t="str">
        <f>INDEX(TestSummary!$A$1:$BL$366,'J1634 Calcs no precondition'!$A11,'J1634 Calcs no precondition'!D$5)</f>
        <v>J1634 MCT in super cold test cell (0°F) after long soak over weekend, E-Pedal ON, HVAC AUTO 72°F, UDDS-HWY-UDDS-US06</v>
      </c>
      <c r="E11" s="599">
        <f>INDEX(TestSummary!$A$1:$BL$366,'J1634 Calcs no precondition'!$A11,'J1634 Calcs no precondition'!E$5)</f>
        <v>0</v>
      </c>
      <c r="F11" s="599">
        <f>INDEX(TestSummary!$A$1:$BL$366,'J1634 Calcs no precondition'!$A11,'J1634 Calcs no precondition'!F$5)</f>
        <v>-13.954682</v>
      </c>
      <c r="G11" s="131">
        <f>INDEX(TestSummary!$A$1:$BL$366,'J1634 Calcs no precondition'!$A11,'J1634 Calcs no precondition'!G$5)</f>
        <v>268.07040749568125</v>
      </c>
      <c r="H11" s="131">
        <f>INDEX(TestSummary!$A$1:$BL$366,'J1634 Calcs no precondition'!$A11,'J1634 Calcs no precondition'!H$5)</f>
        <v>-5238</v>
      </c>
      <c r="I11" s="131">
        <f>INDEX(TestSummary!$A$1:$BL$366,'J1634 Calcs no precondition'!$A11,'J1634 Calcs no precondition'!I$5)</f>
        <v>-2492</v>
      </c>
      <c r="J11" s="132">
        <f>INDEX(TestSummary!$A$1:$BL$366,'J1634 Calcs no precondition'!$A11,'J1634 Calcs no precondition'!J$5)</f>
        <v>83.8</v>
      </c>
      <c r="K11" s="133">
        <f>INDEX(TestSummary!$A$1:$BL$366,'J1634 Calcs no precondition'!$A11,'J1634 Calcs no precondition'!K$5)</f>
        <v>268.07040749568125</v>
      </c>
      <c r="L11" s="133">
        <f>INDEX(TestSummary!$A$1:$BL$366,'J1634 Calcs no precondition'!$A11,'J1634 Calcs no precondition'!L$5)</f>
        <v>91.020627820660081</v>
      </c>
      <c r="N11" s="142" t="s">
        <v>286</v>
      </c>
      <c r="O11" s="143">
        <f>TestSummary!W275-TestSummary!V254</f>
        <v>44577</v>
      </c>
      <c r="P11" s="143">
        <f>$O$33</f>
        <v>59240</v>
      </c>
      <c r="Q11" s="135" t="s">
        <v>287</v>
      </c>
      <c r="R11" s="136" t="s">
        <v>57</v>
      </c>
      <c r="S11" s="136">
        <v>3</v>
      </c>
      <c r="T11" s="144"/>
      <c r="U11" s="144">
        <f>(I10-H10)/O11</f>
        <v>5.2426139040312271E-2</v>
      </c>
      <c r="V11" s="144">
        <f>(1-U11)/S11</f>
        <v>0.31585795365322927</v>
      </c>
      <c r="W11" s="145">
        <f>U11*(K10+L10)+V11*(K12+L12)*3</f>
        <v>472.48613649062179</v>
      </c>
      <c r="X11" s="145">
        <f>P11/W11</f>
        <v>125.37934010086205</v>
      </c>
      <c r="Y11" s="146">
        <f>W11/T14</f>
        <v>681.63838847964848</v>
      </c>
      <c r="Z11" s="140"/>
      <c r="AD11" s="39"/>
      <c r="AE11" s="39"/>
      <c r="AF11" s="39"/>
      <c r="AG11" s="39"/>
      <c r="AH11" s="39"/>
      <c r="AK11" s="105"/>
      <c r="AL11" s="105"/>
      <c r="AM11" s="105"/>
      <c r="AO11" s="118"/>
    </row>
    <row r="12" spans="1:44" x14ac:dyDescent="0.25">
      <c r="A12" s="525">
        <f>A11+3</f>
        <v>260</v>
      </c>
      <c r="B12" s="361">
        <f>INDEX(TestSummary!$A$1:$BL$366,'J1634 Calcs no precondition'!$A12,'J1634 Calcs no precondition'!B$5)</f>
        <v>62008040</v>
      </c>
      <c r="C12" s="361" t="str">
        <f>INDEX(TestSummary!$A$1:$BL$366,'J1634 Calcs no precondition'!$A12,'J1634 Calcs no precondition'!C$5)</f>
        <v>UDDS 2, combined</v>
      </c>
      <c r="D12" s="600" t="str">
        <f>INDEX(TestSummary!$A$1:$BL$366,'J1634 Calcs no precondition'!$A12,'J1634 Calcs no precondition'!D$5)</f>
        <v>J1634 MCT in super cold test cell (0°F) after long soak over weekend, E-Pedal ON, HVAC AUTO 72°F, UDDS-HWY-UDDS-US06</v>
      </c>
      <c r="E12" s="599">
        <f>INDEX(TestSummary!$A$1:$BL$366,'J1634 Calcs no precondition'!$A12,'J1634 Calcs no precondition'!E$5)</f>
        <v>0</v>
      </c>
      <c r="F12" s="599">
        <f>INDEX(TestSummary!$A$1:$BL$366,'J1634 Calcs no precondition'!$A12,'J1634 Calcs no precondition'!F$5)</f>
        <v>-18.004924500000001</v>
      </c>
      <c r="G12" s="131">
        <f>INDEX(TestSummary!$A$1:$BL$366,'J1634 Calcs no precondition'!$A12,'J1634 Calcs no precondition'!G$5)</f>
        <v>255.65519121032602</v>
      </c>
      <c r="H12" s="131">
        <f>INDEX(TestSummary!$A$1:$BL$366,'J1634 Calcs no precondition'!$A12,'J1634 Calcs no precondition'!H$5)</f>
        <v>-2489</v>
      </c>
      <c r="I12" s="131">
        <f>INDEX(TestSummary!$A$1:$BL$366,'J1634 Calcs no precondition'!$A12,'J1634 Calcs no precondition'!I$5)</f>
        <v>-592</v>
      </c>
      <c r="J12" s="132">
        <f>INDEX(TestSummary!$A$1:$BL$366,'J1634 Calcs no precondition'!$A12,'J1634 Calcs no precondition'!J$5)</f>
        <v>78.2</v>
      </c>
      <c r="K12" s="133">
        <f>INDEX(TestSummary!$A$1:$BL$366,'J1634 Calcs no precondition'!$A12,'J1634 Calcs no precondition'!K$5)</f>
        <v>255.65519121032602</v>
      </c>
      <c r="L12" s="133">
        <f>INDEX(TestSummary!$A$1:$BL$366,'J1634 Calcs no precondition'!$A12,'J1634 Calcs no precondition'!L$5)</f>
        <v>213.11939936226534</v>
      </c>
      <c r="Q12" s="135" t="s">
        <v>287</v>
      </c>
      <c r="R12" s="136" t="s">
        <v>55</v>
      </c>
      <c r="S12" s="136">
        <v>2</v>
      </c>
      <c r="T12" s="144">
        <f>1/S12</f>
        <v>0.5</v>
      </c>
      <c r="U12" s="144"/>
      <c r="V12" s="144"/>
      <c r="W12" s="145">
        <f>T12*(K11+L11)*2</f>
        <v>359.09103531634133</v>
      </c>
      <c r="X12" s="145">
        <f>P11/W12</f>
        <v>164.97209390875634</v>
      </c>
      <c r="Y12" s="146">
        <f>W12/T14</f>
        <v>518.04744251025829</v>
      </c>
      <c r="Z12" s="140"/>
      <c r="AC12" s="531" t="s">
        <v>289</v>
      </c>
      <c r="AD12" s="39"/>
      <c r="AE12" s="39"/>
      <c r="AF12" s="39"/>
      <c r="AG12" s="39"/>
      <c r="AH12" s="39"/>
    </row>
    <row r="13" spans="1:44" x14ac:dyDescent="0.25">
      <c r="A13" s="525">
        <f>A12+3</f>
        <v>263</v>
      </c>
      <c r="B13" s="361">
        <f>INDEX(TestSummary!$A$1:$BL$366,'J1634 Calcs no precondition'!$A13,'J1634 Calcs no precondition'!B$5)</f>
        <v>62008040</v>
      </c>
      <c r="C13" s="361" t="str">
        <f>INDEX(TestSummary!$A$1:$BL$366,'J1634 Calcs no precondition'!$A13,'J1634 Calcs no precondition'!C$5)</f>
        <v>US06 1, combined</v>
      </c>
      <c r="D13" s="600" t="str">
        <f>INDEX(TestSummary!$A$1:$BL$366,'J1634 Calcs no precondition'!$A13,'J1634 Calcs no precondition'!D$5)</f>
        <v>J1634 MCT in super cold test cell (0°F) after long soak over weekend, E-Pedal ON, HVAC AUTO 72°F, UDDS-HWY-UDDS-US06</v>
      </c>
      <c r="E13" s="599">
        <f>INDEX(TestSummary!$A$1:$BL$366,'J1634 Calcs no precondition'!$A13,'J1634 Calcs no precondition'!E$5)</f>
        <v>0</v>
      </c>
      <c r="F13" s="599">
        <f>INDEX(TestSummary!$A$1:$BL$366,'J1634 Calcs no precondition'!$A13,'J1634 Calcs no precondition'!F$5)</f>
        <v>-12.748239</v>
      </c>
      <c r="G13" s="131">
        <f>INDEX(TestSummary!$A$1:$BL$366,'J1634 Calcs no precondition'!$A13,'J1634 Calcs no precondition'!G$5)</f>
        <v>369.77640199099176</v>
      </c>
      <c r="H13" s="131">
        <f>INDEX(TestSummary!$A$1:$BL$366,'J1634 Calcs no precondition'!$A13,'J1634 Calcs no precondition'!H$5)</f>
        <v>-584</v>
      </c>
      <c r="I13" s="131">
        <f>INDEX(TestSummary!$A$1:$BL$366,'J1634 Calcs no precondition'!$A13,'J1634 Calcs no precondition'!I$5)</f>
        <v>2121.466602</v>
      </c>
      <c r="J13" s="132">
        <f>INDEX(TestSummary!$A$1:$BL$366,'J1634 Calcs no precondition'!$A13,'J1634 Calcs no precondition'!J$5)</f>
        <v>72.599999999999994</v>
      </c>
      <c r="K13" s="133">
        <f>INDEX(TestSummary!$A$1:$BL$366,'J1634 Calcs no precondition'!$A13,'J1634 Calcs no precondition'!K$5)</f>
        <v>369.77640199099176</v>
      </c>
      <c r="L13" s="133">
        <f>INDEX(TestSummary!$A$1:$BL$366,'J1634 Calcs no precondition'!$A13,'J1634 Calcs no precondition'!L$5)</f>
        <v>79.248088755606489</v>
      </c>
      <c r="N13" s="39"/>
      <c r="Q13" s="135" t="s">
        <v>287</v>
      </c>
      <c r="R13" s="136" t="s">
        <v>210</v>
      </c>
      <c r="S13" s="136">
        <v>2</v>
      </c>
      <c r="T13" s="144">
        <f>1/S13</f>
        <v>0.5</v>
      </c>
      <c r="U13" s="144"/>
      <c r="V13" s="144"/>
      <c r="W13" s="145">
        <f>T13*(K13+L13)*2</f>
        <v>449.02449074659825</v>
      </c>
      <c r="X13" s="145">
        <f>P11/W13</f>
        <v>131.93044303997976</v>
      </c>
      <c r="Y13" s="146">
        <f>W13/T14</f>
        <v>647.79113421983163</v>
      </c>
      <c r="Z13" s="140"/>
      <c r="AC13" s="1" t="s">
        <v>57</v>
      </c>
      <c r="AD13" s="105">
        <f>Y11</f>
        <v>681.63838847964848</v>
      </c>
      <c r="AE13" s="105">
        <f>Y18</f>
        <v>428.12528840674207</v>
      </c>
      <c r="AF13" s="105">
        <f>Y26</f>
        <v>397.3951693217457</v>
      </c>
      <c r="AG13" s="105">
        <f>Y43</f>
        <v>211.31564960585933</v>
      </c>
      <c r="AH13" s="105">
        <f>Y55</f>
        <v>282.06883181782172</v>
      </c>
      <c r="AI13" s="105">
        <f>Y63</f>
        <v>238.88661062261102</v>
      </c>
      <c r="AP13" s="141"/>
    </row>
    <row r="14" spans="1:44" ht="15.75" thickBot="1" x14ac:dyDescent="0.3">
      <c r="B14" s="368"/>
      <c r="C14" s="368"/>
      <c r="D14" s="19"/>
      <c r="E14" s="115"/>
      <c r="F14" s="115"/>
      <c r="G14" s="154"/>
      <c r="H14" s="154"/>
      <c r="I14" s="154"/>
      <c r="J14" s="155"/>
      <c r="K14" s="156"/>
      <c r="L14" s="156"/>
      <c r="Q14" s="147" t="s">
        <v>287</v>
      </c>
      <c r="R14" s="148" t="s">
        <v>290</v>
      </c>
      <c r="S14" s="148"/>
      <c r="T14" s="278">
        <f>O11/O10</f>
        <v>0.69316245164019064</v>
      </c>
      <c r="U14" s="149"/>
      <c r="V14" s="149"/>
      <c r="W14" s="150" t="s">
        <v>274</v>
      </c>
      <c r="X14" s="150" t="s">
        <v>291</v>
      </c>
      <c r="Y14" s="151" t="s">
        <v>289</v>
      </c>
      <c r="Z14" s="152"/>
      <c r="AC14" s="1" t="s">
        <v>55</v>
      </c>
      <c r="AD14" s="105">
        <f>Y12</f>
        <v>518.04744251025829</v>
      </c>
      <c r="AE14" s="105">
        <f>Y19</f>
        <v>360.39112052801261</v>
      </c>
      <c r="AF14" s="105">
        <f>Y27</f>
        <v>340.94564306964344</v>
      </c>
      <c r="AG14" s="105">
        <f t="shared" ref="AG14:AG15" si="1">Y44</f>
        <v>254.22899515125798</v>
      </c>
      <c r="AH14" s="105">
        <f>Y56</f>
        <v>263.09274687639231</v>
      </c>
      <c r="AI14" s="105">
        <f>Y64</f>
        <v>252.60442496290372</v>
      </c>
    </row>
    <row r="15" spans="1:44" ht="15.75" thickBot="1" x14ac:dyDescent="0.3">
      <c r="AC15" s="1" t="s">
        <v>210</v>
      </c>
      <c r="AD15" s="105">
        <f>Y13</f>
        <v>647.79113421983163</v>
      </c>
      <c r="AE15" s="105">
        <f>Y20</f>
        <v>445.97462496259811</v>
      </c>
      <c r="AF15" s="105">
        <f>Y28</f>
        <v>433.40526316707746</v>
      </c>
      <c r="AG15" s="105">
        <f t="shared" si="1"/>
        <v>347.15814678052328</v>
      </c>
      <c r="AH15" s="105">
        <f>Y57</f>
        <v>352.42982095696743</v>
      </c>
      <c r="AI15" s="105">
        <f>Y65</f>
        <v>341.44764670704228</v>
      </c>
    </row>
    <row r="16" spans="1:44" ht="16.5" thickBot="1" x14ac:dyDescent="0.3">
      <c r="B16" s="86" t="s">
        <v>919</v>
      </c>
      <c r="C16" s="126"/>
      <c r="D16" s="126"/>
      <c r="E16" s="116"/>
      <c r="F16" s="116"/>
      <c r="G16" s="126"/>
      <c r="H16" s="126"/>
      <c r="I16" s="126"/>
      <c r="J16" s="126"/>
      <c r="K16" s="126"/>
      <c r="L16" s="585"/>
      <c r="N16" s="127" t="s">
        <v>278</v>
      </c>
      <c r="O16" s="629" t="s">
        <v>293</v>
      </c>
      <c r="P16" s="411" t="s">
        <v>294</v>
      </c>
      <c r="Q16" s="128" t="s">
        <v>279</v>
      </c>
      <c r="R16" s="129"/>
      <c r="S16" s="129"/>
      <c r="T16" s="129"/>
      <c r="U16" s="129"/>
      <c r="V16" s="129"/>
      <c r="W16" s="129"/>
      <c r="X16" s="129"/>
      <c r="Y16" s="129"/>
      <c r="Z16" s="130"/>
      <c r="AD16" s="39"/>
      <c r="AE16" s="39"/>
      <c r="AF16" s="39"/>
      <c r="AG16" s="39"/>
      <c r="AH16" s="39"/>
    </row>
    <row r="17" spans="1:41" x14ac:dyDescent="0.25">
      <c r="A17" s="525">
        <v>199</v>
      </c>
      <c r="B17" s="361">
        <f>INDEX(TestSummary!$A$1:$BL$366,'J1634 Calcs no precondition'!$A17,'J1634 Calcs no precondition'!B$5)</f>
        <v>62008029</v>
      </c>
      <c r="C17" s="361" t="str">
        <f>INDEX(TestSummary!$A$1:$BL$366,'J1634 Calcs no precondition'!$A17,'J1634 Calcs no precondition'!C$5)</f>
        <v>UDDS 1 , Combined</v>
      </c>
      <c r="D17" s="600" t="str">
        <f>INDEX(TestSummary!$A$1:$BL$366,'J1634 Calcs no precondition'!$A17,'J1634 Calcs no precondition'!D$5)</f>
        <v>J1634MCT in cold test cell (20°F), HVAC AUTO 72°F, Use Calc EV Phases 2019 Leaf to combine PTC Power</v>
      </c>
      <c r="E17" s="599">
        <f>INDEX(TestSummary!$A$1:$BL$366,'J1634 Calcs no precondition'!$A17,'J1634 Calcs no precondition'!E$5)</f>
        <v>0</v>
      </c>
      <c r="F17" s="599">
        <f>INDEX(TestSummary!$A$1:$BL$366,'J1634 Calcs no precondition'!$A17,'J1634 Calcs no precondition'!F$5)</f>
        <v>-6.4680374999999994</v>
      </c>
      <c r="G17" s="131">
        <f>INDEX(TestSummary!$A$1:$BL$366,'J1634 Calcs no precondition'!$A17,'J1634 Calcs no precondition'!G$5)</f>
        <v>358.02556320826375</v>
      </c>
      <c r="H17" s="131">
        <f>INDEX(TestSummary!$A$1:$BL$366,'J1634 Calcs no precondition'!$A17,'J1634 Calcs no precondition'!H$5)</f>
        <v>-906</v>
      </c>
      <c r="I17" s="131">
        <f>INDEX(TestSummary!$A$1:$BL$366,'J1634 Calcs no precondition'!$A17,'J1634 Calcs no precondition'!I$5)</f>
        <v>1754</v>
      </c>
      <c r="J17" s="132">
        <f>INDEX(TestSummary!$A$1:$BL$366,'J1634 Calcs no precondition'!$A17,'J1634 Calcs no precondition'!J$5)</f>
        <v>92</v>
      </c>
      <c r="K17" s="133">
        <f>INDEX(TestSummary!$A$1:$BL$366,'J1634 Calcs no precondition'!$A17,'J1634 Calcs no precondition'!K$5)</f>
        <v>358.02556320826375</v>
      </c>
      <c r="L17" s="133">
        <f>INDEX(TestSummary!$A$1:$BL$366,'J1634 Calcs no precondition'!$A17,'J1634 Calcs no precondition'!L$5)</f>
        <v>96.195489268770586</v>
      </c>
      <c r="M17" s="39"/>
      <c r="N17" s="134" t="s">
        <v>846</v>
      </c>
      <c r="O17" s="586">
        <f>TestSummary!AU239</f>
        <v>66204.399999999994</v>
      </c>
      <c r="P17" s="269">
        <f>$O$32</f>
        <v>68019.200000000012</v>
      </c>
      <c r="Q17" s="135" t="s">
        <v>16</v>
      </c>
      <c r="R17" s="136" t="s">
        <v>1</v>
      </c>
      <c r="S17" s="136" t="s">
        <v>392</v>
      </c>
      <c r="T17" s="137" t="s">
        <v>281</v>
      </c>
      <c r="U17" s="136" t="s">
        <v>282</v>
      </c>
      <c r="V17" s="137" t="s">
        <v>283</v>
      </c>
      <c r="W17" s="138" t="s">
        <v>947</v>
      </c>
      <c r="X17" s="139" t="s">
        <v>284</v>
      </c>
      <c r="Y17" s="138" t="s">
        <v>285</v>
      </c>
      <c r="Z17" s="140"/>
      <c r="AC17" s="531" t="s">
        <v>390</v>
      </c>
      <c r="AD17" s="420"/>
      <c r="AE17" s="420"/>
      <c r="AF17" s="420"/>
      <c r="AG17" s="420"/>
    </row>
    <row r="18" spans="1:41" x14ac:dyDescent="0.25">
      <c r="A18" s="525">
        <f>A17+1</f>
        <v>200</v>
      </c>
      <c r="B18" s="361">
        <f>INDEX(TestSummary!$A$1:$BL$366,'J1634 Calcs no precondition'!$A18,'J1634 Calcs no precondition'!B$5)</f>
        <v>62008029</v>
      </c>
      <c r="C18" s="361" t="str">
        <f>INDEX(TestSummary!$A$1:$BL$366,'J1634 Calcs no precondition'!$A18,'J1634 Calcs no precondition'!C$5)</f>
        <v>HWY 1</v>
      </c>
      <c r="D18" s="600" t="str">
        <f>INDEX(TestSummary!$A$1:$BL$366,'J1634 Calcs no precondition'!$A18,'J1634 Calcs no precondition'!D$5)</f>
        <v>J1634MCT in cold test cell (20°F), HVAC AUTO 72°F, Use Calc EV Phases 2019 Leaf to combine PTC Power</v>
      </c>
      <c r="E18" s="599">
        <f>INDEX(TestSummary!$A$1:$BL$366,'J1634 Calcs no precondition'!$A18,'J1634 Calcs no precondition'!E$5)</f>
        <v>0</v>
      </c>
      <c r="F18" s="599">
        <f>INDEX(TestSummary!$A$1:$BL$366,'J1634 Calcs no precondition'!$A18,'J1634 Calcs no precondition'!F$5)</f>
        <v>-3.2424309999999998</v>
      </c>
      <c r="G18" s="131">
        <f>INDEX(TestSummary!$A$1:$BL$366,'J1634 Calcs no precondition'!$A18,'J1634 Calcs no precondition'!G$5)</f>
        <v>289.89964228804854</v>
      </c>
      <c r="H18" s="131">
        <f>INDEX(TestSummary!$A$1:$BL$366,'J1634 Calcs no precondition'!$A18,'J1634 Calcs no precondition'!H$5)</f>
        <v>1761</v>
      </c>
      <c r="I18" s="131">
        <f>INDEX(TestSummary!$A$1:$BL$366,'J1634 Calcs no precondition'!$A18,'J1634 Calcs no precondition'!I$5)</f>
        <v>4731</v>
      </c>
      <c r="J18" s="132">
        <f>INDEX(TestSummary!$A$1:$BL$366,'J1634 Calcs no precondition'!$A18,'J1634 Calcs no precondition'!J$5)</f>
        <v>87.3</v>
      </c>
      <c r="K18" s="133">
        <f>INDEX(TestSummary!$A$1:$BL$366,'J1634 Calcs no precondition'!$A18,'J1634 Calcs no precondition'!K$5)</f>
        <v>289.89964228804854</v>
      </c>
      <c r="L18" s="133">
        <f>INDEX(TestSummary!$A$1:$BL$366,'J1634 Calcs no precondition'!$A18,'J1634 Calcs no precondition'!L$5)</f>
        <v>13.445682062349725</v>
      </c>
      <c r="M18" s="39"/>
      <c r="N18" s="142" t="s">
        <v>286</v>
      </c>
      <c r="O18" s="587">
        <f>TestSummary!W238-TestSummary!V220</f>
        <v>55725</v>
      </c>
      <c r="P18" s="143">
        <f>$O$33</f>
        <v>59240</v>
      </c>
      <c r="Q18" s="135" t="s">
        <v>287</v>
      </c>
      <c r="R18" s="136" t="s">
        <v>57</v>
      </c>
      <c r="S18" s="136">
        <v>3</v>
      </c>
      <c r="T18" s="144"/>
      <c r="U18" s="144">
        <f>(I17-H17)/O18</f>
        <v>4.7734410049349481E-2</v>
      </c>
      <c r="V18" s="144">
        <f>(1-U18)/S18</f>
        <v>0.31742186331688349</v>
      </c>
      <c r="W18" s="145">
        <f>U18*(K17+L17)+V18*(K19+L19)*3</f>
        <v>360.35794745463602</v>
      </c>
      <c r="X18" s="145">
        <f>P18/W18</f>
        <v>164.39210073882853</v>
      </c>
      <c r="Y18" s="146">
        <f>W18/T21</f>
        <v>428.12528840674207</v>
      </c>
      <c r="Z18" s="140"/>
      <c r="AC18" s="1" t="s">
        <v>57</v>
      </c>
      <c r="AD18" s="153">
        <f t="shared" ref="AD18:AE20" si="2">AD13/$AG13-1</f>
        <v>2.2256881577442247</v>
      </c>
      <c r="AE18" s="153">
        <f t="shared" si="2"/>
        <v>1.025998969812556</v>
      </c>
      <c r="AF18" s="153">
        <f t="shared" ref="AF18:AF20" si="3">AF13/$AG13-1</f>
        <v>0.88057614314395183</v>
      </c>
      <c r="AG18" s="153">
        <f t="shared" ref="AG18:AI20" si="4">AG13/$AG13-1</f>
        <v>0</v>
      </c>
      <c r="AH18" s="153">
        <f t="shared" si="4"/>
        <v>0.33482225449903713</v>
      </c>
      <c r="AI18" s="153">
        <f t="shared" si="4"/>
        <v>0.13047287821879894</v>
      </c>
    </row>
    <row r="19" spans="1:41" x14ac:dyDescent="0.25">
      <c r="A19" s="525">
        <f>A18+3</f>
        <v>203</v>
      </c>
      <c r="B19" s="361">
        <f>INDEX(TestSummary!$A$1:$BL$366,'J1634 Calcs no precondition'!$A19,'J1634 Calcs no precondition'!B$5)</f>
        <v>62008029</v>
      </c>
      <c r="C19" s="361" t="str">
        <f>INDEX(TestSummary!$A$1:$BL$366,'J1634 Calcs no precondition'!$A19,'J1634 Calcs no precondition'!C$5)</f>
        <v>UDDS 2, combined</v>
      </c>
      <c r="D19" s="600" t="str">
        <f>INDEX(TestSummary!$A$1:$BL$366,'J1634 Calcs no precondition'!$A19,'J1634 Calcs no precondition'!D$5)</f>
        <v>J1634MCT in cold test cell (20°F), HVAC AUTO 72°F, Use Calc EV Phases 2019 Leaf to combine PTC Power</v>
      </c>
      <c r="E19" s="599">
        <f>INDEX(TestSummary!$A$1:$BL$366,'J1634 Calcs no precondition'!$A19,'J1634 Calcs no precondition'!E$5)</f>
        <v>0</v>
      </c>
      <c r="F19" s="599">
        <f>INDEX(TestSummary!$A$1:$BL$366,'J1634 Calcs no precondition'!$A19,'J1634 Calcs no precondition'!F$5)</f>
        <v>-7.0921249999999993</v>
      </c>
      <c r="G19" s="131">
        <f>INDEX(TestSummary!$A$1:$BL$366,'J1634 Calcs no precondition'!$A19,'J1634 Calcs no precondition'!G$5)</f>
        <v>322.33740525679667</v>
      </c>
      <c r="H19" s="131">
        <f>INDEX(TestSummary!$A$1:$BL$366,'J1634 Calcs no precondition'!$A19,'J1634 Calcs no precondition'!H$5)</f>
        <v>4737</v>
      </c>
      <c r="I19" s="131">
        <f>INDEX(TestSummary!$A$1:$BL$366,'J1634 Calcs no precondition'!$A19,'J1634 Calcs no precondition'!I$5)</f>
        <v>7135</v>
      </c>
      <c r="J19" s="132">
        <f>INDEX(TestSummary!$A$1:$BL$366,'J1634 Calcs no precondition'!$A19,'J1634 Calcs no precondition'!J$5)</f>
        <v>83.2</v>
      </c>
      <c r="K19" s="133">
        <f>INDEX(TestSummary!$A$1:$BL$366,'J1634 Calcs no precondition'!$A19,'J1634 Calcs no precondition'!K$5)</f>
        <v>322.33740525679667</v>
      </c>
      <c r="L19" s="133">
        <f>INDEX(TestSummary!$A$1:$BL$366,'J1634 Calcs no precondition'!$A19,'J1634 Calcs no precondition'!L$5)</f>
        <v>33.315447326274686</v>
      </c>
      <c r="M19" s="39"/>
      <c r="Q19" s="135" t="s">
        <v>287</v>
      </c>
      <c r="R19" s="136" t="s">
        <v>55</v>
      </c>
      <c r="S19" s="136">
        <v>2</v>
      </c>
      <c r="T19" s="144">
        <f>1/S19</f>
        <v>0.5</v>
      </c>
      <c r="U19" s="144"/>
      <c r="V19" s="144"/>
      <c r="W19" s="145">
        <f>T19*(K18+L18)*2</f>
        <v>303.34532435039824</v>
      </c>
      <c r="X19" s="145">
        <f>P18/W19</f>
        <v>195.28898336198213</v>
      </c>
      <c r="Y19" s="146">
        <f>W19/T21</f>
        <v>360.39112052801261</v>
      </c>
      <c r="Z19" s="140"/>
      <c r="AC19" s="1" t="s">
        <v>55</v>
      </c>
      <c r="AD19" s="153">
        <f t="shared" si="2"/>
        <v>1.0377197424001023</v>
      </c>
      <c r="AE19" s="153">
        <f t="shared" si="2"/>
        <v>0.41758464770547365</v>
      </c>
      <c r="AF19" s="153">
        <f t="shared" si="3"/>
        <v>0.34109660806703768</v>
      </c>
      <c r="AG19" s="153">
        <f t="shared" si="4"/>
        <v>0</v>
      </c>
      <c r="AH19" s="153">
        <f t="shared" si="4"/>
        <v>3.4865227390214359E-2</v>
      </c>
      <c r="AI19" s="153">
        <f t="shared" si="4"/>
        <v>-6.3901845160804216E-3</v>
      </c>
    </row>
    <row r="20" spans="1:41" x14ac:dyDescent="0.25">
      <c r="A20" s="525">
        <f>A19+3</f>
        <v>206</v>
      </c>
      <c r="B20" s="361">
        <f>INDEX(TestSummary!$A$1:$BL$366,'J1634 Calcs no precondition'!$A20,'J1634 Calcs no precondition'!B$5)</f>
        <v>62008029</v>
      </c>
      <c r="C20" s="361" t="str">
        <f>INDEX(TestSummary!$A$1:$BL$366,'J1634 Calcs no precondition'!$A20,'J1634 Calcs no precondition'!C$5)</f>
        <v>US06 1, combined</v>
      </c>
      <c r="D20" s="600" t="str">
        <f>INDEX(TestSummary!$A$1:$BL$366,'J1634 Calcs no precondition'!$A20,'J1634 Calcs no precondition'!D$5)</f>
        <v>J1634MCT in cold test cell (20°F), HVAC AUTO 72°F, Use Calc EV Phases 2019 Leaf to combine PTC Power</v>
      </c>
      <c r="E20" s="599">
        <f>INDEX(TestSummary!$A$1:$BL$366,'J1634 Calcs no precondition'!$A20,'J1634 Calcs no precondition'!E$5)</f>
        <v>0</v>
      </c>
      <c r="F20" s="599">
        <f>INDEX(TestSummary!$A$1:$BL$366,'J1634 Calcs no precondition'!$A20,'J1634 Calcs no precondition'!F$5)</f>
        <v>-2.9472040000000002</v>
      </c>
      <c r="G20" s="131">
        <f>INDEX(TestSummary!$A$1:$BL$366,'J1634 Calcs no precondition'!$A20,'J1634 Calcs no precondition'!G$5)</f>
        <v>372.47412013965283</v>
      </c>
      <c r="H20" s="131">
        <f>INDEX(TestSummary!$A$1:$BL$366,'J1634 Calcs no precondition'!$A20,'J1634 Calcs no precondition'!H$5)</f>
        <v>7178.8137059999999</v>
      </c>
      <c r="I20" s="131">
        <f>INDEX(TestSummary!$A$1:$BL$366,'J1634 Calcs no precondition'!$A20,'J1634 Calcs no precondition'!I$5)</f>
        <v>9905</v>
      </c>
      <c r="J20" s="132">
        <f>INDEX(TestSummary!$A$1:$BL$366,'J1634 Calcs no precondition'!$A20,'J1634 Calcs no precondition'!J$5)</f>
        <v>78.8</v>
      </c>
      <c r="K20" s="133">
        <f>INDEX(TestSummary!$A$1:$BL$366,'J1634 Calcs no precondition'!$A20,'J1634 Calcs no precondition'!K$5)</f>
        <v>372.47412013965283</v>
      </c>
      <c r="L20" s="133">
        <f>INDEX(TestSummary!$A$1:$BL$366,'J1634 Calcs no precondition'!$A20,'J1634 Calcs no precondition'!L$5)</f>
        <v>2.9078178590418724</v>
      </c>
      <c r="M20" s="39"/>
      <c r="Q20" s="135" t="s">
        <v>287</v>
      </c>
      <c r="R20" s="136" t="s">
        <v>210</v>
      </c>
      <c r="S20" s="136">
        <v>2</v>
      </c>
      <c r="T20" s="144">
        <f>1/S20</f>
        <v>0.5</v>
      </c>
      <c r="U20" s="144"/>
      <c r="V20" s="144"/>
      <c r="W20" s="145">
        <f>T20*(K20+L20)*2</f>
        <v>375.3819379986947</v>
      </c>
      <c r="X20" s="145">
        <f>P18/W20</f>
        <v>157.81260098935817</v>
      </c>
      <c r="Y20" s="146">
        <f>W20/T21</f>
        <v>445.97462496259811</v>
      </c>
      <c r="Z20" s="140"/>
      <c r="AC20" s="1" t="s">
        <v>210</v>
      </c>
      <c r="AD20" s="153">
        <f t="shared" si="2"/>
        <v>0.86598280993063215</v>
      </c>
      <c r="AE20" s="153">
        <f t="shared" si="2"/>
        <v>0.28464398458880913</v>
      </c>
      <c r="AF20" s="153">
        <f t="shared" si="3"/>
        <v>0.24843754117941086</v>
      </c>
      <c r="AG20" s="153">
        <f t="shared" si="4"/>
        <v>0</v>
      </c>
      <c r="AH20" s="153">
        <f t="shared" si="4"/>
        <v>1.5185223867947961E-2</v>
      </c>
      <c r="AI20" s="153">
        <f t="shared" si="4"/>
        <v>-1.6449275716093781E-2</v>
      </c>
    </row>
    <row r="21" spans="1:41" ht="18" customHeight="1" thickBot="1" x14ac:dyDescent="0.3">
      <c r="B21" s="368"/>
      <c r="C21" s="368"/>
      <c r="D21" s="19"/>
      <c r="E21" s="115"/>
      <c r="F21" s="115"/>
      <c r="G21" s="527"/>
      <c r="H21" s="527"/>
      <c r="I21" s="527"/>
      <c r="J21" s="378"/>
      <c r="K21" s="527"/>
      <c r="L21" s="527"/>
      <c r="Q21" s="147" t="s">
        <v>287</v>
      </c>
      <c r="R21" s="148" t="s">
        <v>290</v>
      </c>
      <c r="S21" s="148"/>
      <c r="T21" s="278">
        <f>O18/O17</f>
        <v>0.84171142703506119</v>
      </c>
      <c r="U21" s="149"/>
      <c r="V21" s="149"/>
      <c r="W21" s="150" t="s">
        <v>274</v>
      </c>
      <c r="X21" s="150" t="s">
        <v>291</v>
      </c>
      <c r="Y21" s="151" t="s">
        <v>289</v>
      </c>
      <c r="Z21" s="152"/>
      <c r="AD21" s="153"/>
      <c r="AE21" s="153"/>
      <c r="AF21" s="153"/>
      <c r="AG21" s="153"/>
      <c r="AH21" s="153"/>
      <c r="AI21" s="153"/>
    </row>
    <row r="22" spans="1:41" ht="18" customHeight="1" x14ac:dyDescent="0.25">
      <c r="B22" s="368"/>
      <c r="C22" s="368"/>
      <c r="D22" s="19"/>
      <c r="E22" s="115"/>
      <c r="F22" s="115"/>
      <c r="G22" s="527"/>
      <c r="H22" s="527"/>
      <c r="I22" s="527"/>
      <c r="J22" s="378"/>
      <c r="K22" s="527"/>
      <c r="L22" s="527"/>
      <c r="O22" s="396"/>
      <c r="P22" s="18"/>
      <c r="Q22" s="401"/>
      <c r="R22" s="536"/>
      <c r="S22" s="536"/>
      <c r="T22" s="537"/>
      <c r="U22" s="81"/>
      <c r="V22" s="81"/>
      <c r="W22" s="538"/>
      <c r="X22" s="538"/>
      <c r="Y22" s="539"/>
      <c r="Z22" s="401"/>
      <c r="AD22" s="153"/>
      <c r="AE22" s="153"/>
      <c r="AF22" s="153"/>
      <c r="AG22" s="153"/>
      <c r="AH22" s="153"/>
      <c r="AI22" s="153"/>
    </row>
    <row r="23" spans="1:41" ht="18" customHeight="1" thickBot="1" x14ac:dyDescent="0.3">
      <c r="B23" s="86" t="s">
        <v>844</v>
      </c>
      <c r="C23" s="126"/>
      <c r="D23" s="126"/>
      <c r="E23" s="116"/>
      <c r="F23" s="116"/>
      <c r="G23" s="126"/>
      <c r="H23" s="126"/>
      <c r="I23" s="126"/>
      <c r="J23" s="126"/>
      <c r="K23" s="126"/>
      <c r="L23" s="585"/>
      <c r="AD23" s="153"/>
      <c r="AE23" s="153"/>
      <c r="AF23" s="153"/>
      <c r="AG23" s="153"/>
      <c r="AH23" s="153"/>
      <c r="AI23" s="153"/>
    </row>
    <row r="24" spans="1:41" ht="18" customHeight="1" thickBot="1" x14ac:dyDescent="0.3">
      <c r="A24" s="525">
        <v>245</v>
      </c>
      <c r="B24" s="361">
        <f>INDEX(TestSummary!$A$1:$BL$366,'J1634 Calcs no precondition'!$A24,'J1634 Calcs no precondition'!B$5)</f>
        <v>62008039</v>
      </c>
      <c r="C24" s="361" t="str">
        <f>INDEX(TestSummary!$A$1:$BL$366,'J1634 Calcs no precondition'!$A24,'J1634 Calcs no precondition'!C$5)</f>
        <v>UDDS 1 , Combined</v>
      </c>
      <c r="D24" s="600" t="str">
        <f>INDEX(TestSummary!$A$1:$BL$366,'J1634 Calcs no precondition'!$A24,'J1634 Calcs no precondition'!D$5)</f>
        <v>J1634 MCT first half with Climate pre-conditioning. 1 hour log of vehicle prior to cycle start</v>
      </c>
      <c r="E24" s="599">
        <f>INDEX(TestSummary!$A$1:$BL$366,'J1634 Calcs no precondition'!$A24,'J1634 Calcs no precondition'!E$5)</f>
        <v>0</v>
      </c>
      <c r="F24" s="599">
        <f>INDEX(TestSummary!$A$1:$BL$366,'J1634 Calcs no precondition'!$A24,'J1634 Calcs no precondition'!F$5)</f>
        <v>-5.9922194999999991</v>
      </c>
      <c r="G24" s="131">
        <f>INDEX(TestSummary!$A$1:$BL$366,'J1634 Calcs no precondition'!$A24,'J1634 Calcs no precondition'!G$5)</f>
        <v>340.55350380642119</v>
      </c>
      <c r="H24" s="131">
        <f>INDEX(TestSummary!$A$1:$BL$366,'J1634 Calcs no precondition'!$A24,'J1634 Calcs no precondition'!H$5)</f>
        <v>-7048</v>
      </c>
      <c r="I24" s="131">
        <f>INDEX(TestSummary!$A$1:$BL$366,'J1634 Calcs no precondition'!$A24,'J1634 Calcs no precondition'!I$5)</f>
        <v>-4521</v>
      </c>
      <c r="J24" s="132">
        <f>INDEX(TestSummary!$A$1:$BL$366,'J1634 Calcs no precondition'!$A24,'J1634 Calcs no precondition'!J$5)</f>
        <v>92</v>
      </c>
      <c r="K24" s="133">
        <f>INDEX(TestSummary!$A$1:$BL$366,'J1634 Calcs no precondition'!$A24,'J1634 Calcs no precondition'!K$5)</f>
        <v>340.55350380642119</v>
      </c>
      <c r="L24" s="133">
        <f>INDEX(TestSummary!$A$1:$BL$366,'J1634 Calcs no precondition'!$A24,'J1634 Calcs no precondition'!L$5)</f>
        <v>21.569287013936595</v>
      </c>
      <c r="N24" s="127" t="s">
        <v>278</v>
      </c>
      <c r="O24" s="629" t="s">
        <v>293</v>
      </c>
      <c r="P24" s="411" t="s">
        <v>294</v>
      </c>
      <c r="Q24" s="128" t="s">
        <v>279</v>
      </c>
      <c r="R24" s="129"/>
      <c r="S24" s="129"/>
      <c r="T24" s="129"/>
      <c r="U24" s="129"/>
      <c r="V24" s="129"/>
      <c r="W24" s="129"/>
      <c r="X24" s="129"/>
      <c r="Y24" s="129"/>
      <c r="Z24" s="130"/>
      <c r="AD24" s="153"/>
      <c r="AE24" s="153"/>
      <c r="AF24" s="153"/>
      <c r="AG24" s="153"/>
      <c r="AH24" s="153"/>
      <c r="AI24" s="153"/>
    </row>
    <row r="25" spans="1:41" ht="18" customHeight="1" x14ac:dyDescent="0.25">
      <c r="A25" s="525">
        <f>A24+1</f>
        <v>246</v>
      </c>
      <c r="B25" s="361">
        <f>INDEX(TestSummary!$A$1:$BL$366,'J1634 Calcs no precondition'!$A25,'J1634 Calcs no precondition'!B$5)</f>
        <v>62008039</v>
      </c>
      <c r="C25" s="361" t="str">
        <f>INDEX(TestSummary!$A$1:$BL$366,'J1634 Calcs no precondition'!$A25,'J1634 Calcs no precondition'!C$5)</f>
        <v>HWY 1</v>
      </c>
      <c r="D25" s="600" t="str">
        <f>INDEX(TestSummary!$A$1:$BL$366,'J1634 Calcs no precondition'!$A25,'J1634 Calcs no precondition'!D$5)</f>
        <v>J1634 MCT first half with Climate pre-conditioning. 1 hour log of vehicle prior to cycle start</v>
      </c>
      <c r="E25" s="599">
        <f>INDEX(TestSummary!$A$1:$BL$366,'J1634 Calcs no precondition'!$A25,'J1634 Calcs no precondition'!E$5)</f>
        <v>0</v>
      </c>
      <c r="F25" s="599">
        <f>INDEX(TestSummary!$A$1:$BL$366,'J1634 Calcs no precondition'!$A25,'J1634 Calcs no precondition'!F$5)</f>
        <v>-3.3024640000000001</v>
      </c>
      <c r="G25" s="131">
        <f>INDEX(TestSummary!$A$1:$BL$366,'J1634 Calcs no precondition'!$A25,'J1634 Calcs no precondition'!G$5)</f>
        <v>285.20677160054333</v>
      </c>
      <c r="H25" s="131">
        <f>INDEX(TestSummary!$A$1:$BL$366,'J1634 Calcs no precondition'!$A25,'J1634 Calcs no precondition'!H$5)</f>
        <v>-4514</v>
      </c>
      <c r="I25" s="131">
        <f>INDEX(TestSummary!$A$1:$BL$366,'J1634 Calcs no precondition'!$A25,'J1634 Calcs no precondition'!I$5)</f>
        <v>-1592</v>
      </c>
      <c r="J25" s="132">
        <f>INDEX(TestSummary!$A$1:$BL$366,'J1634 Calcs no precondition'!$A25,'J1634 Calcs no precondition'!J$5)</f>
        <v>87.6</v>
      </c>
      <c r="K25" s="133">
        <f>INDEX(TestSummary!$A$1:$BL$366,'J1634 Calcs no precondition'!$A25,'J1634 Calcs no precondition'!K$5)</f>
        <v>285.20677160054333</v>
      </c>
      <c r="L25" s="133">
        <f>INDEX(TestSummary!$A$1:$BL$366,'J1634 Calcs no precondition'!$A25,'J1634 Calcs no precondition'!L$5)</f>
        <v>1.7710721689928561</v>
      </c>
      <c r="N25" s="134" t="s">
        <v>846</v>
      </c>
      <c r="O25" s="546">
        <f>O17</f>
        <v>66204.399999999994</v>
      </c>
      <c r="P25" s="269">
        <f>$O$32</f>
        <v>68019.200000000012</v>
      </c>
      <c r="Q25" s="135" t="s">
        <v>16</v>
      </c>
      <c r="R25" s="136" t="s">
        <v>1</v>
      </c>
      <c r="S25" s="136" t="s">
        <v>392</v>
      </c>
      <c r="T25" s="137" t="s">
        <v>281</v>
      </c>
      <c r="U25" s="136" t="s">
        <v>282</v>
      </c>
      <c r="V25" s="137" t="s">
        <v>283</v>
      </c>
      <c r="W25" s="138" t="s">
        <v>947</v>
      </c>
      <c r="X25" s="139" t="s">
        <v>284</v>
      </c>
      <c r="Y25" s="138" t="s">
        <v>285</v>
      </c>
      <c r="Z25" s="140"/>
      <c r="AD25" s="153"/>
      <c r="AE25" s="153"/>
      <c r="AF25" s="153"/>
      <c r="AG25" s="153"/>
      <c r="AH25" s="153"/>
      <c r="AI25" s="153"/>
    </row>
    <row r="26" spans="1:41" ht="18" customHeight="1" x14ac:dyDescent="0.25">
      <c r="A26" s="525">
        <f>A25+3</f>
        <v>249</v>
      </c>
      <c r="B26" s="361">
        <f>INDEX(TestSummary!$A$1:$BL$366,'J1634 Calcs no precondition'!$A26,'J1634 Calcs no precondition'!B$5)</f>
        <v>62008039</v>
      </c>
      <c r="C26" s="361" t="str">
        <f>INDEX(TestSummary!$A$1:$BL$366,'J1634 Calcs no precondition'!$A26,'J1634 Calcs no precondition'!C$5)</f>
        <v>UDDS 2, combined</v>
      </c>
      <c r="D26" s="600" t="str">
        <f>INDEX(TestSummary!$A$1:$BL$366,'J1634 Calcs no precondition'!$A26,'J1634 Calcs no precondition'!D$5)</f>
        <v>J1634 MCT first half with Climate pre-conditioning. 1 hour log of vehicle prior to cycle start</v>
      </c>
      <c r="E26" s="599">
        <f>INDEX(TestSummary!$A$1:$BL$366,'J1634 Calcs no precondition'!$A26,'J1634 Calcs no precondition'!E$5)</f>
        <v>0</v>
      </c>
      <c r="F26" s="599">
        <f>INDEX(TestSummary!$A$1:$BL$366,'J1634 Calcs no precondition'!$A26,'J1634 Calcs no precondition'!F$5)</f>
        <v>-6.8879440000000001</v>
      </c>
      <c r="G26" s="131">
        <f>INDEX(TestSummary!$A$1:$BL$366,'J1634 Calcs no precondition'!$A26,'J1634 Calcs no precondition'!G$5)</f>
        <v>319.26822956295126</v>
      </c>
      <c r="H26" s="131">
        <f>INDEX(TestSummary!$A$1:$BL$366,'J1634 Calcs no precondition'!$A26,'J1634 Calcs no precondition'!H$5)</f>
        <v>-1587</v>
      </c>
      <c r="I26" s="131">
        <f>INDEX(TestSummary!$A$1:$BL$366,'J1634 Calcs no precondition'!$A26,'J1634 Calcs no precondition'!I$5)</f>
        <v>782</v>
      </c>
      <c r="J26" s="132">
        <f>INDEX(TestSummary!$A$1:$BL$366,'J1634 Calcs no precondition'!$A26,'J1634 Calcs no precondition'!J$5)</f>
        <v>83.8</v>
      </c>
      <c r="K26" s="133">
        <f>INDEX(TestSummary!$A$1:$BL$366,'J1634 Calcs no precondition'!$A26,'J1634 Calcs no precondition'!K$5)</f>
        <v>319.26822956295126</v>
      </c>
      <c r="L26" s="133">
        <f>INDEX(TestSummary!$A$1:$BL$366,'J1634 Calcs no precondition'!$A26,'J1634 Calcs no precondition'!L$5)</f>
        <v>13.911316212939253</v>
      </c>
      <c r="N26" s="142" t="s">
        <v>286</v>
      </c>
      <c r="O26" s="547">
        <f>O18</f>
        <v>55725</v>
      </c>
      <c r="P26" s="143">
        <f>$O$33</f>
        <v>59240</v>
      </c>
      <c r="Q26" s="135" t="s">
        <v>287</v>
      </c>
      <c r="R26" s="136" t="s">
        <v>57</v>
      </c>
      <c r="S26" s="136">
        <v>3</v>
      </c>
      <c r="T26" s="144"/>
      <c r="U26" s="144">
        <f>(I24-H24)/O26</f>
        <v>4.5347689546882008E-2</v>
      </c>
      <c r="V26" s="144">
        <f>(1-U26)/S26</f>
        <v>0.31821743681770598</v>
      </c>
      <c r="W26" s="145">
        <f>U26*(K24+L24)+V26*(K26+L26)*3</f>
        <v>334.49205506664634</v>
      </c>
      <c r="X26" s="145">
        <f>P26/W26</f>
        <v>177.10435600091202</v>
      </c>
      <c r="Y26" s="146">
        <f>W26/T29</f>
        <v>397.3951693217457</v>
      </c>
      <c r="Z26" s="140"/>
      <c r="AD26" s="153"/>
      <c r="AE26" s="153"/>
      <c r="AF26" s="153"/>
      <c r="AG26" s="153"/>
      <c r="AH26" s="153"/>
      <c r="AI26" s="153"/>
    </row>
    <row r="27" spans="1:41" ht="18" customHeight="1" x14ac:dyDescent="0.25">
      <c r="A27" s="525">
        <f>A26+3</f>
        <v>252</v>
      </c>
      <c r="B27" s="361">
        <f>INDEX(TestSummary!$A$1:$BL$366,'J1634 Calcs no precondition'!$A27,'J1634 Calcs no precondition'!B$5)</f>
        <v>62008039</v>
      </c>
      <c r="C27" s="361" t="str">
        <f>INDEX(TestSummary!$A$1:$BL$366,'J1634 Calcs no precondition'!$A27,'J1634 Calcs no precondition'!C$5)</f>
        <v>US06 1, combined</v>
      </c>
      <c r="D27" s="600" t="str">
        <f>INDEX(TestSummary!$A$1:$BL$366,'J1634 Calcs no precondition'!$A27,'J1634 Calcs no precondition'!D$5)</f>
        <v>J1634 MCT first half with Climate pre-conditioning. 1 hour log of vehicle prior to cycle start</v>
      </c>
      <c r="E27" s="599">
        <f>INDEX(TestSummary!$A$1:$BL$366,'J1634 Calcs no precondition'!$A27,'J1634 Calcs no precondition'!E$5)</f>
        <v>0</v>
      </c>
      <c r="F27" s="599">
        <f>INDEX(TestSummary!$A$1:$BL$366,'J1634 Calcs no precondition'!$A27,'J1634 Calcs no precondition'!F$5)</f>
        <v>-2.6521970000000001</v>
      </c>
      <c r="G27" s="131">
        <f>INDEX(TestSummary!$A$1:$BL$366,'J1634 Calcs no precondition'!$A27,'J1634 Calcs no precondition'!G$5)</f>
        <v>363.38191984848959</v>
      </c>
      <c r="H27" s="131">
        <f>INDEX(TestSummary!$A$1:$BL$366,'J1634 Calcs no precondition'!$A27,'J1634 Calcs no precondition'!H$5)</f>
        <v>824</v>
      </c>
      <c r="I27" s="131">
        <f>INDEX(TestSummary!$A$1:$BL$366,'J1634 Calcs no precondition'!$A27,'J1634 Calcs no precondition'!I$5)</f>
        <v>3482</v>
      </c>
      <c r="J27" s="132">
        <f>INDEX(TestSummary!$A$1:$BL$366,'J1634 Calcs no precondition'!$A27,'J1634 Calcs no precondition'!J$5)</f>
        <v>79.5</v>
      </c>
      <c r="K27" s="133">
        <f>INDEX(TestSummary!$A$1:$BL$366,'J1634 Calcs no precondition'!$A27,'J1634 Calcs no precondition'!K$5)</f>
        <v>363.38191984848959</v>
      </c>
      <c r="L27" s="133">
        <f>INDEX(TestSummary!$A$1:$BL$366,'J1634 Calcs no precondition'!$A27,'J1634 Calcs no precondition'!L$5)</f>
        <v>1.420242696377465</v>
      </c>
      <c r="N27" s="589" t="s">
        <v>952</v>
      </c>
      <c r="Q27" s="135" t="s">
        <v>287</v>
      </c>
      <c r="R27" s="136" t="s">
        <v>55</v>
      </c>
      <c r="S27" s="136">
        <v>2</v>
      </c>
      <c r="T27" s="144">
        <f>1/S27</f>
        <v>0.5</v>
      </c>
      <c r="U27" s="144"/>
      <c r="V27" s="144"/>
      <c r="W27" s="145">
        <f>T27*(K25+L25)*2</f>
        <v>286.97784376953621</v>
      </c>
      <c r="X27" s="145">
        <f>P26/W27</f>
        <v>206.42708587487323</v>
      </c>
      <c r="Y27" s="146">
        <f>W27/T29</f>
        <v>340.94564306964344</v>
      </c>
      <c r="Z27" s="140"/>
      <c r="AD27" s="153"/>
      <c r="AE27" s="153"/>
      <c r="AF27" s="153"/>
      <c r="AG27" s="153"/>
      <c r="AH27" s="153"/>
      <c r="AI27" s="153"/>
    </row>
    <row r="28" spans="1:41" ht="18" customHeight="1" x14ac:dyDescent="0.25">
      <c r="B28" s="368"/>
      <c r="C28" s="368"/>
      <c r="D28" s="19"/>
      <c r="E28" s="115"/>
      <c r="F28" s="115"/>
      <c r="G28" s="154"/>
      <c r="H28" s="154"/>
      <c r="I28" s="154"/>
      <c r="J28" s="155"/>
      <c r="K28" s="156"/>
      <c r="L28" s="156"/>
      <c r="Q28" s="135" t="s">
        <v>287</v>
      </c>
      <c r="R28" s="136" t="s">
        <v>210</v>
      </c>
      <c r="S28" s="136">
        <v>2</v>
      </c>
      <c r="T28" s="144">
        <f>1/S28</f>
        <v>0.5</v>
      </c>
      <c r="U28" s="144"/>
      <c r="V28" s="144"/>
      <c r="W28" s="145">
        <f>T28*(K27+L27)*2</f>
        <v>364.80216254486703</v>
      </c>
      <c r="X28" s="145">
        <f>P26/W28</f>
        <v>162.38938822824019</v>
      </c>
      <c r="Y28" s="146">
        <f>W28/T29</f>
        <v>433.40526316707746</v>
      </c>
      <c r="Z28" s="140"/>
      <c r="AD28" s="153"/>
      <c r="AE28" s="153"/>
      <c r="AF28" s="153"/>
      <c r="AG28" s="153"/>
      <c r="AH28" s="153"/>
      <c r="AI28" s="153"/>
    </row>
    <row r="29" spans="1:41" ht="18" customHeight="1" thickBot="1" x14ac:dyDescent="0.3">
      <c r="Q29" s="147" t="s">
        <v>287</v>
      </c>
      <c r="R29" s="148" t="s">
        <v>290</v>
      </c>
      <c r="S29" s="148"/>
      <c r="T29" s="278">
        <f>O26/O25</f>
        <v>0.84171142703506119</v>
      </c>
      <c r="U29" s="149"/>
      <c r="V29" s="149"/>
      <c r="W29" s="150" t="s">
        <v>274</v>
      </c>
      <c r="X29" s="150" t="s">
        <v>291</v>
      </c>
      <c r="Y29" s="151" t="s">
        <v>289</v>
      </c>
      <c r="Z29" s="152"/>
      <c r="AD29" s="153"/>
      <c r="AE29" s="153"/>
      <c r="AF29" s="153"/>
      <c r="AG29" s="153"/>
      <c r="AH29" s="153"/>
      <c r="AI29" s="153"/>
    </row>
    <row r="30" spans="1:41" ht="15.75" thickBot="1" x14ac:dyDescent="0.3">
      <c r="AC30" s="531" t="s">
        <v>817</v>
      </c>
      <c r="AD30" s="420"/>
      <c r="AE30" s="420"/>
      <c r="AF30" s="420"/>
      <c r="AG30" s="420"/>
    </row>
    <row r="31" spans="1:41" ht="16.5" thickBot="1" x14ac:dyDescent="0.3">
      <c r="B31" s="86" t="s">
        <v>847</v>
      </c>
      <c r="C31" s="126"/>
      <c r="D31" s="126"/>
      <c r="E31" s="116"/>
      <c r="F31" s="116"/>
      <c r="G31" s="126"/>
      <c r="H31" s="126"/>
      <c r="I31" s="126"/>
      <c r="J31" s="126"/>
      <c r="K31" s="126"/>
      <c r="L31" s="585"/>
      <c r="N31" s="127" t="s">
        <v>278</v>
      </c>
      <c r="O31" s="528" t="s">
        <v>293</v>
      </c>
      <c r="P31" s="529" t="s">
        <v>294</v>
      </c>
      <c r="Q31" s="128" t="s">
        <v>279</v>
      </c>
      <c r="R31" s="129"/>
      <c r="S31" s="129"/>
      <c r="T31" s="129"/>
      <c r="U31" s="129"/>
      <c r="V31" s="129"/>
      <c r="W31" s="129"/>
      <c r="X31" s="129"/>
      <c r="Y31" s="129"/>
      <c r="Z31" s="130"/>
      <c r="AC31" s="1" t="s">
        <v>57</v>
      </c>
      <c r="AD31" s="153">
        <f t="shared" ref="AD31:AI34" si="5">AD7/$AG7-1</f>
        <v>1.5763969964256961</v>
      </c>
      <c r="AE31" s="153">
        <f t="shared" si="5"/>
        <v>1.168862419853907</v>
      </c>
      <c r="AF31" s="153">
        <f>AF7/$AG7-1</f>
        <v>0.72910196059792165</v>
      </c>
      <c r="AG31" s="153">
        <f>AG7/$AG7-1</f>
        <v>0</v>
      </c>
      <c r="AH31" s="153">
        <f>AH7/$AG7-1</f>
        <v>0.48200202915823165</v>
      </c>
      <c r="AI31" s="153">
        <f>AI7/$AG7-1</f>
        <v>0.21935183087771182</v>
      </c>
    </row>
    <row r="32" spans="1:41" ht="17.25" customHeight="1" x14ac:dyDescent="0.25">
      <c r="A32" s="525">
        <v>41</v>
      </c>
      <c r="B32" s="361">
        <f>INDEX(TestSummary!$A$1:$BL$366,'J1634 Calcs no precondition'!$A32,'J1634 Calcs no precondition'!B$5)</f>
        <v>62007023</v>
      </c>
      <c r="C32" s="361" t="str">
        <f>INDEX(TestSummary!$A$1:$BL$366,'J1634 Calcs no precondition'!$A32,'J1634 Calcs no precondition'!C$5)</f>
        <v>UDDS 1 , Combined</v>
      </c>
      <c r="D32" s="600" t="str">
        <f>INDEX(TestSummary!$A$1:$BL$366,'J1634 Calcs no precondition'!$A32,'J1634 Calcs no precondition'!D$5)</f>
        <v>J1634 MCT, FWD (2WD) mode, using MAINTENANCE MODE, E-PEDAL ON, Robot Driver, UDDS-HWY-UDDS-US06</v>
      </c>
      <c r="E32" s="599">
        <f>INDEX(TestSummary!$A$1:$BL$366,'J1634 Calcs no precondition'!$A32,'J1634 Calcs no precondition'!E$5)</f>
        <v>0</v>
      </c>
      <c r="F32" s="599">
        <f>INDEX(TestSummary!$A$1:$BL$366,'J1634 Calcs no precondition'!$A32,'J1634 Calcs no precondition'!F$5)</f>
        <v>23.087074000000001</v>
      </c>
      <c r="G32" s="131">
        <f>INDEX(TestSummary!$A$1:$BL$366,'J1634 Calcs no precondition'!$A32,'J1634 Calcs no precondition'!G$5)</f>
        <v>215.64891551608372</v>
      </c>
      <c r="H32" s="131">
        <f>INDEX(TestSummary!$A$1:$BL$366,'J1634 Calcs no precondition'!$A32,'J1634 Calcs no precondition'!H$5)</f>
        <v>-378</v>
      </c>
      <c r="I32" s="131">
        <f>INDEX(TestSummary!$A$1:$BL$366,'J1634 Calcs no precondition'!$A32,'J1634 Calcs no precondition'!I$5)</f>
        <v>1223</v>
      </c>
      <c r="J32" s="132">
        <f>INDEX(TestSummary!$A$1:$BL$366,'J1634 Calcs no precondition'!$A32,'J1634 Calcs no precondition'!J$5)</f>
        <v>95.9</v>
      </c>
      <c r="K32" s="133">
        <f>INDEX(TestSummary!$A$1:$BL$366,'J1634 Calcs no precondition'!$A32,'J1634 Calcs no precondition'!K$5)</f>
        <v>215.64891551608372</v>
      </c>
      <c r="L32" s="156"/>
      <c r="N32" s="134" t="s">
        <v>846</v>
      </c>
      <c r="O32" s="157">
        <f>TestSummary!AU61</f>
        <v>68019.200000000012</v>
      </c>
      <c r="P32" s="269">
        <f>$O$32</f>
        <v>68019.200000000012</v>
      </c>
      <c r="Q32" s="135" t="s">
        <v>16</v>
      </c>
      <c r="R32" s="136" t="s">
        <v>1</v>
      </c>
      <c r="S32" s="136" t="s">
        <v>392</v>
      </c>
      <c r="T32" s="137" t="s">
        <v>281</v>
      </c>
      <c r="U32" s="136" t="s">
        <v>282</v>
      </c>
      <c r="V32" s="137" t="s">
        <v>283</v>
      </c>
      <c r="W32" s="138" t="s">
        <v>947</v>
      </c>
      <c r="X32" s="139" t="s">
        <v>284</v>
      </c>
      <c r="Y32" s="138" t="s">
        <v>285</v>
      </c>
      <c r="Z32" s="140"/>
      <c r="AC32" s="1" t="s">
        <v>55</v>
      </c>
      <c r="AD32" s="153">
        <f t="shared" si="5"/>
        <v>0.6351783849290813</v>
      </c>
      <c r="AE32" s="153">
        <f t="shared" si="5"/>
        <v>0.38133138609294526</v>
      </c>
      <c r="AF32" s="153">
        <f t="shared" si="5"/>
        <v>0.30679944898124711</v>
      </c>
      <c r="AG32" s="153">
        <f t="shared" si="5"/>
        <v>0</v>
      </c>
      <c r="AH32" s="153">
        <f t="shared" si="5"/>
        <v>6.0030652295844034E-2</v>
      </c>
      <c r="AI32" s="153">
        <f t="shared" si="5"/>
        <v>1.7772008333045708E-2</v>
      </c>
      <c r="AO32" s="118"/>
    </row>
    <row r="33" spans="1:51" x14ac:dyDescent="0.25">
      <c r="A33" s="525">
        <f>A32+1</f>
        <v>42</v>
      </c>
      <c r="B33" s="361">
        <f>INDEX(TestSummary!$A$1:$BL$366,'J1634 Calcs no precondition'!$A33,'J1634 Calcs no precondition'!B$5)</f>
        <v>62007023</v>
      </c>
      <c r="C33" s="361" t="str">
        <f>INDEX(TestSummary!$A$1:$BL$366,'J1634 Calcs no precondition'!$A33,'J1634 Calcs no precondition'!C$5)</f>
        <v>HWY 1</v>
      </c>
      <c r="D33" s="600" t="str">
        <f>INDEX(TestSummary!$A$1:$BL$366,'J1634 Calcs no precondition'!$A33,'J1634 Calcs no precondition'!D$5)</f>
        <v>J1634 MCT, FWD (2WD) mode, using MAINTENANCE MODE, E-PEDAL ON, Robot Driver, UDDS-HWY-UDDS-US06</v>
      </c>
      <c r="E33" s="599">
        <f>INDEX(TestSummary!$A$1:$BL$366,'J1634 Calcs no precondition'!$A33,'J1634 Calcs no precondition'!E$5)</f>
        <v>0</v>
      </c>
      <c r="F33" s="599">
        <f>INDEX(TestSummary!$A$1:$BL$366,'J1634 Calcs no precondition'!$A33,'J1634 Calcs no precondition'!F$5)</f>
        <v>25.021509000000002</v>
      </c>
      <c r="G33" s="131">
        <f>INDEX(TestSummary!$A$1:$BL$366,'J1634 Calcs no precondition'!$A33,'J1634 Calcs no precondition'!G$5)</f>
        <v>222.04513333886877</v>
      </c>
      <c r="H33" s="131">
        <f>INDEX(TestSummary!$A$1:$BL$366,'J1634 Calcs no precondition'!$A33,'J1634 Calcs no precondition'!H$5)</f>
        <v>1224</v>
      </c>
      <c r="I33" s="131">
        <f>INDEX(TestSummary!$A$1:$BL$366,'J1634 Calcs no precondition'!$A33,'J1634 Calcs no precondition'!I$5)</f>
        <v>3499</v>
      </c>
      <c r="J33" s="132">
        <f>INDEX(TestSummary!$A$1:$BL$366,'J1634 Calcs no precondition'!$A33,'J1634 Calcs no precondition'!J$5)</f>
        <v>92.6</v>
      </c>
      <c r="K33" s="133">
        <f>INDEX(TestSummary!$A$1:$BL$366,'J1634 Calcs no precondition'!$A33,'J1634 Calcs no precondition'!K$5)</f>
        <v>222.04513333886877</v>
      </c>
      <c r="L33" s="156"/>
      <c r="N33" s="142" t="s">
        <v>286</v>
      </c>
      <c r="O33" s="143">
        <f>TestSummary!W60-TestSummary!V39</f>
        <v>59240</v>
      </c>
      <c r="P33" s="143">
        <f>$O$33</f>
        <v>59240</v>
      </c>
      <c r="Q33" s="135" t="s">
        <v>287</v>
      </c>
      <c r="R33" s="136" t="s">
        <v>57</v>
      </c>
      <c r="S33" s="136">
        <v>3</v>
      </c>
      <c r="T33" s="144"/>
      <c r="U33" s="144">
        <f>(I32-H32)/O33</f>
        <v>2.7025658338960163E-2</v>
      </c>
      <c r="V33" s="144">
        <f>(1-U33)/S33</f>
        <v>0.32432478055367991</v>
      </c>
      <c r="W33" s="145">
        <f>U33*K32+(V33*K34)+(V33*K37)+(V33*K39)</f>
        <v>184.14565020910837</v>
      </c>
      <c r="X33" s="145">
        <f>P33/W33</f>
        <v>321.70186986621434</v>
      </c>
      <c r="Y33" s="146">
        <f>W33/T36</f>
        <v>211.43551334745757</v>
      </c>
      <c r="Z33" s="140"/>
      <c r="AC33" s="1" t="s">
        <v>818</v>
      </c>
      <c r="AD33" s="153">
        <f t="shared" si="5"/>
        <v>1.540989633139886</v>
      </c>
      <c r="AE33" s="153">
        <f t="shared" si="5"/>
        <v>0.92781398476901833</v>
      </c>
      <c r="AF33" s="153">
        <f t="shared" si="5"/>
        <v>0.80599757072305311</v>
      </c>
      <c r="AG33" s="153">
        <f t="shared" si="5"/>
        <v>0</v>
      </c>
      <c r="AH33" s="153">
        <f t="shared" si="5"/>
        <v>0.33950745457974763</v>
      </c>
      <c r="AI33" s="153">
        <f t="shared" si="5"/>
        <v>0.13784153576674019</v>
      </c>
      <c r="AK33" s="105"/>
      <c r="AL33" s="105"/>
      <c r="AM33" s="105"/>
      <c r="AO33" s="118"/>
      <c r="AP33" s="141"/>
      <c r="AQ33" s="141"/>
      <c r="AR33" s="141"/>
    </row>
    <row r="34" spans="1:51" x14ac:dyDescent="0.25">
      <c r="A34" s="525">
        <f>A33+3</f>
        <v>45</v>
      </c>
      <c r="B34" s="361">
        <f>INDEX(TestSummary!$A$1:$BL$366,'J1634 Calcs no precondition'!$A34,'J1634 Calcs no precondition'!B$5)</f>
        <v>62007023</v>
      </c>
      <c r="C34" s="361" t="str">
        <f>INDEX(TestSummary!$A$1:$BL$366,'J1634 Calcs no precondition'!$A34,'J1634 Calcs no precondition'!C$5)</f>
        <v>UDDS 2, combined</v>
      </c>
      <c r="D34" s="600" t="str">
        <f>INDEX(TestSummary!$A$1:$BL$366,'J1634 Calcs no precondition'!$A34,'J1634 Calcs no precondition'!D$5)</f>
        <v>J1634 MCT, FWD (2WD) mode, using MAINTENANCE MODE, E-PEDAL ON, Robot Driver, UDDS-HWY-UDDS-US06</v>
      </c>
      <c r="E34" s="599">
        <f>INDEX(TestSummary!$A$1:$BL$366,'J1634 Calcs no precondition'!$A34,'J1634 Calcs no precondition'!E$5)</f>
        <v>0</v>
      </c>
      <c r="F34" s="599">
        <f>INDEX(TestSummary!$A$1:$BL$366,'J1634 Calcs no precondition'!$A34,'J1634 Calcs no precondition'!F$5)</f>
        <v>20.3349665</v>
      </c>
      <c r="G34" s="131">
        <f>INDEX(TestSummary!$A$1:$BL$366,'J1634 Calcs no precondition'!$A34,'J1634 Calcs no precondition'!G$5)</f>
        <v>186.92043361807578</v>
      </c>
      <c r="H34" s="131">
        <f>INDEX(TestSummary!$A$1:$BL$366,'J1634 Calcs no precondition'!$A34,'J1634 Calcs no precondition'!H$5)</f>
        <v>3504</v>
      </c>
      <c r="I34" s="131">
        <f>INDEX(TestSummary!$A$1:$BL$366,'J1634 Calcs no precondition'!$A34,'J1634 Calcs no precondition'!I$5)</f>
        <v>4892</v>
      </c>
      <c r="J34" s="132">
        <f>INDEX(TestSummary!$A$1:$BL$366,'J1634 Calcs no precondition'!$A34,'J1634 Calcs no precondition'!J$5)</f>
        <v>90.5</v>
      </c>
      <c r="K34" s="133">
        <f>INDEX(TestSummary!$A$1:$BL$366,'J1634 Calcs no precondition'!$A34,'J1634 Calcs no precondition'!K$5)</f>
        <v>186.92043361807578</v>
      </c>
      <c r="L34" s="156"/>
      <c r="N34" s="529"/>
      <c r="O34" s="528"/>
      <c r="P34" s="529"/>
      <c r="Q34" s="135" t="s">
        <v>287</v>
      </c>
      <c r="R34" s="136" t="s">
        <v>55</v>
      </c>
      <c r="S34" s="136">
        <v>2</v>
      </c>
      <c r="T34" s="144">
        <f>1/S34</f>
        <v>0.5</v>
      </c>
      <c r="U34" s="144"/>
      <c r="V34" s="144"/>
      <c r="W34" s="145">
        <f>T34*K33*2</f>
        <v>222.04513333886877</v>
      </c>
      <c r="X34" s="145">
        <f>P33/W34</f>
        <v>266.79260702189009</v>
      </c>
      <c r="Y34" s="146">
        <f>W34/T36</f>
        <v>254.95159239708281</v>
      </c>
      <c r="Z34" s="140"/>
      <c r="AC34" s="1" t="s">
        <v>210</v>
      </c>
      <c r="AD34" s="153">
        <f t="shared" si="5"/>
        <v>0.48974475063709821</v>
      </c>
      <c r="AE34" s="153">
        <f t="shared" si="5"/>
        <v>0.24541819687320165</v>
      </c>
      <c r="AF34" s="153">
        <f t="shared" si="5"/>
        <v>0.21031729420516965</v>
      </c>
      <c r="AG34" s="153">
        <f t="shared" si="5"/>
        <v>0</v>
      </c>
      <c r="AH34" s="153">
        <f t="shared" si="5"/>
        <v>3.4578521423382913E-2</v>
      </c>
      <c r="AI34" s="153">
        <f t="shared" si="5"/>
        <v>2.3397013182908655E-3</v>
      </c>
      <c r="AK34" s="105"/>
      <c r="AL34" s="105"/>
      <c r="AM34" s="105"/>
      <c r="AO34" s="118"/>
    </row>
    <row r="35" spans="1:51" x14ac:dyDescent="0.25">
      <c r="A35" s="525">
        <f>A34+3</f>
        <v>48</v>
      </c>
      <c r="B35" s="361">
        <f>INDEX(TestSummary!$A$1:$BL$366,'J1634 Calcs no precondition'!$A35,'J1634 Calcs no precondition'!B$5)</f>
        <v>62007023</v>
      </c>
      <c r="C35" s="361" t="str">
        <f>INDEX(TestSummary!$A$1:$BL$366,'J1634 Calcs no precondition'!$A35,'J1634 Calcs no precondition'!C$5)</f>
        <v>US06 1, combined</v>
      </c>
      <c r="D35" s="600" t="str">
        <f>INDEX(TestSummary!$A$1:$BL$366,'J1634 Calcs no precondition'!$A35,'J1634 Calcs no precondition'!D$5)</f>
        <v>J1634 MCT, FWD (2WD) mode, using MAINTENANCE MODE, E-PEDAL ON, Robot Driver, UDDS-HWY-UDDS-US06</v>
      </c>
      <c r="E35" s="599">
        <f>INDEX(TestSummary!$A$1:$BL$366,'J1634 Calcs no precondition'!$A35,'J1634 Calcs no precondition'!E$5)</f>
        <v>0</v>
      </c>
      <c r="F35" s="599">
        <f>INDEX(TestSummary!$A$1:$BL$366,'J1634 Calcs no precondition'!$A35,'J1634 Calcs no precondition'!F$5)</f>
        <v>25.146729999999998</v>
      </c>
      <c r="G35" s="131">
        <f>INDEX(TestSummary!$A$1:$BL$366,'J1634 Calcs no precondition'!$A35,'J1634 Calcs no precondition'!G$5)</f>
        <v>301.41035271617523</v>
      </c>
      <c r="H35" s="131">
        <f>INDEX(TestSummary!$A$1:$BL$366,'J1634 Calcs no precondition'!$A35,'J1634 Calcs no precondition'!H$5)</f>
        <v>4897</v>
      </c>
      <c r="I35" s="131">
        <f>INDEX(TestSummary!$A$1:$BL$366,'J1634 Calcs no precondition'!$A35,'J1634 Calcs no precondition'!I$5)</f>
        <v>7124</v>
      </c>
      <c r="J35" s="132">
        <f>INDEX(TestSummary!$A$1:$BL$366,'J1634 Calcs no precondition'!$A35,'J1634 Calcs no precondition'!J$5)</f>
        <v>87.1</v>
      </c>
      <c r="K35" s="133">
        <f>INDEX(TestSummary!$A$1:$BL$366,'J1634 Calcs no precondition'!$A35,'J1634 Calcs no precondition'!K$5)</f>
        <v>301.41035271617523</v>
      </c>
      <c r="L35" s="156"/>
      <c r="N35" s="142" t="s">
        <v>819</v>
      </c>
      <c r="O35" s="143">
        <f>TestSummary!W60-TestSummary!V39</f>
        <v>59240</v>
      </c>
      <c r="P35" s="143">
        <f>$O$35</f>
        <v>59240</v>
      </c>
      <c r="Q35" s="135" t="s">
        <v>287</v>
      </c>
      <c r="R35" s="136" t="s">
        <v>210</v>
      </c>
      <c r="S35" s="136">
        <v>2</v>
      </c>
      <c r="T35" s="144">
        <f>1/S35</f>
        <v>0.5</v>
      </c>
      <c r="U35" s="144"/>
      <c r="V35" s="144"/>
      <c r="W35" s="145">
        <f>T35*K35*2</f>
        <v>301.41035271617523</v>
      </c>
      <c r="X35" s="145">
        <f>P33/W35</f>
        <v>196.54268496803653</v>
      </c>
      <c r="Y35" s="146">
        <f>W35/T36</f>
        <v>346.07851221256027</v>
      </c>
      <c r="Z35" s="140"/>
      <c r="AD35" s="153"/>
      <c r="AE35" s="153"/>
      <c r="AF35" s="153"/>
      <c r="AG35" s="153"/>
      <c r="AH35" s="153"/>
      <c r="AI35" s="153"/>
      <c r="AK35" s="105"/>
      <c r="AL35" s="105"/>
      <c r="AM35" s="105"/>
      <c r="AO35" s="118"/>
    </row>
    <row r="36" spans="1:51" ht="15.75" thickBot="1" x14ac:dyDescent="0.3">
      <c r="A36" s="525">
        <f>A35+4</f>
        <v>52</v>
      </c>
      <c r="B36" s="361">
        <f>INDEX(TestSummary!$A$1:$BL$366,'J1634 Calcs no precondition'!$A36,'J1634 Calcs no precondition'!B$5)</f>
        <v>62007025</v>
      </c>
      <c r="C36" s="361" t="str">
        <f>INDEX(TestSummary!$A$1:$BL$366,'J1634 Calcs no precondition'!$A36,'J1634 Calcs no precondition'!C$5)</f>
        <v>US06 2, combined</v>
      </c>
      <c r="D36" s="600" t="str">
        <f>INDEX(TestSummary!$A$1:$BL$366,'J1634 Calcs no precondition'!$A36,'J1634 Calcs no precondition'!D$5)</f>
        <v>J1634 MCT, FWD (2WD) mode, using MAINTENANCE MODE, E-PEDAL ON, Robot Driver, US06-UDDS-HWY-UDDS</v>
      </c>
      <c r="E36" s="599">
        <f>INDEX(TestSummary!$A$1:$BL$366,'J1634 Calcs no precondition'!$A36,'J1634 Calcs no precondition'!E$5)</f>
        <v>0</v>
      </c>
      <c r="F36" s="599">
        <f>INDEX(TestSummary!$A$1:$BL$366,'J1634 Calcs no precondition'!$A36,'J1634 Calcs no precondition'!F$5)</f>
        <v>24.259021000000001</v>
      </c>
      <c r="G36" s="131">
        <f>INDEX(TestSummary!$A$1:$BL$366,'J1634 Calcs no precondition'!$A36,'J1634 Calcs no precondition'!G$5)</f>
        <v>296.12242842644901</v>
      </c>
      <c r="H36" s="131">
        <f>INDEX(TestSummary!$A$1:$BL$366,'J1634 Calcs no precondition'!$A36,'J1634 Calcs no precondition'!H$5)</f>
        <v>46583</v>
      </c>
      <c r="I36" s="131">
        <f>INDEX(TestSummary!$A$1:$BL$366,'J1634 Calcs no precondition'!$A36,'J1634 Calcs no precondition'!I$5)</f>
        <v>48776</v>
      </c>
      <c r="J36" s="132">
        <f>INDEX(TestSummary!$A$1:$BL$366,'J1634 Calcs no precondition'!$A36,'J1634 Calcs no precondition'!J$5)</f>
        <v>18.399999999999999</v>
      </c>
      <c r="K36" s="133">
        <f>INDEX(TestSummary!$A$1:$BL$366,'J1634 Calcs no precondition'!$A36,'J1634 Calcs no precondition'!K$5)</f>
        <v>296.12242842644901</v>
      </c>
      <c r="L36" s="156"/>
      <c r="Q36" s="147" t="s">
        <v>287</v>
      </c>
      <c r="R36" s="148" t="s">
        <v>290</v>
      </c>
      <c r="S36" s="148"/>
      <c r="T36" s="278">
        <f>O33/O32</f>
        <v>0.87093056078283759</v>
      </c>
      <c r="U36" s="149"/>
      <c r="V36" s="149"/>
      <c r="W36" s="150" t="s">
        <v>274</v>
      </c>
      <c r="X36" s="150" t="s">
        <v>291</v>
      </c>
      <c r="Y36" s="151" t="s">
        <v>289</v>
      </c>
      <c r="Z36" s="152"/>
      <c r="AC36" s="531" t="s">
        <v>292</v>
      </c>
      <c r="AD36" s="39"/>
      <c r="AE36" s="39"/>
      <c r="AF36" s="39"/>
      <c r="AG36" s="39"/>
      <c r="AH36" s="39"/>
    </row>
    <row r="37" spans="1:51" x14ac:dyDescent="0.25">
      <c r="A37" s="525">
        <f>A36+3</f>
        <v>55</v>
      </c>
      <c r="B37" s="361">
        <f>INDEX(TestSummary!$A$1:$BL$366,'J1634 Calcs no precondition'!$A37,'J1634 Calcs no precondition'!B$5)</f>
        <v>62007025</v>
      </c>
      <c r="C37" s="361" t="str">
        <f>INDEX(TestSummary!$A$1:$BL$366,'J1634 Calcs no precondition'!$A37,'J1634 Calcs no precondition'!C$5)</f>
        <v>UDDS 3, combined</v>
      </c>
      <c r="D37" s="600" t="str">
        <f>INDEX(TestSummary!$A$1:$BL$366,'J1634 Calcs no precondition'!$A37,'J1634 Calcs no precondition'!D$5)</f>
        <v>J1634 MCT, FWD (2WD) mode, using MAINTENANCE MODE, E-PEDAL ON, Robot Driver, US06-UDDS-HWY-UDDS</v>
      </c>
      <c r="E37" s="599">
        <f>INDEX(TestSummary!$A$1:$BL$366,'J1634 Calcs no precondition'!$A37,'J1634 Calcs no precondition'!E$5)</f>
        <v>0</v>
      </c>
      <c r="F37" s="599">
        <f>INDEX(TestSummary!$A$1:$BL$366,'J1634 Calcs no precondition'!$A37,'J1634 Calcs no precondition'!F$5)</f>
        <v>20.935992499999998</v>
      </c>
      <c r="G37" s="131">
        <f>INDEX(TestSummary!$A$1:$BL$366,'J1634 Calcs no precondition'!$A37,'J1634 Calcs no precondition'!G$5)</f>
        <v>181.70035662459648</v>
      </c>
      <c r="H37" s="131">
        <f>INDEX(TestSummary!$A$1:$BL$366,'J1634 Calcs no precondition'!$A37,'J1634 Calcs no precondition'!H$5)</f>
        <v>48956</v>
      </c>
      <c r="I37" s="131">
        <f>INDEX(TestSummary!$A$1:$BL$366,'J1634 Calcs no precondition'!$A37,'J1634 Calcs no precondition'!I$5)</f>
        <v>50305</v>
      </c>
      <c r="J37" s="132">
        <f>INDEX(TestSummary!$A$1:$BL$366,'J1634 Calcs no precondition'!$A37,'J1634 Calcs no precondition'!J$5)</f>
        <v>15.7</v>
      </c>
      <c r="K37" s="133">
        <f>INDEX(TestSummary!$A$1:$BL$366,'J1634 Calcs no precondition'!$A37,'J1634 Calcs no precondition'!K$5)</f>
        <v>181.70035662459648</v>
      </c>
      <c r="L37" s="156"/>
      <c r="AC37" s="1" t="s">
        <v>57</v>
      </c>
      <c r="AD37" s="105">
        <f>X11</f>
        <v>125.37934010086205</v>
      </c>
      <c r="AE37" s="105">
        <f>X18</f>
        <v>164.39210073882853</v>
      </c>
      <c r="AF37" s="105">
        <f>X26</f>
        <v>177.10435600091202</v>
      </c>
      <c r="AG37" s="105">
        <f>X33</f>
        <v>321.70186986621434</v>
      </c>
      <c r="AH37" s="105">
        <f>X55</f>
        <v>237.36188162410329</v>
      </c>
      <c r="AI37" s="105">
        <f>X63</f>
        <v>280.26848592850246</v>
      </c>
      <c r="AK37" s="153">
        <f>(AK54-AK53)/AK53</f>
        <v>-0.10964146636229366</v>
      </c>
      <c r="AO37" s="153">
        <f>(AO54-AO53)/AO53</f>
        <v>-6.2084257206208429E-2</v>
      </c>
      <c r="AP37" s="141"/>
      <c r="AS37" s="153">
        <f>(AS54-AS53)/AS53</f>
        <v>3</v>
      </c>
      <c r="AW37" s="153">
        <f>(AW54-AW53)/AW53</f>
        <v>2.315252074026803</v>
      </c>
    </row>
    <row r="38" spans="1:51" x14ac:dyDescent="0.25">
      <c r="A38" s="525">
        <f>A37+1</f>
        <v>56</v>
      </c>
      <c r="B38" s="361">
        <f>INDEX(TestSummary!$A$1:$BL$366,'J1634 Calcs no precondition'!$A38,'J1634 Calcs no precondition'!B$5)</f>
        <v>62007025</v>
      </c>
      <c r="C38" s="361" t="str">
        <f>INDEX(TestSummary!$A$1:$BL$366,'J1634 Calcs no precondition'!$A38,'J1634 Calcs no precondition'!C$5)</f>
        <v>HWY</v>
      </c>
      <c r="D38" s="600" t="str">
        <f>INDEX(TestSummary!$A$1:$BL$366,'J1634 Calcs no precondition'!$A38,'J1634 Calcs no precondition'!D$5)</f>
        <v>J1634 MCT, FWD (2WD) mode, using MAINTENANCE MODE, E-PEDAL ON, Robot Driver, US06-UDDS-HWY-UDDS</v>
      </c>
      <c r="E38" s="599">
        <f>INDEX(TestSummary!$A$1:$BL$366,'J1634 Calcs no precondition'!$A38,'J1634 Calcs no precondition'!E$5)</f>
        <v>0</v>
      </c>
      <c r="F38" s="599">
        <f>INDEX(TestSummary!$A$1:$BL$366,'J1634 Calcs no precondition'!$A38,'J1634 Calcs no precondition'!F$5)</f>
        <v>25.654754000000001</v>
      </c>
      <c r="G38" s="131">
        <f>INDEX(TestSummary!$A$1:$BL$366,'J1634 Calcs no precondition'!$A38,'J1634 Calcs no precondition'!G$5)</f>
        <v>214.8255250820435</v>
      </c>
      <c r="H38" s="131">
        <f>INDEX(TestSummary!$A$1:$BL$366,'J1634 Calcs no precondition'!$A38,'J1634 Calcs no precondition'!H$5)</f>
        <v>50305</v>
      </c>
      <c r="I38" s="131">
        <f>INDEX(TestSummary!$A$1:$BL$366,'J1634 Calcs no precondition'!$A38,'J1634 Calcs no precondition'!I$5)</f>
        <v>52506</v>
      </c>
      <c r="J38" s="132">
        <f>INDEX(TestSummary!$A$1:$BL$366,'J1634 Calcs no precondition'!$A38,'J1634 Calcs no precondition'!J$5)</f>
        <v>11.8</v>
      </c>
      <c r="K38" s="133">
        <f>INDEX(TestSummary!$A$1:$BL$366,'J1634 Calcs no precondition'!$A38,'J1634 Calcs no precondition'!K$5)</f>
        <v>214.8255250820435</v>
      </c>
      <c r="L38" s="156"/>
      <c r="AC38" s="1" t="s">
        <v>55</v>
      </c>
      <c r="AD38" s="105">
        <f>X12</f>
        <v>164.97209390875634</v>
      </c>
      <c r="AE38" s="105">
        <f>X19</f>
        <v>195.28898336198213</v>
      </c>
      <c r="AF38" s="105">
        <f>X27</f>
        <v>206.42708587487323</v>
      </c>
      <c r="AG38" s="105">
        <f>X34</f>
        <v>266.79260702189009</v>
      </c>
      <c r="AH38" s="105">
        <f>X56</f>
        <v>254.48207699639414</v>
      </c>
      <c r="AI38" s="105">
        <f>X64</f>
        <v>265.04836040628823</v>
      </c>
    </row>
    <row r="39" spans="1:51" x14ac:dyDescent="0.25">
      <c r="A39" s="525">
        <f>A38+3</f>
        <v>59</v>
      </c>
      <c r="B39" s="361">
        <f>INDEX(TestSummary!$A$1:$BL$366,'J1634 Calcs no precondition'!$A39,'J1634 Calcs no precondition'!B$5)</f>
        <v>62007025</v>
      </c>
      <c r="C39" s="361" t="str">
        <f>INDEX(TestSummary!$A$1:$BL$366,'J1634 Calcs no precondition'!$A39,'J1634 Calcs no precondition'!C$5)</f>
        <v>UDDS 4, combined</v>
      </c>
      <c r="D39" s="600" t="str">
        <f>INDEX(TestSummary!$A$1:$BL$366,'J1634 Calcs no precondition'!$A39,'J1634 Calcs no precondition'!D$5)</f>
        <v>J1634 MCT, FWD (2WD) mode, using MAINTENANCE MODE, E-PEDAL ON, Robot Driver, US06-UDDS-HWY-UDDS</v>
      </c>
      <c r="E39" s="599">
        <f>INDEX(TestSummary!$A$1:$BL$366,'J1634 Calcs no precondition'!$A39,'J1634 Calcs no precondition'!E$5)</f>
        <v>0</v>
      </c>
      <c r="F39" s="599">
        <f>INDEX(TestSummary!$A$1:$BL$366,'J1634 Calcs no precondition'!$A39,'J1634 Calcs no precondition'!F$5)</f>
        <v>20.149991</v>
      </c>
      <c r="G39" s="131">
        <f>INDEX(TestSummary!$A$1:$BL$366,'J1634 Calcs no precondition'!$A39,'J1634 Calcs no precondition'!G$5)</f>
        <v>181.1910249161437</v>
      </c>
      <c r="H39" s="131">
        <f>INDEX(TestSummary!$A$1:$BL$366,'J1634 Calcs no precondition'!$A39,'J1634 Calcs no precondition'!H$5)</f>
        <v>52513</v>
      </c>
      <c r="I39" s="131">
        <f>INDEX(TestSummary!$A$1:$BL$366,'J1634 Calcs no precondition'!$A39,'J1634 Calcs no precondition'!I$5)</f>
        <v>53859</v>
      </c>
      <c r="J39" s="132">
        <f>INDEX(TestSummary!$A$1:$BL$366,'J1634 Calcs no precondition'!$A39,'J1634 Calcs no precondition'!J$5)</f>
        <v>9.4</v>
      </c>
      <c r="K39" s="133">
        <f>INDEX(TestSummary!$A$1:$BL$366,'J1634 Calcs no precondition'!$A39,'J1634 Calcs no precondition'!K$5)</f>
        <v>181.1910249161437</v>
      </c>
      <c r="L39" s="156"/>
      <c r="AC39" s="1" t="s">
        <v>210</v>
      </c>
      <c r="AD39" s="105">
        <f>X13</f>
        <v>131.93044303997976</v>
      </c>
      <c r="AE39" s="105">
        <f>X20</f>
        <v>157.81260098935817</v>
      </c>
      <c r="AF39" s="105">
        <f>X28</f>
        <v>162.38938822824019</v>
      </c>
      <c r="AG39" s="105">
        <f>X35</f>
        <v>196.54268496803653</v>
      </c>
      <c r="AH39" s="105">
        <f>X57</f>
        <v>189.97367613782589</v>
      </c>
      <c r="AI39" s="105">
        <f>X65</f>
        <v>196.08390719188407</v>
      </c>
    </row>
    <row r="40" spans="1:51" ht="15.75" thickBot="1" x14ac:dyDescent="0.3">
      <c r="AK40" s="637" t="s">
        <v>820</v>
      </c>
      <c r="AL40" s="637"/>
      <c r="AM40" s="637"/>
      <c r="AO40" s="637" t="s">
        <v>821</v>
      </c>
      <c r="AP40" s="637"/>
      <c r="AQ40" s="637"/>
      <c r="AS40" s="637" t="s">
        <v>822</v>
      </c>
      <c r="AT40" s="637"/>
      <c r="AU40" s="637"/>
      <c r="AW40" s="637" t="s">
        <v>823</v>
      </c>
      <c r="AX40" s="637"/>
      <c r="AY40" s="637"/>
    </row>
    <row r="41" spans="1:51" ht="16.5" thickBot="1" x14ac:dyDescent="0.3">
      <c r="B41" s="86" t="s">
        <v>848</v>
      </c>
      <c r="C41" s="126"/>
      <c r="D41" s="126"/>
      <c r="E41" s="116"/>
      <c r="F41" s="116"/>
      <c r="G41" s="126"/>
      <c r="H41" s="126"/>
      <c r="I41" s="126"/>
      <c r="J41" s="126"/>
      <c r="K41" s="126"/>
      <c r="L41" s="585"/>
      <c r="N41" s="127" t="s">
        <v>278</v>
      </c>
      <c r="O41" s="629" t="s">
        <v>293</v>
      </c>
      <c r="P41" s="411" t="s">
        <v>294</v>
      </c>
      <c r="Q41" s="128" t="s">
        <v>279</v>
      </c>
      <c r="R41" s="129"/>
      <c r="S41" s="129"/>
      <c r="T41" s="129"/>
      <c r="U41" s="129"/>
      <c r="V41" s="129"/>
      <c r="W41" s="129"/>
      <c r="X41" s="129"/>
      <c r="Y41" s="129"/>
      <c r="Z41" s="130"/>
      <c r="AC41" s="1" t="s">
        <v>842</v>
      </c>
      <c r="AD41" s="411">
        <v>79218.399999999994</v>
      </c>
      <c r="AE41" s="411">
        <v>89577</v>
      </c>
      <c r="AF41" s="524">
        <f>AD41/AE41</f>
        <v>0.88436094086651706</v>
      </c>
    </row>
    <row r="42" spans="1:51" x14ac:dyDescent="0.25">
      <c r="A42" s="525">
        <v>65</v>
      </c>
      <c r="B42" s="361">
        <f>INDEX(TestSummary!$A$1:$BL$366,'J1634 Calcs no precondition'!$A42,'J1634 Calcs no precondition'!B$5)</f>
        <v>62008001</v>
      </c>
      <c r="C42" s="361" t="str">
        <f>INDEX(TestSummary!$A$1:$BL$366,'J1634 Calcs no precondition'!$A42,'J1634 Calcs no precondition'!C$5)</f>
        <v>UDDS 1 , Combined</v>
      </c>
      <c r="D42" s="600" t="str">
        <f>INDEX(TestSummary!$A$1:$BL$366,'J1634 Calcs no precondition'!$A42,'J1634 Calcs no precondition'!D$5)</f>
        <v>J1634 MCT, Repeat #1, using Maintenance Mode, E-Pedal ON, UDDS-HWY-UDDS-US06</v>
      </c>
      <c r="E42" s="599">
        <f>INDEX(TestSummary!$A$1:$BL$366,'J1634 Calcs no precondition'!$A42,'J1634 Calcs no precondition'!E$5)</f>
        <v>0</v>
      </c>
      <c r="F42" s="599">
        <f>INDEX(TestSummary!$A$1:$BL$366,'J1634 Calcs no precondition'!$A42,'J1634 Calcs no precondition'!F$5)</f>
        <v>21.840674</v>
      </c>
      <c r="G42" s="131">
        <f>INDEX(TestSummary!$A$1:$BL$366,'J1634 Calcs no precondition'!$A42,'J1634 Calcs no precondition'!G$5)</f>
        <v>209.4282460330657</v>
      </c>
      <c r="H42" s="131">
        <f>INDEX(TestSummary!$A$1:$BL$366,'J1634 Calcs no precondition'!$A42,'J1634 Calcs no precondition'!H$5)</f>
        <v>12</v>
      </c>
      <c r="I42" s="131">
        <f>INDEX(TestSummary!$A$1:$BL$366,'J1634 Calcs no precondition'!$A42,'J1634 Calcs no precondition'!I$5)</f>
        <v>1567</v>
      </c>
      <c r="J42" s="132">
        <f>INDEX(TestSummary!$A$1:$BL$366,'J1634 Calcs no precondition'!$A42,'J1634 Calcs no precondition'!J$5)</f>
        <v>95.3</v>
      </c>
      <c r="K42" s="133">
        <f>INDEX(TestSummary!$A$1:$BL$366,'J1634 Calcs no precondition'!$A42,'J1634 Calcs no precondition'!K$5)</f>
        <v>209.4282460330657</v>
      </c>
      <c r="L42" s="156"/>
      <c r="N42" s="134" t="s">
        <v>846</v>
      </c>
      <c r="O42" s="157">
        <f>TestSummary!AU85</f>
        <v>67998.200000000012</v>
      </c>
      <c r="P42" s="269">
        <f>$O$32</f>
        <v>68019.200000000012</v>
      </c>
      <c r="Q42" s="135" t="s">
        <v>16</v>
      </c>
      <c r="R42" s="136" t="s">
        <v>1</v>
      </c>
      <c r="S42" s="136" t="s">
        <v>392</v>
      </c>
      <c r="T42" s="137" t="s">
        <v>281</v>
      </c>
      <c r="U42" s="136" t="s">
        <v>282</v>
      </c>
      <c r="V42" s="137" t="s">
        <v>283</v>
      </c>
      <c r="W42" s="138" t="s">
        <v>947</v>
      </c>
      <c r="X42" s="139" t="s">
        <v>284</v>
      </c>
      <c r="Y42" s="138" t="s">
        <v>285</v>
      </c>
      <c r="Z42" s="140"/>
      <c r="AC42" s="1" t="s">
        <v>843</v>
      </c>
      <c r="AD42" s="411">
        <v>79764.800000000003</v>
      </c>
      <c r="AE42" s="411">
        <v>89907</v>
      </c>
      <c r="AF42" s="524">
        <f>AD42/AE42</f>
        <v>0.88719232095387457</v>
      </c>
    </row>
    <row r="43" spans="1:51" x14ac:dyDescent="0.25">
      <c r="A43" s="525">
        <f>A42+1</f>
        <v>66</v>
      </c>
      <c r="B43" s="361">
        <f>INDEX(TestSummary!$A$1:$BL$366,'J1634 Calcs no precondition'!$A43,'J1634 Calcs no precondition'!B$5)</f>
        <v>62008001</v>
      </c>
      <c r="C43" s="361" t="str">
        <f>INDEX(TestSummary!$A$1:$BL$366,'J1634 Calcs no precondition'!$A43,'J1634 Calcs no precondition'!C$5)</f>
        <v>HWY 1</v>
      </c>
      <c r="D43" s="600" t="str">
        <f>INDEX(TestSummary!$A$1:$BL$366,'J1634 Calcs no precondition'!$A43,'J1634 Calcs no precondition'!D$5)</f>
        <v>J1634 MCT, Repeat #1, using Maintenance Mode, E-Pedal ON, UDDS-HWY-UDDS-US06</v>
      </c>
      <c r="E43" s="599">
        <f>INDEX(TestSummary!$A$1:$BL$366,'J1634 Calcs no precondition'!$A43,'J1634 Calcs no precondition'!E$5)</f>
        <v>0</v>
      </c>
      <c r="F43" s="599">
        <f>INDEX(TestSummary!$A$1:$BL$366,'J1634 Calcs no precondition'!$A43,'J1634 Calcs no precondition'!F$5)</f>
        <v>25.001605000000001</v>
      </c>
      <c r="G43" s="131">
        <f>INDEX(TestSummary!$A$1:$BL$366,'J1634 Calcs no precondition'!$A43,'J1634 Calcs no precondition'!G$5)</f>
        <v>219.60358492135728</v>
      </c>
      <c r="H43" s="131">
        <f>INDEX(TestSummary!$A$1:$BL$366,'J1634 Calcs no precondition'!$A43,'J1634 Calcs no precondition'!H$5)</f>
        <v>1568</v>
      </c>
      <c r="I43" s="131">
        <f>INDEX(TestSummary!$A$1:$BL$366,'J1634 Calcs no precondition'!$A43,'J1634 Calcs no precondition'!I$5)</f>
        <v>3818</v>
      </c>
      <c r="J43" s="132">
        <f>INDEX(TestSummary!$A$1:$BL$366,'J1634 Calcs no precondition'!$A43,'J1634 Calcs no precondition'!J$5)</f>
        <v>92</v>
      </c>
      <c r="K43" s="133">
        <f>INDEX(TestSummary!$A$1:$BL$366,'J1634 Calcs no precondition'!$A43,'J1634 Calcs no precondition'!K$5)</f>
        <v>219.60358492135728</v>
      </c>
      <c r="L43" s="156"/>
      <c r="N43" s="142" t="s">
        <v>286</v>
      </c>
      <c r="O43" s="143">
        <f>TestSummary!W84-TestSummary!V63</f>
        <v>58737</v>
      </c>
      <c r="P43" s="143">
        <f>$O$33</f>
        <v>59240</v>
      </c>
      <c r="Q43" s="135" t="s">
        <v>287</v>
      </c>
      <c r="R43" s="136" t="s">
        <v>57</v>
      </c>
      <c r="S43" s="136">
        <v>3</v>
      </c>
      <c r="T43" s="144"/>
      <c r="U43" s="144">
        <f>(I42-H42)/O43</f>
        <v>2.6473943170403663E-2</v>
      </c>
      <c r="V43" s="144">
        <f>(1-U43)/S43</f>
        <v>0.32450868560986545</v>
      </c>
      <c r="W43" s="145">
        <f>U43*K42+(V43*K44)+(V43*K47)+(V43*K49)</f>
        <v>182.53493932044316</v>
      </c>
      <c r="X43" s="145">
        <f>P43/W43</f>
        <v>324.54060696841816</v>
      </c>
      <c r="Y43" s="146">
        <f>W43/T46</f>
        <v>211.31564960585933</v>
      </c>
      <c r="Z43" s="140"/>
    </row>
    <row r="44" spans="1:51" x14ac:dyDescent="0.25">
      <c r="A44" s="525">
        <f>A43+3</f>
        <v>69</v>
      </c>
      <c r="B44" s="361">
        <f>INDEX(TestSummary!$A$1:$BL$366,'J1634 Calcs no precondition'!$A44,'J1634 Calcs no precondition'!B$5)</f>
        <v>62008001</v>
      </c>
      <c r="C44" s="361" t="str">
        <f>INDEX(TestSummary!$A$1:$BL$366,'J1634 Calcs no precondition'!$A44,'J1634 Calcs no precondition'!C$5)</f>
        <v>UDDS 2, combined</v>
      </c>
      <c r="D44" s="600" t="str">
        <f>INDEX(TestSummary!$A$1:$BL$366,'J1634 Calcs no precondition'!$A44,'J1634 Calcs no precondition'!D$5)</f>
        <v>J1634 MCT, Repeat #1, using Maintenance Mode, E-Pedal ON, UDDS-HWY-UDDS-US06</v>
      </c>
      <c r="E44" s="599">
        <f>INDEX(TestSummary!$A$1:$BL$366,'J1634 Calcs no precondition'!$A44,'J1634 Calcs no precondition'!E$5)</f>
        <v>0</v>
      </c>
      <c r="F44" s="599">
        <f>INDEX(TestSummary!$A$1:$BL$366,'J1634 Calcs no precondition'!$A44,'J1634 Calcs no precondition'!F$5)</f>
        <v>20.207065999999998</v>
      </c>
      <c r="G44" s="131">
        <f>INDEX(TestSummary!$A$1:$BL$366,'J1634 Calcs no precondition'!$A44,'J1634 Calcs no precondition'!G$5)</f>
        <v>184.48504647904815</v>
      </c>
      <c r="H44" s="131">
        <f>INDEX(TestSummary!$A$1:$BL$366,'J1634 Calcs no precondition'!$A44,'J1634 Calcs no precondition'!H$5)</f>
        <v>3825</v>
      </c>
      <c r="I44" s="131">
        <f>INDEX(TestSummary!$A$1:$BL$366,'J1634 Calcs no precondition'!$A44,'J1634 Calcs no precondition'!I$5)</f>
        <v>5195</v>
      </c>
      <c r="J44" s="132">
        <f>INDEX(TestSummary!$A$1:$BL$366,'J1634 Calcs no precondition'!$A44,'J1634 Calcs no precondition'!J$5)</f>
        <v>89.9</v>
      </c>
      <c r="K44" s="133">
        <f>INDEX(TestSummary!$A$1:$BL$366,'J1634 Calcs no precondition'!$A44,'J1634 Calcs no precondition'!K$5)</f>
        <v>184.48504647904815</v>
      </c>
      <c r="L44" s="156"/>
      <c r="Q44" s="135" t="s">
        <v>287</v>
      </c>
      <c r="R44" s="136" t="s">
        <v>55</v>
      </c>
      <c r="S44" s="136">
        <v>2</v>
      </c>
      <c r="T44" s="144">
        <f>1/S44</f>
        <v>0.5</v>
      </c>
      <c r="U44" s="144"/>
      <c r="V44" s="144"/>
      <c r="W44" s="145">
        <f>T44*K43*2</f>
        <v>219.60358492135728</v>
      </c>
      <c r="X44" s="145">
        <f>P43/W44</f>
        <v>269.7588020760889</v>
      </c>
      <c r="Y44" s="146">
        <f>W44/T46</f>
        <v>254.22899515125798</v>
      </c>
      <c r="Z44" s="140"/>
    </row>
    <row r="45" spans="1:51" x14ac:dyDescent="0.25">
      <c r="A45" s="525">
        <f>A44+3</f>
        <v>72</v>
      </c>
      <c r="B45" s="361">
        <f>INDEX(TestSummary!$A$1:$BL$366,'J1634 Calcs no precondition'!$A45,'J1634 Calcs no precondition'!B$5)</f>
        <v>62008001</v>
      </c>
      <c r="C45" s="361" t="str">
        <f>INDEX(TestSummary!$A$1:$BL$366,'J1634 Calcs no precondition'!$A45,'J1634 Calcs no precondition'!C$5)</f>
        <v>US06 1, combined</v>
      </c>
      <c r="D45" s="600" t="str">
        <f>INDEX(TestSummary!$A$1:$BL$366,'J1634 Calcs no precondition'!$A45,'J1634 Calcs no precondition'!D$5)</f>
        <v>J1634 MCT, Repeat #1, using Maintenance Mode, E-Pedal ON, UDDS-HWY-UDDS-US06</v>
      </c>
      <c r="E45" s="599">
        <f>INDEX(TestSummary!$A$1:$BL$366,'J1634 Calcs no precondition'!$A45,'J1634 Calcs no precondition'!E$5)</f>
        <v>0</v>
      </c>
      <c r="F45" s="599">
        <f>INDEX(TestSummary!$A$1:$BL$366,'J1634 Calcs no precondition'!$A45,'J1634 Calcs no precondition'!F$5)</f>
        <v>25.043946999999999</v>
      </c>
      <c r="G45" s="131">
        <f>INDEX(TestSummary!$A$1:$BL$366,'J1634 Calcs no precondition'!$A45,'J1634 Calcs no precondition'!G$5)</f>
        <v>299.87599770946281</v>
      </c>
      <c r="H45" s="131">
        <f>INDEX(TestSummary!$A$1:$BL$366,'J1634 Calcs no precondition'!$A45,'J1634 Calcs no precondition'!H$5)</f>
        <v>5199</v>
      </c>
      <c r="I45" s="131">
        <f>INDEX(TestSummary!$A$1:$BL$366,'J1634 Calcs no precondition'!$A45,'J1634 Calcs no precondition'!I$5)</f>
        <v>7415</v>
      </c>
      <c r="J45" s="132">
        <f>INDEX(TestSummary!$A$1:$BL$366,'J1634 Calcs no precondition'!$A45,'J1634 Calcs no precondition'!J$5)</f>
        <v>86.5</v>
      </c>
      <c r="K45" s="133">
        <f>INDEX(TestSummary!$A$1:$BL$366,'J1634 Calcs no precondition'!$A45,'J1634 Calcs no precondition'!K$5)</f>
        <v>299.87599770946281</v>
      </c>
      <c r="L45" s="156"/>
      <c r="N45" s="142" t="s">
        <v>819</v>
      </c>
      <c r="O45" s="143">
        <f>TestSummary!W346</f>
        <v>0</v>
      </c>
      <c r="P45" s="143">
        <f>$O$33</f>
        <v>59240</v>
      </c>
      <c r="Q45" s="135" t="s">
        <v>287</v>
      </c>
      <c r="R45" s="136" t="s">
        <v>210</v>
      </c>
      <c r="S45" s="136">
        <v>2</v>
      </c>
      <c r="T45" s="144">
        <f>1/S45</f>
        <v>0.5</v>
      </c>
      <c r="U45" s="144"/>
      <c r="V45" s="144"/>
      <c r="W45" s="145">
        <f>T45*K45*2</f>
        <v>299.87599770946281</v>
      </c>
      <c r="X45" s="145">
        <f>P43/W45</f>
        <v>197.54832148118481</v>
      </c>
      <c r="Y45" s="146">
        <f>W45/T46</f>
        <v>347.15814678052328</v>
      </c>
      <c r="Z45" s="140"/>
    </row>
    <row r="46" spans="1:51" ht="15.75" thickBot="1" x14ac:dyDescent="0.3">
      <c r="A46" s="525">
        <f>A45+4</f>
        <v>76</v>
      </c>
      <c r="B46" s="361">
        <f>INDEX(TestSummary!$A$1:$BL$366,'J1634 Calcs no precondition'!$A46,'J1634 Calcs no precondition'!B$5)</f>
        <v>62008003</v>
      </c>
      <c r="C46" s="361" t="str">
        <f>INDEX(TestSummary!$A$1:$BL$366,'J1634 Calcs no precondition'!$A46,'J1634 Calcs no precondition'!C$5)</f>
        <v>US06 2, combined</v>
      </c>
      <c r="D46" s="600" t="str">
        <f>INDEX(TestSummary!$A$1:$BL$366,'J1634 Calcs no precondition'!$A46,'J1634 Calcs no precondition'!D$5)</f>
        <v>J1634 MCT, Repeat #1, using Maintenance Mode, E-Pedal ON, 65 MPH Middel Deplete</v>
      </c>
      <c r="E46" s="599">
        <f>INDEX(TestSummary!$A$1:$BL$366,'J1634 Calcs no precondition'!$A46,'J1634 Calcs no precondition'!E$5)</f>
        <v>0</v>
      </c>
      <c r="F46" s="599">
        <f>INDEX(TestSummary!$A$1:$BL$366,'J1634 Calcs no precondition'!$A46,'J1634 Calcs no precondition'!F$5)</f>
        <v>23.968371000000001</v>
      </c>
      <c r="G46" s="131">
        <f>INDEX(TestSummary!$A$1:$BL$366,'J1634 Calcs no precondition'!$A46,'J1634 Calcs no precondition'!G$5)</f>
        <v>295.96320819564403</v>
      </c>
      <c r="H46" s="131">
        <f>INDEX(TestSummary!$A$1:$BL$366,'J1634 Calcs no precondition'!$A46,'J1634 Calcs no precondition'!H$5)</f>
        <v>46638</v>
      </c>
      <c r="I46" s="131">
        <f>INDEX(TestSummary!$A$1:$BL$366,'J1634 Calcs no precondition'!$A46,'J1634 Calcs no precondition'!I$5)</f>
        <v>48832</v>
      </c>
      <c r="J46" s="132">
        <f>INDEX(TestSummary!$A$1:$BL$366,'J1634 Calcs no precondition'!$A46,'J1634 Calcs no precondition'!J$5)</f>
        <v>18.100000000000001</v>
      </c>
      <c r="K46" s="133">
        <f>INDEX(TestSummary!$A$1:$BL$366,'J1634 Calcs no precondition'!$A46,'J1634 Calcs no precondition'!K$5)</f>
        <v>295.96320819564403</v>
      </c>
      <c r="L46" s="156"/>
      <c r="Q46" s="147" t="s">
        <v>287</v>
      </c>
      <c r="R46" s="148" t="s">
        <v>290</v>
      </c>
      <c r="S46" s="148"/>
      <c r="T46" s="278">
        <f>O43/O42</f>
        <v>0.86380227711910007</v>
      </c>
      <c r="U46" s="149"/>
      <c r="V46" s="149"/>
      <c r="W46" s="150" t="s">
        <v>274</v>
      </c>
      <c r="X46" s="150" t="s">
        <v>291</v>
      </c>
      <c r="Y46" s="151" t="s">
        <v>289</v>
      </c>
      <c r="Z46" s="152"/>
    </row>
    <row r="47" spans="1:51" x14ac:dyDescent="0.25">
      <c r="A47" s="525">
        <f>A46+3</f>
        <v>79</v>
      </c>
      <c r="B47" s="361">
        <f>INDEX(TestSummary!$A$1:$BL$366,'J1634 Calcs no precondition'!$A47,'J1634 Calcs no precondition'!B$5)</f>
        <v>62008003</v>
      </c>
      <c r="C47" s="361" t="str">
        <f>INDEX(TestSummary!$A$1:$BL$366,'J1634 Calcs no precondition'!$A47,'J1634 Calcs no precondition'!C$5)</f>
        <v>UDDS 3, combined</v>
      </c>
      <c r="D47" s="600" t="str">
        <f>INDEX(TestSummary!$A$1:$BL$366,'J1634 Calcs no precondition'!$A47,'J1634 Calcs no precondition'!D$5)</f>
        <v>J1634 MCT, Repeat #1, using Maintenance Mode, E-Pedal ON, 65 MPH Middel Deplete</v>
      </c>
      <c r="E47" s="599">
        <f>INDEX(TestSummary!$A$1:$BL$366,'J1634 Calcs no precondition'!$A47,'J1634 Calcs no precondition'!E$5)</f>
        <v>0</v>
      </c>
      <c r="F47" s="599">
        <f>INDEX(TestSummary!$A$1:$BL$366,'J1634 Calcs no precondition'!$A47,'J1634 Calcs no precondition'!F$5)</f>
        <v>20.967715500000001</v>
      </c>
      <c r="G47" s="131">
        <f>INDEX(TestSummary!$A$1:$BL$366,'J1634 Calcs no precondition'!$A47,'J1634 Calcs no precondition'!G$5)</f>
        <v>180.7328469141745</v>
      </c>
      <c r="H47" s="131">
        <f>INDEX(TestSummary!$A$1:$BL$366,'J1634 Calcs no precondition'!$A47,'J1634 Calcs no precondition'!H$5)</f>
        <v>49010</v>
      </c>
      <c r="I47" s="131">
        <f>INDEX(TestSummary!$A$1:$BL$366,'J1634 Calcs no precondition'!$A47,'J1634 Calcs no precondition'!I$5)</f>
        <v>50352</v>
      </c>
      <c r="J47" s="132">
        <f>INDEX(TestSummary!$A$1:$BL$366,'J1634 Calcs no precondition'!$A47,'J1634 Calcs no precondition'!J$5)</f>
        <v>15.3</v>
      </c>
      <c r="K47" s="133">
        <f>INDEX(TestSummary!$A$1:$BL$366,'J1634 Calcs no precondition'!$A47,'J1634 Calcs no precondition'!K$5)</f>
        <v>180.7328469141745</v>
      </c>
      <c r="L47" s="156"/>
    </row>
    <row r="48" spans="1:51" x14ac:dyDescent="0.25">
      <c r="A48" s="525">
        <f>A47+1</f>
        <v>80</v>
      </c>
      <c r="B48" s="361">
        <f>INDEX(TestSummary!$A$1:$BL$366,'J1634 Calcs no precondition'!$A48,'J1634 Calcs no precondition'!B$5)</f>
        <v>62008003</v>
      </c>
      <c r="C48" s="361" t="str">
        <f>INDEX(TestSummary!$A$1:$BL$366,'J1634 Calcs no precondition'!$A48,'J1634 Calcs no precondition'!C$5)</f>
        <v>HWY</v>
      </c>
      <c r="D48" s="600" t="str">
        <f>INDEX(TestSummary!$A$1:$BL$366,'J1634 Calcs no precondition'!$A48,'J1634 Calcs no precondition'!D$5)</f>
        <v>J1634 MCT, Repeat #1, using Maintenance Mode, E-Pedal ON, 65 MPH Middel Deplete</v>
      </c>
      <c r="E48" s="599">
        <f>INDEX(TestSummary!$A$1:$BL$366,'J1634 Calcs no precondition'!$A48,'J1634 Calcs no precondition'!E$5)</f>
        <v>0</v>
      </c>
      <c r="F48" s="599">
        <f>INDEX(TestSummary!$A$1:$BL$366,'J1634 Calcs no precondition'!$A48,'J1634 Calcs no precondition'!F$5)</f>
        <v>25.591560999999999</v>
      </c>
      <c r="G48" s="131">
        <f>INDEX(TestSummary!$A$1:$BL$366,'J1634 Calcs no precondition'!$A48,'J1634 Calcs no precondition'!G$5)</f>
        <v>213.67563770930357</v>
      </c>
      <c r="H48" s="131">
        <f>INDEX(TestSummary!$A$1:$BL$366,'J1634 Calcs no precondition'!$A48,'J1634 Calcs no precondition'!H$5)</f>
        <v>50353</v>
      </c>
      <c r="I48" s="131">
        <f>INDEX(TestSummary!$A$1:$BL$366,'J1634 Calcs no precondition'!$A48,'J1634 Calcs no precondition'!I$5)</f>
        <v>52542</v>
      </c>
      <c r="J48" s="132">
        <f>INDEX(TestSummary!$A$1:$BL$366,'J1634 Calcs no precondition'!$A48,'J1634 Calcs no precondition'!J$5)</f>
        <v>11.5</v>
      </c>
      <c r="K48" s="133">
        <f>INDEX(TestSummary!$A$1:$BL$366,'J1634 Calcs no precondition'!$A48,'J1634 Calcs no precondition'!K$5)</f>
        <v>213.67563770930357</v>
      </c>
      <c r="L48" s="156"/>
    </row>
    <row r="49" spans="1:59" x14ac:dyDescent="0.25">
      <c r="A49" s="525">
        <f>A48+3</f>
        <v>83</v>
      </c>
      <c r="B49" s="361">
        <f>INDEX(TestSummary!$A$1:$BL$366,'J1634 Calcs no precondition'!$A49,'J1634 Calcs no precondition'!B$5)</f>
        <v>62008003</v>
      </c>
      <c r="C49" s="361" t="str">
        <f>INDEX(TestSummary!$A$1:$BL$366,'J1634 Calcs no precondition'!$A49,'J1634 Calcs no precondition'!C$5)</f>
        <v>UDDS 4, combined</v>
      </c>
      <c r="D49" s="600" t="str">
        <f>INDEX(TestSummary!$A$1:$BL$366,'J1634 Calcs no precondition'!$A49,'J1634 Calcs no precondition'!D$5)</f>
        <v>J1634 MCT, Repeat #1, using Maintenance Mode, E-Pedal ON, 65 MPH Middel Deplete</v>
      </c>
      <c r="E49" s="599">
        <f>INDEX(TestSummary!$A$1:$BL$366,'J1634 Calcs no precondition'!$A49,'J1634 Calcs no precondition'!E$5)</f>
        <v>0</v>
      </c>
      <c r="F49" s="599">
        <f>INDEX(TestSummary!$A$1:$BL$366,'J1634 Calcs no precondition'!$A49,'J1634 Calcs no precondition'!F$5)</f>
        <v>20.01709</v>
      </c>
      <c r="G49" s="131">
        <f>INDEX(TestSummary!$A$1:$BL$366,'J1634 Calcs no precondition'!$A49,'J1634 Calcs no precondition'!G$5)</f>
        <v>180.19292513096951</v>
      </c>
      <c r="H49" s="131">
        <f>INDEX(TestSummary!$A$1:$BL$366,'J1634 Calcs no precondition'!$A49,'J1634 Calcs no precondition'!H$5)</f>
        <v>52548</v>
      </c>
      <c r="I49" s="131">
        <f>INDEX(TestSummary!$A$1:$BL$366,'J1634 Calcs no precondition'!$A49,'J1634 Calcs no precondition'!I$5)</f>
        <v>53886</v>
      </c>
      <c r="J49" s="132">
        <f>INDEX(TestSummary!$A$1:$BL$366,'J1634 Calcs no precondition'!$A49,'J1634 Calcs no precondition'!J$5)</f>
        <v>9.1</v>
      </c>
      <c r="K49" s="133">
        <f>INDEX(TestSummary!$A$1:$BL$366,'J1634 Calcs no precondition'!$A49,'J1634 Calcs no precondition'!K$5)</f>
        <v>180.19292513096951</v>
      </c>
      <c r="L49" s="156"/>
    </row>
    <row r="50" spans="1:59" s="401" customFormat="1" x14ac:dyDescent="0.25">
      <c r="B50" s="368"/>
      <c r="C50" s="368"/>
      <c r="D50" s="377"/>
      <c r="E50" s="376"/>
      <c r="F50" s="376"/>
      <c r="G50" s="527"/>
      <c r="H50" s="527"/>
      <c r="I50" s="527"/>
      <c r="J50" s="378"/>
      <c r="K50" s="527"/>
      <c r="L50" s="527"/>
      <c r="O50" s="99"/>
    </row>
    <row r="51" spans="1:59" s="401" customFormat="1" x14ac:dyDescent="0.25">
      <c r="B51" s="368"/>
      <c r="C51" s="368"/>
      <c r="D51" s="377"/>
      <c r="E51" s="376"/>
      <c r="F51" s="376"/>
      <c r="G51" s="527"/>
      <c r="H51" s="527"/>
      <c r="I51" s="527"/>
      <c r="J51" s="378"/>
      <c r="K51" s="527"/>
      <c r="L51" s="527"/>
      <c r="O51" s="99"/>
    </row>
    <row r="52" spans="1:59" ht="16.5" thickBot="1" x14ac:dyDescent="0.3">
      <c r="B52" s="86" t="s">
        <v>824</v>
      </c>
      <c r="C52" s="126"/>
      <c r="D52" s="126"/>
      <c r="E52" s="116"/>
      <c r="F52" s="116"/>
      <c r="G52" s="126"/>
      <c r="H52" s="126"/>
      <c r="I52" s="126"/>
      <c r="J52" s="126"/>
      <c r="K52" s="126"/>
      <c r="L52" s="585"/>
      <c r="AC52" s="1" t="s">
        <v>391</v>
      </c>
      <c r="AD52" s="420"/>
      <c r="AE52" s="420"/>
      <c r="AF52" s="420"/>
      <c r="AG52" s="420"/>
      <c r="AK52" s="411" t="s">
        <v>825</v>
      </c>
      <c r="AL52" s="411" t="s">
        <v>826</v>
      </c>
      <c r="AM52" s="411" t="s">
        <v>827</v>
      </c>
      <c r="AO52" s="411" t="s">
        <v>825</v>
      </c>
      <c r="AP52" s="411" t="s">
        <v>826</v>
      </c>
      <c r="AQ52" s="411" t="s">
        <v>827</v>
      </c>
      <c r="AS52" s="411" t="s">
        <v>825</v>
      </c>
      <c r="AT52" s="411" t="s">
        <v>826</v>
      </c>
      <c r="AU52" s="411" t="s">
        <v>827</v>
      </c>
      <c r="AW52" s="411" t="s">
        <v>825</v>
      </c>
      <c r="AX52" s="411" t="s">
        <v>826</v>
      </c>
      <c r="AY52" s="411" t="s">
        <v>827</v>
      </c>
      <c r="BC52" s="411" t="s">
        <v>828</v>
      </c>
      <c r="BD52" s="411" t="s">
        <v>829</v>
      </c>
      <c r="BF52" s="411" t="s">
        <v>575</v>
      </c>
      <c r="BG52" s="411" t="s">
        <v>205</v>
      </c>
    </row>
    <row r="53" spans="1:59" ht="15.75" thickBot="1" x14ac:dyDescent="0.3">
      <c r="A53" s="525">
        <v>164</v>
      </c>
      <c r="B53" s="361">
        <f>INDEX(TestSummary!$A$1:$BL$366,'J1634 Calcs no precondition'!$A53,'J1634 Calcs no precondition'!B$5)</f>
        <v>62008020</v>
      </c>
      <c r="C53" s="361" t="str">
        <f>INDEX(TestSummary!$A$1:$BL$366,'J1634 Calcs no precondition'!$A53,'J1634 Calcs no precondition'!C$5)</f>
        <v>UDDS 1 , Combined</v>
      </c>
      <c r="D53" s="600" t="str">
        <f>INDEX(TestSummary!$A$1:$BL$366,'J1634 Calcs no precondition'!$A53,'J1634 Calcs no precondition'!D$5)</f>
        <v>j1634MCT in hot test cel (95°F) with solar (850W/m^2), HVAC AUTO 72°F, solar lights on 30 minutes prior to first test</v>
      </c>
      <c r="E53" s="599">
        <f>INDEX(TestSummary!$A$1:$BL$366,'J1634 Calcs no precondition'!$A53,'J1634 Calcs no precondition'!E$5)</f>
        <v>0</v>
      </c>
      <c r="F53" s="599">
        <f>INDEX(TestSummary!$A$1:$BL$366,'J1634 Calcs no precondition'!$A53,'J1634 Calcs no precondition'!F$5)</f>
        <v>35.171544999999995</v>
      </c>
      <c r="G53" s="131">
        <f>INDEX(TestSummary!$A$1:$BL$366,'J1634 Calcs no precondition'!$A53,'J1634 Calcs no precondition'!G$5)</f>
        <v>310.37308558405277</v>
      </c>
      <c r="H53" s="131">
        <f>INDEX(TestSummary!$A$1:$BL$366,'J1634 Calcs no precondition'!$A53,'J1634 Calcs no precondition'!H$5)</f>
        <v>9</v>
      </c>
      <c r="I53" s="131">
        <f>INDEX(TestSummary!$A$1:$BL$366,'J1634 Calcs no precondition'!$A53,'J1634 Calcs no precondition'!I$5)</f>
        <v>2313</v>
      </c>
      <c r="J53" s="132">
        <f>INDEX(TestSummary!$A$1:$BL$366,'J1634 Calcs no precondition'!$A53,'J1634 Calcs no precondition'!J$5)</f>
        <v>94.7</v>
      </c>
      <c r="K53" s="133">
        <f>INDEX(TestSummary!$A$1:$BL$366,'J1634 Calcs no precondition'!$A53,'J1634 Calcs no precondition'!K$5)</f>
        <v>310.37308558405277</v>
      </c>
      <c r="L53" s="156"/>
      <c r="N53" s="127" t="s">
        <v>278</v>
      </c>
      <c r="O53" s="629" t="s">
        <v>293</v>
      </c>
      <c r="P53" s="411" t="s">
        <v>294</v>
      </c>
      <c r="Q53" s="128" t="s">
        <v>279</v>
      </c>
      <c r="R53" s="129"/>
      <c r="S53" s="129"/>
      <c r="T53" s="129"/>
      <c r="U53" s="129"/>
      <c r="V53" s="129"/>
      <c r="W53" s="129"/>
      <c r="X53" s="129"/>
      <c r="Y53" s="129"/>
      <c r="Z53" s="130"/>
      <c r="AC53" s="1" t="s">
        <v>57</v>
      </c>
      <c r="AD53" s="153">
        <f t="shared" ref="AD53:AE55" si="6">(AD37/$AG37)</f>
        <v>0.38973767902873352</v>
      </c>
      <c r="AE53" s="153">
        <f t="shared" si="6"/>
        <v>0.51100760094180997</v>
      </c>
      <c r="AF53" s="153"/>
      <c r="AG53" s="153">
        <f>(AG37/$AG37)</f>
        <v>1</v>
      </c>
      <c r="AH53" s="153">
        <f>(AH37/$AG37)</f>
        <v>0.73783183704469801</v>
      </c>
      <c r="AJ53" s="411" t="s">
        <v>830</v>
      </c>
      <c r="AK53" s="411">
        <v>1489.4</v>
      </c>
      <c r="AL53" s="411">
        <v>7.4589999999999996</v>
      </c>
      <c r="AM53" s="411">
        <f t="shared" ref="AM53:AM58" si="7">AK53/AL53</f>
        <v>199.67824105107925</v>
      </c>
      <c r="AO53" s="411">
        <v>1353</v>
      </c>
      <c r="AP53" s="411">
        <v>7.4550000000000001</v>
      </c>
      <c r="AQ53" s="411">
        <f t="shared" ref="AQ53:AQ58" si="8">AO53/AP53</f>
        <v>181.48893360160966</v>
      </c>
      <c r="AS53" s="39">
        <f>I32</f>
        <v>1223</v>
      </c>
      <c r="AT53" s="522">
        <f>J32</f>
        <v>95.9</v>
      </c>
      <c r="AU53" s="411">
        <f t="shared" ref="AU53:AU58" si="9">AS53/AT53</f>
        <v>12.752867570385817</v>
      </c>
      <c r="AW53" s="39">
        <f>I42</f>
        <v>1567</v>
      </c>
      <c r="AX53" s="39">
        <f>J42</f>
        <v>95.3</v>
      </c>
      <c r="AY53" s="411">
        <f t="shared" ref="AY53:AY58" si="10">AW53/AX53</f>
        <v>16.442812172088143</v>
      </c>
      <c r="BC53" s="523">
        <f t="shared" ref="BC53:BC58" si="11">(AU53-AM53)/AM53</f>
        <v>-0.93613291311433622</v>
      </c>
      <c r="BD53" s="523">
        <f t="shared" ref="BD53:BD58" si="12">(AU53-AQ53)/AQ53</f>
        <v>-0.92973198245585653</v>
      </c>
      <c r="BE53" s="411" t="s">
        <v>57</v>
      </c>
      <c r="BF53" s="411">
        <v>455.32</v>
      </c>
    </row>
    <row r="54" spans="1:59" x14ac:dyDescent="0.25">
      <c r="A54" s="525">
        <v>165</v>
      </c>
      <c r="B54" s="361">
        <f>INDEX(TestSummary!$A$1:$BL$366,'J1634 Calcs no precondition'!$A54,'J1634 Calcs no precondition'!B$5)</f>
        <v>62008020</v>
      </c>
      <c r="C54" s="361" t="str">
        <f>INDEX(TestSummary!$A$1:$BL$366,'J1634 Calcs no precondition'!$A54,'J1634 Calcs no precondition'!C$5)</f>
        <v>HWY 1</v>
      </c>
      <c r="D54" s="600" t="str">
        <f>INDEX(TestSummary!$A$1:$BL$366,'J1634 Calcs no precondition'!$A54,'J1634 Calcs no precondition'!D$5)</f>
        <v>j1634MCT in hot test cel (95°F) with solar (850W/m^2), HVAC AUTO 72°F, solar lights on 30 minutes prior to first test</v>
      </c>
      <c r="E54" s="599">
        <f>INDEX(TestSummary!$A$1:$BL$366,'J1634 Calcs no precondition'!$A54,'J1634 Calcs no precondition'!E$5)</f>
        <v>0</v>
      </c>
      <c r="F54" s="599">
        <f>INDEX(TestSummary!$A$1:$BL$366,'J1634 Calcs no precondition'!$A54,'J1634 Calcs no precondition'!F$5)</f>
        <v>37.879582999999997</v>
      </c>
      <c r="G54" s="131">
        <f>INDEX(TestSummary!$A$1:$BL$366,'J1634 Calcs no precondition'!$A54,'J1634 Calcs no precondition'!G$5)</f>
        <v>232.78653137069216</v>
      </c>
      <c r="H54" s="131">
        <f>INDEX(TestSummary!$A$1:$BL$366,'J1634 Calcs no precondition'!$A54,'J1634 Calcs no precondition'!H$5)</f>
        <v>2321</v>
      </c>
      <c r="I54" s="131">
        <f>INDEX(TestSummary!$A$1:$BL$366,'J1634 Calcs no precondition'!$A54,'J1634 Calcs no precondition'!I$5)</f>
        <v>4706</v>
      </c>
      <c r="J54" s="132">
        <f>INDEX(TestSummary!$A$1:$BL$366,'J1634 Calcs no precondition'!$A54,'J1634 Calcs no precondition'!J$5)</f>
        <v>91.2</v>
      </c>
      <c r="K54" s="133">
        <f>INDEX(TestSummary!$A$1:$BL$366,'J1634 Calcs no precondition'!$A54,'J1634 Calcs no precondition'!K$5)</f>
        <v>232.78653137069216</v>
      </c>
      <c r="L54" s="156"/>
      <c r="N54" s="134" t="s">
        <v>846</v>
      </c>
      <c r="O54" s="157">
        <f>TestSummary!AU184</f>
        <v>67020.2</v>
      </c>
      <c r="P54" s="269">
        <f>$O$32</f>
        <v>68019.200000000012</v>
      </c>
      <c r="Q54" s="135" t="s">
        <v>16</v>
      </c>
      <c r="R54" s="136" t="s">
        <v>1</v>
      </c>
      <c r="S54" s="136" t="s">
        <v>392</v>
      </c>
      <c r="T54" s="137" t="s">
        <v>281</v>
      </c>
      <c r="U54" s="136" t="s">
        <v>282</v>
      </c>
      <c r="V54" s="137" t="s">
        <v>283</v>
      </c>
      <c r="W54" s="138" t="s">
        <v>947</v>
      </c>
      <c r="X54" s="139" t="s">
        <v>284</v>
      </c>
      <c r="Y54" s="138" t="s">
        <v>285</v>
      </c>
      <c r="Z54" s="140"/>
      <c r="AC54" s="1" t="s">
        <v>55</v>
      </c>
      <c r="AD54" s="153">
        <f t="shared" si="6"/>
        <v>0.61835331852063102</v>
      </c>
      <c r="AE54" s="153">
        <f t="shared" si="6"/>
        <v>0.73198798700579759</v>
      </c>
      <c r="AF54" s="153"/>
      <c r="AG54" s="153">
        <f>(AG38/$AG37)</f>
        <v>0.82931630808624368</v>
      </c>
      <c r="AH54" s="153">
        <f>(AH38/$AG38)</f>
        <v>0.95385730450737005</v>
      </c>
      <c r="AJ54" s="411" t="s">
        <v>831</v>
      </c>
      <c r="AK54" s="411">
        <v>1326.1</v>
      </c>
      <c r="AL54" s="411">
        <v>7.4530000000000003</v>
      </c>
      <c r="AM54" s="411">
        <f t="shared" si="7"/>
        <v>177.92835099959746</v>
      </c>
      <c r="AO54" s="411">
        <v>1269</v>
      </c>
      <c r="AP54" s="411">
        <v>7.4589999999999996</v>
      </c>
      <c r="AQ54" s="411">
        <f t="shared" si="8"/>
        <v>170.13004424185547</v>
      </c>
      <c r="AS54" s="141">
        <f>I34</f>
        <v>4892</v>
      </c>
      <c r="AT54" s="522">
        <f>J34</f>
        <v>90.5</v>
      </c>
      <c r="AU54" s="411">
        <f t="shared" si="9"/>
        <v>54.055248618784532</v>
      </c>
      <c r="AW54" s="141">
        <f>I44</f>
        <v>5195</v>
      </c>
      <c r="AX54" s="141">
        <f>J44</f>
        <v>89.9</v>
      </c>
      <c r="AY54" s="411">
        <f t="shared" si="10"/>
        <v>57.786429365962178</v>
      </c>
      <c r="BC54" s="523">
        <f t="shared" si="11"/>
        <v>-0.69619654026408173</v>
      </c>
      <c r="BD54" s="523">
        <f t="shared" si="12"/>
        <v>-0.68227100122339335</v>
      </c>
      <c r="BF54" s="411">
        <v>422.7</v>
      </c>
    </row>
    <row r="55" spans="1:59" x14ac:dyDescent="0.25">
      <c r="A55" s="525">
        <v>168</v>
      </c>
      <c r="B55" s="361">
        <f>INDEX(TestSummary!$A$1:$BL$366,'J1634 Calcs no precondition'!$A55,'J1634 Calcs no precondition'!B$5)</f>
        <v>62008020</v>
      </c>
      <c r="C55" s="361" t="str">
        <f>INDEX(TestSummary!$A$1:$BL$366,'J1634 Calcs no precondition'!$A55,'J1634 Calcs no precondition'!C$5)</f>
        <v>UDDS 2, combined</v>
      </c>
      <c r="D55" s="600" t="str">
        <f>INDEX(TestSummary!$A$1:$BL$366,'J1634 Calcs no precondition'!$A55,'J1634 Calcs no precondition'!D$5)</f>
        <v>j1634MCT in hot test cel (95°F) with solar (850W/m^2), HVAC AUTO 72°F, solar lights on 30 minutes prior to first test</v>
      </c>
      <c r="E55" s="599">
        <f>INDEX(TestSummary!$A$1:$BL$366,'J1634 Calcs no precondition'!$A55,'J1634 Calcs no precondition'!E$5)</f>
        <v>0</v>
      </c>
      <c r="F55" s="599">
        <f>INDEX(TestSummary!$A$1:$BL$366,'J1634 Calcs no precondition'!$A55,'J1634 Calcs no precondition'!F$5)</f>
        <v>33.952994000000004</v>
      </c>
      <c r="G55" s="131">
        <f>INDEX(TestSummary!$A$1:$BL$366,'J1634 Calcs no precondition'!$A55,'J1634 Calcs no precondition'!G$5)</f>
        <v>247.11909501717622</v>
      </c>
      <c r="H55" s="131">
        <f>INDEX(TestSummary!$A$1:$BL$366,'J1634 Calcs no precondition'!$A55,'J1634 Calcs no precondition'!H$5)</f>
        <v>4713</v>
      </c>
      <c r="I55" s="131">
        <f>INDEX(TestSummary!$A$1:$BL$366,'J1634 Calcs no precondition'!$A55,'J1634 Calcs no precondition'!I$5)</f>
        <v>6548</v>
      </c>
      <c r="J55" s="132">
        <f>INDEX(TestSummary!$A$1:$BL$366,'J1634 Calcs no precondition'!$A55,'J1634 Calcs no precondition'!J$5)</f>
        <v>88.4</v>
      </c>
      <c r="K55" s="133">
        <f>INDEX(TestSummary!$A$1:$BL$366,'J1634 Calcs no precondition'!$A55,'J1634 Calcs no precondition'!K$5)</f>
        <v>247.11909501717622</v>
      </c>
      <c r="L55" s="156"/>
      <c r="N55" s="142" t="s">
        <v>286</v>
      </c>
      <c r="O55" s="143">
        <f>TestSummary!W183-TestSummary!V162</f>
        <v>59300</v>
      </c>
      <c r="P55" s="143">
        <f>$O$33</f>
        <v>59240</v>
      </c>
      <c r="Q55" s="135" t="s">
        <v>287</v>
      </c>
      <c r="R55" s="136" t="s">
        <v>57</v>
      </c>
      <c r="S55" s="136">
        <v>3</v>
      </c>
      <c r="T55" s="144"/>
      <c r="U55" s="144">
        <f>(I53-H53)/O55</f>
        <v>3.8853288364249582E-2</v>
      </c>
      <c r="V55" s="144">
        <f>(1-U55)/S55</f>
        <v>0.32038223721191678</v>
      </c>
      <c r="W55" s="145">
        <f>U55*K53+V55*K55*3</f>
        <v>249.57672055286059</v>
      </c>
      <c r="X55" s="145">
        <f>P55/W55</f>
        <v>237.36188162410329</v>
      </c>
      <c r="Y55" s="146">
        <f>W55/T58</f>
        <v>282.06883181782172</v>
      </c>
      <c r="Z55" s="140"/>
      <c r="AC55" s="1" t="s">
        <v>210</v>
      </c>
      <c r="AD55" s="153">
        <f t="shared" si="6"/>
        <v>0.67125593130792649</v>
      </c>
      <c r="AE55" s="153">
        <f t="shared" si="6"/>
        <v>0.80294314191862715</v>
      </c>
      <c r="AF55" s="153"/>
      <c r="AG55" s="153">
        <f>(AG39/$AG38)</f>
        <v>0.73668714872564056</v>
      </c>
      <c r="AH55" s="153">
        <f>(AH39/$AG39)</f>
        <v>0.96657718993063035</v>
      </c>
      <c r="AJ55" s="411" t="s">
        <v>832</v>
      </c>
      <c r="AK55" s="411">
        <v>1271.5</v>
      </c>
      <c r="AL55" s="411">
        <v>7.4669999999999996</v>
      </c>
      <c r="AM55" s="411">
        <f t="shared" si="7"/>
        <v>170.28257667068436</v>
      </c>
      <c r="AO55" s="411">
        <v>1252</v>
      </c>
      <c r="AP55" s="411">
        <v>7.4429999999999996</v>
      </c>
      <c r="AQ55" s="411">
        <f t="shared" si="8"/>
        <v>168.21174257691791</v>
      </c>
      <c r="AS55" s="39">
        <f>I37</f>
        <v>50305</v>
      </c>
      <c r="AT55" s="522">
        <f>J37</f>
        <v>15.7</v>
      </c>
      <c r="AU55" s="411">
        <f t="shared" si="9"/>
        <v>3204.1401273885353</v>
      </c>
      <c r="AW55" s="39">
        <f>I47</f>
        <v>50352</v>
      </c>
      <c r="AX55" s="39">
        <f>J47</f>
        <v>15.3</v>
      </c>
      <c r="AY55" s="411">
        <f t="shared" si="10"/>
        <v>3290.9803921568628</v>
      </c>
      <c r="BC55" s="523">
        <f t="shared" si="11"/>
        <v>17.816605844443721</v>
      </c>
      <c r="BD55" s="523">
        <f t="shared" si="12"/>
        <v>18.048254766895262</v>
      </c>
    </row>
    <row r="56" spans="1:59" x14ac:dyDescent="0.25">
      <c r="A56" s="545">
        <v>171</v>
      </c>
      <c r="B56" s="361">
        <f>INDEX(TestSummary!$A$1:$BL$366,'J1634 Calcs no precondition'!$A56,'J1634 Calcs no precondition'!B$5)</f>
        <v>62008020</v>
      </c>
      <c r="C56" s="361" t="str">
        <f>INDEX(TestSummary!$A$1:$BL$366,'J1634 Calcs no precondition'!$A56,'J1634 Calcs no precondition'!C$5)</f>
        <v>US06 1, combined</v>
      </c>
      <c r="D56" s="600" t="str">
        <f>INDEX(TestSummary!$A$1:$BL$366,'J1634 Calcs no precondition'!$A56,'J1634 Calcs no precondition'!D$5)</f>
        <v>j1634MCT in hot test cel (95°F) with solar (850W/m^2), HVAC AUTO 72°F, solar lights on 30 minutes prior to first test</v>
      </c>
      <c r="E56" s="599">
        <f>INDEX(TestSummary!$A$1:$BL$366,'J1634 Calcs no precondition'!$A56,'J1634 Calcs no precondition'!E$5)</f>
        <v>0</v>
      </c>
      <c r="F56" s="599">
        <f>INDEX(TestSummary!$A$1:$BL$366,'J1634 Calcs no precondition'!$A56,'J1634 Calcs no precondition'!F$5)</f>
        <v>37.663222000000005</v>
      </c>
      <c r="G56" s="131">
        <f>INDEX(TestSummary!$A$1:$BL$366,'J1634 Calcs no precondition'!$A56,'J1634 Calcs no precondition'!G$5)</f>
        <v>311.83267705480091</v>
      </c>
      <c r="H56" s="131">
        <f>INDEX(TestSummary!$A$1:$BL$366,'J1634 Calcs no precondition'!$A56,'J1634 Calcs no precondition'!H$5)</f>
        <v>6588</v>
      </c>
      <c r="I56" s="131">
        <f>INDEX(TestSummary!$A$1:$BL$366,'J1634 Calcs no precondition'!$A56,'J1634 Calcs no precondition'!I$5)</f>
        <v>8867</v>
      </c>
      <c r="J56" s="132">
        <f>INDEX(TestSummary!$A$1:$BL$366,'J1634 Calcs no precondition'!$A56,'J1634 Calcs no precondition'!J$5)</f>
        <v>84.9</v>
      </c>
      <c r="K56" s="133">
        <f>INDEX(TestSummary!$A$1:$BL$366,'J1634 Calcs no precondition'!$A56,'J1634 Calcs no precondition'!K$5)</f>
        <v>311.83267705480091</v>
      </c>
      <c r="L56" s="156"/>
      <c r="Q56" s="135" t="s">
        <v>287</v>
      </c>
      <c r="R56" s="136" t="s">
        <v>55</v>
      </c>
      <c r="S56" s="136">
        <v>2</v>
      </c>
      <c r="T56" s="144">
        <f>1/S56</f>
        <v>0.5</v>
      </c>
      <c r="U56" s="144"/>
      <c r="V56" s="144"/>
      <c r="W56" s="145">
        <f>T56*K54*2</f>
        <v>232.78653137069216</v>
      </c>
      <c r="X56" s="145">
        <f>P55/W56</f>
        <v>254.48207699639414</v>
      </c>
      <c r="Y56" s="146">
        <f>W56/T58</f>
        <v>263.09274687639231</v>
      </c>
      <c r="Z56" s="140"/>
      <c r="AJ56" s="411" t="s">
        <v>833</v>
      </c>
      <c r="AK56" s="411">
        <v>1285.5999999999999</v>
      </c>
      <c r="AL56" s="411">
        <v>7.4630000000000001</v>
      </c>
      <c r="AM56" s="411">
        <f t="shared" si="7"/>
        <v>172.2631649470722</v>
      </c>
      <c r="AO56" s="411">
        <v>1261</v>
      </c>
      <c r="AP56" s="411">
        <v>7.452</v>
      </c>
      <c r="AQ56" s="411">
        <f t="shared" si="8"/>
        <v>169.2163177670424</v>
      </c>
      <c r="AS56" s="39">
        <f>I39</f>
        <v>53859</v>
      </c>
      <c r="AT56" s="522">
        <f>J39</f>
        <v>9.4</v>
      </c>
      <c r="AU56" s="411">
        <f t="shared" si="9"/>
        <v>5729.6808510638293</v>
      </c>
      <c r="AW56" s="39">
        <f>I49</f>
        <v>53886</v>
      </c>
      <c r="AX56" s="39">
        <f>J49</f>
        <v>9.1</v>
      </c>
      <c r="AY56" s="411">
        <f t="shared" si="10"/>
        <v>5921.5384615384619</v>
      </c>
      <c r="BC56" s="523">
        <f t="shared" si="11"/>
        <v>32.261207367368826</v>
      </c>
      <c r="BD56" s="523">
        <f t="shared" si="12"/>
        <v>32.860096512393064</v>
      </c>
    </row>
    <row r="57" spans="1:59" x14ac:dyDescent="0.25">
      <c r="B57" s="368"/>
      <c r="C57" s="368"/>
      <c r="D57" s="19"/>
      <c r="E57" s="115"/>
      <c r="F57" s="115"/>
      <c r="G57" s="154"/>
      <c r="H57" s="154"/>
      <c r="I57" s="154"/>
      <c r="J57" s="155"/>
      <c r="K57" s="156"/>
      <c r="L57" s="156"/>
      <c r="Q57" s="135" t="s">
        <v>287</v>
      </c>
      <c r="R57" s="136" t="s">
        <v>210</v>
      </c>
      <c r="S57" s="136">
        <v>2</v>
      </c>
      <c r="T57" s="144">
        <f>1/S57</f>
        <v>0.5</v>
      </c>
      <c r="U57" s="144"/>
      <c r="V57" s="144"/>
      <c r="W57" s="145">
        <f>T57*K56*2</f>
        <v>311.83267705480091</v>
      </c>
      <c r="X57" s="145">
        <f>P55/W57</f>
        <v>189.97367613782589</v>
      </c>
      <c r="Y57" s="146">
        <f>W57/T58</f>
        <v>352.42982095696743</v>
      </c>
      <c r="Z57" s="140"/>
      <c r="AJ57" s="411" t="s">
        <v>834</v>
      </c>
      <c r="AK57" s="411">
        <v>1950.9</v>
      </c>
      <c r="AL57" s="411">
        <v>10.266</v>
      </c>
      <c r="AM57" s="411">
        <f t="shared" si="7"/>
        <v>190.03506721215663</v>
      </c>
      <c r="AO57" s="411">
        <v>1844</v>
      </c>
      <c r="AP57" s="411">
        <v>10.262</v>
      </c>
      <c r="AQ57" s="411">
        <f t="shared" si="8"/>
        <v>179.69206782303644</v>
      </c>
      <c r="AS57" s="39">
        <f>I33</f>
        <v>3499</v>
      </c>
      <c r="AT57" s="522">
        <f>J33</f>
        <v>92.6</v>
      </c>
      <c r="AU57" s="411">
        <f t="shared" si="9"/>
        <v>37.786177105831534</v>
      </c>
      <c r="AW57" s="39">
        <f>I43</f>
        <v>3818</v>
      </c>
      <c r="AX57" s="39">
        <f>J43</f>
        <v>92</v>
      </c>
      <c r="AY57" s="411">
        <f t="shared" si="10"/>
        <v>41.5</v>
      </c>
      <c r="BC57" s="523">
        <f t="shared" si="11"/>
        <v>-0.80116208202959316</v>
      </c>
      <c r="BD57" s="523">
        <f t="shared" si="12"/>
        <v>-0.78971705560735184</v>
      </c>
    </row>
    <row r="58" spans="1:59" ht="15.75" thickBot="1" x14ac:dyDescent="0.3">
      <c r="Q58" s="147" t="s">
        <v>287</v>
      </c>
      <c r="R58" s="148" t="s">
        <v>290</v>
      </c>
      <c r="S58" s="148"/>
      <c r="T58" s="278">
        <f>O55/O54</f>
        <v>0.88480786389775024</v>
      </c>
      <c r="U58" s="149"/>
      <c r="V58" s="149"/>
      <c r="W58" s="150" t="s">
        <v>274</v>
      </c>
      <c r="X58" s="150" t="s">
        <v>291</v>
      </c>
      <c r="Y58" s="151" t="s">
        <v>289</v>
      </c>
      <c r="Z58" s="152"/>
      <c r="AJ58" s="411" t="s">
        <v>835</v>
      </c>
      <c r="AK58" s="411">
        <v>1895.5</v>
      </c>
      <c r="AL58" s="411">
        <v>10.257999999999999</v>
      </c>
      <c r="AM58" s="411">
        <f t="shared" si="7"/>
        <v>184.78260869565219</v>
      </c>
      <c r="AO58" s="411">
        <v>1863</v>
      </c>
      <c r="AP58" s="411">
        <v>10.266999999999999</v>
      </c>
      <c r="AQ58" s="411">
        <f t="shared" si="8"/>
        <v>181.45514756014416</v>
      </c>
      <c r="AS58" s="39">
        <f>I38</f>
        <v>52506</v>
      </c>
      <c r="AT58" s="522">
        <f>J38</f>
        <v>11.8</v>
      </c>
      <c r="AU58" s="411">
        <f t="shared" si="9"/>
        <v>4449.6610169491523</v>
      </c>
      <c r="AW58" s="39">
        <f>I47</f>
        <v>50352</v>
      </c>
      <c r="AX58" s="39">
        <f>J47</f>
        <v>15.3</v>
      </c>
      <c r="AY58" s="411">
        <f t="shared" si="10"/>
        <v>3290.9803921568628</v>
      </c>
      <c r="BC58" s="523">
        <f t="shared" si="11"/>
        <v>23.080518444666001</v>
      </c>
      <c r="BD58" s="523">
        <f t="shared" si="12"/>
        <v>23.522098583476623</v>
      </c>
    </row>
    <row r="59" spans="1:59" s="18" customFormat="1" x14ac:dyDescent="0.25">
      <c r="O59" s="396"/>
      <c r="Q59" s="401"/>
      <c r="R59" s="536"/>
      <c r="S59" s="536"/>
      <c r="T59" s="537"/>
      <c r="U59" s="81"/>
      <c r="V59" s="81"/>
      <c r="W59" s="538"/>
      <c r="X59" s="538"/>
      <c r="Y59" s="539"/>
      <c r="Z59" s="401"/>
      <c r="AC59" s="401"/>
      <c r="AS59" s="540"/>
      <c r="AT59" s="541"/>
      <c r="AW59" s="540"/>
      <c r="AX59" s="540"/>
      <c r="BC59" s="542"/>
      <c r="BD59" s="542"/>
    </row>
    <row r="60" spans="1:59" ht="16.5" thickBot="1" x14ac:dyDescent="0.3">
      <c r="B60" s="86" t="s">
        <v>845</v>
      </c>
      <c r="C60" s="126"/>
      <c r="D60" s="126"/>
      <c r="E60" s="116"/>
      <c r="F60" s="116"/>
      <c r="G60" s="126"/>
      <c r="H60" s="126"/>
      <c r="I60" s="126"/>
      <c r="J60" s="126"/>
      <c r="K60" s="126"/>
      <c r="L60" s="585"/>
    </row>
    <row r="61" spans="1:59" ht="15.75" thickBot="1" x14ac:dyDescent="0.3">
      <c r="A61" s="525">
        <v>188</v>
      </c>
      <c r="B61" s="361">
        <f>INDEX(TestSummary!$A$1:$BL$366,'J1634 Calcs no precondition'!$A61,'J1634 Calcs no precondition'!B$5)</f>
        <v>62008028</v>
      </c>
      <c r="C61" s="361" t="str">
        <f>INDEX(TestSummary!$A$1:$BL$366,'J1634 Calcs no precondition'!$A61,'J1634 Calcs no precondition'!C$5)</f>
        <v>UDDS 1 , Combined</v>
      </c>
      <c r="D61" s="600" t="str">
        <f>INDEX(TestSummary!$A$1:$BL$366,'J1634 Calcs no precondition'!$A61,'J1634 Calcs no precondition'!D$5)</f>
        <v>J1634MCT in hot test cell (95°F), first half with NO SOLAR, HVAC AUTO 72°F</v>
      </c>
      <c r="E61" s="599">
        <f>INDEX(TestSummary!$A$1:$BL$366,'J1634 Calcs no precondition'!$A61,'J1634 Calcs no precondition'!E$5)</f>
        <v>0</v>
      </c>
      <c r="F61" s="599">
        <f>INDEX(TestSummary!$A$1:$BL$366,'J1634 Calcs no precondition'!$A61,'J1634 Calcs no precondition'!F$5)</f>
        <v>34.273290000000003</v>
      </c>
      <c r="G61" s="131">
        <f>INDEX(TestSummary!$A$1:$BL$366,'J1634 Calcs no precondition'!$A61,'J1634 Calcs no precondition'!G$5)</f>
        <v>255.36671523792654</v>
      </c>
      <c r="H61" s="131">
        <f>INDEX(TestSummary!$A$1:$BL$366,'J1634 Calcs no precondition'!$A61,'J1634 Calcs no precondition'!H$5)</f>
        <v>-370</v>
      </c>
      <c r="I61" s="131">
        <f>INDEX(TestSummary!$A$1:$BL$366,'J1634 Calcs no precondition'!$A61,'J1634 Calcs no precondition'!I$5)</f>
        <v>1527</v>
      </c>
      <c r="J61" s="132">
        <f>INDEX(TestSummary!$A$1:$BL$366,'J1634 Calcs no precondition'!$A61,'J1634 Calcs no precondition'!J$5)</f>
        <v>93.6</v>
      </c>
      <c r="K61" s="133">
        <f>INDEX(TestSummary!$A$1:$BL$366,'J1634 Calcs no precondition'!$A61,'J1634 Calcs no precondition'!K$5)</f>
        <v>255.36671523792654</v>
      </c>
      <c r="L61" s="156"/>
      <c r="N61" s="127" t="s">
        <v>278</v>
      </c>
      <c r="O61" s="629" t="s">
        <v>293</v>
      </c>
      <c r="P61" s="411" t="s">
        <v>294</v>
      </c>
      <c r="Q61" s="128" t="s">
        <v>279</v>
      </c>
      <c r="R61" s="129"/>
      <c r="S61" s="129"/>
      <c r="T61" s="129"/>
      <c r="U61" s="129"/>
      <c r="V61" s="129"/>
      <c r="W61" s="129"/>
      <c r="X61" s="129"/>
      <c r="Y61" s="129"/>
      <c r="Z61" s="130"/>
    </row>
    <row r="62" spans="1:59" x14ac:dyDescent="0.25">
      <c r="A62" s="525">
        <f>A61+1</f>
        <v>189</v>
      </c>
      <c r="B62" s="361">
        <f>INDEX(TestSummary!$A$1:$BL$366,'J1634 Calcs no precondition'!$A62,'J1634 Calcs no precondition'!B$5)</f>
        <v>62008028</v>
      </c>
      <c r="C62" s="361" t="str">
        <f>INDEX(TestSummary!$A$1:$BL$366,'J1634 Calcs no precondition'!$A62,'J1634 Calcs no precondition'!C$5)</f>
        <v>HWY 1</v>
      </c>
      <c r="D62" s="600" t="str">
        <f>INDEX(TestSummary!$A$1:$BL$366,'J1634 Calcs no precondition'!$A62,'J1634 Calcs no precondition'!D$5)</f>
        <v>J1634MCT in hot test cell (95°F), first half with NO SOLAR, HVAC AUTO 72°F</v>
      </c>
      <c r="E62" s="599">
        <f>INDEX(TestSummary!$A$1:$BL$366,'J1634 Calcs no precondition'!$A62,'J1634 Calcs no precondition'!E$5)</f>
        <v>0</v>
      </c>
      <c r="F62" s="599">
        <f>INDEX(TestSummary!$A$1:$BL$366,'J1634 Calcs no precondition'!$A62,'J1634 Calcs no precondition'!F$5)</f>
        <v>37.256883999999999</v>
      </c>
      <c r="G62" s="131">
        <f>INDEX(TestSummary!$A$1:$BL$366,'J1634 Calcs no precondition'!$A62,'J1634 Calcs no precondition'!G$5)</f>
        <v>223.50638166254637</v>
      </c>
      <c r="H62" s="131">
        <f>INDEX(TestSummary!$A$1:$BL$366,'J1634 Calcs no precondition'!$A62,'J1634 Calcs no precondition'!H$5)</f>
        <v>1533</v>
      </c>
      <c r="I62" s="131">
        <f>INDEX(TestSummary!$A$1:$BL$366,'J1634 Calcs no precondition'!$A62,'J1634 Calcs no precondition'!I$5)</f>
        <v>3823</v>
      </c>
      <c r="J62" s="132">
        <f>INDEX(TestSummary!$A$1:$BL$366,'J1634 Calcs no precondition'!$A62,'J1634 Calcs no precondition'!J$5)</f>
        <v>90.2</v>
      </c>
      <c r="K62" s="133">
        <f>INDEX(TestSummary!$A$1:$BL$366,'J1634 Calcs no precondition'!$A62,'J1634 Calcs no precondition'!K$5)</f>
        <v>223.50638166254637</v>
      </c>
      <c r="L62" s="156"/>
      <c r="N62" s="134" t="s">
        <v>846</v>
      </c>
      <c r="O62" s="546">
        <f>O54</f>
        <v>67020.2</v>
      </c>
      <c r="P62" s="269">
        <f>$O$32</f>
        <v>68019.200000000012</v>
      </c>
      <c r="Q62" s="135" t="s">
        <v>16</v>
      </c>
      <c r="R62" s="136" t="s">
        <v>1</v>
      </c>
      <c r="S62" s="136" t="s">
        <v>392</v>
      </c>
      <c r="T62" s="137" t="s">
        <v>281</v>
      </c>
      <c r="U62" s="136" t="s">
        <v>282</v>
      </c>
      <c r="V62" s="137" t="s">
        <v>283</v>
      </c>
      <c r="W62" s="138" t="s">
        <v>947</v>
      </c>
      <c r="X62" s="139" t="s">
        <v>284</v>
      </c>
      <c r="Y62" s="138" t="s">
        <v>285</v>
      </c>
      <c r="Z62" s="140"/>
    </row>
    <row r="63" spans="1:59" x14ac:dyDescent="0.25">
      <c r="A63" s="525">
        <f>A62+3</f>
        <v>192</v>
      </c>
      <c r="B63" s="361">
        <f>INDEX(TestSummary!$A$1:$BL$366,'J1634 Calcs no precondition'!$A63,'J1634 Calcs no precondition'!B$5)</f>
        <v>62008028</v>
      </c>
      <c r="C63" s="361" t="str">
        <f>INDEX(TestSummary!$A$1:$BL$366,'J1634 Calcs no precondition'!$A63,'J1634 Calcs no precondition'!C$5)</f>
        <v>UDDS 2, combined</v>
      </c>
      <c r="D63" s="600" t="str">
        <f>INDEX(TestSummary!$A$1:$BL$366,'J1634 Calcs no precondition'!$A63,'J1634 Calcs no precondition'!D$5)</f>
        <v>J1634MCT in hot test cell (95°F), first half with NO SOLAR, HVAC AUTO 72°F</v>
      </c>
      <c r="E63" s="599">
        <f>INDEX(TestSummary!$A$1:$BL$366,'J1634 Calcs no precondition'!$A63,'J1634 Calcs no precondition'!E$5)</f>
        <v>0</v>
      </c>
      <c r="F63" s="599">
        <f>INDEX(TestSummary!$A$1:$BL$366,'J1634 Calcs no precondition'!$A63,'J1634 Calcs no precondition'!F$5)</f>
        <v>32.505319499999999</v>
      </c>
      <c r="G63" s="131">
        <f>INDEX(TestSummary!$A$1:$BL$366,'J1634 Calcs no precondition'!$A63,'J1634 Calcs no precondition'!G$5)</f>
        <v>209.91474861171858</v>
      </c>
      <c r="H63" s="131">
        <f>INDEX(TestSummary!$A$1:$BL$366,'J1634 Calcs no precondition'!$A63,'J1634 Calcs no precondition'!H$5)</f>
        <v>3829</v>
      </c>
      <c r="I63" s="131">
        <f>INDEX(TestSummary!$A$1:$BL$366,'J1634 Calcs no precondition'!$A63,'J1634 Calcs no precondition'!I$5)</f>
        <v>5388</v>
      </c>
      <c r="J63" s="132">
        <f>INDEX(TestSummary!$A$1:$BL$366,'J1634 Calcs no precondition'!$A63,'J1634 Calcs no precondition'!J$5)</f>
        <v>87.8</v>
      </c>
      <c r="K63" s="133">
        <f>INDEX(TestSummary!$A$1:$BL$366,'J1634 Calcs no precondition'!$A63,'J1634 Calcs no precondition'!K$5)</f>
        <v>209.91474861171858</v>
      </c>
      <c r="L63" s="156"/>
      <c r="N63" s="142" t="s">
        <v>286</v>
      </c>
      <c r="O63" s="547">
        <f>O55</f>
        <v>59300</v>
      </c>
      <c r="P63" s="143">
        <f>$O$33</f>
        <v>59240</v>
      </c>
      <c r="Q63" s="135" t="s">
        <v>287</v>
      </c>
      <c r="R63" s="136" t="s">
        <v>57</v>
      </c>
      <c r="S63" s="136">
        <v>3</v>
      </c>
      <c r="T63" s="144"/>
      <c r="U63" s="144">
        <f>(I61-H61)/O63</f>
        <v>3.1989881956155146E-2</v>
      </c>
      <c r="V63" s="144">
        <f>(1-U63)/S63</f>
        <v>0.3226700393479483</v>
      </c>
      <c r="W63" s="145">
        <f>U63*K61+V63*K63*3</f>
        <v>211.36875165876606</v>
      </c>
      <c r="X63" s="145">
        <f>P63/W63</f>
        <v>280.26848592850246</v>
      </c>
      <c r="Y63" s="146">
        <f>W63/T66</f>
        <v>238.88661062261102</v>
      </c>
      <c r="Z63" s="140"/>
    </row>
    <row r="64" spans="1:59" ht="15.75" customHeight="1" x14ac:dyDescent="0.25">
      <c r="A64" s="525">
        <f>A63+3</f>
        <v>195</v>
      </c>
      <c r="B64" s="361">
        <f>INDEX(TestSummary!$A$1:$BL$366,'J1634 Calcs no precondition'!$A64,'J1634 Calcs no precondition'!B$5)</f>
        <v>62008028</v>
      </c>
      <c r="C64" s="361" t="str">
        <f>INDEX(TestSummary!$A$1:$BL$366,'J1634 Calcs no precondition'!$A64,'J1634 Calcs no precondition'!C$5)</f>
        <v>US06 1, combined</v>
      </c>
      <c r="D64" s="600" t="str">
        <f>INDEX(TestSummary!$A$1:$BL$366,'J1634 Calcs no precondition'!$A64,'J1634 Calcs no precondition'!D$5)</f>
        <v>J1634MCT in hot test cell (95°F), first half with NO SOLAR, HVAC AUTO 72°F</v>
      </c>
      <c r="E64" s="599">
        <f>INDEX(TestSummary!$A$1:$BL$366,'J1634 Calcs no precondition'!$A64,'J1634 Calcs no precondition'!E$5)</f>
        <v>0</v>
      </c>
      <c r="F64" s="599">
        <f>INDEX(TestSummary!$A$1:$BL$366,'J1634 Calcs no precondition'!$A64,'J1634 Calcs no precondition'!F$5)</f>
        <v>36.401289000000006</v>
      </c>
      <c r="G64" s="131">
        <f>INDEX(TestSummary!$A$1:$BL$366,'J1634 Calcs no precondition'!$A64,'J1634 Calcs no precondition'!G$5)</f>
        <v>302.11556291577176</v>
      </c>
      <c r="H64" s="131">
        <f>INDEX(TestSummary!$A$1:$BL$366,'J1634 Calcs no precondition'!$A64,'J1634 Calcs no precondition'!H$5)</f>
        <v>5411</v>
      </c>
      <c r="I64" s="131">
        <f>INDEX(TestSummary!$A$1:$BL$366,'J1634 Calcs no precondition'!$A64,'J1634 Calcs no precondition'!I$5)</f>
        <v>7631</v>
      </c>
      <c r="J64" s="132">
        <f>INDEX(TestSummary!$A$1:$BL$366,'J1634 Calcs no precondition'!$A64,'J1634 Calcs no precondition'!J$5)</f>
        <v>84.4</v>
      </c>
      <c r="K64" s="133">
        <f>INDEX(TestSummary!$A$1:$BL$366,'J1634 Calcs no precondition'!$A64,'J1634 Calcs no precondition'!K$5)</f>
        <v>302.11556291577176</v>
      </c>
      <c r="L64" s="156"/>
      <c r="N64" s="589" t="s">
        <v>953</v>
      </c>
      <c r="Q64" s="135" t="s">
        <v>287</v>
      </c>
      <c r="R64" s="136" t="s">
        <v>55</v>
      </c>
      <c r="S64" s="136">
        <v>2</v>
      </c>
      <c r="T64" s="144">
        <f>1/S64</f>
        <v>0.5</v>
      </c>
      <c r="U64" s="144"/>
      <c r="V64" s="144"/>
      <c r="W64" s="145">
        <f>T64*K62*2</f>
        <v>223.50638166254637</v>
      </c>
      <c r="X64" s="145">
        <f>P63/W64</f>
        <v>265.04836040628823</v>
      </c>
      <c r="Y64" s="146">
        <f>W64/T66</f>
        <v>252.60442496290372</v>
      </c>
      <c r="Z64" s="140"/>
    </row>
    <row r="65" spans="2:56" x14ac:dyDescent="0.25">
      <c r="B65" s="368"/>
      <c r="C65" s="368"/>
      <c r="D65" s="19"/>
      <c r="E65" s="115"/>
      <c r="F65" s="115"/>
      <c r="G65" s="154"/>
      <c r="H65" s="154"/>
      <c r="I65" s="154"/>
      <c r="J65" s="155"/>
      <c r="K65" s="156"/>
      <c r="L65" s="156"/>
      <c r="Q65" s="135" t="s">
        <v>287</v>
      </c>
      <c r="R65" s="136" t="s">
        <v>210</v>
      </c>
      <c r="S65" s="136">
        <v>2</v>
      </c>
      <c r="T65" s="144">
        <f>1/S65</f>
        <v>0.5</v>
      </c>
      <c r="U65" s="144"/>
      <c r="V65" s="144"/>
      <c r="W65" s="145">
        <f>T65*K64*2</f>
        <v>302.11556291577176</v>
      </c>
      <c r="X65" s="145">
        <f>P63/W65</f>
        <v>196.08390719188407</v>
      </c>
      <c r="Y65" s="146">
        <f>W65/T66</f>
        <v>341.44764670704228</v>
      </c>
      <c r="Z65" s="140"/>
    </row>
    <row r="66" spans="2:56" ht="15.75" thickBot="1" x14ac:dyDescent="0.3">
      <c r="Q66" s="147" t="s">
        <v>287</v>
      </c>
      <c r="R66" s="148" t="s">
        <v>290</v>
      </c>
      <c r="S66" s="148"/>
      <c r="T66" s="278">
        <f>O63/O62</f>
        <v>0.88480786389775024</v>
      </c>
      <c r="U66" s="149"/>
      <c r="V66" s="149"/>
      <c r="W66" s="150" t="s">
        <v>274</v>
      </c>
      <c r="X66" s="150" t="s">
        <v>291</v>
      </c>
      <c r="Y66" s="151" t="s">
        <v>289</v>
      </c>
      <c r="Z66" s="152"/>
    </row>
    <row r="67" spans="2:56" s="18" customFormat="1" x14ac:dyDescent="0.25">
      <c r="AC67" s="401"/>
      <c r="AS67" s="540"/>
      <c r="AT67" s="541"/>
      <c r="AW67" s="540"/>
      <c r="AX67" s="540"/>
      <c r="BC67" s="542"/>
      <c r="BD67" s="542"/>
    </row>
    <row r="68" spans="2:56" s="18" customFormat="1" x14ac:dyDescent="0.25">
      <c r="AC68" s="401"/>
      <c r="AS68" s="540"/>
      <c r="AT68" s="541"/>
      <c r="AW68" s="540"/>
      <c r="AX68" s="540"/>
      <c r="BC68" s="542"/>
      <c r="BD68" s="542"/>
    </row>
    <row r="69" spans="2:56" s="18" customFormat="1" x14ac:dyDescent="0.25">
      <c r="AC69" s="401"/>
      <c r="AS69" s="540"/>
      <c r="AT69" s="541"/>
      <c r="AW69" s="540"/>
      <c r="AX69" s="540"/>
      <c r="BC69" s="542"/>
      <c r="BD69" s="542"/>
    </row>
    <row r="70" spans="2:56" s="18" customFormat="1" x14ac:dyDescent="0.25">
      <c r="AC70" s="401"/>
      <c r="AS70" s="540"/>
      <c r="AT70" s="541"/>
      <c r="AW70" s="540"/>
      <c r="AX70" s="540"/>
      <c r="BC70" s="542"/>
      <c r="BD70" s="542"/>
    </row>
    <row r="71" spans="2:56" s="18" customFormat="1" x14ac:dyDescent="0.25">
      <c r="AC71" s="401"/>
      <c r="AS71" s="540"/>
      <c r="AT71" s="541"/>
      <c r="AW71" s="540"/>
      <c r="AX71" s="540"/>
      <c r="BC71" s="542"/>
      <c r="BD71" s="542"/>
    </row>
    <row r="72" spans="2:56" s="18" customFormat="1" x14ac:dyDescent="0.25">
      <c r="AC72" s="401"/>
      <c r="AS72" s="540"/>
      <c r="AT72" s="541"/>
      <c r="AW72" s="540"/>
      <c r="AX72" s="540"/>
      <c r="BC72" s="542"/>
      <c r="BD72" s="542"/>
    </row>
    <row r="73" spans="2:56" x14ac:dyDescent="0.25">
      <c r="O73" s="411"/>
      <c r="AC73" s="1" t="s">
        <v>836</v>
      </c>
      <c r="AJ73" s="411" t="s">
        <v>837</v>
      </c>
      <c r="AK73" s="411">
        <v>64945.5</v>
      </c>
      <c r="AL73" s="411">
        <v>344.048</v>
      </c>
      <c r="AM73" s="411">
        <f>AK73/AL73</f>
        <v>188.76871831837417</v>
      </c>
      <c r="AO73" s="411">
        <v>62943</v>
      </c>
      <c r="AP73" s="411">
        <v>287.036</v>
      </c>
      <c r="AQ73" s="411">
        <f>AO73/AP73</f>
        <v>219.28608258197579</v>
      </c>
      <c r="AS73" s="411">
        <f>TestSummary!X313+TestSummary!X314+TestSummary!X317</f>
        <v>0</v>
      </c>
      <c r="AU73" s="411">
        <f>TestSummary!Y313+TestSummary!Y314+TestSummary!Y317</f>
        <v>0</v>
      </c>
      <c r="AY73" s="411">
        <f>TestSummary!AC313+TestSummary!AC314+TestSummary!AC317</f>
        <v>0</v>
      </c>
      <c r="BC73" s="153"/>
    </row>
    <row r="74" spans="2:56" s="18" customFormat="1" x14ac:dyDescent="0.25">
      <c r="AC74" s="401"/>
      <c r="AD74" s="543">
        <f>T14</f>
        <v>0.69316245164019064</v>
      </c>
      <c r="AE74" s="543">
        <f>T21</f>
        <v>0.84171142703506119</v>
      </c>
      <c r="AF74" s="543">
        <f>T29</f>
        <v>0.84171142703506119</v>
      </c>
      <c r="AG74" s="543">
        <f>T36</f>
        <v>0.87093056078283759</v>
      </c>
      <c r="AH74" s="543">
        <f>T58</f>
        <v>0.88480786389775024</v>
      </c>
      <c r="AI74" s="543">
        <f>T66</f>
        <v>0.88480786389775024</v>
      </c>
      <c r="AJ74" s="18" t="s">
        <v>838</v>
      </c>
      <c r="AK74" s="18">
        <v>5053.8999999999996</v>
      </c>
      <c r="AL74" s="18">
        <v>25.983000000000001</v>
      </c>
      <c r="AM74" s="18">
        <f>AK74/AL74</f>
        <v>194.50794750413729</v>
      </c>
      <c r="AO74" s="18">
        <v>7980</v>
      </c>
      <c r="AP74" s="18">
        <v>36.113999999999997</v>
      </c>
      <c r="AQ74" s="18">
        <f>AO74/AP74</f>
        <v>220.96693802957304</v>
      </c>
      <c r="AS74" s="18">
        <f>TestSummary!X325</f>
        <v>0</v>
      </c>
      <c r="AU74" s="18">
        <f>TestSummary!Y325</f>
        <v>0</v>
      </c>
      <c r="AY74" s="18">
        <f>TestSummary!AC325</f>
        <v>0</v>
      </c>
      <c r="BC74" s="544"/>
    </row>
    <row r="75" spans="2:56" s="18" customFormat="1" x14ac:dyDescent="0.25">
      <c r="O75" s="396"/>
      <c r="AC75" s="401"/>
      <c r="AJ75" s="18" t="s">
        <v>839</v>
      </c>
      <c r="AK75" s="18">
        <v>79218</v>
      </c>
      <c r="AL75" s="18">
        <v>420.39699999999999</v>
      </c>
      <c r="AO75" s="541">
        <f>SUM(AO53:AO74)</f>
        <v>79765</v>
      </c>
      <c r="AP75" s="541">
        <f>SUM(AP53:AP74)</f>
        <v>373.488</v>
      </c>
      <c r="AS75" s="540">
        <f>SUM(AS53:AS74)</f>
        <v>166284</v>
      </c>
      <c r="AW75" s="540"/>
      <c r="BC75" s="542">
        <f>(AS75-AK75)/AK75</f>
        <v>1.0990683935469212</v>
      </c>
      <c r="BD75" s="542">
        <f>(AS75-AO75)/AO75</f>
        <v>1.0846737290791701</v>
      </c>
    </row>
    <row r="76" spans="2:56" x14ac:dyDescent="0.25">
      <c r="AD76" s="411" t="s">
        <v>213</v>
      </c>
      <c r="AE76" s="411" t="s">
        <v>840</v>
      </c>
      <c r="AF76" s="411" t="s">
        <v>841</v>
      </c>
    </row>
  </sheetData>
  <mergeCells count="4">
    <mergeCell ref="AK40:AM40"/>
    <mergeCell ref="AO40:AQ40"/>
    <mergeCell ref="AS40:AU40"/>
    <mergeCell ref="AW40:AY40"/>
  </mergeCells>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75"/>
  <sheetViews>
    <sheetView workbookViewId="0">
      <selection activeCell="B101" sqref="B101"/>
    </sheetView>
  </sheetViews>
  <sheetFormatPr defaultColWidth="9.140625" defaultRowHeight="15" x14ac:dyDescent="0.25"/>
  <cols>
    <col min="1" max="1" width="28.85546875" style="3" customWidth="1"/>
    <col min="2" max="2" width="20.5703125" style="3" customWidth="1"/>
    <col min="3" max="3" width="28.42578125" style="3" bestFit="1" customWidth="1"/>
    <col min="4" max="4" width="14.42578125" style="3" customWidth="1"/>
    <col min="5" max="5" width="17.5703125" style="200" customWidth="1"/>
    <col min="6" max="6" width="14.42578125" style="200" customWidth="1"/>
    <col min="7" max="7" width="11.85546875" style="200" customWidth="1"/>
    <col min="8" max="8" width="9.140625" style="200"/>
    <col min="9" max="9" width="11.85546875" style="200" customWidth="1"/>
    <col min="10" max="10" width="11" style="200" customWidth="1"/>
    <col min="11" max="16" width="9.140625" style="200"/>
    <col min="17" max="17" width="13" style="200" customWidth="1"/>
    <col min="18" max="18" width="12.85546875" style="200" customWidth="1"/>
    <col min="19" max="19" width="5.42578125" style="200" customWidth="1"/>
    <col min="20" max="20" width="24.5703125" style="200" customWidth="1"/>
    <col min="21" max="21" width="15.85546875" style="200" customWidth="1"/>
    <col min="22" max="22" width="17" style="200" customWidth="1"/>
    <col min="23" max="23" width="18.85546875" style="200" customWidth="1"/>
    <col min="24" max="25" width="15.5703125" style="200" customWidth="1"/>
    <col min="26" max="26" width="24.42578125" style="200" customWidth="1"/>
    <col min="27" max="27" width="16.42578125" style="200" customWidth="1"/>
    <col min="28" max="28" width="11.42578125" style="200" bestFit="1" customWidth="1"/>
    <col min="29" max="30" width="22.5703125" style="200" bestFit="1" customWidth="1"/>
    <col min="31" max="31" width="16.42578125" style="200" bestFit="1" customWidth="1"/>
    <col min="32" max="32" width="14.5703125" style="200" bestFit="1" customWidth="1"/>
    <col min="33" max="33" width="13.42578125" style="200" bestFit="1" customWidth="1"/>
    <col min="34" max="16384" width="9.140625" style="200"/>
  </cols>
  <sheetData>
    <row r="1" spans="1:32" ht="14.45" customHeight="1" x14ac:dyDescent="0.25">
      <c r="A1" s="413"/>
      <c r="O1" s="642" t="s">
        <v>105</v>
      </c>
    </row>
    <row r="2" spans="1:32" ht="18" customHeight="1" thickBot="1" x14ac:dyDescent="0.3">
      <c r="A2" s="643" t="s">
        <v>315</v>
      </c>
      <c r="B2" s="643"/>
      <c r="C2" s="643"/>
      <c r="O2" s="642"/>
      <c r="Q2" s="118" t="s">
        <v>364</v>
      </c>
      <c r="R2" s="214">
        <v>62008007</v>
      </c>
      <c r="S2" s="1"/>
      <c r="T2" s="23"/>
    </row>
    <row r="3" spans="1:32" ht="15.75" thickBot="1" x14ac:dyDescent="0.3">
      <c r="A3" s="168" t="s">
        <v>312</v>
      </c>
      <c r="B3" s="644" t="str">
        <f>TestPlan!B1</f>
        <v>2019 Nissan Leaf E-Plus</v>
      </c>
      <c r="C3" s="645"/>
      <c r="O3" s="642"/>
      <c r="Q3" s="72" t="s">
        <v>89</v>
      </c>
      <c r="R3" s="72"/>
      <c r="S3" s="73"/>
      <c r="T3" s="74" t="s">
        <v>81</v>
      </c>
      <c r="U3" s="72" t="s">
        <v>82</v>
      </c>
      <c r="V3" s="72" t="s">
        <v>83</v>
      </c>
      <c r="W3" s="72" t="s">
        <v>84</v>
      </c>
      <c r="X3" s="72" t="s">
        <v>107</v>
      </c>
      <c r="Y3" s="72" t="s">
        <v>206</v>
      </c>
      <c r="Z3" s="72" t="s">
        <v>108</v>
      </c>
      <c r="AA3" s="72" t="s">
        <v>204</v>
      </c>
      <c r="AB3" s="75" t="s">
        <v>112</v>
      </c>
      <c r="AC3" s="75" t="s">
        <v>85</v>
      </c>
      <c r="AD3" s="75" t="s">
        <v>86</v>
      </c>
      <c r="AE3" s="75" t="s">
        <v>111</v>
      </c>
      <c r="AF3" s="75" t="s">
        <v>88</v>
      </c>
    </row>
    <row r="4" spans="1:32" ht="15.75" thickBot="1" x14ac:dyDescent="0.3">
      <c r="A4" s="169" t="s">
        <v>80</v>
      </c>
      <c r="B4" s="646" t="str">
        <f>TestInfoInstru!B5</f>
        <v>1N4BZ1CP5KC318216</v>
      </c>
      <c r="C4" s="647"/>
      <c r="O4" s="642"/>
      <c r="Q4" s="65">
        <v>10</v>
      </c>
      <c r="R4" s="211" t="e">
        <f>(AB4+AB18)/2</f>
        <v>#DIV/0!</v>
      </c>
      <c r="S4" s="28"/>
      <c r="T4" s="214"/>
      <c r="U4" s="214"/>
      <c r="V4" s="214"/>
      <c r="W4" s="214"/>
      <c r="X4" s="214"/>
      <c r="Y4" s="214"/>
      <c r="Z4" s="214"/>
      <c r="AA4" s="214"/>
      <c r="AB4" s="25" t="e">
        <f>(Y4)/W4</f>
        <v>#DIV/0!</v>
      </c>
      <c r="AC4" s="24">
        <f t="shared" ref="AC4:AC18" si="0">W4*0.44704</f>
        <v>0</v>
      </c>
      <c r="AD4" s="25">
        <f t="shared" ref="AD4:AD18" si="1">AC4*Z4/1000</f>
        <v>0</v>
      </c>
      <c r="AE4" s="25">
        <f>Y4/1000</f>
        <v>0</v>
      </c>
      <c r="AF4" s="25" t="e">
        <f t="shared" ref="AF4:AF18" si="2">AD4/AE4*100</f>
        <v>#DIV/0!</v>
      </c>
    </row>
    <row r="5" spans="1:32" x14ac:dyDescent="0.25">
      <c r="A5" s="450" t="s">
        <v>73</v>
      </c>
      <c r="B5" s="451">
        <f>TestInfoInstru!F11</f>
        <v>4250</v>
      </c>
      <c r="C5" s="281" t="s">
        <v>77</v>
      </c>
      <c r="F5"/>
      <c r="O5" s="642"/>
      <c r="Q5" s="65">
        <v>20</v>
      </c>
      <c r="R5" s="211" t="e">
        <f>(AB5+AB17)/2</f>
        <v>#DIV/0!</v>
      </c>
      <c r="S5" s="28"/>
      <c r="T5" s="214"/>
      <c r="U5" s="214"/>
      <c r="V5" s="214"/>
      <c r="W5" s="214"/>
      <c r="X5" s="214"/>
      <c r="Y5" s="214"/>
      <c r="Z5" s="214"/>
      <c r="AA5" s="214"/>
      <c r="AB5" s="25" t="e">
        <f t="shared" ref="AB5:AB18" si="3">(Y5)/W5</f>
        <v>#DIV/0!</v>
      </c>
      <c r="AC5" s="24">
        <f t="shared" si="0"/>
        <v>0</v>
      </c>
      <c r="AD5" s="25">
        <f t="shared" si="1"/>
        <v>0</v>
      </c>
      <c r="AE5" s="25">
        <f t="shared" ref="AE5:AE18" si="4">Y5/1000</f>
        <v>0</v>
      </c>
      <c r="AF5" s="25" t="e">
        <f t="shared" si="2"/>
        <v>#DIV/0!</v>
      </c>
    </row>
    <row r="6" spans="1:32" ht="15.6" customHeight="1" x14ac:dyDescent="0.25">
      <c r="A6" s="452" t="s">
        <v>76</v>
      </c>
      <c r="B6" s="453">
        <f>TestInfoInstru!F12</f>
        <v>30.36</v>
      </c>
      <c r="C6" s="454" t="s">
        <v>77</v>
      </c>
      <c r="E6" s="214"/>
      <c r="F6"/>
      <c r="O6" s="642"/>
      <c r="Q6" s="65">
        <v>30</v>
      </c>
      <c r="R6" s="211" t="e">
        <f>(AB6+AB16)/2</f>
        <v>#DIV/0!</v>
      </c>
      <c r="S6" s="28"/>
      <c r="T6" s="214"/>
      <c r="U6" s="214"/>
      <c r="V6" s="214"/>
      <c r="W6" s="214"/>
      <c r="X6" s="214"/>
      <c r="Y6" s="214"/>
      <c r="Z6" s="214"/>
      <c r="AA6" s="214"/>
      <c r="AB6" s="25" t="e">
        <f t="shared" si="3"/>
        <v>#DIV/0!</v>
      </c>
      <c r="AC6" s="24">
        <f t="shared" si="0"/>
        <v>0</v>
      </c>
      <c r="AD6" s="25">
        <f t="shared" si="1"/>
        <v>0</v>
      </c>
      <c r="AE6" s="25">
        <f t="shared" si="4"/>
        <v>0</v>
      </c>
      <c r="AF6" s="25" t="e">
        <f t="shared" si="2"/>
        <v>#DIV/0!</v>
      </c>
    </row>
    <row r="7" spans="1:32" x14ac:dyDescent="0.25">
      <c r="A7" s="452" t="s">
        <v>75</v>
      </c>
      <c r="B7" s="455">
        <f>TestInfoInstru!F13</f>
        <v>0.3201</v>
      </c>
      <c r="C7" s="454" t="s">
        <v>78</v>
      </c>
      <c r="E7" s="214"/>
      <c r="F7"/>
      <c r="O7" s="642"/>
      <c r="Q7" s="65">
        <v>40</v>
      </c>
      <c r="R7" s="211" t="e">
        <f>(AB7+AB15)/2</f>
        <v>#DIV/0!</v>
      </c>
      <c r="S7" s="28"/>
      <c r="T7" s="214"/>
      <c r="U7" s="214"/>
      <c r="V7" s="214"/>
      <c r="W7" s="214"/>
      <c r="X7" s="214"/>
      <c r="Y7" s="214"/>
      <c r="Z7" s="214"/>
      <c r="AA7" s="214"/>
      <c r="AB7" s="25" t="e">
        <f t="shared" si="3"/>
        <v>#DIV/0!</v>
      </c>
      <c r="AC7" s="24">
        <f t="shared" si="0"/>
        <v>0</v>
      </c>
      <c r="AD7" s="25">
        <f t="shared" si="1"/>
        <v>0</v>
      </c>
      <c r="AE7" s="25">
        <f t="shared" si="4"/>
        <v>0</v>
      </c>
      <c r="AF7" s="25" t="e">
        <f t="shared" si="2"/>
        <v>#DIV/0!</v>
      </c>
    </row>
    <row r="8" spans="1:32" ht="15.75" thickBot="1" x14ac:dyDescent="0.3">
      <c r="A8" s="456" t="s">
        <v>74</v>
      </c>
      <c r="B8" s="457">
        <f>TestInfoInstru!F14</f>
        <v>1.9560000000000001E-2</v>
      </c>
      <c r="C8" s="458" t="s">
        <v>79</v>
      </c>
      <c r="E8" s="214"/>
      <c r="F8"/>
      <c r="O8" s="642"/>
      <c r="Q8" s="65">
        <v>50</v>
      </c>
      <c r="R8" s="211" t="e">
        <f>(AB8+AB14)/2</f>
        <v>#DIV/0!</v>
      </c>
      <c r="S8" s="28"/>
      <c r="T8" s="214"/>
      <c r="U8" s="214"/>
      <c r="V8" s="214"/>
      <c r="W8" s="214"/>
      <c r="X8" s="214"/>
      <c r="Y8" s="214"/>
      <c r="Z8" s="214"/>
      <c r="AA8" s="214"/>
      <c r="AB8" s="25" t="e">
        <f t="shared" si="3"/>
        <v>#DIV/0!</v>
      </c>
      <c r="AC8" s="24">
        <f t="shared" si="0"/>
        <v>0</v>
      </c>
      <c r="AD8" s="25">
        <f t="shared" si="1"/>
        <v>0</v>
      </c>
      <c r="AE8" s="25">
        <f t="shared" si="4"/>
        <v>0</v>
      </c>
      <c r="AF8" s="25" t="e">
        <f t="shared" si="2"/>
        <v>#DIV/0!</v>
      </c>
    </row>
    <row r="9" spans="1:32" x14ac:dyDescent="0.25">
      <c r="A9" s="279" t="s">
        <v>394</v>
      </c>
      <c r="B9" s="280"/>
      <c r="C9" s="281" t="s">
        <v>314</v>
      </c>
      <c r="O9" s="642"/>
      <c r="Q9" s="65">
        <v>60</v>
      </c>
      <c r="R9" s="211" t="e">
        <f>(AB9+AB13)/2</f>
        <v>#DIV/0!</v>
      </c>
      <c r="S9" s="28"/>
      <c r="T9" s="214"/>
      <c r="U9" s="214"/>
      <c r="V9" s="214"/>
      <c r="W9" s="214"/>
      <c r="X9" s="214"/>
      <c r="Y9" s="214"/>
      <c r="Z9" s="214"/>
      <c r="AA9" s="214"/>
      <c r="AB9" s="25" t="e">
        <f t="shared" si="3"/>
        <v>#DIV/0!</v>
      </c>
      <c r="AC9" s="24">
        <f t="shared" si="0"/>
        <v>0</v>
      </c>
      <c r="AD9" s="25">
        <f t="shared" si="1"/>
        <v>0</v>
      </c>
      <c r="AE9" s="25">
        <f t="shared" si="4"/>
        <v>0</v>
      </c>
      <c r="AF9" s="25" t="e">
        <f t="shared" si="2"/>
        <v>#DIV/0!</v>
      </c>
    </row>
    <row r="10" spans="1:32" x14ac:dyDescent="0.25">
      <c r="A10" s="282" t="s">
        <v>395</v>
      </c>
      <c r="B10" s="283"/>
      <c r="C10" s="284" t="s">
        <v>314</v>
      </c>
      <c r="E10" s="214"/>
      <c r="F10" s="214"/>
      <c r="G10" s="214"/>
      <c r="H10" s="214"/>
      <c r="I10" s="214"/>
      <c r="J10" s="214"/>
      <c r="K10" s="214"/>
      <c r="L10" s="214"/>
      <c r="M10" s="214"/>
      <c r="N10" s="214"/>
      <c r="O10" s="642"/>
      <c r="Q10" s="65">
        <v>70</v>
      </c>
      <c r="R10" s="211" t="e">
        <f>(AB10+AB12)/2</f>
        <v>#DIV/0!</v>
      </c>
      <c r="S10" s="28"/>
      <c r="T10" s="214"/>
      <c r="U10" s="214"/>
      <c r="V10" s="214"/>
      <c r="W10" s="214"/>
      <c r="X10" s="214"/>
      <c r="Y10" s="214"/>
      <c r="Z10" s="214"/>
      <c r="AA10" s="214"/>
      <c r="AB10" s="25" t="e">
        <f t="shared" si="3"/>
        <v>#DIV/0!</v>
      </c>
      <c r="AC10" s="24">
        <f t="shared" si="0"/>
        <v>0</v>
      </c>
      <c r="AD10" s="25">
        <f t="shared" si="1"/>
        <v>0</v>
      </c>
      <c r="AE10" s="25">
        <f t="shared" si="4"/>
        <v>0</v>
      </c>
      <c r="AF10" s="25" t="e">
        <f t="shared" si="2"/>
        <v>#DIV/0!</v>
      </c>
    </row>
    <row r="11" spans="1:32" ht="15.75" thickBot="1" x14ac:dyDescent="0.3">
      <c r="A11" s="287" t="s">
        <v>313</v>
      </c>
      <c r="B11" s="262">
        <f>B10+B9</f>
        <v>0</v>
      </c>
      <c r="C11" s="263" t="s">
        <v>314</v>
      </c>
      <c r="E11" s="214"/>
      <c r="F11" s="214"/>
      <c r="G11" s="214"/>
      <c r="H11" s="214"/>
      <c r="I11" s="214"/>
      <c r="J11" s="214"/>
      <c r="K11" s="214"/>
      <c r="L11" s="214"/>
      <c r="M11" s="214"/>
      <c r="N11" s="214"/>
      <c r="O11" s="642"/>
      <c r="Q11" s="65">
        <v>80</v>
      </c>
      <c r="R11" s="211" t="e">
        <f>AB11</f>
        <v>#DIV/0!</v>
      </c>
      <c r="S11" s="28"/>
      <c r="T11" s="214"/>
      <c r="U11" s="214"/>
      <c r="V11" s="214"/>
      <c r="W11" s="214"/>
      <c r="X11" s="214"/>
      <c r="Y11" s="214"/>
      <c r="Z11" s="214"/>
      <c r="AA11" s="214"/>
      <c r="AB11" s="25" t="e">
        <f t="shared" si="3"/>
        <v>#DIV/0!</v>
      </c>
      <c r="AC11" s="24">
        <f t="shared" si="0"/>
        <v>0</v>
      </c>
      <c r="AD11" s="25">
        <f t="shared" si="1"/>
        <v>0</v>
      </c>
      <c r="AE11" s="25">
        <f t="shared" si="4"/>
        <v>0</v>
      </c>
      <c r="AF11" s="25" t="e">
        <f t="shared" si="2"/>
        <v>#DIV/0!</v>
      </c>
    </row>
    <row r="12" spans="1:32" ht="15.95" customHeight="1" thickBot="1" x14ac:dyDescent="0.3">
      <c r="A12" s="167" t="s">
        <v>388</v>
      </c>
      <c r="B12" s="285"/>
      <c r="C12" s="286" t="s">
        <v>291</v>
      </c>
      <c r="O12" s="642"/>
      <c r="S12" s="28"/>
      <c r="T12" s="214"/>
      <c r="U12" s="214"/>
      <c r="V12" s="214"/>
      <c r="W12" s="214"/>
      <c r="X12" s="214"/>
      <c r="Y12" s="214"/>
      <c r="Z12" s="214"/>
      <c r="AA12" s="214"/>
      <c r="AB12" s="25" t="e">
        <f t="shared" si="3"/>
        <v>#DIV/0!</v>
      </c>
      <c r="AC12" s="24">
        <f t="shared" si="0"/>
        <v>0</v>
      </c>
      <c r="AD12" s="25">
        <f t="shared" si="1"/>
        <v>0</v>
      </c>
      <c r="AE12" s="25">
        <f t="shared" si="4"/>
        <v>0</v>
      </c>
      <c r="AF12" s="25" t="e">
        <f t="shared" si="2"/>
        <v>#DIV/0!</v>
      </c>
    </row>
    <row r="13" spans="1:32" ht="15.75" thickBot="1" x14ac:dyDescent="0.3">
      <c r="O13" s="642"/>
      <c r="S13" s="28"/>
      <c r="T13" s="214"/>
      <c r="U13" s="214"/>
      <c r="V13" s="214"/>
      <c r="W13" s="214"/>
      <c r="X13" s="214"/>
      <c r="Y13" s="214"/>
      <c r="Z13" s="214"/>
      <c r="AA13" s="214"/>
      <c r="AB13" s="25" t="e">
        <f t="shared" si="3"/>
        <v>#DIV/0!</v>
      </c>
      <c r="AC13" s="24">
        <f t="shared" si="0"/>
        <v>0</v>
      </c>
      <c r="AD13" s="25">
        <f t="shared" si="1"/>
        <v>0</v>
      </c>
      <c r="AE13" s="25">
        <f t="shared" si="4"/>
        <v>0</v>
      </c>
      <c r="AF13" s="25" t="e">
        <f t="shared" si="2"/>
        <v>#DIV/0!</v>
      </c>
    </row>
    <row r="14" spans="1:32" ht="15.75" thickBot="1" x14ac:dyDescent="0.3">
      <c r="A14" s="459" t="s">
        <v>347</v>
      </c>
      <c r="B14" s="648" t="s">
        <v>295</v>
      </c>
      <c r="C14" s="649"/>
      <c r="D14" s="650" t="s">
        <v>296</v>
      </c>
      <c r="E14" s="651"/>
      <c r="G14" s="38"/>
      <c r="H14" s="38"/>
      <c r="I14" s="38"/>
      <c r="J14" s="38"/>
      <c r="O14" s="642"/>
      <c r="S14" s="28"/>
      <c r="T14" s="214"/>
      <c r="U14" s="214"/>
      <c r="V14" s="214"/>
      <c r="W14" s="214"/>
      <c r="X14" s="214"/>
      <c r="Y14" s="214"/>
      <c r="Z14" s="214"/>
      <c r="AA14" s="214"/>
      <c r="AB14" s="25" t="e">
        <f t="shared" si="3"/>
        <v>#DIV/0!</v>
      </c>
      <c r="AC14" s="24">
        <f t="shared" si="0"/>
        <v>0</v>
      </c>
      <c r="AD14" s="25">
        <f t="shared" si="1"/>
        <v>0</v>
      </c>
      <c r="AE14" s="25">
        <f t="shared" si="4"/>
        <v>0</v>
      </c>
      <c r="AF14" s="25" t="e">
        <f t="shared" si="2"/>
        <v>#DIV/0!</v>
      </c>
    </row>
    <row r="15" spans="1:32" ht="15.75" thickBot="1" x14ac:dyDescent="0.3">
      <c r="A15" s="460" t="s">
        <v>259</v>
      </c>
      <c r="B15" s="461" t="s">
        <v>58</v>
      </c>
      <c r="C15" s="461" t="s">
        <v>60</v>
      </c>
      <c r="D15" s="461" t="s">
        <v>58</v>
      </c>
      <c r="E15" s="216" t="s">
        <v>60</v>
      </c>
      <c r="G15" s="29"/>
      <c r="H15" s="38"/>
      <c r="I15" s="38"/>
      <c r="J15" s="38"/>
      <c r="O15" s="642"/>
      <c r="S15" s="28"/>
      <c r="T15" s="214"/>
      <c r="U15" s="214"/>
      <c r="V15" s="214"/>
      <c r="W15" s="214"/>
      <c r="X15" s="214"/>
      <c r="Y15" s="214"/>
      <c r="Z15" s="214"/>
      <c r="AA15" s="214"/>
      <c r="AB15" s="25" t="e">
        <f t="shared" si="3"/>
        <v>#DIV/0!</v>
      </c>
      <c r="AC15" s="24">
        <f t="shared" si="0"/>
        <v>0</v>
      </c>
      <c r="AD15" s="25">
        <f t="shared" si="1"/>
        <v>0</v>
      </c>
      <c r="AE15" s="25">
        <f t="shared" si="4"/>
        <v>0</v>
      </c>
      <c r="AF15" s="25" t="e">
        <f t="shared" si="2"/>
        <v>#DIV/0!</v>
      </c>
    </row>
    <row r="16" spans="1:32" x14ac:dyDescent="0.25">
      <c r="A16" s="462">
        <v>10</v>
      </c>
      <c r="B16" s="463" t="e">
        <f>R4</f>
        <v>#DIV/0!</v>
      </c>
      <c r="C16" s="464" t="e">
        <f>R24</f>
        <v>#DIV/0!</v>
      </c>
      <c r="D16" s="463" t="e">
        <f t="shared" ref="D16:E23" si="5">B16/$D$24</f>
        <v>#DIV/0!</v>
      </c>
      <c r="E16" s="217" t="e">
        <f t="shared" si="5"/>
        <v>#DIV/0!</v>
      </c>
      <c r="G16" s="38"/>
      <c r="H16" s="30"/>
      <c r="I16" s="30"/>
      <c r="J16" s="30"/>
      <c r="O16" s="642"/>
      <c r="S16" s="28"/>
      <c r="T16" s="214"/>
      <c r="U16" s="214"/>
      <c r="V16" s="214"/>
      <c r="W16" s="214"/>
      <c r="X16" s="214"/>
      <c r="Y16" s="214"/>
      <c r="Z16" s="214"/>
      <c r="AA16" s="214"/>
      <c r="AB16" s="25" t="e">
        <f t="shared" si="3"/>
        <v>#DIV/0!</v>
      </c>
      <c r="AC16" s="24">
        <f t="shared" si="0"/>
        <v>0</v>
      </c>
      <c r="AD16" s="25">
        <f t="shared" si="1"/>
        <v>0</v>
      </c>
      <c r="AE16" s="25">
        <f t="shared" si="4"/>
        <v>0</v>
      </c>
      <c r="AF16" s="25" t="e">
        <f t="shared" si="2"/>
        <v>#DIV/0!</v>
      </c>
    </row>
    <row r="17" spans="1:33" x14ac:dyDescent="0.25">
      <c r="A17" s="465">
        <v>20</v>
      </c>
      <c r="B17" s="463" t="e">
        <f>R5</f>
        <v>#DIV/0!</v>
      </c>
      <c r="C17" s="466" t="e">
        <f>R25</f>
        <v>#DIV/0!</v>
      </c>
      <c r="D17" s="463" t="e">
        <f t="shared" si="5"/>
        <v>#DIV/0!</v>
      </c>
      <c r="E17" s="217" t="e">
        <f t="shared" si="5"/>
        <v>#DIV/0!</v>
      </c>
      <c r="G17" s="38"/>
      <c r="H17" s="30"/>
      <c r="I17" s="30"/>
      <c r="J17" s="30"/>
      <c r="O17" s="642"/>
      <c r="S17" s="28"/>
      <c r="T17" s="214"/>
      <c r="U17" s="214"/>
      <c r="V17" s="214"/>
      <c r="W17" s="214"/>
      <c r="X17" s="214"/>
      <c r="Y17" s="214"/>
      <c r="Z17" s="214"/>
      <c r="AA17" s="214"/>
      <c r="AB17" s="25" t="e">
        <f t="shared" si="3"/>
        <v>#DIV/0!</v>
      </c>
      <c r="AC17" s="24">
        <f t="shared" si="0"/>
        <v>0</v>
      </c>
      <c r="AD17" s="25">
        <f t="shared" si="1"/>
        <v>0</v>
      </c>
      <c r="AE17" s="25">
        <f t="shared" si="4"/>
        <v>0</v>
      </c>
      <c r="AF17" s="25" t="e">
        <f t="shared" si="2"/>
        <v>#DIV/0!</v>
      </c>
    </row>
    <row r="18" spans="1:33" x14ac:dyDescent="0.25">
      <c r="A18" s="465">
        <v>30</v>
      </c>
      <c r="B18" s="463" t="e">
        <f t="shared" ref="B18:B23" si="6">R6</f>
        <v>#DIV/0!</v>
      </c>
      <c r="C18" s="464" t="e">
        <f t="shared" ref="C18:C23" si="7">R26</f>
        <v>#DIV/0!</v>
      </c>
      <c r="D18" s="463" t="e">
        <f t="shared" si="5"/>
        <v>#DIV/0!</v>
      </c>
      <c r="E18" s="217" t="e">
        <f t="shared" si="5"/>
        <v>#DIV/0!</v>
      </c>
      <c r="G18" s="38"/>
      <c r="H18" s="30"/>
      <c r="I18" s="30"/>
      <c r="J18" s="30"/>
      <c r="O18" s="642"/>
      <c r="S18" s="28"/>
      <c r="T18" s="214"/>
      <c r="U18" s="214"/>
      <c r="V18" s="214"/>
      <c r="W18" s="214"/>
      <c r="X18" s="214"/>
      <c r="Y18" s="214"/>
      <c r="Z18" s="214"/>
      <c r="AA18" s="214"/>
      <c r="AB18" s="25" t="e">
        <f t="shared" si="3"/>
        <v>#DIV/0!</v>
      </c>
      <c r="AC18" s="24">
        <f t="shared" si="0"/>
        <v>0</v>
      </c>
      <c r="AD18" s="25">
        <f t="shared" si="1"/>
        <v>0</v>
      </c>
      <c r="AE18" s="25">
        <f t="shared" si="4"/>
        <v>0</v>
      </c>
      <c r="AF18" s="25" t="e">
        <f t="shared" si="2"/>
        <v>#DIV/0!</v>
      </c>
    </row>
    <row r="19" spans="1:33" x14ac:dyDescent="0.25">
      <c r="A19" s="465">
        <v>40</v>
      </c>
      <c r="B19" s="463" t="e">
        <f t="shared" si="6"/>
        <v>#DIV/0!</v>
      </c>
      <c r="C19" s="466" t="e">
        <f t="shared" si="7"/>
        <v>#DIV/0!</v>
      </c>
      <c r="D19" s="463" t="e">
        <f t="shared" si="5"/>
        <v>#DIV/0!</v>
      </c>
      <c r="E19" s="217" t="e">
        <f t="shared" si="5"/>
        <v>#DIV/0!</v>
      </c>
      <c r="G19" s="38"/>
      <c r="H19" s="30"/>
      <c r="I19" s="30"/>
      <c r="J19" s="30"/>
      <c r="O19" s="642"/>
    </row>
    <row r="20" spans="1:33" x14ac:dyDescent="0.25">
      <c r="A20" s="465">
        <v>50</v>
      </c>
      <c r="B20" s="463" t="e">
        <f t="shared" si="6"/>
        <v>#DIV/0!</v>
      </c>
      <c r="C20" s="464" t="e">
        <f t="shared" si="7"/>
        <v>#DIV/0!</v>
      </c>
      <c r="D20" s="463" t="e">
        <f t="shared" si="5"/>
        <v>#DIV/0!</v>
      </c>
      <c r="E20" s="217" t="e">
        <f t="shared" si="5"/>
        <v>#DIV/0!</v>
      </c>
      <c r="G20" s="38"/>
      <c r="H20" s="30"/>
      <c r="I20" s="30"/>
      <c r="J20" s="30"/>
      <c r="O20" s="642"/>
    </row>
    <row r="21" spans="1:33" x14ac:dyDescent="0.25">
      <c r="A21" s="465">
        <v>60</v>
      </c>
      <c r="B21" s="463" t="e">
        <f t="shared" si="6"/>
        <v>#DIV/0!</v>
      </c>
      <c r="C21" s="466" t="e">
        <f t="shared" si="7"/>
        <v>#DIV/0!</v>
      </c>
      <c r="D21" s="463" t="e">
        <f t="shared" si="5"/>
        <v>#DIV/0!</v>
      </c>
      <c r="E21" s="217" t="e">
        <f t="shared" si="5"/>
        <v>#DIV/0!</v>
      </c>
      <c r="G21" s="38"/>
      <c r="H21" s="30"/>
      <c r="I21" s="30"/>
      <c r="J21" s="30"/>
      <c r="O21" s="642"/>
    </row>
    <row r="22" spans="1:33" x14ac:dyDescent="0.25">
      <c r="A22" s="465">
        <v>70</v>
      </c>
      <c r="B22" s="463" t="e">
        <f t="shared" si="6"/>
        <v>#DIV/0!</v>
      </c>
      <c r="C22" s="464" t="e">
        <f t="shared" si="7"/>
        <v>#DIV/0!</v>
      </c>
      <c r="D22" s="463" t="e">
        <f t="shared" si="5"/>
        <v>#DIV/0!</v>
      </c>
      <c r="E22" s="217" t="e">
        <f t="shared" si="5"/>
        <v>#DIV/0!</v>
      </c>
      <c r="G22" s="38"/>
      <c r="H22" s="30"/>
      <c r="I22" s="30"/>
      <c r="J22" s="30"/>
      <c r="O22" s="642"/>
      <c r="Q22" s="118" t="s">
        <v>364</v>
      </c>
      <c r="R22" s="411">
        <v>62008007</v>
      </c>
      <c r="T22" s="23"/>
      <c r="AG22" s="1"/>
    </row>
    <row r="23" spans="1:33" ht="15" customHeight="1" thickBot="1" x14ac:dyDescent="0.3">
      <c r="A23" s="467">
        <v>80</v>
      </c>
      <c r="B23" s="463" t="e">
        <f t="shared" si="6"/>
        <v>#DIV/0!</v>
      </c>
      <c r="C23" s="466" t="e">
        <f t="shared" si="7"/>
        <v>#DIV/0!</v>
      </c>
      <c r="D23" s="463" t="e">
        <f t="shared" si="5"/>
        <v>#DIV/0!</v>
      </c>
      <c r="E23" s="217" t="e">
        <f t="shared" si="5"/>
        <v>#DIV/0!</v>
      </c>
      <c r="G23" s="38"/>
      <c r="H23" s="30"/>
      <c r="I23" s="30"/>
      <c r="J23" s="30"/>
      <c r="O23" s="642"/>
      <c r="Q23" s="72" t="s">
        <v>91</v>
      </c>
      <c r="R23" s="72"/>
      <c r="S23" s="72"/>
      <c r="T23" s="77" t="s">
        <v>81</v>
      </c>
      <c r="U23" s="72" t="s">
        <v>82</v>
      </c>
      <c r="V23" s="72" t="s">
        <v>83</v>
      </c>
      <c r="W23" s="72" t="s">
        <v>84</v>
      </c>
      <c r="X23" s="72" t="s">
        <v>107</v>
      </c>
      <c r="Y23" s="72" t="s">
        <v>206</v>
      </c>
      <c r="Z23" s="72" t="s">
        <v>108</v>
      </c>
      <c r="AA23" s="72" t="s">
        <v>204</v>
      </c>
      <c r="AB23" s="76" t="s">
        <v>112</v>
      </c>
      <c r="AC23" s="76" t="s">
        <v>85</v>
      </c>
      <c r="AD23" s="76" t="s">
        <v>86</v>
      </c>
      <c r="AE23" s="76" t="s">
        <v>87</v>
      </c>
      <c r="AF23" s="76" t="s">
        <v>88</v>
      </c>
    </row>
    <row r="24" spans="1:33" ht="15.75" thickBot="1" x14ac:dyDescent="0.3">
      <c r="A24" s="468"/>
      <c r="B24" s="469"/>
      <c r="C24" s="470" t="s">
        <v>365</v>
      </c>
      <c r="D24" s="471" t="e">
        <f>D47</f>
        <v>#REF!</v>
      </c>
      <c r="E24" s="218"/>
      <c r="O24" s="642"/>
      <c r="Q24" s="65">
        <v>10</v>
      </c>
      <c r="R24" s="212" t="e">
        <f>(AB24+AB38)/2</f>
        <v>#DIV/0!</v>
      </c>
      <c r="T24" s="214"/>
      <c r="U24" s="214"/>
      <c r="V24" s="214"/>
      <c r="W24" s="214"/>
      <c r="X24" s="214"/>
      <c r="Y24" s="214"/>
      <c r="Z24" s="214"/>
      <c r="AA24" s="214"/>
      <c r="AB24" s="25" t="e">
        <f>(Y24)/W24</f>
        <v>#DIV/0!</v>
      </c>
      <c r="AC24" s="24">
        <f t="shared" ref="AC24:AC38" si="8">W24*0.44704</f>
        <v>0</v>
      </c>
      <c r="AD24" s="25">
        <f t="shared" ref="AD24:AD38" si="9">AC24*Z24/1000</f>
        <v>0</v>
      </c>
      <c r="AE24" s="25">
        <f>Y24/1000</f>
        <v>0</v>
      </c>
      <c r="AF24" s="25" t="e">
        <f t="shared" ref="AF24:AF38" si="10">AD24/AE24*100</f>
        <v>#DIV/0!</v>
      </c>
    </row>
    <row r="25" spans="1:33" ht="15.75" thickBot="1" x14ac:dyDescent="0.3">
      <c r="A25" s="472"/>
      <c r="B25" s="472"/>
      <c r="O25" s="642"/>
      <c r="Q25" s="65">
        <v>20</v>
      </c>
      <c r="R25" s="212" t="e">
        <f>(AB25+AB37)/2</f>
        <v>#DIV/0!</v>
      </c>
      <c r="T25" s="214"/>
      <c r="U25" s="214"/>
      <c r="V25" s="214"/>
      <c r="W25" s="214"/>
      <c r="X25" s="214"/>
      <c r="Y25" s="214"/>
      <c r="Z25" s="214"/>
      <c r="AA25" s="214"/>
      <c r="AB25" s="25" t="e">
        <f t="shared" ref="AB25:AB38" si="11">(Y25)/W25</f>
        <v>#DIV/0!</v>
      </c>
      <c r="AC25" s="24">
        <f t="shared" si="8"/>
        <v>0</v>
      </c>
      <c r="AD25" s="25">
        <f t="shared" si="9"/>
        <v>0</v>
      </c>
      <c r="AE25" s="25">
        <f t="shared" ref="AE25:AE38" si="12">Y25/1000</f>
        <v>0</v>
      </c>
      <c r="AF25" s="25" t="e">
        <f t="shared" si="10"/>
        <v>#DIV/0!</v>
      </c>
    </row>
    <row r="26" spans="1:33" ht="15.75" thickBot="1" x14ac:dyDescent="0.3">
      <c r="A26" s="473" t="s">
        <v>343</v>
      </c>
      <c r="B26" s="652" t="s">
        <v>67</v>
      </c>
      <c r="C26" s="652"/>
      <c r="D26" s="653"/>
      <c r="E26" s="99"/>
      <c r="F26" s="99"/>
      <c r="O26" s="642"/>
      <c r="Q26" s="65">
        <v>30</v>
      </c>
      <c r="R26" s="212" t="e">
        <f>(AB26+AB36)/2</f>
        <v>#DIV/0!</v>
      </c>
      <c r="T26" s="214"/>
      <c r="U26" s="214"/>
      <c r="V26" s="214"/>
      <c r="W26" s="214"/>
      <c r="X26" s="214"/>
      <c r="Y26" s="214"/>
      <c r="Z26" s="214"/>
      <c r="AA26" s="214"/>
      <c r="AB26" s="25" t="e">
        <f t="shared" si="11"/>
        <v>#DIV/0!</v>
      </c>
      <c r="AC26" s="24">
        <f t="shared" si="8"/>
        <v>0</v>
      </c>
      <c r="AD26" s="25">
        <f t="shared" si="9"/>
        <v>0</v>
      </c>
      <c r="AE26" s="25">
        <f t="shared" si="12"/>
        <v>0</v>
      </c>
      <c r="AF26" s="25" t="e">
        <f t="shared" si="10"/>
        <v>#DIV/0!</v>
      </c>
    </row>
    <row r="27" spans="1:33" x14ac:dyDescent="0.25">
      <c r="A27" s="474"/>
      <c r="B27" s="475" t="s">
        <v>58</v>
      </c>
      <c r="C27" s="475" t="s">
        <v>59</v>
      </c>
      <c r="D27" s="476" t="s">
        <v>60</v>
      </c>
      <c r="E27" s="38"/>
      <c r="F27" s="38"/>
      <c r="O27" s="642"/>
      <c r="Q27" s="65">
        <v>40</v>
      </c>
      <c r="R27" s="212" t="e">
        <f>(AB27+AB35)/2</f>
        <v>#DIV/0!</v>
      </c>
      <c r="T27" s="214"/>
      <c r="U27" s="214"/>
      <c r="V27" s="214"/>
      <c r="W27" s="214"/>
      <c r="X27" s="214"/>
      <c r="Y27" s="214"/>
      <c r="Z27" s="214"/>
      <c r="AA27" s="214"/>
      <c r="AB27" s="25" t="e">
        <f t="shared" si="11"/>
        <v>#DIV/0!</v>
      </c>
      <c r="AC27" s="24">
        <f t="shared" si="8"/>
        <v>0</v>
      </c>
      <c r="AD27" s="25">
        <f t="shared" si="9"/>
        <v>0</v>
      </c>
      <c r="AE27" s="25">
        <f t="shared" si="12"/>
        <v>0</v>
      </c>
      <c r="AF27" s="25" t="e">
        <f t="shared" si="10"/>
        <v>#DIV/0!</v>
      </c>
    </row>
    <row r="28" spans="1:33" x14ac:dyDescent="0.25">
      <c r="A28" s="477" t="s">
        <v>61</v>
      </c>
      <c r="B28" s="478" t="e">
        <f>R42</f>
        <v>#DIV/0!</v>
      </c>
      <c r="C28" s="478" t="e">
        <f>R51</f>
        <v>#DIV/0!</v>
      </c>
      <c r="D28" s="479" t="e">
        <f>R59</f>
        <v>#DIV/0!</v>
      </c>
      <c r="E28" s="101"/>
      <c r="F28" s="101"/>
      <c r="O28" s="642"/>
      <c r="Q28" s="65">
        <v>50</v>
      </c>
      <c r="R28" s="212" t="e">
        <f>(AB28)</f>
        <v>#DIV/0!</v>
      </c>
      <c r="T28" s="214"/>
      <c r="U28" s="214"/>
      <c r="V28" s="214"/>
      <c r="W28" s="214"/>
      <c r="X28" s="214"/>
      <c r="Y28" s="214"/>
      <c r="Z28" s="214"/>
      <c r="AA28" s="214"/>
      <c r="AB28" s="25" t="e">
        <f t="shared" si="11"/>
        <v>#DIV/0!</v>
      </c>
      <c r="AC28" s="24">
        <f t="shared" si="8"/>
        <v>0</v>
      </c>
      <c r="AD28" s="25">
        <f t="shared" si="9"/>
        <v>0</v>
      </c>
      <c r="AE28" s="25">
        <f t="shared" si="12"/>
        <v>0</v>
      </c>
      <c r="AF28" s="25" t="e">
        <f t="shared" si="10"/>
        <v>#DIV/0!</v>
      </c>
    </row>
    <row r="29" spans="1:33" x14ac:dyDescent="0.25">
      <c r="A29" s="477" t="s">
        <v>62</v>
      </c>
      <c r="B29" s="478" t="e">
        <f>R43</f>
        <v>#DIV/0!</v>
      </c>
      <c r="C29" s="478" t="e">
        <f>R52</f>
        <v>#DIV/0!</v>
      </c>
      <c r="D29" s="479" t="e">
        <f>R60</f>
        <v>#DIV/0!</v>
      </c>
      <c r="E29" s="101"/>
      <c r="F29" s="101"/>
      <c r="O29" s="642"/>
      <c r="Q29" s="65">
        <v>60</v>
      </c>
      <c r="R29" s="212" t="e">
        <f>(AB29+AB33)/2</f>
        <v>#DIV/0!</v>
      </c>
      <c r="T29" s="214"/>
      <c r="U29" s="214"/>
      <c r="V29" s="214"/>
      <c r="W29" s="214"/>
      <c r="X29" s="214"/>
      <c r="Y29" s="214"/>
      <c r="Z29" s="214"/>
      <c r="AA29" s="214"/>
      <c r="AB29" s="25" t="e">
        <f t="shared" si="11"/>
        <v>#DIV/0!</v>
      </c>
      <c r="AC29" s="24">
        <f t="shared" si="8"/>
        <v>0</v>
      </c>
      <c r="AD29" s="25">
        <f t="shared" si="9"/>
        <v>0</v>
      </c>
      <c r="AE29" s="25">
        <f t="shared" si="12"/>
        <v>0</v>
      </c>
      <c r="AF29" s="25" t="e">
        <f t="shared" si="10"/>
        <v>#DIV/0!</v>
      </c>
    </row>
    <row r="30" spans="1:33" ht="15.6" customHeight="1" x14ac:dyDescent="0.25">
      <c r="A30" s="477" t="s">
        <v>63</v>
      </c>
      <c r="B30" s="478">
        <f>R44</f>
        <v>0</v>
      </c>
      <c r="C30" s="478">
        <f>R53</f>
        <v>0</v>
      </c>
      <c r="D30" s="479">
        <f>R61</f>
        <v>0</v>
      </c>
      <c r="E30" s="101"/>
      <c r="F30" s="101"/>
      <c r="O30" s="642"/>
      <c r="Q30" s="65">
        <v>70</v>
      </c>
      <c r="R30" s="212" t="e">
        <f>(AB30+AB32)/2</f>
        <v>#DIV/0!</v>
      </c>
      <c r="T30" s="214"/>
      <c r="U30" s="214"/>
      <c r="V30" s="214"/>
      <c r="W30" s="214"/>
      <c r="X30" s="214"/>
      <c r="Y30" s="214"/>
      <c r="Z30" s="214"/>
      <c r="AA30" s="214"/>
      <c r="AB30" s="25" t="e">
        <f t="shared" si="11"/>
        <v>#DIV/0!</v>
      </c>
      <c r="AC30" s="24">
        <f t="shared" si="8"/>
        <v>0</v>
      </c>
      <c r="AD30" s="25">
        <f t="shared" si="9"/>
        <v>0</v>
      </c>
      <c r="AE30" s="25">
        <f t="shared" si="12"/>
        <v>0</v>
      </c>
      <c r="AF30" s="25" t="e">
        <f t="shared" si="10"/>
        <v>#DIV/0!</v>
      </c>
    </row>
    <row r="31" spans="1:33" ht="15.75" thickBot="1" x14ac:dyDescent="0.3">
      <c r="A31" s="480" t="s">
        <v>64</v>
      </c>
      <c r="B31" s="481">
        <f>R45</f>
        <v>0</v>
      </c>
      <c r="C31" s="481">
        <f>R54</f>
        <v>0</v>
      </c>
      <c r="D31" s="482">
        <f>R62</f>
        <v>0</v>
      </c>
      <c r="E31" s="101"/>
      <c r="F31" s="101"/>
      <c r="O31" s="642"/>
      <c r="Q31" s="65">
        <v>80</v>
      </c>
      <c r="R31" s="213" t="e">
        <f>AB31</f>
        <v>#DIV/0!</v>
      </c>
      <c r="T31" s="214"/>
      <c r="U31" s="214"/>
      <c r="V31" s="214"/>
      <c r="W31" s="214"/>
      <c r="X31" s="214"/>
      <c r="Y31" s="214"/>
      <c r="Z31" s="214"/>
      <c r="AA31" s="214"/>
      <c r="AB31" s="25" t="e">
        <f t="shared" si="11"/>
        <v>#DIV/0!</v>
      </c>
      <c r="AC31" s="24">
        <f t="shared" si="8"/>
        <v>0</v>
      </c>
      <c r="AD31" s="25">
        <f t="shared" si="9"/>
        <v>0</v>
      </c>
      <c r="AE31" s="25">
        <f t="shared" si="12"/>
        <v>0</v>
      </c>
      <c r="AF31" s="25" t="e">
        <f t="shared" si="10"/>
        <v>#DIV/0!</v>
      </c>
    </row>
    <row r="32" spans="1:33" ht="15.6" customHeight="1" thickBot="1" x14ac:dyDescent="0.3">
      <c r="A32" s="472"/>
      <c r="B32" s="472"/>
      <c r="C32" s="483"/>
      <c r="D32" s="483"/>
      <c r="E32" s="99"/>
      <c r="F32" s="99"/>
      <c r="O32" s="642"/>
      <c r="T32" s="214"/>
      <c r="U32" s="214"/>
      <c r="V32" s="214"/>
      <c r="W32" s="214"/>
      <c r="X32" s="214"/>
      <c r="Y32" s="214"/>
      <c r="Z32" s="214"/>
      <c r="AA32" s="214"/>
      <c r="AB32" s="25" t="e">
        <f t="shared" si="11"/>
        <v>#DIV/0!</v>
      </c>
      <c r="AC32" s="24">
        <f t="shared" si="8"/>
        <v>0</v>
      </c>
      <c r="AD32" s="25">
        <f t="shared" si="9"/>
        <v>0</v>
      </c>
      <c r="AE32" s="25">
        <f t="shared" si="12"/>
        <v>0</v>
      </c>
      <c r="AF32" s="25" t="e">
        <f t="shared" si="10"/>
        <v>#DIV/0!</v>
      </c>
    </row>
    <row r="33" spans="1:38" x14ac:dyDescent="0.25">
      <c r="A33" s="654" t="s">
        <v>68</v>
      </c>
      <c r="B33" s="655"/>
      <c r="C33" s="655"/>
      <c r="D33" s="656"/>
      <c r="E33" s="166"/>
      <c r="F33" s="166"/>
      <c r="O33" s="642"/>
      <c r="T33" s="214"/>
      <c r="U33" s="214"/>
      <c r="V33" s="214"/>
      <c r="W33" s="214"/>
      <c r="X33" s="214"/>
      <c r="Y33" s="214"/>
      <c r="Z33" s="214"/>
      <c r="AA33" s="214"/>
      <c r="AB33" s="25" t="e">
        <f t="shared" si="11"/>
        <v>#DIV/0!</v>
      </c>
      <c r="AC33" s="24">
        <f t="shared" si="8"/>
        <v>0</v>
      </c>
      <c r="AD33" s="25">
        <f t="shared" si="9"/>
        <v>0</v>
      </c>
      <c r="AE33" s="25">
        <f t="shared" si="12"/>
        <v>0</v>
      </c>
      <c r="AF33" s="25" t="e">
        <f t="shared" si="10"/>
        <v>#DIV/0!</v>
      </c>
    </row>
    <row r="34" spans="1:38" x14ac:dyDescent="0.25">
      <c r="A34" s="657" t="s">
        <v>336</v>
      </c>
      <c r="B34" s="658"/>
      <c r="C34" s="484" t="s">
        <v>65</v>
      </c>
      <c r="D34" s="485"/>
      <c r="E34" s="38"/>
      <c r="F34" s="38"/>
      <c r="O34" s="642"/>
      <c r="T34" s="214"/>
      <c r="U34" s="214"/>
      <c r="V34" s="214"/>
      <c r="W34" s="214"/>
      <c r="X34" s="214"/>
      <c r="Y34" s="214"/>
      <c r="Z34" s="214"/>
      <c r="AA34" s="214"/>
      <c r="AB34" s="25" t="e">
        <f t="shared" si="11"/>
        <v>#DIV/0!</v>
      </c>
      <c r="AC34" s="24">
        <f t="shared" si="8"/>
        <v>0</v>
      </c>
      <c r="AD34" s="25">
        <f t="shared" si="9"/>
        <v>0</v>
      </c>
      <c r="AE34" s="25">
        <f t="shared" si="12"/>
        <v>0</v>
      </c>
      <c r="AF34" s="25" t="e">
        <f t="shared" si="10"/>
        <v>#DIV/0!</v>
      </c>
    </row>
    <row r="35" spans="1:38" ht="15.6" customHeight="1" thickBot="1" x14ac:dyDescent="0.3">
      <c r="A35" s="659">
        <v>61511007</v>
      </c>
      <c r="B35" s="660"/>
      <c r="C35" s="486"/>
      <c r="D35" s="487" t="s">
        <v>66</v>
      </c>
      <c r="E35" s="21"/>
      <c r="F35" s="21"/>
      <c r="O35" s="642"/>
      <c r="T35" s="214"/>
      <c r="U35" s="214"/>
      <c r="V35" s="214"/>
      <c r="W35" s="214"/>
      <c r="X35" s="214"/>
      <c r="Y35" s="214"/>
      <c r="Z35" s="214"/>
      <c r="AA35" s="214"/>
      <c r="AB35" s="25" t="e">
        <f t="shared" si="11"/>
        <v>#DIV/0!</v>
      </c>
      <c r="AC35" s="24">
        <f t="shared" si="8"/>
        <v>0</v>
      </c>
      <c r="AD35" s="25">
        <f t="shared" si="9"/>
        <v>0</v>
      </c>
      <c r="AE35" s="25">
        <f t="shared" si="12"/>
        <v>0</v>
      </c>
      <c r="AF35" s="25" t="e">
        <f t="shared" si="10"/>
        <v>#DIV/0!</v>
      </c>
    </row>
    <row r="36" spans="1:38" ht="15.95" customHeight="1" x14ac:dyDescent="0.25">
      <c r="O36" s="642"/>
      <c r="T36" s="214"/>
      <c r="U36" s="214"/>
      <c r="V36" s="214"/>
      <c r="W36" s="214"/>
      <c r="X36" s="214"/>
      <c r="Y36" s="214"/>
      <c r="Z36" s="214"/>
      <c r="AA36" s="214"/>
      <c r="AB36" s="25" t="e">
        <f t="shared" si="11"/>
        <v>#DIV/0!</v>
      </c>
      <c r="AC36" s="24">
        <f t="shared" si="8"/>
        <v>0</v>
      </c>
      <c r="AD36" s="25">
        <f t="shared" si="9"/>
        <v>0</v>
      </c>
      <c r="AE36" s="25">
        <f t="shared" si="12"/>
        <v>0</v>
      </c>
      <c r="AF36" s="25" t="e">
        <f t="shared" si="10"/>
        <v>#DIV/0!</v>
      </c>
      <c r="AH36" s="1"/>
      <c r="AI36" s="1"/>
      <c r="AJ36" s="1"/>
      <c r="AK36" s="1"/>
      <c r="AL36" s="1"/>
    </row>
    <row r="37" spans="1:38" ht="15.6" customHeight="1" thickBot="1" x14ac:dyDescent="0.3">
      <c r="J37" s="1"/>
      <c r="O37" s="642"/>
      <c r="T37" s="214"/>
      <c r="U37" s="214"/>
      <c r="V37" s="214"/>
      <c r="W37" s="214"/>
      <c r="X37" s="214"/>
      <c r="Y37" s="214"/>
      <c r="Z37" s="214"/>
      <c r="AA37" s="214"/>
      <c r="AB37" s="25" t="e">
        <f t="shared" si="11"/>
        <v>#DIV/0!</v>
      </c>
      <c r="AC37" s="24">
        <f t="shared" si="8"/>
        <v>0</v>
      </c>
      <c r="AD37" s="25">
        <f t="shared" si="9"/>
        <v>0</v>
      </c>
      <c r="AE37" s="25">
        <f t="shared" si="12"/>
        <v>0</v>
      </c>
      <c r="AF37" s="25" t="e">
        <f t="shared" si="10"/>
        <v>#DIV/0!</v>
      </c>
    </row>
    <row r="38" spans="1:38" ht="30" x14ac:dyDescent="0.25">
      <c r="A38" s="488" t="s">
        <v>788</v>
      </c>
      <c r="B38" s="489"/>
      <c r="C38" s="489"/>
      <c r="D38" s="490"/>
      <c r="F38" s="81"/>
      <c r="J38" s="1"/>
      <c r="O38" s="642"/>
      <c r="T38" s="214"/>
      <c r="U38" s="214"/>
      <c r="V38" s="214"/>
      <c r="W38" s="214"/>
      <c r="X38" s="214"/>
      <c r="Y38" s="214"/>
      <c r="Z38" s="214"/>
      <c r="AA38" s="214"/>
      <c r="AB38" s="25" t="e">
        <f t="shared" si="11"/>
        <v>#DIV/0!</v>
      </c>
      <c r="AC38" s="24">
        <f t="shared" si="8"/>
        <v>0</v>
      </c>
      <c r="AD38" s="25">
        <f t="shared" si="9"/>
        <v>0</v>
      </c>
      <c r="AE38" s="25">
        <f t="shared" si="12"/>
        <v>0</v>
      </c>
      <c r="AF38" s="25" t="e">
        <f t="shared" si="10"/>
        <v>#DIV/0!</v>
      </c>
    </row>
    <row r="39" spans="1:38" x14ac:dyDescent="0.25">
      <c r="A39" s="491" t="s">
        <v>787</v>
      </c>
      <c r="B39" s="492"/>
      <c r="C39" s="492"/>
      <c r="D39" s="493"/>
      <c r="F39" s="81"/>
      <c r="J39" s="1"/>
      <c r="O39" s="642"/>
    </row>
    <row r="40" spans="1:38" ht="15.95" customHeight="1" x14ac:dyDescent="0.25">
      <c r="A40" s="494" t="s">
        <v>205</v>
      </c>
      <c r="B40" s="475" t="s">
        <v>0</v>
      </c>
      <c r="C40" s="475" t="s">
        <v>297</v>
      </c>
      <c r="D40" s="476" t="s">
        <v>298</v>
      </c>
      <c r="F40" s="99"/>
      <c r="J40" s="1"/>
      <c r="O40" s="642"/>
      <c r="Q40" s="118" t="s">
        <v>364</v>
      </c>
      <c r="R40" s="411">
        <v>62008007</v>
      </c>
      <c r="T40" s="23"/>
    </row>
    <row r="41" spans="1:38" ht="15.75" thickBot="1" x14ac:dyDescent="0.3">
      <c r="A41" s="477" t="s">
        <v>69</v>
      </c>
      <c r="B41" s="495" t="e">
        <f>TestSummary!#REF!</f>
        <v>#REF!</v>
      </c>
      <c r="C41" s="496" t="e">
        <f>TestSummary!#REF!</f>
        <v>#REF!</v>
      </c>
      <c r="D41" s="497" t="e">
        <f t="shared" ref="D41:D46" si="13">C41/$D$47</f>
        <v>#REF!</v>
      </c>
      <c r="E41" s="82"/>
      <c r="F41" s="100"/>
      <c r="O41" s="642"/>
      <c r="Q41" s="72" t="s">
        <v>94</v>
      </c>
      <c r="R41" s="72"/>
      <c r="S41" s="72"/>
      <c r="T41" s="77" t="s">
        <v>81</v>
      </c>
      <c r="U41" s="72" t="s">
        <v>82</v>
      </c>
      <c r="V41" s="72" t="s">
        <v>83</v>
      </c>
      <c r="W41" s="72" t="s">
        <v>95</v>
      </c>
      <c r="X41" s="72" t="s">
        <v>109</v>
      </c>
      <c r="Y41" s="72" t="s">
        <v>110</v>
      </c>
      <c r="Z41" s="72" t="s">
        <v>92</v>
      </c>
      <c r="AA41" s="72" t="s">
        <v>93</v>
      </c>
      <c r="AB41" s="72" t="s">
        <v>232</v>
      </c>
      <c r="AC41" s="72" t="s">
        <v>233</v>
      </c>
    </row>
    <row r="42" spans="1:38" ht="15.6" customHeight="1" x14ac:dyDescent="0.25">
      <c r="A42" s="477" t="s">
        <v>57</v>
      </c>
      <c r="B42" s="495" t="e">
        <f>TestSummary!#REF!</f>
        <v>#REF!</v>
      </c>
      <c r="C42" s="496" t="e">
        <f>TestSummary!#REF!</f>
        <v>#REF!</v>
      </c>
      <c r="D42" s="497" t="e">
        <f t="shared" si="13"/>
        <v>#REF!</v>
      </c>
      <c r="E42" s="82"/>
      <c r="F42" s="100"/>
      <c r="I42" s="26"/>
      <c r="O42" s="642"/>
      <c r="Q42" s="42" t="s">
        <v>61</v>
      </c>
      <c r="R42" s="78" t="e">
        <f>AVERAGE(W42,W44)</f>
        <v>#DIV/0!</v>
      </c>
      <c r="T42" s="214"/>
      <c r="U42" s="214"/>
      <c r="V42" s="214"/>
      <c r="W42" s="39"/>
      <c r="X42" s="214"/>
      <c r="Y42" s="214"/>
      <c r="Z42" s="214"/>
      <c r="AA42" s="214"/>
      <c r="AB42" s="214"/>
      <c r="AC42" s="214"/>
      <c r="AD42" s="214"/>
      <c r="AE42" s="214"/>
    </row>
    <row r="43" spans="1:38" x14ac:dyDescent="0.25">
      <c r="A43" s="477" t="s">
        <v>54</v>
      </c>
      <c r="B43" s="495" t="e">
        <f>TestSummary!#REF!</f>
        <v>#REF!</v>
      </c>
      <c r="C43" s="496" t="e">
        <f>TestSummary!#REF!</f>
        <v>#REF!</v>
      </c>
      <c r="D43" s="497" t="e">
        <f t="shared" si="13"/>
        <v>#REF!</v>
      </c>
      <c r="E43" s="82"/>
      <c r="F43" s="100"/>
      <c r="O43" s="642"/>
      <c r="Q43" s="42" t="s">
        <v>62</v>
      </c>
      <c r="R43" s="78" t="e">
        <f>AVERAGE(W43,W46)</f>
        <v>#DIV/0!</v>
      </c>
      <c r="T43" s="214"/>
      <c r="U43" s="214"/>
      <c r="V43" s="214"/>
      <c r="W43" s="39"/>
      <c r="X43" s="214"/>
      <c r="Y43" s="214"/>
      <c r="Z43" s="214"/>
      <c r="AA43" s="214"/>
      <c r="AB43" s="214"/>
      <c r="AC43" s="214"/>
      <c r="AD43" s="214"/>
      <c r="AE43" s="214"/>
    </row>
    <row r="44" spans="1:38" x14ac:dyDescent="0.25">
      <c r="A44" s="477" t="s">
        <v>70</v>
      </c>
      <c r="B44" s="495" t="e">
        <f>TestSummary!#REF!</f>
        <v>#REF!</v>
      </c>
      <c r="C44" s="496" t="e">
        <f>TestSummary!#REF!</f>
        <v>#REF!</v>
      </c>
      <c r="D44" s="497" t="e">
        <f t="shared" si="13"/>
        <v>#REF!</v>
      </c>
      <c r="E44" s="202"/>
      <c r="F44" s="101"/>
      <c r="H44" s="201"/>
      <c r="O44" s="642"/>
      <c r="Q44" s="42" t="s">
        <v>63</v>
      </c>
      <c r="R44" s="78">
        <f>W45</f>
        <v>0</v>
      </c>
      <c r="T44" s="214"/>
      <c r="U44" s="214"/>
      <c r="V44" s="214"/>
      <c r="W44" s="39"/>
      <c r="X44" s="214"/>
      <c r="Y44" s="214"/>
      <c r="Z44" s="214"/>
      <c r="AA44" s="214"/>
      <c r="AB44" s="214"/>
      <c r="AC44" s="214"/>
      <c r="AD44" s="214"/>
      <c r="AE44" s="214"/>
    </row>
    <row r="45" spans="1:38" x14ac:dyDescent="0.25">
      <c r="A45" s="477" t="s">
        <v>71</v>
      </c>
      <c r="B45" s="495" t="e">
        <f>TestSummary!#REF!</f>
        <v>#REF!</v>
      </c>
      <c r="C45" s="496" t="e">
        <f>TestSummary!#REF!</f>
        <v>#REF!</v>
      </c>
      <c r="D45" s="497" t="e">
        <f t="shared" si="13"/>
        <v>#REF!</v>
      </c>
      <c r="E45" s="202"/>
      <c r="F45" s="101"/>
      <c r="O45" s="642"/>
      <c r="Q45" s="42" t="s">
        <v>64</v>
      </c>
      <c r="R45" s="78">
        <f>W47</f>
        <v>0</v>
      </c>
      <c r="T45" s="214"/>
      <c r="U45" s="214"/>
      <c r="V45" s="214"/>
      <c r="W45" s="39"/>
      <c r="X45" s="214"/>
      <c r="Y45" s="214"/>
      <c r="Z45" s="214"/>
      <c r="AA45" s="214"/>
      <c r="AB45" s="214"/>
      <c r="AC45" s="214"/>
      <c r="AD45" s="214"/>
      <c r="AE45" s="214"/>
    </row>
    <row r="46" spans="1:38" ht="15" customHeight="1" x14ac:dyDescent="0.25">
      <c r="A46" s="477" t="s">
        <v>72</v>
      </c>
      <c r="B46" s="495" t="e">
        <f>TestSummary!#REF!</f>
        <v>#REF!</v>
      </c>
      <c r="C46" s="496" t="e">
        <f>TestSummary!#REF!</f>
        <v>#REF!</v>
      </c>
      <c r="D46" s="497" t="e">
        <f t="shared" si="13"/>
        <v>#REF!</v>
      </c>
      <c r="E46" s="202"/>
      <c r="F46" s="101"/>
      <c r="O46" s="642"/>
      <c r="Q46" s="42"/>
      <c r="R46" s="78"/>
      <c r="T46" s="214"/>
      <c r="U46" s="214"/>
      <c r="V46" s="214"/>
      <c r="W46" s="39"/>
      <c r="X46" s="214"/>
      <c r="Y46" s="214"/>
      <c r="Z46" s="214"/>
      <c r="AA46" s="214"/>
      <c r="AB46" s="214"/>
      <c r="AC46" s="214"/>
      <c r="AD46" s="214"/>
      <c r="AE46" s="214"/>
    </row>
    <row r="47" spans="1:38" x14ac:dyDescent="0.25">
      <c r="A47" s="498"/>
      <c r="B47" s="499"/>
      <c r="C47" s="500" t="s">
        <v>366</v>
      </c>
      <c r="D47" s="215" t="e">
        <f>TestSummary!#REF!</f>
        <v>#REF!</v>
      </c>
      <c r="E47" s="82"/>
      <c r="F47" s="81"/>
      <c r="O47" s="642"/>
      <c r="Q47" s="42"/>
      <c r="R47" s="78"/>
      <c r="T47" s="214"/>
      <c r="U47" s="214"/>
      <c r="V47" s="214"/>
      <c r="W47" s="39"/>
      <c r="X47" s="214"/>
      <c r="Y47" s="214"/>
      <c r="Z47" s="214"/>
      <c r="AA47" s="214"/>
      <c r="AB47" s="214"/>
      <c r="AC47" s="214"/>
      <c r="AD47" s="214"/>
      <c r="AE47" s="214"/>
    </row>
    <row r="48" spans="1:38" x14ac:dyDescent="0.25">
      <c r="A48" s="501" t="s">
        <v>277</v>
      </c>
      <c r="B48" s="502"/>
      <c r="C48" s="502"/>
      <c r="D48" s="503"/>
      <c r="E48" s="82"/>
      <c r="F48" s="99"/>
      <c r="O48" s="642"/>
      <c r="Q48" s="42"/>
      <c r="R48" s="78"/>
      <c r="T48" s="1"/>
      <c r="W48" s="207"/>
    </row>
    <row r="49" spans="1:38" x14ac:dyDescent="0.25">
      <c r="A49" s="494" t="s">
        <v>205</v>
      </c>
      <c r="B49" s="475" t="s">
        <v>0</v>
      </c>
      <c r="C49" s="475" t="s">
        <v>297</v>
      </c>
      <c r="D49" s="476" t="s">
        <v>298</v>
      </c>
      <c r="E49" s="82"/>
      <c r="F49" s="101"/>
      <c r="O49" s="642"/>
      <c r="Q49" s="118" t="s">
        <v>364</v>
      </c>
      <c r="R49" s="214">
        <v>61511006</v>
      </c>
      <c r="T49" s="23"/>
    </row>
    <row r="50" spans="1:38" ht="15.75" thickBot="1" x14ac:dyDescent="0.3">
      <c r="A50" s="477" t="s">
        <v>354</v>
      </c>
      <c r="B50" s="495" t="e">
        <f>TestSummary!#REF!</f>
        <v>#REF!</v>
      </c>
      <c r="C50" s="496" t="e">
        <f>TestSummary!#REF!</f>
        <v>#REF!</v>
      </c>
      <c r="D50" s="497" t="e">
        <f>C50/$D$57</f>
        <v>#REF!</v>
      </c>
      <c r="F50" s="101"/>
      <c r="O50" s="642"/>
      <c r="Q50" s="72" t="s">
        <v>96</v>
      </c>
      <c r="R50" s="72"/>
      <c r="S50" s="72"/>
      <c r="T50" s="77" t="s">
        <v>81</v>
      </c>
      <c r="U50" s="72" t="s">
        <v>82</v>
      </c>
      <c r="V50" s="72" t="s">
        <v>83</v>
      </c>
      <c r="W50" s="72" t="s">
        <v>95</v>
      </c>
      <c r="X50" s="72" t="s">
        <v>109</v>
      </c>
      <c r="Y50" s="72" t="s">
        <v>110</v>
      </c>
      <c r="Z50" s="72" t="s">
        <v>92</v>
      </c>
      <c r="AA50" s="72" t="s">
        <v>93</v>
      </c>
      <c r="AB50" s="72" t="s">
        <v>232</v>
      </c>
      <c r="AC50" s="72" t="s">
        <v>233</v>
      </c>
    </row>
    <row r="51" spans="1:38" x14ac:dyDescent="0.25">
      <c r="A51" s="477" t="s">
        <v>57</v>
      </c>
      <c r="B51" s="495" t="e">
        <f>TestSummary!#REF!</f>
        <v>#REF!</v>
      </c>
      <c r="C51" s="496" t="e">
        <f>TestSummary!#REF!</f>
        <v>#REF!</v>
      </c>
      <c r="D51" s="497" t="e">
        <f t="shared" ref="D51:D56" si="14">C51/$D$57</f>
        <v>#REF!</v>
      </c>
      <c r="F51" s="100"/>
      <c r="O51" s="642"/>
      <c r="Q51" s="42" t="s">
        <v>61</v>
      </c>
      <c r="R51" s="78" t="e">
        <f>AVERAGE(W51,W53)</f>
        <v>#DIV/0!</v>
      </c>
      <c r="T51" s="214"/>
      <c r="U51" s="214"/>
      <c r="V51" s="214"/>
      <c r="W51" s="39"/>
      <c r="X51" s="214"/>
      <c r="Y51" s="214"/>
      <c r="Z51" s="214"/>
      <c r="AA51" s="214"/>
      <c r="AB51" s="214"/>
      <c r="AC51" s="214"/>
      <c r="AD51" s="214"/>
      <c r="AE51" s="214"/>
      <c r="AF51" s="214"/>
      <c r="AG51" s="214"/>
      <c r="AH51" s="214"/>
      <c r="AI51" s="214"/>
      <c r="AJ51" s="214"/>
      <c r="AK51" s="214"/>
      <c r="AL51" s="214"/>
    </row>
    <row r="52" spans="1:38" ht="15.6" customHeight="1" x14ac:dyDescent="0.25">
      <c r="A52" s="477" t="s">
        <v>54</v>
      </c>
      <c r="B52" s="495" t="e">
        <f>TestSummary!#REF!</f>
        <v>#REF!</v>
      </c>
      <c r="C52" s="496" t="e">
        <f>TestSummary!#REF!</f>
        <v>#REF!</v>
      </c>
      <c r="D52" s="497" t="e">
        <f t="shared" si="14"/>
        <v>#REF!</v>
      </c>
      <c r="F52" s="100"/>
      <c r="O52" s="642"/>
      <c r="Q52" s="42" t="s">
        <v>62</v>
      </c>
      <c r="R52" s="78" t="e">
        <f>AVERAGE(W52,W55)</f>
        <v>#DIV/0!</v>
      </c>
      <c r="T52" s="214"/>
      <c r="U52" s="214"/>
      <c r="V52" s="214"/>
      <c r="W52" s="39"/>
      <c r="X52" s="214"/>
      <c r="Y52" s="214"/>
      <c r="Z52" s="214"/>
      <c r="AA52" s="214"/>
      <c r="AB52" s="214"/>
      <c r="AC52" s="214"/>
      <c r="AD52" s="214"/>
      <c r="AE52" s="214"/>
      <c r="AF52" s="214"/>
      <c r="AG52" s="214"/>
      <c r="AH52" s="214"/>
      <c r="AI52" s="214"/>
      <c r="AJ52" s="214"/>
      <c r="AK52" s="214"/>
      <c r="AL52" s="214"/>
    </row>
    <row r="53" spans="1:38" x14ac:dyDescent="0.25">
      <c r="A53" s="477" t="s">
        <v>70</v>
      </c>
      <c r="B53" s="495" t="e">
        <f>TestSummary!#REF!</f>
        <v>#REF!</v>
      </c>
      <c r="C53" s="496" t="e">
        <f>TestSummary!#REF!</f>
        <v>#REF!</v>
      </c>
      <c r="D53" s="497" t="e">
        <f t="shared" si="14"/>
        <v>#REF!</v>
      </c>
      <c r="F53" s="101"/>
      <c r="O53" s="642"/>
      <c r="Q53" s="42" t="s">
        <v>63</v>
      </c>
      <c r="R53" s="78">
        <f>W54</f>
        <v>0</v>
      </c>
      <c r="T53" s="214"/>
      <c r="U53" s="214"/>
      <c r="V53" s="214"/>
      <c r="W53" s="39"/>
      <c r="X53" s="214"/>
      <c r="Y53" s="214"/>
      <c r="Z53" s="214"/>
      <c r="AA53" s="214"/>
      <c r="AB53" s="214"/>
      <c r="AC53" s="214"/>
      <c r="AD53" s="214"/>
      <c r="AE53" s="214"/>
      <c r="AF53" s="214"/>
      <c r="AG53" s="214"/>
      <c r="AH53" s="214"/>
      <c r="AI53" s="214"/>
      <c r="AJ53" s="214"/>
      <c r="AK53" s="214"/>
      <c r="AL53" s="214"/>
    </row>
    <row r="54" spans="1:38" x14ac:dyDescent="0.25">
      <c r="A54" s="477" t="s">
        <v>71</v>
      </c>
      <c r="B54" s="495" t="e">
        <f>TestSummary!#REF!</f>
        <v>#REF!</v>
      </c>
      <c r="C54" s="496" t="e">
        <f>TestSummary!#REF!</f>
        <v>#REF!</v>
      </c>
      <c r="D54" s="497" t="e">
        <f t="shared" si="14"/>
        <v>#REF!</v>
      </c>
      <c r="F54" s="101"/>
      <c r="I54" s="201"/>
      <c r="J54" s="201"/>
      <c r="O54" s="642"/>
      <c r="Q54" s="42" t="s">
        <v>64</v>
      </c>
      <c r="R54" s="78">
        <f>W56</f>
        <v>0</v>
      </c>
      <c r="T54" s="214"/>
      <c r="U54" s="214"/>
      <c r="V54" s="214"/>
      <c r="W54" s="39"/>
      <c r="X54" s="214"/>
      <c r="Y54" s="214"/>
      <c r="Z54" s="214"/>
      <c r="AA54" s="214"/>
      <c r="AB54" s="214"/>
      <c r="AC54" s="214"/>
      <c r="AD54" s="214"/>
      <c r="AE54" s="214"/>
      <c r="AF54" s="214"/>
      <c r="AG54" s="214"/>
      <c r="AH54" s="214"/>
      <c r="AI54" s="214"/>
      <c r="AJ54" s="214"/>
      <c r="AK54" s="214"/>
      <c r="AL54" s="214"/>
    </row>
    <row r="55" spans="1:38" x14ac:dyDescent="0.25">
      <c r="A55" s="477" t="s">
        <v>72</v>
      </c>
      <c r="B55" s="495" t="e">
        <f>TestSummary!#REF!</f>
        <v>#REF!</v>
      </c>
      <c r="C55" s="496" t="e">
        <f>TestSummary!#REF!</f>
        <v>#REF!</v>
      </c>
      <c r="D55" s="497" t="e">
        <f t="shared" si="14"/>
        <v>#REF!</v>
      </c>
      <c r="F55" s="101"/>
      <c r="O55" s="642"/>
      <c r="Q55" s="42"/>
      <c r="R55" s="78"/>
      <c r="T55" s="214"/>
      <c r="U55" s="214"/>
      <c r="V55" s="214"/>
      <c r="W55" s="39"/>
      <c r="X55" s="214"/>
      <c r="Y55" s="214"/>
      <c r="Z55" s="214"/>
      <c r="AA55" s="214"/>
      <c r="AB55" s="214"/>
      <c r="AC55" s="214"/>
      <c r="AD55" s="214"/>
      <c r="AE55" s="214"/>
      <c r="AF55" s="214"/>
      <c r="AG55" s="214"/>
      <c r="AH55" s="214"/>
      <c r="AI55" s="214"/>
      <c r="AJ55" s="214"/>
      <c r="AK55" s="214"/>
      <c r="AL55" s="214"/>
    </row>
    <row r="56" spans="1:38" x14ac:dyDescent="0.25">
      <c r="A56" s="477" t="s">
        <v>56</v>
      </c>
      <c r="B56" s="495" t="e">
        <f>TestSummary!#REF!</f>
        <v>#REF!</v>
      </c>
      <c r="C56" s="496" t="e">
        <f>TestSummary!#REF!</f>
        <v>#REF!</v>
      </c>
      <c r="D56" s="497" t="e">
        <f t="shared" si="14"/>
        <v>#REF!</v>
      </c>
      <c r="E56" s="153"/>
      <c r="F56" s="81"/>
      <c r="O56" s="642"/>
      <c r="Q56" s="42"/>
      <c r="R56" s="78"/>
      <c r="T56" s="214"/>
      <c r="U56" s="214"/>
      <c r="V56" s="214"/>
      <c r="W56" s="39"/>
      <c r="X56" s="214"/>
      <c r="Y56" s="214"/>
      <c r="Z56" s="214"/>
      <c r="AA56" s="214"/>
      <c r="AB56" s="214"/>
      <c r="AC56" s="214"/>
      <c r="AD56" s="214"/>
      <c r="AE56" s="214"/>
      <c r="AF56" s="214"/>
      <c r="AG56" s="214"/>
      <c r="AH56" s="214"/>
      <c r="AI56" s="214"/>
      <c r="AJ56" s="214"/>
      <c r="AK56" s="214"/>
      <c r="AL56" s="214"/>
    </row>
    <row r="57" spans="1:38" x14ac:dyDescent="0.25">
      <c r="A57" s="504"/>
      <c r="B57" s="499"/>
      <c r="C57" s="500" t="s">
        <v>366</v>
      </c>
      <c r="D57" s="215" t="e">
        <f>TestSummary!#REF!</f>
        <v>#REF!</v>
      </c>
      <c r="E57" s="82"/>
      <c r="F57" s="99"/>
      <c r="O57" s="642"/>
      <c r="Q57" s="118" t="s">
        <v>364</v>
      </c>
      <c r="R57" s="214">
        <v>61511006</v>
      </c>
      <c r="T57" s="23"/>
      <c r="W57" s="207"/>
    </row>
    <row r="58" spans="1:38" ht="15.75" thickBot="1" x14ac:dyDescent="0.3">
      <c r="A58" s="505" t="s">
        <v>276</v>
      </c>
      <c r="B58" s="506"/>
      <c r="C58" s="506"/>
      <c r="D58" s="507"/>
      <c r="E58" s="82"/>
      <c r="F58" s="101"/>
      <c r="O58" s="642"/>
      <c r="Q58" s="72" t="s">
        <v>97</v>
      </c>
      <c r="R58" s="72"/>
      <c r="S58" s="72"/>
      <c r="T58" s="77" t="s">
        <v>81</v>
      </c>
      <c r="U58" s="72" t="s">
        <v>82</v>
      </c>
      <c r="V58" s="72" t="s">
        <v>83</v>
      </c>
      <c r="W58" s="72" t="s">
        <v>95</v>
      </c>
      <c r="X58" s="72" t="s">
        <v>109</v>
      </c>
      <c r="Y58" s="72" t="s">
        <v>110</v>
      </c>
      <c r="Z58" s="72" t="s">
        <v>92</v>
      </c>
      <c r="AA58" s="72" t="s">
        <v>93</v>
      </c>
      <c r="AB58" s="72" t="s">
        <v>232</v>
      </c>
      <c r="AC58" s="72" t="s">
        <v>233</v>
      </c>
    </row>
    <row r="59" spans="1:38" ht="15.6" customHeight="1" x14ac:dyDescent="0.25">
      <c r="A59" s="494" t="s">
        <v>205</v>
      </c>
      <c r="B59" s="475" t="s">
        <v>0</v>
      </c>
      <c r="C59" s="475" t="s">
        <v>297</v>
      </c>
      <c r="D59" s="476" t="s">
        <v>298</v>
      </c>
      <c r="E59" s="82"/>
      <c r="F59" s="100"/>
      <c r="O59" s="642"/>
      <c r="Q59" s="42" t="s">
        <v>61</v>
      </c>
      <c r="R59" s="78" t="e">
        <f>AVERAGE(W59,W61)</f>
        <v>#DIV/0!</v>
      </c>
      <c r="T59" s="214"/>
      <c r="U59" s="214"/>
      <c r="V59" s="214"/>
      <c r="W59" s="39"/>
      <c r="X59" s="214"/>
      <c r="Y59" s="214"/>
      <c r="Z59" s="214"/>
      <c r="AA59" s="214"/>
      <c r="AB59" s="214"/>
      <c r="AC59" s="214"/>
      <c r="AD59" s="214"/>
      <c r="AE59" s="214"/>
      <c r="AF59" s="214"/>
      <c r="AG59" s="214"/>
      <c r="AH59" s="214"/>
      <c r="AI59" s="214"/>
      <c r="AJ59" s="214"/>
      <c r="AK59" s="214"/>
      <c r="AL59" s="214"/>
    </row>
    <row r="60" spans="1:38" ht="15.6" customHeight="1" x14ac:dyDescent="0.25">
      <c r="A60" s="477" t="s">
        <v>69</v>
      </c>
      <c r="B60" s="495" t="e">
        <f>TestSummary!#REF!</f>
        <v>#REF!</v>
      </c>
      <c r="C60" s="496" t="e">
        <f>TestSummary!#REF!</f>
        <v>#REF!</v>
      </c>
      <c r="D60" s="497" t="e">
        <f t="shared" ref="D60:D65" si="15">C60/$D$66</f>
        <v>#REF!</v>
      </c>
      <c r="F60" s="100"/>
      <c r="I60" s="201"/>
      <c r="J60" s="201"/>
      <c r="O60" s="642"/>
      <c r="Q60" s="42" t="s">
        <v>62</v>
      </c>
      <c r="R60" s="78" t="e">
        <f>AVERAGE(W60,W63)</f>
        <v>#DIV/0!</v>
      </c>
      <c r="T60" s="214"/>
      <c r="U60" s="214"/>
      <c r="V60" s="214"/>
      <c r="W60" s="39"/>
      <c r="X60" s="214"/>
      <c r="Y60" s="214"/>
      <c r="Z60" s="214"/>
      <c r="AA60" s="214"/>
      <c r="AB60" s="214"/>
      <c r="AC60" s="214"/>
      <c r="AD60" s="214"/>
      <c r="AE60" s="214"/>
      <c r="AF60" s="214"/>
      <c r="AG60" s="214"/>
      <c r="AH60" s="214"/>
      <c r="AI60" s="214"/>
      <c r="AJ60" s="214"/>
      <c r="AK60" s="214"/>
      <c r="AL60" s="214"/>
    </row>
    <row r="61" spans="1:38" x14ac:dyDescent="0.25">
      <c r="A61" s="477" t="s">
        <v>57</v>
      </c>
      <c r="B61" s="495" t="e">
        <f>TestSummary!#REF!</f>
        <v>#REF!</v>
      </c>
      <c r="C61" s="496" t="e">
        <f>TestSummary!#REF!</f>
        <v>#REF!</v>
      </c>
      <c r="D61" s="497" t="e">
        <f t="shared" si="15"/>
        <v>#REF!</v>
      </c>
      <c r="F61" s="101"/>
      <c r="O61" s="642"/>
      <c r="Q61" s="42" t="s">
        <v>63</v>
      </c>
      <c r="R61" s="78">
        <f>W62</f>
        <v>0</v>
      </c>
      <c r="T61" s="214"/>
      <c r="U61" s="214"/>
      <c r="V61" s="214"/>
      <c r="W61" s="39"/>
      <c r="X61" s="214"/>
      <c r="Y61" s="214"/>
      <c r="Z61" s="214"/>
      <c r="AA61" s="214"/>
      <c r="AB61" s="214"/>
      <c r="AC61" s="214"/>
      <c r="AD61" s="214"/>
      <c r="AE61" s="214"/>
      <c r="AF61" s="214"/>
      <c r="AG61" s="214"/>
      <c r="AH61" s="214"/>
      <c r="AI61" s="214"/>
      <c r="AJ61" s="214"/>
      <c r="AK61" s="214"/>
      <c r="AL61" s="214"/>
    </row>
    <row r="62" spans="1:38" x14ac:dyDescent="0.25">
      <c r="A62" s="477" t="s">
        <v>54</v>
      </c>
      <c r="B62" s="495" t="e">
        <f>TestSummary!#REF!</f>
        <v>#REF!</v>
      </c>
      <c r="C62" s="496" t="e">
        <f>TestSummary!#REF!</f>
        <v>#REF!</v>
      </c>
      <c r="D62" s="497" t="e">
        <f t="shared" si="15"/>
        <v>#REF!</v>
      </c>
      <c r="F62" s="101"/>
      <c r="O62" s="642"/>
      <c r="Q62" s="42" t="s">
        <v>64</v>
      </c>
      <c r="R62" s="78">
        <f>W64</f>
        <v>0</v>
      </c>
      <c r="T62" s="214"/>
      <c r="U62" s="214"/>
      <c r="V62" s="214"/>
      <c r="W62" s="39"/>
      <c r="X62" s="214"/>
      <c r="Y62" s="214"/>
      <c r="Z62" s="214"/>
      <c r="AA62" s="214"/>
      <c r="AB62" s="214"/>
      <c r="AC62" s="214"/>
      <c r="AD62" s="214"/>
      <c r="AE62" s="214"/>
      <c r="AF62" s="214"/>
      <c r="AG62" s="214"/>
      <c r="AH62" s="214"/>
      <c r="AI62" s="214"/>
      <c r="AJ62" s="214"/>
      <c r="AK62" s="214"/>
      <c r="AL62" s="214"/>
    </row>
    <row r="63" spans="1:38" x14ac:dyDescent="0.25">
      <c r="A63" s="477" t="s">
        <v>70</v>
      </c>
      <c r="B63" s="495" t="e">
        <f>TestSummary!#REF!</f>
        <v>#REF!</v>
      </c>
      <c r="C63" s="496" t="e">
        <f>TestSummary!#REF!</f>
        <v>#REF!</v>
      </c>
      <c r="D63" s="497" t="e">
        <f t="shared" si="15"/>
        <v>#REF!</v>
      </c>
      <c r="F63" s="101"/>
      <c r="O63" s="642"/>
      <c r="T63" s="214"/>
      <c r="U63" s="214"/>
      <c r="V63" s="214"/>
      <c r="W63" s="39"/>
      <c r="X63" s="214"/>
      <c r="Y63" s="214"/>
      <c r="Z63" s="214"/>
      <c r="AA63" s="214"/>
      <c r="AB63" s="214"/>
      <c r="AC63" s="214"/>
      <c r="AD63" s="214"/>
      <c r="AE63" s="214"/>
      <c r="AF63" s="214"/>
      <c r="AG63" s="214"/>
      <c r="AH63" s="214"/>
      <c r="AI63" s="214"/>
      <c r="AJ63" s="214"/>
      <c r="AK63" s="214"/>
      <c r="AL63" s="214"/>
    </row>
    <row r="64" spans="1:38" x14ac:dyDescent="0.25">
      <c r="A64" s="477" t="s">
        <v>71</v>
      </c>
      <c r="B64" s="495" t="e">
        <f>TestSummary!#REF!</f>
        <v>#REF!</v>
      </c>
      <c r="C64" s="496" t="e">
        <f>TestSummary!#REF!</f>
        <v>#REF!</v>
      </c>
      <c r="D64" s="497" t="e">
        <f t="shared" si="15"/>
        <v>#REF!</v>
      </c>
      <c r="O64" s="642"/>
      <c r="T64" s="214"/>
      <c r="U64" s="214"/>
      <c r="V64" s="214"/>
      <c r="W64" s="39"/>
      <c r="X64" s="214"/>
      <c r="Y64" s="214"/>
      <c r="Z64" s="214"/>
      <c r="AA64" s="214"/>
      <c r="AB64" s="214"/>
      <c r="AC64" s="214"/>
      <c r="AD64" s="214"/>
      <c r="AE64" s="214"/>
      <c r="AF64" s="214"/>
      <c r="AG64" s="214"/>
      <c r="AH64" s="214"/>
      <c r="AI64" s="214"/>
      <c r="AJ64" s="214"/>
      <c r="AK64" s="214"/>
      <c r="AL64" s="214"/>
    </row>
    <row r="65" spans="1:23" x14ac:dyDescent="0.25">
      <c r="A65" s="477" t="s">
        <v>72</v>
      </c>
      <c r="B65" s="495" t="e">
        <f>TestSummary!#REF!</f>
        <v>#REF!</v>
      </c>
      <c r="C65" s="496" t="e">
        <f>TestSummary!#REF!</f>
        <v>#REF!</v>
      </c>
      <c r="D65" s="497" t="e">
        <f t="shared" si="15"/>
        <v>#REF!</v>
      </c>
      <c r="O65" s="642"/>
      <c r="W65" s="207"/>
    </row>
    <row r="66" spans="1:23" ht="15.75" thickBot="1" x14ac:dyDescent="0.3">
      <c r="A66" s="508"/>
      <c r="B66" s="638" t="s">
        <v>366</v>
      </c>
      <c r="C66" s="638"/>
      <c r="D66" s="509" t="e">
        <f>TestSummary!#REF!</f>
        <v>#REF!</v>
      </c>
      <c r="O66" s="642"/>
    </row>
    <row r="67" spans="1:23" x14ac:dyDescent="0.25">
      <c r="A67" s="510" t="s">
        <v>275</v>
      </c>
      <c r="B67" s="511"/>
      <c r="C67" s="511"/>
      <c r="D67" s="512"/>
      <c r="I67" s="639" t="s">
        <v>386</v>
      </c>
      <c r="J67" s="640"/>
      <c r="K67" s="641"/>
      <c r="O67" s="642"/>
    </row>
    <row r="68" spans="1:23" x14ac:dyDescent="0.25">
      <c r="A68" s="494" t="s">
        <v>205</v>
      </c>
      <c r="B68" s="475" t="s">
        <v>0</v>
      </c>
      <c r="C68" s="475" t="s">
        <v>297</v>
      </c>
      <c r="D68" s="476" t="s">
        <v>298</v>
      </c>
      <c r="I68" s="260" t="s">
        <v>387</v>
      </c>
      <c r="J68" s="106" t="s">
        <v>49</v>
      </c>
      <c r="K68" s="261" t="s">
        <v>385</v>
      </c>
    </row>
    <row r="69" spans="1:23" x14ac:dyDescent="0.25">
      <c r="A69" s="477" t="s">
        <v>69</v>
      </c>
      <c r="B69" s="495" t="e">
        <f>TestSummary!#REF!</f>
        <v>#REF!</v>
      </c>
      <c r="C69" s="496" t="e">
        <f>TestSummary!#REF!</f>
        <v>#REF!</v>
      </c>
      <c r="D69" s="497" t="e">
        <f t="shared" ref="D69:D74" si="16">C69/$D$66</f>
        <v>#REF!</v>
      </c>
      <c r="I69" s="254" t="e">
        <f t="shared" ref="I69:I74" si="17">(D50-D41)/D41</f>
        <v>#REF!</v>
      </c>
      <c r="J69" s="255" t="e">
        <f t="shared" ref="J69:J74" si="18">(D60-D41)/D41</f>
        <v>#REF!</v>
      </c>
      <c r="K69" s="256" t="e">
        <f t="shared" ref="K69:K74" si="19">(D69-D41)/D41</f>
        <v>#REF!</v>
      </c>
    </row>
    <row r="70" spans="1:23" x14ac:dyDescent="0.25">
      <c r="A70" s="477" t="s">
        <v>57</v>
      </c>
      <c r="B70" s="495" t="e">
        <f>TestSummary!#REF!</f>
        <v>#REF!</v>
      </c>
      <c r="C70" s="496" t="e">
        <f>TestSummary!#REF!</f>
        <v>#REF!</v>
      </c>
      <c r="D70" s="497" t="e">
        <f t="shared" si="16"/>
        <v>#REF!</v>
      </c>
      <c r="I70" s="254" t="e">
        <f t="shared" si="17"/>
        <v>#REF!</v>
      </c>
      <c r="J70" s="255" t="e">
        <f t="shared" si="18"/>
        <v>#REF!</v>
      </c>
      <c r="K70" s="256" t="e">
        <f t="shared" si="19"/>
        <v>#REF!</v>
      </c>
    </row>
    <row r="71" spans="1:23" x14ac:dyDescent="0.25">
      <c r="A71" s="477" t="s">
        <v>54</v>
      </c>
      <c r="B71" s="495" t="e">
        <f>TestSummary!#REF!</f>
        <v>#REF!</v>
      </c>
      <c r="C71" s="496" t="e">
        <f>TestSummary!#REF!</f>
        <v>#REF!</v>
      </c>
      <c r="D71" s="497" t="e">
        <f t="shared" si="16"/>
        <v>#REF!</v>
      </c>
      <c r="I71" s="254" t="e">
        <f t="shared" si="17"/>
        <v>#REF!</v>
      </c>
      <c r="J71" s="255" t="e">
        <f t="shared" si="18"/>
        <v>#REF!</v>
      </c>
      <c r="K71" s="256" t="e">
        <f t="shared" si="19"/>
        <v>#REF!</v>
      </c>
    </row>
    <row r="72" spans="1:23" x14ac:dyDescent="0.25">
      <c r="A72" s="477" t="s">
        <v>70</v>
      </c>
      <c r="B72" s="495" t="e">
        <f>TestSummary!#REF!</f>
        <v>#REF!</v>
      </c>
      <c r="C72" s="496" t="e">
        <f>TestSummary!#REF!</f>
        <v>#REF!</v>
      </c>
      <c r="D72" s="497" t="e">
        <f t="shared" si="16"/>
        <v>#REF!</v>
      </c>
      <c r="I72" s="254" t="e">
        <f t="shared" si="17"/>
        <v>#REF!</v>
      </c>
      <c r="J72" s="255" t="e">
        <f t="shared" si="18"/>
        <v>#REF!</v>
      </c>
      <c r="K72" s="256" t="e">
        <f t="shared" si="19"/>
        <v>#REF!</v>
      </c>
    </row>
    <row r="73" spans="1:23" x14ac:dyDescent="0.25">
      <c r="A73" s="477" t="s">
        <v>71</v>
      </c>
      <c r="B73" s="495" t="e">
        <f>TestSummary!#REF!</f>
        <v>#REF!</v>
      </c>
      <c r="C73" s="496" t="e">
        <f>TestSummary!#REF!</f>
        <v>#REF!</v>
      </c>
      <c r="D73" s="497" t="e">
        <f t="shared" si="16"/>
        <v>#REF!</v>
      </c>
      <c r="I73" s="254" t="e">
        <f t="shared" si="17"/>
        <v>#REF!</v>
      </c>
      <c r="J73" s="255" t="e">
        <f t="shared" si="18"/>
        <v>#REF!</v>
      </c>
      <c r="K73" s="256" t="e">
        <f t="shared" si="19"/>
        <v>#REF!</v>
      </c>
    </row>
    <row r="74" spans="1:23" ht="15.75" thickBot="1" x14ac:dyDescent="0.3">
      <c r="A74" s="477" t="s">
        <v>72</v>
      </c>
      <c r="B74" s="495" t="e">
        <f>TestSummary!#REF!</f>
        <v>#REF!</v>
      </c>
      <c r="C74" s="496" t="e">
        <f>TestSummary!#REF!</f>
        <v>#REF!</v>
      </c>
      <c r="D74" s="497" t="e">
        <f t="shared" si="16"/>
        <v>#REF!</v>
      </c>
      <c r="I74" s="257" t="e">
        <f t="shared" si="17"/>
        <v>#REF!</v>
      </c>
      <c r="J74" s="258" t="e">
        <f t="shared" si="18"/>
        <v>#REF!</v>
      </c>
      <c r="K74" s="259" t="e">
        <f t="shared" si="19"/>
        <v>#REF!</v>
      </c>
    </row>
    <row r="75" spans="1:23" ht="15.75" thickBot="1" x14ac:dyDescent="0.3">
      <c r="A75" s="508"/>
      <c r="B75" s="638" t="s">
        <v>366</v>
      </c>
      <c r="C75" s="638"/>
      <c r="D75" s="509" t="e">
        <f>TestSummary!#REF!</f>
        <v>#REF!</v>
      </c>
    </row>
  </sheetData>
  <mergeCells count="13">
    <mergeCell ref="B75:C75"/>
    <mergeCell ref="I67:K67"/>
    <mergeCell ref="O1:O67"/>
    <mergeCell ref="A2:C2"/>
    <mergeCell ref="B3:C3"/>
    <mergeCell ref="B4:C4"/>
    <mergeCell ref="B14:C14"/>
    <mergeCell ref="D14:E14"/>
    <mergeCell ref="B26:D26"/>
    <mergeCell ref="A33:D33"/>
    <mergeCell ref="A34:B34"/>
    <mergeCell ref="A35:B35"/>
    <mergeCell ref="B66:C66"/>
  </mergeCells>
  <conditionalFormatting sqref="AN36">
    <cfRule type="colorScale" priority="10">
      <colorScale>
        <cfvo type="min"/>
        <cfvo type="percentile" val="50"/>
        <cfvo type="max"/>
        <color rgb="FFF8696B"/>
        <color rgb="FFFFEB84"/>
        <color rgb="FF63BE7B"/>
      </colorScale>
    </cfRule>
  </conditionalFormatting>
  <conditionalFormatting sqref="AB6">
    <cfRule type="colorScale" priority="9">
      <colorScale>
        <cfvo type="min"/>
        <cfvo type="percentile" val="50"/>
        <cfvo type="max"/>
        <color rgb="FF63BE7B"/>
        <color rgb="FFFFEB84"/>
        <color rgb="FFF8696B"/>
      </colorScale>
    </cfRule>
  </conditionalFormatting>
  <conditionalFormatting sqref="AB6">
    <cfRule type="colorScale" priority="8">
      <colorScale>
        <cfvo type="min"/>
        <cfvo type="percentile" val="50"/>
        <cfvo type="max"/>
        <color rgb="FFF8696B"/>
        <color rgb="FFFFEB84"/>
        <color rgb="FF63BE7B"/>
      </colorScale>
    </cfRule>
  </conditionalFormatting>
  <conditionalFormatting sqref="AB24:AB38">
    <cfRule type="colorScale" priority="6">
      <colorScale>
        <cfvo type="min"/>
        <cfvo type="percentile" val="50"/>
        <cfvo type="max"/>
        <color rgb="FF63BE7B"/>
        <color rgb="FFFFEB84"/>
        <color rgb="FFF8696B"/>
      </colorScale>
    </cfRule>
  </conditionalFormatting>
  <conditionalFormatting sqref="AB26">
    <cfRule type="colorScale" priority="5">
      <colorScale>
        <cfvo type="min"/>
        <cfvo type="percentile" val="50"/>
        <cfvo type="max"/>
        <color rgb="FF63BE7B"/>
        <color rgb="FFFFEB84"/>
        <color rgb="FFF8696B"/>
      </colorScale>
    </cfRule>
  </conditionalFormatting>
  <conditionalFormatting sqref="AB26">
    <cfRule type="colorScale" priority="4">
      <colorScale>
        <cfvo type="min"/>
        <cfvo type="percentile" val="50"/>
        <cfvo type="max"/>
        <color rgb="FFF8696B"/>
        <color rgb="FFFFEB84"/>
        <color rgb="FF63BE7B"/>
      </colorScale>
    </cfRule>
  </conditionalFormatting>
  <conditionalFormatting sqref="AB29">
    <cfRule type="colorScale" priority="3">
      <colorScale>
        <cfvo type="min"/>
        <cfvo type="percentile" val="50"/>
        <cfvo type="max"/>
        <color rgb="FF63BE7B"/>
        <color rgb="FFFFEB84"/>
        <color rgb="FFF8696B"/>
      </colorScale>
    </cfRule>
  </conditionalFormatting>
  <conditionalFormatting sqref="AB29">
    <cfRule type="colorScale" priority="2">
      <colorScale>
        <cfvo type="min"/>
        <cfvo type="percentile" val="50"/>
        <cfvo type="max"/>
        <color rgb="FFF8696B"/>
        <color rgb="FFFFEB84"/>
        <color rgb="FF63BE7B"/>
      </colorScale>
    </cfRule>
  </conditionalFormatting>
  <conditionalFormatting sqref="AB24:AB38">
    <cfRule type="colorScale" priority="1">
      <colorScale>
        <cfvo type="min"/>
        <cfvo type="percentile" val="50"/>
        <cfvo type="max"/>
        <color rgb="FF63BE7B"/>
        <color rgb="FFFFEB84"/>
        <color rgb="FFF8696B"/>
      </colorScale>
    </cfRule>
  </conditionalFormatting>
  <conditionalFormatting sqref="AB24:AB38">
    <cfRule type="colorScale" priority="7">
      <colorScale>
        <cfvo type="min"/>
        <cfvo type="percentile" val="50"/>
        <cfvo type="max"/>
        <color rgb="FFF8696B"/>
        <color rgb="FFFFEB84"/>
        <color rgb="FF63BE7B"/>
      </colorScale>
    </cfRule>
  </conditionalFormatting>
  <conditionalFormatting sqref="AB4:AB18">
    <cfRule type="colorScale" priority="11">
      <colorScale>
        <cfvo type="min"/>
        <cfvo type="percentile" val="50"/>
        <cfvo type="max"/>
        <color rgb="FF63BE7B"/>
        <color rgb="FFFFEB84"/>
        <color rgb="FFF8696B"/>
      </colorScale>
    </cfRule>
  </conditionalFormatting>
  <conditionalFormatting sqref="AB9">
    <cfRule type="colorScale" priority="12">
      <colorScale>
        <cfvo type="min"/>
        <cfvo type="percentile" val="50"/>
        <cfvo type="max"/>
        <color rgb="FF63BE7B"/>
        <color rgb="FFFFEB84"/>
        <color rgb="FFF8696B"/>
      </colorScale>
    </cfRule>
  </conditionalFormatting>
  <conditionalFormatting sqref="AB9">
    <cfRule type="colorScale" priority="13">
      <colorScale>
        <cfvo type="min"/>
        <cfvo type="percentile" val="50"/>
        <cfvo type="max"/>
        <color rgb="FFF8696B"/>
        <color rgb="FFFFEB84"/>
        <color rgb="FF63BE7B"/>
      </colorScale>
    </cfRule>
  </conditionalFormatting>
  <conditionalFormatting sqref="AB4:AB18">
    <cfRule type="colorScale" priority="14">
      <colorScale>
        <cfvo type="min"/>
        <cfvo type="percentile" val="50"/>
        <cfvo type="max"/>
        <color rgb="FFF8696B"/>
        <color rgb="FFFFEB84"/>
        <color rgb="FF63BE7B"/>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B87"/>
  <sheetViews>
    <sheetView zoomScale="75" zoomScaleNormal="75" workbookViewId="0">
      <selection activeCell="O43" sqref="O43"/>
    </sheetView>
  </sheetViews>
  <sheetFormatPr defaultColWidth="9.140625" defaultRowHeight="15" x14ac:dyDescent="0.25"/>
  <cols>
    <col min="1" max="1" width="25.85546875" style="203" customWidth="1"/>
    <col min="2" max="2" width="45.85546875" style="203" bestFit="1" customWidth="1"/>
    <col min="3" max="3" width="13.28515625" style="203" bestFit="1" customWidth="1"/>
    <col min="4" max="4" width="24.140625" style="203" customWidth="1"/>
    <col min="5" max="5" width="28.28515625" style="203" customWidth="1"/>
    <col min="6" max="6" width="15" style="203" customWidth="1"/>
    <col min="7" max="7" width="16.5703125" style="203" customWidth="1"/>
    <col min="8" max="8" width="10.5703125" style="214" customWidth="1"/>
    <col min="9" max="10" width="12.5703125" style="203" customWidth="1"/>
    <col min="11" max="11" width="11.5703125" style="203" bestFit="1" customWidth="1"/>
    <col min="12" max="12" width="2.42578125" style="1" customWidth="1"/>
    <col min="13" max="13" width="3.42578125" style="203" customWidth="1"/>
    <col min="14" max="14" width="13.5703125" style="203" customWidth="1"/>
    <col min="15" max="15" width="23.42578125" style="203" customWidth="1"/>
    <col min="16" max="16" width="17" style="203" customWidth="1"/>
    <col min="17" max="17" width="13.85546875" style="203" customWidth="1"/>
    <col min="18" max="18" width="42" style="203" customWidth="1"/>
    <col min="19" max="19" width="15.5703125" style="203" customWidth="1"/>
    <col min="20" max="20" width="21.140625" style="203" customWidth="1"/>
    <col min="21" max="21" width="9.140625" style="203"/>
    <col min="22" max="22" width="13.85546875" style="203" customWidth="1"/>
    <col min="23" max="23" width="9.140625" style="203"/>
    <col min="24" max="24" width="13.85546875" style="203" customWidth="1"/>
    <col min="25" max="25" width="11.140625" style="203" customWidth="1"/>
    <col min="26" max="26" width="13.5703125" style="203" customWidth="1"/>
    <col min="27" max="27" width="24.42578125" style="203" bestFit="1" customWidth="1"/>
    <col min="28" max="28" width="22.5703125" style="203" bestFit="1" customWidth="1"/>
    <col min="29" max="29" width="9.140625" style="203"/>
    <col min="30" max="30" width="24.42578125" style="203" customWidth="1"/>
    <col min="31" max="31" width="9.140625" style="203"/>
    <col min="32" max="32" width="25.85546875" style="203" bestFit="1" customWidth="1"/>
    <col min="33" max="33" width="9.140625" style="203"/>
    <col min="34" max="34" width="24.140625" style="203" bestFit="1" customWidth="1"/>
    <col min="35" max="35" width="21" style="203" customWidth="1"/>
    <col min="36" max="36" width="9.140625" style="203"/>
    <col min="37" max="37" width="20.42578125" style="203" customWidth="1"/>
    <col min="38" max="38" width="9.140625" style="203"/>
    <col min="39" max="39" width="26.42578125" style="203" bestFit="1" customWidth="1"/>
    <col min="40" max="40" width="14" style="203" bestFit="1" customWidth="1"/>
    <col min="41" max="43" width="9.140625" style="203"/>
    <col min="44" max="44" width="25.5703125" style="203" customWidth="1"/>
    <col min="45" max="45" width="27" style="203" bestFit="1" customWidth="1"/>
    <col min="46" max="46" width="14.140625" style="203" bestFit="1" customWidth="1"/>
    <col min="47" max="58" width="9.140625" style="203"/>
    <col min="59" max="59" width="12" style="203" customWidth="1"/>
    <col min="60" max="60" width="9.140625" style="203"/>
    <col min="61" max="61" width="15.85546875" style="203" customWidth="1"/>
    <col min="62" max="62" width="17.5703125" style="203" customWidth="1"/>
    <col min="63" max="63" width="13.42578125" style="203" customWidth="1"/>
    <col min="64" max="64" width="13.85546875" style="203" customWidth="1"/>
    <col min="65" max="65" width="12.42578125" style="203" customWidth="1"/>
    <col min="66" max="66" width="13.5703125" style="203" customWidth="1"/>
    <col min="67" max="69" width="9.140625" style="203"/>
    <col min="70" max="70" width="17.42578125" style="203" customWidth="1"/>
    <col min="71" max="16384" width="9.140625" style="203"/>
  </cols>
  <sheetData>
    <row r="1" spans="1:80" x14ac:dyDescent="0.25">
      <c r="A1" s="32"/>
      <c r="B1" s="32"/>
      <c r="C1" s="32"/>
      <c r="D1" s="661" t="s">
        <v>316</v>
      </c>
      <c r="E1" s="662"/>
      <c r="F1" s="32"/>
      <c r="G1" s="32" t="s">
        <v>6</v>
      </c>
      <c r="H1" s="32"/>
      <c r="I1" s="32"/>
      <c r="J1" s="32"/>
      <c r="K1" s="171"/>
      <c r="L1" s="172"/>
      <c r="N1" s="203" t="s">
        <v>317</v>
      </c>
      <c r="P1" s="306" t="s">
        <v>410</v>
      </c>
    </row>
    <row r="2" spans="1:80" ht="14.45" customHeight="1" x14ac:dyDescent="0.25">
      <c r="A2" s="170" t="str">
        <f>TestPlan!A1</f>
        <v>Vehicle</v>
      </c>
      <c r="B2" s="170" t="str">
        <f>TestPlan!B1</f>
        <v>2019 Nissan Leaf E-Plus</v>
      </c>
      <c r="C2" s="32"/>
      <c r="D2" s="173"/>
      <c r="E2" s="174"/>
      <c r="F2" s="32"/>
      <c r="G2" s="32"/>
      <c r="H2" s="32"/>
      <c r="I2" s="32"/>
      <c r="J2" s="32"/>
      <c r="K2" s="175"/>
      <c r="L2" s="172"/>
      <c r="N2" s="203" t="s">
        <v>318</v>
      </c>
      <c r="O2" s="214"/>
    </row>
    <row r="3" spans="1:80" x14ac:dyDescent="0.25">
      <c r="A3" s="170" t="str">
        <f>TestPlan!A2</f>
        <v>Test purpose</v>
      </c>
      <c r="B3" s="170" t="str">
        <f>TestPlan!B2</f>
        <v>NHTSA 2020 Vehicle Technology Assessment</v>
      </c>
      <c r="C3" s="3"/>
      <c r="D3" s="176"/>
      <c r="E3" s="174"/>
      <c r="F3" s="32"/>
      <c r="G3" s="32" t="s">
        <v>319</v>
      </c>
      <c r="H3" s="32"/>
      <c r="I3" s="20"/>
      <c r="J3" s="20"/>
      <c r="K3" s="175"/>
      <c r="L3" s="172"/>
      <c r="N3" s="203" t="s">
        <v>234</v>
      </c>
      <c r="O3" s="203" t="s">
        <v>114</v>
      </c>
      <c r="P3" s="203" t="s">
        <v>115</v>
      </c>
      <c r="Q3" s="203" t="s">
        <v>99</v>
      </c>
      <c r="R3" s="203" t="s">
        <v>100</v>
      </c>
      <c r="S3" s="203" t="s">
        <v>101</v>
      </c>
      <c r="T3" s="203" t="s">
        <v>116</v>
      </c>
      <c r="U3" s="203" t="s">
        <v>117</v>
      </c>
      <c r="V3" s="203" t="s">
        <v>118</v>
      </c>
      <c r="W3" s="203" t="s">
        <v>102</v>
      </c>
      <c r="X3" s="203" t="s">
        <v>119</v>
      </c>
      <c r="Y3" s="203" t="s">
        <v>120</v>
      </c>
      <c r="Z3" s="203" t="s">
        <v>121</v>
      </c>
      <c r="AA3" s="203" t="s">
        <v>122</v>
      </c>
      <c r="AB3" s="203" t="s">
        <v>123</v>
      </c>
      <c r="AC3" s="203" t="s">
        <v>103</v>
      </c>
      <c r="AD3" s="203" t="s">
        <v>124</v>
      </c>
      <c r="AE3" s="203" t="s">
        <v>125</v>
      </c>
      <c r="AF3" s="203" t="s">
        <v>126</v>
      </c>
      <c r="AG3" s="203" t="s">
        <v>127</v>
      </c>
      <c r="AH3" s="203" t="s">
        <v>128</v>
      </c>
      <c r="AI3" s="203" t="s">
        <v>129</v>
      </c>
      <c r="AJ3" s="203" t="s">
        <v>130</v>
      </c>
      <c r="AK3" s="203" t="s">
        <v>131</v>
      </c>
      <c r="AL3" s="203" t="s">
        <v>132</v>
      </c>
      <c r="AM3" s="203" t="s">
        <v>133</v>
      </c>
      <c r="AN3" s="203" t="s">
        <v>134</v>
      </c>
      <c r="AO3" s="203" t="s">
        <v>135</v>
      </c>
      <c r="AP3" s="203" t="s">
        <v>136</v>
      </c>
      <c r="AQ3" s="203" t="s">
        <v>373</v>
      </c>
      <c r="AR3" s="203" t="s">
        <v>374</v>
      </c>
      <c r="AS3" s="203" t="s">
        <v>375</v>
      </c>
      <c r="AT3" s="203" t="s">
        <v>376</v>
      </c>
      <c r="AU3" s="203" t="s">
        <v>137</v>
      </c>
      <c r="AV3" s="203" t="s">
        <v>138</v>
      </c>
      <c r="AW3" s="203" t="s">
        <v>139</v>
      </c>
      <c r="AX3" s="203" t="s">
        <v>140</v>
      </c>
      <c r="AY3" s="203" t="s">
        <v>141</v>
      </c>
      <c r="AZ3" s="203" t="s">
        <v>142</v>
      </c>
      <c r="BA3" s="203" t="s">
        <v>143</v>
      </c>
      <c r="BB3" s="203" t="s">
        <v>144</v>
      </c>
      <c r="BC3" s="203" t="s">
        <v>145</v>
      </c>
      <c r="BD3" s="203" t="s">
        <v>146</v>
      </c>
      <c r="BE3" s="203" t="s">
        <v>147</v>
      </c>
      <c r="BF3" s="203" t="s">
        <v>148</v>
      </c>
      <c r="BG3" s="203" t="s">
        <v>149</v>
      </c>
      <c r="BH3" s="203" t="s">
        <v>150</v>
      </c>
      <c r="BI3" s="203" t="s">
        <v>151</v>
      </c>
      <c r="BJ3" s="203" t="s">
        <v>152</v>
      </c>
      <c r="BK3" s="203" t="s">
        <v>153</v>
      </c>
      <c r="BL3" s="203" t="s">
        <v>154</v>
      </c>
      <c r="BM3" s="203" t="s">
        <v>407</v>
      </c>
      <c r="BN3" s="203" t="s">
        <v>408</v>
      </c>
      <c r="BO3" s="203" t="s">
        <v>409</v>
      </c>
      <c r="BP3" s="203" t="s">
        <v>155</v>
      </c>
      <c r="BQ3" s="203" t="s">
        <v>156</v>
      </c>
      <c r="BR3" s="203" t="s">
        <v>157</v>
      </c>
      <c r="BS3" s="203" t="s">
        <v>158</v>
      </c>
      <c r="BT3" s="203" t="s">
        <v>159</v>
      </c>
      <c r="BU3" s="203" t="s">
        <v>160</v>
      </c>
      <c r="BV3" s="203" t="s">
        <v>161</v>
      </c>
      <c r="BW3" s="203" t="s">
        <v>162</v>
      </c>
      <c r="BX3" s="203" t="s">
        <v>163</v>
      </c>
      <c r="BY3" s="203" t="s">
        <v>164</v>
      </c>
      <c r="BZ3" s="203" t="s">
        <v>165</v>
      </c>
      <c r="CA3" s="203" t="s">
        <v>166</v>
      </c>
      <c r="CB3" s="203" t="s">
        <v>167</v>
      </c>
    </row>
    <row r="4" spans="1:80" x14ac:dyDescent="0.25">
      <c r="A4" s="85" t="str">
        <f>TestPlan!A3</f>
        <v>Principal Investigator</v>
      </c>
      <c r="B4" s="85" t="str">
        <f>TestPlan!B3</f>
        <v>Forrest Jehlik</v>
      </c>
      <c r="C4" s="3"/>
      <c r="D4" s="177"/>
      <c r="E4" s="174"/>
      <c r="F4" s="32"/>
      <c r="G4" s="32"/>
      <c r="H4" s="32"/>
      <c r="I4" s="32"/>
      <c r="J4" s="32"/>
      <c r="K4" s="32"/>
      <c r="L4" s="178"/>
      <c r="N4" s="326"/>
      <c r="O4" s="327"/>
      <c r="P4" s="327"/>
      <c r="Q4" s="327"/>
      <c r="R4" s="327"/>
      <c r="S4" s="327"/>
      <c r="T4" s="326"/>
      <c r="U4" s="328"/>
      <c r="V4" s="327"/>
      <c r="W4" s="327"/>
      <c r="X4" s="326"/>
      <c r="Y4" s="326"/>
      <c r="Z4" s="327"/>
      <c r="AA4" s="327"/>
      <c r="AB4" s="327"/>
      <c r="AC4" s="326"/>
      <c r="AD4" s="327"/>
      <c r="AE4" s="327"/>
      <c r="AF4" s="327"/>
      <c r="AG4" s="327"/>
      <c r="AH4" s="327"/>
      <c r="AI4" s="326"/>
      <c r="AJ4" s="329"/>
      <c r="AK4" s="330"/>
      <c r="AL4" s="327"/>
      <c r="AM4" s="327"/>
      <c r="AN4" s="327"/>
      <c r="AO4" s="327"/>
      <c r="AP4" s="327"/>
      <c r="AQ4" s="327"/>
      <c r="AR4" s="330"/>
      <c r="AS4" s="326"/>
      <c r="AT4" s="330"/>
      <c r="AU4" s="327"/>
      <c r="AV4" s="327"/>
      <c r="AW4" s="327"/>
      <c r="AX4" s="327"/>
      <c r="AY4" s="327"/>
      <c r="AZ4" s="331"/>
      <c r="BA4" s="331"/>
      <c r="BB4" s="331"/>
      <c r="BC4" s="331"/>
      <c r="BD4" s="331"/>
      <c r="BE4" s="331"/>
      <c r="BF4" s="331"/>
      <c r="BG4" s="331"/>
      <c r="BH4" s="327"/>
      <c r="BI4" s="331"/>
      <c r="BJ4" s="331"/>
      <c r="BK4" s="331"/>
      <c r="BL4" s="331"/>
      <c r="BM4" s="331"/>
      <c r="BN4" s="331"/>
      <c r="BO4" s="331"/>
      <c r="BP4" s="328"/>
      <c r="BQ4" s="332"/>
      <c r="BR4" s="333"/>
      <c r="BS4" s="328"/>
      <c r="BT4" s="332"/>
      <c r="BU4" s="333"/>
      <c r="BV4" s="327"/>
      <c r="BW4" s="327"/>
      <c r="BX4" s="327"/>
      <c r="BY4" s="327"/>
      <c r="BZ4" s="329"/>
      <c r="CA4" s="327"/>
      <c r="CB4" s="327"/>
    </row>
    <row r="5" spans="1:80" ht="15.75" thickBot="1" x14ac:dyDescent="0.3">
      <c r="A5" s="203" t="s">
        <v>320</v>
      </c>
      <c r="B5" s="400" t="s">
        <v>557</v>
      </c>
      <c r="C5" s="32"/>
      <c r="D5" s="179" t="s">
        <v>321</v>
      </c>
      <c r="E5" s="180"/>
      <c r="F5" s="32"/>
      <c r="G5" s="32"/>
      <c r="H5" s="32"/>
      <c r="I5" s="32"/>
      <c r="J5" s="32"/>
      <c r="K5" s="32"/>
      <c r="L5" s="178"/>
      <c r="N5" s="326"/>
      <c r="O5" s="327"/>
      <c r="P5" s="327"/>
      <c r="Q5" s="327"/>
      <c r="R5" s="327"/>
      <c r="S5" s="327"/>
      <c r="T5" s="326"/>
      <c r="U5" s="328"/>
      <c r="V5" s="327"/>
      <c r="W5" s="327"/>
      <c r="X5" s="326"/>
      <c r="Y5" s="326"/>
      <c r="Z5" s="327"/>
      <c r="AA5" s="327"/>
      <c r="AB5" s="327"/>
      <c r="AC5" s="326"/>
      <c r="AD5" s="327"/>
      <c r="AE5" s="327"/>
      <c r="AF5" s="327"/>
      <c r="AG5" s="327"/>
      <c r="AH5" s="327"/>
      <c r="AI5" s="326"/>
      <c r="AJ5" s="329"/>
      <c r="AK5" s="330"/>
      <c r="AL5" s="327"/>
      <c r="AM5" s="327"/>
      <c r="AN5" s="327"/>
      <c r="AO5" s="327"/>
      <c r="AP5" s="327"/>
      <c r="AQ5" s="327"/>
      <c r="AR5" s="330"/>
      <c r="AS5" s="326"/>
      <c r="AT5" s="330"/>
      <c r="AU5" s="327"/>
      <c r="AV5" s="327"/>
      <c r="AW5" s="327"/>
      <c r="AX5" s="327"/>
      <c r="AY5" s="327"/>
      <c r="AZ5" s="331"/>
      <c r="BA5" s="331"/>
      <c r="BB5" s="331"/>
      <c r="BC5" s="331"/>
      <c r="BD5" s="331"/>
      <c r="BE5" s="331"/>
      <c r="BF5" s="331"/>
      <c r="BG5" s="331"/>
      <c r="BH5" s="327"/>
      <c r="BI5" s="331"/>
      <c r="BJ5" s="331"/>
      <c r="BK5" s="331"/>
      <c r="BL5" s="331"/>
      <c r="BM5" s="331"/>
      <c r="BN5" s="331"/>
      <c r="BO5" s="331"/>
      <c r="BP5" s="328"/>
      <c r="BQ5" s="332"/>
      <c r="BR5" s="333"/>
      <c r="BS5" s="328"/>
      <c r="BT5" s="332"/>
      <c r="BU5" s="333"/>
      <c r="BV5" s="327"/>
      <c r="BW5" s="327"/>
      <c r="BX5" s="327"/>
      <c r="BY5" s="327"/>
      <c r="BZ5" s="329"/>
      <c r="CA5" s="327"/>
      <c r="CB5" s="327"/>
    </row>
    <row r="6" spans="1:80" x14ac:dyDescent="0.25">
      <c r="A6" s="9" t="s">
        <v>322</v>
      </c>
      <c r="B6" s="10"/>
      <c r="C6" s="10"/>
      <c r="D6" s="10"/>
      <c r="E6" s="10"/>
      <c r="F6" s="10"/>
      <c r="G6" s="10"/>
      <c r="H6" s="10"/>
      <c r="I6" s="10"/>
      <c r="J6" s="10"/>
      <c r="K6" s="10"/>
      <c r="L6" s="172"/>
      <c r="N6" s="105"/>
      <c r="O6" s="299"/>
      <c r="P6" s="299"/>
      <c r="Q6" s="299"/>
      <c r="R6" s="299"/>
      <c r="S6" s="299"/>
      <c r="T6" s="105"/>
      <c r="U6" s="300"/>
      <c r="V6" s="299"/>
      <c r="W6" s="299"/>
      <c r="X6" s="105"/>
      <c r="Y6" s="105"/>
      <c r="Z6" s="299"/>
      <c r="AA6" s="299"/>
      <c r="AB6" s="299"/>
      <c r="AC6" s="105"/>
      <c r="AD6" s="299"/>
      <c r="AE6" s="299"/>
      <c r="AF6" s="299"/>
      <c r="AG6" s="299"/>
      <c r="AH6" s="299"/>
      <c r="AI6" s="105"/>
      <c r="AJ6" s="301"/>
      <c r="AK6" s="302"/>
      <c r="AL6" s="299"/>
      <c r="AM6" s="299"/>
      <c r="AN6" s="299"/>
      <c r="AO6" s="299"/>
      <c r="AP6" s="299"/>
      <c r="AQ6" s="299"/>
      <c r="AR6" s="302"/>
      <c r="AS6" s="105"/>
      <c r="AT6" s="302"/>
      <c r="AU6" s="299"/>
      <c r="AV6" s="299"/>
      <c r="AW6" s="299"/>
      <c r="AX6" s="299"/>
      <c r="AY6" s="299"/>
      <c r="AZ6" s="303"/>
      <c r="BA6" s="303"/>
      <c r="BB6" s="303"/>
      <c r="BC6" s="303"/>
      <c r="BD6" s="303"/>
      <c r="BE6" s="303"/>
      <c r="BF6" s="303"/>
      <c r="BG6" s="303"/>
      <c r="BH6" s="299"/>
      <c r="BI6" s="303"/>
      <c r="BJ6" s="303"/>
      <c r="BK6" s="303"/>
      <c r="BL6" s="303"/>
      <c r="BM6" s="303"/>
      <c r="BN6" s="303"/>
      <c r="BO6" s="303"/>
      <c r="BP6" s="300"/>
      <c r="BQ6" s="304"/>
      <c r="BR6" s="305"/>
      <c r="BS6" s="300"/>
      <c r="BT6" s="304"/>
      <c r="BU6" s="305"/>
      <c r="BV6" s="299"/>
      <c r="BW6" s="299"/>
      <c r="BX6" s="299"/>
      <c r="BY6" s="299"/>
      <c r="BZ6" s="301"/>
      <c r="CA6" s="299"/>
      <c r="CB6" s="299"/>
    </row>
    <row r="7" spans="1:80" x14ac:dyDescent="0.25">
      <c r="B7" s="203" t="s">
        <v>323</v>
      </c>
      <c r="C7" s="203" t="s">
        <v>324</v>
      </c>
      <c r="L7" s="172"/>
      <c r="N7" s="105"/>
      <c r="O7" s="299"/>
      <c r="P7" s="299"/>
      <c r="Q7" s="299"/>
      <c r="R7" s="299"/>
      <c r="S7" s="299"/>
      <c r="T7" s="105"/>
      <c r="U7" s="300"/>
      <c r="V7" s="299"/>
      <c r="W7" s="299"/>
      <c r="X7" s="105"/>
      <c r="Y7" s="105"/>
      <c r="Z7" s="299"/>
      <c r="AA7" s="299"/>
      <c r="AB7" s="299"/>
      <c r="AC7" s="105"/>
      <c r="AD7" s="299"/>
      <c r="AE7" s="299"/>
      <c r="AF7" s="299"/>
      <c r="AG7" s="299"/>
      <c r="AH7" s="299"/>
      <c r="AI7" s="105"/>
      <c r="AJ7" s="301"/>
      <c r="AK7" s="302"/>
      <c r="AL7" s="299"/>
      <c r="AM7" s="299"/>
      <c r="AN7" s="299"/>
      <c r="AO7" s="299"/>
      <c r="AP7" s="299"/>
      <c r="AQ7" s="299"/>
      <c r="AR7" s="302"/>
      <c r="AS7" s="105"/>
      <c r="AT7" s="302"/>
      <c r="AU7" s="299"/>
      <c r="AV7" s="299"/>
      <c r="AW7" s="299"/>
      <c r="AX7" s="299"/>
      <c r="AY7" s="299"/>
      <c r="AZ7" s="303"/>
      <c r="BA7" s="303"/>
      <c r="BB7" s="303"/>
      <c r="BC7" s="303"/>
      <c r="BD7" s="303"/>
      <c r="BE7" s="303"/>
      <c r="BF7" s="303"/>
      <c r="BG7" s="303"/>
      <c r="BH7" s="299"/>
      <c r="BI7" s="303"/>
      <c r="BJ7" s="303"/>
      <c r="BK7" s="303"/>
      <c r="BL7" s="303"/>
      <c r="BM7" s="303"/>
      <c r="BN7" s="303"/>
      <c r="BO7" s="303"/>
      <c r="BP7" s="300"/>
      <c r="BQ7" s="304"/>
      <c r="BR7" s="305"/>
      <c r="BS7" s="300"/>
      <c r="BT7" s="304"/>
      <c r="BU7" s="305"/>
      <c r="BV7" s="299"/>
      <c r="BW7" s="299"/>
      <c r="BX7" s="299"/>
      <c r="BY7" s="299"/>
      <c r="BZ7" s="301"/>
      <c r="CA7" s="299"/>
      <c r="CB7" s="299"/>
    </row>
    <row r="8" spans="1:80" ht="15.75" thickBot="1" x14ac:dyDescent="0.3">
      <c r="L8" s="172"/>
      <c r="N8" s="105"/>
      <c r="O8" s="299"/>
      <c r="P8" s="299"/>
      <c r="Q8" s="299"/>
      <c r="R8" s="299"/>
      <c r="S8" s="299"/>
      <c r="T8" s="105"/>
      <c r="U8" s="300"/>
      <c r="V8" s="299"/>
      <c r="W8" s="299"/>
      <c r="X8" s="105"/>
      <c r="Y8" s="105"/>
      <c r="Z8" s="299"/>
      <c r="AA8" s="299"/>
      <c r="AB8" s="299"/>
      <c r="AC8" s="105"/>
      <c r="AD8" s="299"/>
      <c r="AE8" s="299"/>
      <c r="AF8" s="299"/>
      <c r="AG8" s="299"/>
      <c r="AH8" s="299"/>
      <c r="AI8" s="105"/>
      <c r="AJ8" s="301"/>
      <c r="AK8" s="302"/>
      <c r="AL8" s="299"/>
      <c r="AM8" s="299"/>
      <c r="AN8" s="299"/>
      <c r="AO8" s="299"/>
      <c r="AP8" s="299"/>
      <c r="AQ8" s="299"/>
      <c r="AR8" s="302"/>
      <c r="AS8" s="105"/>
      <c r="AT8" s="302"/>
      <c r="AU8" s="299"/>
      <c r="AV8" s="299"/>
      <c r="AW8" s="299"/>
      <c r="AX8" s="299"/>
      <c r="AY8" s="299"/>
      <c r="AZ8" s="303"/>
      <c r="BA8" s="303"/>
      <c r="BB8" s="303"/>
      <c r="BC8" s="303"/>
      <c r="BD8" s="303"/>
      <c r="BE8" s="303"/>
      <c r="BF8" s="303"/>
      <c r="BG8" s="303"/>
      <c r="BH8" s="299"/>
      <c r="BI8" s="303"/>
      <c r="BJ8" s="303"/>
      <c r="BK8" s="303"/>
      <c r="BL8" s="303"/>
      <c r="BM8" s="303"/>
      <c r="BN8" s="303"/>
      <c r="BO8" s="303"/>
      <c r="BP8" s="300"/>
      <c r="BQ8" s="304"/>
      <c r="BR8" s="305"/>
      <c r="BS8" s="300"/>
      <c r="BT8" s="304"/>
      <c r="BU8" s="305"/>
      <c r="BV8" s="299"/>
      <c r="BW8" s="299"/>
      <c r="BX8" s="299"/>
      <c r="BY8" s="299"/>
      <c r="BZ8" s="301"/>
      <c r="CA8" s="299"/>
      <c r="CB8" s="299"/>
    </row>
    <row r="9" spans="1:80" ht="15.75" thickBot="1" x14ac:dyDescent="0.3">
      <c r="A9" s="17"/>
      <c r="B9" s="222" t="s">
        <v>355</v>
      </c>
      <c r="C9" s="219"/>
      <c r="D9" s="181"/>
      <c r="E9" s="663" t="s">
        <v>325</v>
      </c>
      <c r="F9" s="664"/>
      <c r="G9" s="664"/>
      <c r="H9" s="664"/>
      <c r="I9" s="665"/>
      <c r="J9" s="214"/>
      <c r="K9" s="182"/>
      <c r="L9" s="172"/>
      <c r="N9" s="105"/>
      <c r="O9" s="299"/>
      <c r="P9" s="299"/>
      <c r="Q9" s="299"/>
      <c r="R9" s="299"/>
      <c r="S9" s="299"/>
      <c r="T9" s="105"/>
      <c r="U9" s="300"/>
      <c r="V9" s="299"/>
      <c r="W9" s="299"/>
      <c r="X9" s="105"/>
      <c r="Y9" s="105"/>
      <c r="Z9" s="299"/>
      <c r="AA9" s="299"/>
      <c r="AB9" s="299"/>
      <c r="AC9" s="105"/>
      <c r="AD9" s="299"/>
      <c r="AE9" s="299"/>
      <c r="AF9" s="299"/>
      <c r="AG9" s="299"/>
      <c r="AH9" s="299"/>
      <c r="AI9" s="105"/>
      <c r="AJ9" s="301"/>
      <c r="AK9" s="302"/>
      <c r="AL9" s="299"/>
      <c r="AM9" s="299"/>
      <c r="AN9" s="299"/>
      <c r="AO9" s="299"/>
      <c r="AP9" s="299"/>
      <c r="AQ9" s="299"/>
      <c r="AR9" s="302"/>
      <c r="AS9" s="105"/>
      <c r="AT9" s="302"/>
      <c r="AU9" s="299"/>
      <c r="AV9" s="299"/>
      <c r="AW9" s="299"/>
      <c r="AX9" s="299"/>
      <c r="AY9" s="299"/>
      <c r="AZ9" s="303"/>
      <c r="BA9" s="303"/>
      <c r="BB9" s="303"/>
      <c r="BC9" s="303"/>
      <c r="BD9" s="303"/>
      <c r="BE9" s="303"/>
      <c r="BF9" s="303"/>
      <c r="BG9" s="303"/>
      <c r="BH9" s="299"/>
      <c r="BI9" s="303"/>
      <c r="BJ9" s="303"/>
      <c r="BK9" s="303"/>
      <c r="BL9" s="303"/>
      <c r="BM9" s="303"/>
      <c r="BN9" s="303"/>
      <c r="BO9" s="303"/>
      <c r="BP9" s="300"/>
      <c r="BQ9" s="304"/>
      <c r="BR9" s="305"/>
      <c r="BS9" s="300"/>
      <c r="BT9" s="304"/>
      <c r="BU9" s="305"/>
      <c r="BV9" s="299"/>
      <c r="BW9" s="299"/>
      <c r="BX9" s="299"/>
      <c r="BY9" s="299"/>
      <c r="BZ9" s="301"/>
      <c r="CA9" s="299"/>
      <c r="CB9" s="299"/>
    </row>
    <row r="10" spans="1:80" ht="15.6" customHeight="1" thickBot="1" x14ac:dyDescent="0.3">
      <c r="A10" s="183" t="s">
        <v>53</v>
      </c>
      <c r="B10" s="220"/>
      <c r="C10" s="221"/>
      <c r="D10" s="181"/>
      <c r="E10" s="236"/>
      <c r="F10" s="237" t="s">
        <v>608</v>
      </c>
      <c r="G10" s="425" t="s">
        <v>609</v>
      </c>
      <c r="H10" s="238" t="s">
        <v>462</v>
      </c>
      <c r="I10" s="239"/>
      <c r="J10" s="214"/>
      <c r="K10" s="184"/>
      <c r="L10" s="172"/>
      <c r="N10" s="105"/>
      <c r="O10" s="299"/>
      <c r="P10" s="299"/>
      <c r="Q10" s="299"/>
      <c r="R10" s="299"/>
      <c r="S10" s="299"/>
      <c r="T10" s="105"/>
      <c r="U10" s="300"/>
      <c r="V10" s="299"/>
      <c r="W10" s="299"/>
      <c r="X10" s="105"/>
      <c r="Y10" s="105"/>
      <c r="Z10" s="299"/>
      <c r="AA10" s="299"/>
      <c r="AB10" s="299"/>
      <c r="AC10" s="105"/>
      <c r="AD10" s="299"/>
      <c r="AE10" s="299"/>
      <c r="AF10" s="299"/>
      <c r="AG10" s="299"/>
      <c r="AH10" s="299"/>
      <c r="AI10" s="105"/>
      <c r="AJ10" s="301"/>
      <c r="AK10" s="302"/>
      <c r="AL10" s="299"/>
      <c r="AM10" s="299"/>
      <c r="AN10" s="299"/>
      <c r="AO10" s="299"/>
      <c r="AP10" s="299"/>
      <c r="AQ10" s="299"/>
      <c r="AR10" s="302"/>
      <c r="AS10" s="105"/>
      <c r="AT10" s="302"/>
      <c r="AU10" s="299"/>
      <c r="AV10" s="299"/>
      <c r="AW10" s="299"/>
      <c r="AX10" s="299"/>
      <c r="AY10" s="299"/>
      <c r="AZ10" s="303"/>
      <c r="BA10" s="303"/>
      <c r="BB10" s="303"/>
      <c r="BC10" s="303"/>
      <c r="BD10" s="303"/>
      <c r="BE10" s="303"/>
      <c r="BF10" s="303"/>
      <c r="BG10" s="303"/>
      <c r="BH10" s="299"/>
      <c r="BI10" s="303"/>
      <c r="BJ10" s="303"/>
      <c r="BK10" s="303"/>
      <c r="BL10" s="303"/>
      <c r="BM10" s="303"/>
      <c r="BN10" s="303"/>
      <c r="BO10" s="303"/>
      <c r="BP10" s="300"/>
      <c r="BQ10" s="304"/>
      <c r="BR10" s="305"/>
      <c r="BS10" s="300"/>
      <c r="BT10" s="304"/>
      <c r="BU10" s="305"/>
      <c r="BV10" s="299"/>
      <c r="BW10" s="299"/>
      <c r="BX10" s="299"/>
      <c r="BY10" s="299"/>
      <c r="BZ10" s="301"/>
      <c r="CA10" s="299"/>
      <c r="CB10" s="299"/>
    </row>
    <row r="11" spans="1:80" ht="15.6" customHeight="1" x14ac:dyDescent="0.25">
      <c r="A11" s="183" t="s">
        <v>34</v>
      </c>
      <c r="B11" s="185">
        <v>4250</v>
      </c>
      <c r="C11" s="240" t="s">
        <v>35</v>
      </c>
      <c r="D11" s="181"/>
      <c r="E11" s="232" t="s">
        <v>34</v>
      </c>
      <c r="F11" s="233">
        <v>4250</v>
      </c>
      <c r="G11" s="234">
        <v>4250</v>
      </c>
      <c r="H11" s="252"/>
      <c r="I11" s="235" t="s">
        <v>35</v>
      </c>
      <c r="J11" s="214"/>
      <c r="K11" s="214"/>
      <c r="L11" s="172"/>
      <c r="N11" s="105"/>
      <c r="O11" s="299"/>
      <c r="P11" s="299"/>
      <c r="Q11" s="299"/>
      <c r="R11" s="299"/>
      <c r="S11" s="299"/>
      <c r="T11" s="105"/>
      <c r="U11" s="300"/>
      <c r="V11" s="299"/>
      <c r="W11" s="299"/>
      <c r="X11" s="105"/>
      <c r="Y11" s="105"/>
      <c r="Z11" s="299"/>
      <c r="AA11" s="299"/>
      <c r="AB11" s="299"/>
      <c r="AC11" s="105"/>
      <c r="AD11" s="299"/>
      <c r="AE11" s="299"/>
      <c r="AF11" s="299"/>
      <c r="AG11" s="299"/>
      <c r="AH11" s="299"/>
      <c r="AI11" s="105"/>
      <c r="AJ11" s="301"/>
      <c r="AK11" s="302"/>
      <c r="AL11" s="299"/>
      <c r="AM11" s="299"/>
      <c r="AN11" s="299"/>
      <c r="AO11" s="299"/>
      <c r="AP11" s="299"/>
      <c r="AQ11" s="299"/>
      <c r="AR11" s="302"/>
      <c r="AS11" s="105"/>
      <c r="AT11" s="302"/>
      <c r="AU11" s="299"/>
      <c r="AV11" s="299"/>
      <c r="AW11" s="299"/>
      <c r="AX11" s="299"/>
      <c r="AY11" s="299"/>
      <c r="AZ11" s="303"/>
      <c r="BA11" s="303"/>
      <c r="BB11" s="303"/>
      <c r="BC11" s="303"/>
      <c r="BD11" s="303"/>
      <c r="BE11" s="303"/>
      <c r="BF11" s="303"/>
      <c r="BG11" s="303"/>
      <c r="BH11" s="299"/>
      <c r="BI11" s="303"/>
      <c r="BJ11" s="303"/>
      <c r="BK11" s="303"/>
      <c r="BL11" s="303"/>
      <c r="BM11" s="303"/>
      <c r="BN11" s="303"/>
      <c r="BO11" s="303"/>
      <c r="BP11" s="300"/>
      <c r="BQ11" s="304"/>
      <c r="BR11" s="305"/>
      <c r="BS11" s="300"/>
      <c r="BT11" s="304"/>
      <c r="BU11" s="305"/>
      <c r="BV11" s="299"/>
      <c r="BW11" s="299"/>
      <c r="BX11" s="299"/>
      <c r="BY11" s="299"/>
      <c r="BZ11" s="301"/>
      <c r="CA11" s="299"/>
      <c r="CB11" s="299"/>
    </row>
    <row r="12" spans="1:80" ht="15.6" customHeight="1" x14ac:dyDescent="0.25">
      <c r="A12" s="183" t="s">
        <v>31</v>
      </c>
      <c r="B12" s="245">
        <v>30.36</v>
      </c>
      <c r="C12" s="241" t="s">
        <v>4</v>
      </c>
      <c r="D12" s="181"/>
      <c r="E12" s="186" t="s">
        <v>31</v>
      </c>
      <c r="F12" s="187">
        <v>30.36</v>
      </c>
      <c r="G12" s="205">
        <v>38.71</v>
      </c>
      <c r="H12" s="334"/>
      <c r="I12" s="229" t="s">
        <v>4</v>
      </c>
      <c r="J12" s="300"/>
      <c r="K12" s="214"/>
      <c r="L12" s="172"/>
      <c r="N12" s="105"/>
      <c r="O12" s="299"/>
      <c r="P12" s="299"/>
      <c r="Q12" s="299"/>
      <c r="R12" s="299"/>
      <c r="S12" s="299"/>
      <c r="T12" s="105"/>
      <c r="U12" s="300"/>
      <c r="V12" s="299"/>
      <c r="W12" s="299"/>
      <c r="X12" s="105"/>
      <c r="Y12" s="105"/>
      <c r="Z12" s="299"/>
      <c r="AA12" s="299"/>
      <c r="AB12" s="299"/>
      <c r="AC12" s="105"/>
      <c r="AD12" s="299"/>
      <c r="AE12" s="299"/>
      <c r="AF12" s="299"/>
      <c r="AG12" s="299"/>
      <c r="AH12" s="299"/>
      <c r="AI12" s="105"/>
      <c r="AJ12" s="301"/>
      <c r="AK12" s="302"/>
      <c r="AL12" s="299"/>
      <c r="AM12" s="299"/>
      <c r="AN12" s="299"/>
      <c r="AO12" s="299"/>
      <c r="AP12" s="299"/>
      <c r="AQ12" s="299"/>
      <c r="AR12" s="302"/>
      <c r="AS12" s="105"/>
      <c r="AT12" s="302"/>
      <c r="AU12" s="299"/>
      <c r="AV12" s="299"/>
      <c r="AW12" s="299"/>
      <c r="AX12" s="299"/>
      <c r="AY12" s="299"/>
      <c r="AZ12" s="303"/>
      <c r="BA12" s="303"/>
      <c r="BB12" s="303"/>
      <c r="BC12" s="303"/>
      <c r="BD12" s="303"/>
      <c r="BE12" s="303"/>
      <c r="BF12" s="303"/>
      <c r="BG12" s="303"/>
      <c r="BH12" s="299"/>
      <c r="BI12" s="303"/>
      <c r="BJ12" s="303"/>
      <c r="BK12" s="303"/>
      <c r="BL12" s="303"/>
      <c r="BM12" s="303"/>
      <c r="BN12" s="303"/>
      <c r="BO12" s="303"/>
      <c r="BP12" s="300"/>
      <c r="BQ12" s="304"/>
      <c r="BR12" s="305"/>
      <c r="BS12" s="300"/>
      <c r="BT12" s="304"/>
      <c r="BU12" s="305"/>
      <c r="BV12" s="299"/>
      <c r="BW12" s="299"/>
      <c r="BX12" s="299"/>
      <c r="BY12" s="299"/>
      <c r="BZ12" s="301"/>
      <c r="CA12" s="299"/>
      <c r="CB12" s="299"/>
    </row>
    <row r="13" spans="1:80" s="18" customFormat="1" x14ac:dyDescent="0.25">
      <c r="A13" s="183" t="s">
        <v>32</v>
      </c>
      <c r="B13" s="245">
        <v>0.3201</v>
      </c>
      <c r="C13" s="241" t="s">
        <v>36</v>
      </c>
      <c r="D13" s="181"/>
      <c r="E13" s="186" t="s">
        <v>32</v>
      </c>
      <c r="F13" s="247">
        <v>0.3201</v>
      </c>
      <c r="G13" s="205">
        <v>3.0499999999999999E-2</v>
      </c>
      <c r="H13" s="334"/>
      <c r="I13" s="230" t="s">
        <v>36</v>
      </c>
      <c r="J13" s="304"/>
      <c r="K13" s="214"/>
      <c r="L13" s="172"/>
      <c r="M13" s="203"/>
      <c r="N13" s="105"/>
      <c r="O13" s="299"/>
      <c r="P13" s="299"/>
      <c r="Q13" s="299"/>
      <c r="R13" s="299"/>
      <c r="S13" s="299"/>
      <c r="T13" s="105"/>
      <c r="U13" s="300"/>
      <c r="V13" s="299"/>
      <c r="W13" s="299"/>
      <c r="X13" s="105"/>
      <c r="Y13" s="105"/>
      <c r="Z13" s="299"/>
      <c r="AA13" s="299"/>
      <c r="AB13" s="299"/>
      <c r="AC13" s="105"/>
      <c r="AD13" s="299"/>
      <c r="AE13" s="299"/>
      <c r="AF13" s="299"/>
      <c r="AG13" s="299"/>
      <c r="AH13" s="299"/>
      <c r="AI13" s="105"/>
      <c r="AJ13" s="301"/>
      <c r="AK13" s="302"/>
      <c r="AL13" s="299"/>
      <c r="AM13" s="299"/>
      <c r="AN13" s="299"/>
      <c r="AO13" s="299"/>
      <c r="AP13" s="299"/>
      <c r="AQ13" s="299"/>
      <c r="AR13" s="302"/>
      <c r="AS13" s="105"/>
      <c r="AT13" s="302"/>
      <c r="AU13" s="299"/>
      <c r="AV13" s="299"/>
      <c r="AW13" s="299"/>
      <c r="AX13" s="299"/>
      <c r="AY13" s="299"/>
      <c r="AZ13" s="303"/>
      <c r="BA13" s="303"/>
      <c r="BB13" s="303"/>
      <c r="BC13" s="303"/>
      <c r="BD13" s="303"/>
      <c r="BE13" s="303"/>
      <c r="BF13" s="303"/>
      <c r="BG13" s="303"/>
      <c r="BH13" s="299"/>
      <c r="BI13" s="303"/>
      <c r="BJ13" s="303"/>
      <c r="BK13" s="303"/>
      <c r="BL13" s="303"/>
      <c r="BM13" s="303"/>
      <c r="BN13" s="303"/>
      <c r="BO13" s="303"/>
      <c r="BP13" s="300"/>
      <c r="BQ13" s="304"/>
      <c r="BR13" s="305"/>
      <c r="BS13" s="300"/>
      <c r="BT13" s="304"/>
      <c r="BU13" s="305"/>
      <c r="BV13" s="299"/>
      <c r="BW13" s="299"/>
      <c r="BX13" s="299"/>
      <c r="BY13" s="299"/>
      <c r="BZ13" s="301"/>
      <c r="CA13" s="299"/>
      <c r="CB13" s="299"/>
    </row>
    <row r="14" spans="1:80" s="18" customFormat="1" ht="15.75" thickBot="1" x14ac:dyDescent="0.3">
      <c r="A14" s="188" t="s">
        <v>33</v>
      </c>
      <c r="B14" s="242">
        <v>1.9560000000000001E-2</v>
      </c>
      <c r="C14" s="243" t="s">
        <v>52</v>
      </c>
      <c r="D14" s="181"/>
      <c r="E14" s="189" t="s">
        <v>33</v>
      </c>
      <c r="F14" s="246">
        <v>1.9560000000000001E-2</v>
      </c>
      <c r="G14" s="206">
        <v>1.4999999999999999E-2</v>
      </c>
      <c r="H14" s="335"/>
      <c r="I14" s="231" t="s">
        <v>52</v>
      </c>
      <c r="J14" s="305"/>
      <c r="K14" s="190"/>
      <c r="L14" s="172"/>
      <c r="M14" s="203"/>
      <c r="N14" s="105"/>
      <c r="O14" s="299"/>
      <c r="P14" s="299"/>
      <c r="Q14" s="299"/>
      <c r="R14" s="299"/>
      <c r="S14" s="299"/>
      <c r="T14" s="105"/>
      <c r="U14" s="300"/>
      <c r="V14" s="299"/>
      <c r="W14" s="299"/>
      <c r="X14" s="105"/>
      <c r="Y14" s="105"/>
      <c r="Z14" s="299"/>
      <c r="AA14" s="299"/>
      <c r="AB14" s="299"/>
      <c r="AC14" s="105"/>
      <c r="AD14" s="299"/>
      <c r="AE14" s="299"/>
      <c r="AF14" s="299"/>
      <c r="AG14" s="299"/>
      <c r="AH14" s="299"/>
      <c r="AI14" s="105"/>
      <c r="AJ14" s="301"/>
      <c r="AK14" s="302"/>
      <c r="AL14" s="299"/>
      <c r="AM14" s="299"/>
      <c r="AN14" s="299"/>
      <c r="AO14" s="299"/>
      <c r="AP14" s="299"/>
      <c r="AQ14" s="299"/>
      <c r="AR14" s="302"/>
      <c r="AS14" s="105"/>
      <c r="AT14" s="302"/>
      <c r="AU14" s="299"/>
      <c r="AV14" s="299"/>
      <c r="AW14" s="299"/>
      <c r="AX14" s="299"/>
      <c r="AY14" s="299"/>
      <c r="AZ14" s="303"/>
      <c r="BA14" s="303"/>
      <c r="BB14" s="303"/>
      <c r="BC14" s="303"/>
      <c r="BD14" s="303"/>
      <c r="BE14" s="303"/>
      <c r="BF14" s="303"/>
      <c r="BG14" s="303"/>
      <c r="BH14" s="299"/>
      <c r="BI14" s="303"/>
      <c r="BJ14" s="303"/>
      <c r="BK14" s="303"/>
      <c r="BL14" s="303"/>
      <c r="BM14" s="303"/>
      <c r="BN14" s="303"/>
      <c r="BO14" s="303"/>
      <c r="BP14" s="300"/>
      <c r="BQ14" s="304"/>
      <c r="BR14" s="305"/>
      <c r="BS14" s="300"/>
      <c r="BT14" s="304"/>
      <c r="BU14" s="305"/>
      <c r="BV14" s="299"/>
      <c r="BW14" s="299"/>
      <c r="BX14" s="299"/>
      <c r="BY14" s="299"/>
      <c r="BZ14" s="301"/>
      <c r="CA14" s="299"/>
      <c r="CB14" s="299"/>
    </row>
    <row r="15" spans="1:80" s="18" customFormat="1" x14ac:dyDescent="0.25">
      <c r="A15" s="203"/>
      <c r="B15" s="203"/>
      <c r="C15" s="203"/>
      <c r="D15" s="203"/>
      <c r="E15" s="203"/>
      <c r="F15" s="203"/>
      <c r="G15" s="203"/>
      <c r="H15" s="214"/>
      <c r="I15" s="203"/>
      <c r="J15" s="203"/>
      <c r="K15" s="81"/>
      <c r="L15" s="172"/>
      <c r="M15" s="203"/>
      <c r="N15" s="105"/>
      <c r="O15" s="299"/>
      <c r="P15" s="299"/>
      <c r="Q15" s="299"/>
      <c r="R15" s="299"/>
      <c r="S15" s="299"/>
      <c r="T15" s="105"/>
      <c r="U15" s="300"/>
      <c r="V15" s="299"/>
      <c r="W15" s="299"/>
      <c r="X15" s="105"/>
      <c r="Y15" s="105"/>
      <c r="Z15" s="299"/>
      <c r="AA15" s="299"/>
      <c r="AB15" s="299"/>
      <c r="AC15" s="105"/>
      <c r="AD15" s="299"/>
      <c r="AE15" s="299"/>
      <c r="AF15" s="299"/>
      <c r="AG15" s="299"/>
      <c r="AH15" s="299"/>
      <c r="AI15" s="105"/>
      <c r="AJ15" s="301"/>
      <c r="AK15" s="302"/>
      <c r="AL15" s="299"/>
      <c r="AM15" s="299"/>
      <c r="AN15" s="299"/>
      <c r="AO15" s="299"/>
      <c r="AP15" s="299"/>
      <c r="AQ15" s="299"/>
      <c r="AR15" s="302"/>
      <c r="AS15" s="105"/>
      <c r="AT15" s="302"/>
      <c r="AU15" s="299"/>
      <c r="AV15" s="299"/>
      <c r="AW15" s="299"/>
      <c r="AX15" s="299"/>
      <c r="AY15" s="299"/>
      <c r="AZ15" s="303"/>
      <c r="BA15" s="303"/>
      <c r="BB15" s="303"/>
      <c r="BC15" s="303"/>
      <c r="BD15" s="303"/>
      <c r="BE15" s="303"/>
      <c r="BF15" s="303"/>
      <c r="BG15" s="303"/>
      <c r="BH15" s="299"/>
      <c r="BI15" s="303"/>
      <c r="BJ15" s="303"/>
      <c r="BK15" s="303"/>
      <c r="BL15" s="303"/>
      <c r="BM15" s="303"/>
      <c r="BN15" s="303"/>
      <c r="BO15" s="303"/>
      <c r="BP15" s="300"/>
      <c r="BQ15" s="304"/>
      <c r="BR15" s="305"/>
      <c r="BS15" s="300"/>
      <c r="BT15" s="304"/>
      <c r="BU15" s="305"/>
      <c r="BV15" s="299"/>
      <c r="BW15" s="299"/>
      <c r="BX15" s="299"/>
      <c r="BY15" s="299"/>
      <c r="BZ15" s="301"/>
      <c r="CA15" s="299"/>
      <c r="CB15" s="299"/>
    </row>
    <row r="16" spans="1:80" x14ac:dyDescent="0.25">
      <c r="L16" s="172"/>
      <c r="N16" s="105"/>
      <c r="O16" s="299"/>
      <c r="P16" s="299"/>
      <c r="Q16" s="299"/>
      <c r="R16" s="299"/>
      <c r="S16" s="299"/>
      <c r="T16" s="105"/>
      <c r="U16" s="300"/>
      <c r="V16" s="299"/>
      <c r="W16" s="299"/>
      <c r="X16" s="105"/>
      <c r="Y16" s="105"/>
      <c r="Z16" s="299"/>
      <c r="AA16" s="299"/>
      <c r="AB16" s="299"/>
      <c r="AC16" s="105"/>
      <c r="AD16" s="299"/>
      <c r="AE16" s="299"/>
      <c r="AF16" s="299"/>
      <c r="AG16" s="299"/>
      <c r="AH16" s="299"/>
      <c r="AI16" s="105"/>
      <c r="AJ16" s="301"/>
      <c r="AK16" s="302"/>
      <c r="AL16" s="299"/>
      <c r="AM16" s="299"/>
      <c r="AN16" s="299"/>
      <c r="AO16" s="299"/>
      <c r="AP16" s="299"/>
      <c r="AQ16" s="299"/>
      <c r="AR16" s="302"/>
      <c r="AS16" s="105"/>
      <c r="AT16" s="302"/>
      <c r="AU16" s="299"/>
      <c r="AV16" s="299"/>
      <c r="AW16" s="299"/>
      <c r="AX16" s="299"/>
      <c r="AY16" s="299"/>
      <c r="AZ16" s="303"/>
      <c r="BA16" s="303"/>
      <c r="BB16" s="303"/>
      <c r="BC16" s="303"/>
      <c r="BD16" s="303"/>
      <c r="BE16" s="303"/>
      <c r="BF16" s="303"/>
      <c r="BG16" s="303"/>
      <c r="BH16" s="299"/>
      <c r="BI16" s="303"/>
      <c r="BJ16" s="303"/>
      <c r="BK16" s="303"/>
      <c r="BL16" s="303"/>
      <c r="BM16" s="303"/>
      <c r="BN16" s="303"/>
      <c r="BO16" s="303"/>
      <c r="BP16" s="300"/>
      <c r="BQ16" s="304"/>
      <c r="BR16" s="305"/>
      <c r="BS16" s="300"/>
      <c r="BT16" s="304"/>
      <c r="BU16" s="305"/>
      <c r="BV16" s="299"/>
      <c r="BW16" s="299"/>
      <c r="BX16" s="299"/>
      <c r="BY16" s="299"/>
      <c r="BZ16" s="301"/>
      <c r="CA16" s="299"/>
      <c r="CB16" s="299"/>
    </row>
    <row r="17" spans="1:80" ht="15.75" thickBot="1" x14ac:dyDescent="0.3">
      <c r="A17" s="9" t="s">
        <v>37</v>
      </c>
      <c r="B17" s="10"/>
      <c r="C17" s="10"/>
      <c r="D17" s="10"/>
      <c r="E17" s="10"/>
      <c r="F17" s="10"/>
      <c r="G17" s="10"/>
      <c r="H17" s="10"/>
      <c r="I17" s="10"/>
      <c r="J17" s="10"/>
      <c r="K17" s="10"/>
      <c r="L17" s="172"/>
      <c r="N17" s="105"/>
      <c r="O17" s="299"/>
      <c r="P17" s="299"/>
      <c r="Q17" s="299"/>
      <c r="R17" s="299"/>
      <c r="S17" s="299"/>
      <c r="T17" s="105"/>
      <c r="U17" s="300"/>
      <c r="V17" s="299"/>
      <c r="W17" s="299"/>
      <c r="X17" s="105"/>
      <c r="Y17" s="105"/>
      <c r="Z17" s="299"/>
      <c r="AA17" s="299"/>
      <c r="AB17" s="299"/>
      <c r="AC17" s="105"/>
      <c r="AD17" s="299"/>
      <c r="AE17" s="299"/>
      <c r="AF17" s="299"/>
      <c r="AG17" s="299"/>
      <c r="AH17" s="299"/>
      <c r="AI17" s="105"/>
      <c r="AJ17" s="301"/>
      <c r="AK17" s="302"/>
      <c r="AL17" s="299"/>
      <c r="AM17" s="299"/>
      <c r="AN17" s="299"/>
      <c r="AO17" s="299"/>
      <c r="AP17" s="299"/>
      <c r="AQ17" s="299"/>
      <c r="AR17" s="302"/>
      <c r="AS17" s="105"/>
      <c r="AT17" s="302"/>
      <c r="AU17" s="299"/>
      <c r="AV17" s="299"/>
      <c r="AW17" s="299"/>
      <c r="AX17" s="299"/>
      <c r="AY17" s="299"/>
      <c r="AZ17" s="303"/>
      <c r="BA17" s="303"/>
      <c r="BB17" s="303"/>
      <c r="BC17" s="303"/>
      <c r="BD17" s="303"/>
      <c r="BE17" s="303"/>
      <c r="BF17" s="303"/>
      <c r="BG17" s="303"/>
      <c r="BH17" s="299"/>
      <c r="BI17" s="303"/>
      <c r="BJ17" s="303"/>
      <c r="BK17" s="303"/>
      <c r="BL17" s="303"/>
      <c r="BM17" s="303"/>
      <c r="BN17" s="303"/>
      <c r="BO17" s="303"/>
      <c r="BP17" s="300"/>
      <c r="BQ17" s="304"/>
      <c r="BR17" s="305"/>
      <c r="BS17" s="300"/>
      <c r="BT17" s="304"/>
      <c r="BU17" s="305"/>
      <c r="BV17" s="299"/>
      <c r="BW17" s="299"/>
      <c r="BX17" s="299"/>
      <c r="BY17" s="299"/>
      <c r="BZ17" s="301"/>
      <c r="CA17" s="299"/>
      <c r="CB17" s="299"/>
    </row>
    <row r="18" spans="1:80" x14ac:dyDescent="0.25">
      <c r="A18" s="11" t="s">
        <v>38</v>
      </c>
      <c r="B18" s="12"/>
      <c r="C18" s="12"/>
      <c r="D18" s="12"/>
      <c r="E18" s="12"/>
      <c r="F18" s="12"/>
      <c r="G18" s="12"/>
      <c r="H18" s="12"/>
      <c r="I18" s="12"/>
      <c r="J18" s="12"/>
      <c r="K18" s="12"/>
      <c r="L18" s="172"/>
      <c r="N18" s="105"/>
      <c r="O18" s="299"/>
      <c r="P18" s="299"/>
      <c r="Q18" s="299"/>
      <c r="R18" s="299"/>
      <c r="S18" s="299"/>
      <c r="T18" s="105"/>
      <c r="U18" s="300"/>
      <c r="V18" s="299"/>
      <c r="W18" s="299"/>
      <c r="X18" s="105"/>
      <c r="Y18" s="105"/>
      <c r="Z18" s="299"/>
      <c r="AA18" s="299"/>
      <c r="AB18" s="299"/>
      <c r="AC18" s="105"/>
      <c r="AD18" s="299"/>
      <c r="AE18" s="299"/>
      <c r="AF18" s="299"/>
      <c r="AG18" s="299"/>
      <c r="AH18" s="299"/>
      <c r="AI18" s="105"/>
      <c r="AJ18" s="301"/>
      <c r="AK18" s="302"/>
      <c r="AL18" s="299"/>
      <c r="AM18" s="299"/>
      <c r="AN18" s="299"/>
      <c r="AO18" s="299"/>
      <c r="AP18" s="299"/>
      <c r="AQ18" s="299"/>
      <c r="AR18" s="302"/>
      <c r="AS18" s="105"/>
      <c r="AT18" s="302"/>
      <c r="AU18" s="299"/>
      <c r="AV18" s="299"/>
      <c r="AW18" s="299"/>
      <c r="AX18" s="299"/>
      <c r="AY18" s="299"/>
      <c r="AZ18" s="303"/>
      <c r="BA18" s="303"/>
      <c r="BB18" s="303"/>
      <c r="BC18" s="303"/>
      <c r="BD18" s="303"/>
      <c r="BE18" s="303"/>
      <c r="BF18" s="303"/>
      <c r="BG18" s="303"/>
      <c r="BH18" s="299"/>
      <c r="BI18" s="303"/>
      <c r="BJ18" s="303"/>
      <c r="BK18" s="303"/>
      <c r="BL18" s="303"/>
      <c r="BM18" s="303"/>
      <c r="BN18" s="303"/>
      <c r="BO18" s="303"/>
      <c r="BP18" s="300"/>
      <c r="BQ18" s="304"/>
      <c r="BR18" s="305"/>
      <c r="BS18" s="300"/>
      <c r="BT18" s="304"/>
      <c r="BU18" s="305"/>
      <c r="BV18" s="299"/>
      <c r="BW18" s="299"/>
      <c r="BX18" s="299"/>
      <c r="BY18" s="299"/>
      <c r="BZ18" s="301"/>
      <c r="CA18" s="299"/>
      <c r="CB18" s="299"/>
    </row>
    <row r="19" spans="1:80" x14ac:dyDescent="0.25">
      <c r="A19" s="13"/>
      <c r="B19" s="14" t="s">
        <v>39</v>
      </c>
      <c r="C19" s="1"/>
      <c r="D19" s="1"/>
      <c r="E19" s="1"/>
      <c r="F19" s="1"/>
      <c r="G19" s="1"/>
      <c r="H19" s="1"/>
      <c r="I19" s="1"/>
      <c r="J19" s="1"/>
      <c r="K19" s="1"/>
      <c r="L19" s="172"/>
      <c r="N19" s="105"/>
      <c r="O19" s="299"/>
      <c r="P19" s="299"/>
      <c r="Q19" s="299"/>
      <c r="R19" s="299"/>
      <c r="S19" s="299"/>
      <c r="T19" s="105"/>
      <c r="U19" s="300"/>
      <c r="V19" s="299"/>
      <c r="W19" s="299"/>
      <c r="X19" s="105"/>
      <c r="Y19" s="105"/>
      <c r="Z19" s="299"/>
      <c r="AA19" s="299"/>
      <c r="AB19" s="299"/>
      <c r="AC19" s="105"/>
      <c r="AD19" s="299"/>
      <c r="AE19" s="299"/>
      <c r="AF19" s="299"/>
      <c r="AG19" s="299"/>
      <c r="AH19" s="299"/>
      <c r="AI19" s="105"/>
      <c r="AJ19" s="301"/>
      <c r="AK19" s="302"/>
      <c r="AL19" s="299"/>
      <c r="AM19" s="299"/>
      <c r="AN19" s="299"/>
      <c r="AO19" s="299"/>
      <c r="AP19" s="299"/>
      <c r="AQ19" s="299"/>
      <c r="AR19" s="302"/>
      <c r="AS19" s="105"/>
      <c r="AT19" s="302"/>
      <c r="AU19" s="299"/>
      <c r="AV19" s="299"/>
      <c r="AW19" s="299"/>
      <c r="AX19" s="299"/>
      <c r="AY19" s="299"/>
      <c r="AZ19" s="303"/>
      <c r="BA19" s="303"/>
      <c r="BB19" s="303"/>
      <c r="BC19" s="303"/>
      <c r="BD19" s="303"/>
      <c r="BE19" s="303"/>
      <c r="BF19" s="303"/>
      <c r="BG19" s="303"/>
      <c r="BH19" s="299"/>
      <c r="BI19" s="303"/>
      <c r="BJ19" s="303"/>
      <c r="BK19" s="303"/>
      <c r="BL19" s="303"/>
      <c r="BM19" s="303"/>
      <c r="BN19" s="303"/>
      <c r="BO19" s="303"/>
      <c r="BP19" s="300"/>
      <c r="BQ19" s="304"/>
      <c r="BR19" s="305"/>
      <c r="BS19" s="300"/>
      <c r="BT19" s="304"/>
      <c r="BU19" s="305"/>
      <c r="BV19" s="299"/>
      <c r="BW19" s="299"/>
      <c r="BX19" s="299"/>
      <c r="BY19" s="299"/>
      <c r="BZ19" s="301"/>
      <c r="CA19" s="299"/>
      <c r="CB19" s="299"/>
    </row>
    <row r="20" spans="1:80" x14ac:dyDescent="0.25">
      <c r="A20" s="13"/>
      <c r="B20" s="1" t="s">
        <v>326</v>
      </c>
      <c r="C20" s="1"/>
      <c r="D20" s="1"/>
      <c r="E20" s="1"/>
      <c r="F20" s="1"/>
      <c r="G20" s="1"/>
      <c r="H20" s="1"/>
      <c r="I20" s="1"/>
      <c r="J20" s="1"/>
      <c r="K20" s="1"/>
      <c r="L20" s="172"/>
      <c r="N20" s="191"/>
      <c r="O20" s="191"/>
      <c r="P20" s="191"/>
      <c r="Q20" s="191"/>
      <c r="R20" s="18"/>
      <c r="S20" s="18"/>
      <c r="T20" s="18"/>
      <c r="U20" s="18"/>
      <c r="V20" s="18"/>
      <c r="W20" s="18"/>
      <c r="X20" s="18"/>
      <c r="Y20" s="18"/>
      <c r="Z20" s="18"/>
      <c r="AA20" s="18"/>
    </row>
    <row r="21" spans="1:80" ht="15.75" thickBot="1" x14ac:dyDescent="0.3">
      <c r="A21" s="15"/>
      <c r="B21" s="16" t="s">
        <v>326</v>
      </c>
      <c r="C21" s="16"/>
      <c r="D21" s="16"/>
      <c r="E21" s="16"/>
      <c r="F21" s="16"/>
      <c r="G21" s="16"/>
      <c r="H21" s="16"/>
      <c r="I21" s="16"/>
      <c r="J21" s="16"/>
      <c r="K21" s="16"/>
      <c r="L21" s="172"/>
      <c r="N21" s="191"/>
      <c r="P21" s="191"/>
      <c r="Q21" s="191"/>
      <c r="X21" s="18"/>
      <c r="Y21" s="18"/>
      <c r="Z21" s="18"/>
      <c r="AA21" s="18"/>
    </row>
    <row r="22" spans="1:80" ht="15.75" thickBot="1" x14ac:dyDescent="0.3">
      <c r="L22" s="172"/>
      <c r="N22" s="191"/>
      <c r="P22" s="191"/>
      <c r="Q22" s="191"/>
      <c r="W22" s="21"/>
    </row>
    <row r="23" spans="1:80" x14ac:dyDescent="0.25">
      <c r="A23" s="11" t="s">
        <v>16</v>
      </c>
      <c r="B23" s="320" t="s">
        <v>6</v>
      </c>
      <c r="C23" s="320" t="s">
        <v>434</v>
      </c>
      <c r="D23" s="321" t="s">
        <v>465</v>
      </c>
      <c r="E23" s="12" t="s">
        <v>438</v>
      </c>
      <c r="F23" s="12" t="s">
        <v>439</v>
      </c>
      <c r="G23" s="12"/>
      <c r="H23" s="12"/>
      <c r="I23" s="12"/>
      <c r="J23" s="12"/>
      <c r="K23" s="12"/>
      <c r="L23" s="172"/>
      <c r="N23" s="191"/>
      <c r="P23" s="191"/>
      <c r="Q23" s="191"/>
      <c r="W23" s="21"/>
      <c r="X23" s="21"/>
      <c r="Y23" s="21"/>
      <c r="Z23" s="1"/>
    </row>
    <row r="24" spans="1:80" x14ac:dyDescent="0.25">
      <c r="A24" s="13" t="s">
        <v>40</v>
      </c>
      <c r="B24" s="401" t="s">
        <v>554</v>
      </c>
      <c r="C24" s="21">
        <v>500</v>
      </c>
      <c r="D24" s="21"/>
      <c r="E24" s="1"/>
      <c r="F24" s="1"/>
      <c r="G24" s="1"/>
      <c r="H24" s="1"/>
      <c r="I24" s="1"/>
      <c r="J24" s="1"/>
      <c r="K24" s="1"/>
      <c r="L24" s="172"/>
      <c r="N24" s="191"/>
      <c r="O24" s="191"/>
      <c r="P24" s="191"/>
      <c r="Q24" s="191"/>
      <c r="W24" s="21"/>
      <c r="X24" s="21"/>
      <c r="Y24" s="21"/>
      <c r="Z24" s="1"/>
    </row>
    <row r="25" spans="1:80" x14ac:dyDescent="0.25">
      <c r="A25" s="13" t="s">
        <v>41</v>
      </c>
      <c r="B25" s="401" t="s">
        <v>555</v>
      </c>
      <c r="C25" s="21">
        <v>200</v>
      </c>
      <c r="D25" s="21"/>
      <c r="E25" s="1"/>
      <c r="F25" s="1"/>
      <c r="G25" s="1"/>
      <c r="H25" s="1"/>
      <c r="I25" s="1"/>
      <c r="J25" s="1"/>
      <c r="K25" s="1"/>
      <c r="L25" s="172"/>
      <c r="N25" s="191"/>
      <c r="O25" s="191"/>
      <c r="P25" s="191"/>
      <c r="Q25" s="191"/>
      <c r="S25" s="18"/>
      <c r="T25" s="18"/>
      <c r="U25" s="18"/>
      <c r="W25" s="21"/>
      <c r="X25" s="21"/>
      <c r="Y25" s="21"/>
      <c r="Z25" s="1"/>
    </row>
    <row r="26" spans="1:80" x14ac:dyDescent="0.25">
      <c r="A26" s="13" t="s">
        <v>42</v>
      </c>
      <c r="B26" s="401" t="s">
        <v>622</v>
      </c>
      <c r="C26" s="21">
        <v>40</v>
      </c>
      <c r="D26" s="21"/>
      <c r="E26" s="1"/>
      <c r="F26" s="1"/>
      <c r="G26" s="1"/>
      <c r="H26" s="1"/>
      <c r="I26" s="1"/>
      <c r="J26" s="1"/>
      <c r="K26" s="1"/>
      <c r="L26" s="172"/>
      <c r="P26" s="191"/>
      <c r="Q26" s="191"/>
      <c r="R26" s="18"/>
      <c r="S26" s="18"/>
      <c r="T26" s="18"/>
      <c r="U26" s="5"/>
      <c r="V26" s="1"/>
      <c r="W26" s="21"/>
      <c r="X26" s="21"/>
      <c r="Y26" s="1"/>
    </row>
    <row r="27" spans="1:80" x14ac:dyDescent="0.25">
      <c r="A27" s="13" t="s">
        <v>43</v>
      </c>
      <c r="B27" s="401" t="s">
        <v>556</v>
      </c>
      <c r="C27" s="21">
        <v>80</v>
      </c>
      <c r="D27" s="21"/>
      <c r="E27" s="1"/>
      <c r="F27" s="1"/>
      <c r="G27" s="1"/>
      <c r="H27" s="1"/>
      <c r="I27" s="1"/>
      <c r="J27" s="1"/>
      <c r="K27" s="1"/>
      <c r="L27" s="172"/>
      <c r="M27" s="204"/>
      <c r="N27" s="192">
        <f>B1</f>
        <v>0</v>
      </c>
      <c r="O27" s="192" t="str">
        <f>F10</f>
        <v>EPA-Leaf</v>
      </c>
      <c r="P27" s="423" t="str">
        <f>G10</f>
        <v>EPA-Tesla M3</v>
      </c>
      <c r="Q27" s="191"/>
      <c r="R27" s="18"/>
      <c r="S27" s="193"/>
      <c r="T27" s="18"/>
      <c r="V27" s="1"/>
      <c r="W27" s="1"/>
      <c r="X27" s="1"/>
      <c r="Y27" s="1"/>
    </row>
    <row r="28" spans="1:80" ht="14.25" customHeight="1" x14ac:dyDescent="0.25">
      <c r="A28" s="13" t="s">
        <v>44</v>
      </c>
      <c r="B28" s="401" t="s">
        <v>623</v>
      </c>
      <c r="C28" s="21">
        <v>20</v>
      </c>
      <c r="D28" s="21"/>
      <c r="E28" s="1"/>
      <c r="F28" s="1"/>
      <c r="G28" s="1"/>
      <c r="H28" s="1"/>
      <c r="I28" s="1"/>
      <c r="J28" s="1"/>
      <c r="K28" s="1"/>
      <c r="L28" s="172"/>
      <c r="M28" s="204"/>
      <c r="N28" s="194" t="s">
        <v>327</v>
      </c>
      <c r="O28" s="194" t="s">
        <v>328</v>
      </c>
      <c r="P28" s="424" t="s">
        <v>328</v>
      </c>
      <c r="Q28" s="191"/>
      <c r="R28" s="18"/>
      <c r="S28" s="193"/>
      <c r="T28" s="18"/>
      <c r="V28" s="1"/>
      <c r="W28" s="1"/>
      <c r="X28" s="1"/>
      <c r="Y28" s="1"/>
    </row>
    <row r="29" spans="1:80" x14ac:dyDescent="0.25">
      <c r="A29" s="13" t="s">
        <v>45</v>
      </c>
      <c r="B29" s="401" t="s">
        <v>624</v>
      </c>
      <c r="C29" s="21">
        <v>20</v>
      </c>
      <c r="D29" s="21"/>
      <c r="E29" s="1"/>
      <c r="F29" s="1"/>
      <c r="G29" s="1"/>
      <c r="H29" s="1"/>
      <c r="I29" s="1"/>
      <c r="J29" s="1"/>
      <c r="K29" s="1"/>
      <c r="L29" s="172"/>
      <c r="N29" s="195">
        <v>0</v>
      </c>
      <c r="O29" s="40">
        <f>N29*0.44704*($F$12+$F$13*N29+$F$14*N29*N29)*4.44822162/1000</f>
        <v>0</v>
      </c>
      <c r="P29" s="419">
        <f>N29*0.44704*($G$12+$G$13*N29+$G$14*N29*N29)*4.44822162/1000</f>
        <v>0</v>
      </c>
      <c r="Q29" s="191"/>
      <c r="R29" s="18"/>
      <c r="S29" s="193"/>
      <c r="T29" s="18"/>
      <c r="W29" s="1"/>
      <c r="X29" s="1"/>
      <c r="Y29" s="1"/>
    </row>
    <row r="30" spans="1:80" x14ac:dyDescent="0.25">
      <c r="A30" s="13" t="s">
        <v>329</v>
      </c>
      <c r="B30" s="401" t="s">
        <v>625</v>
      </c>
      <c r="C30" s="21">
        <v>20</v>
      </c>
      <c r="D30" s="21"/>
      <c r="E30" s="401"/>
      <c r="F30" s="401"/>
      <c r="G30" s="1"/>
      <c r="H30" s="1"/>
      <c r="I30" s="1"/>
      <c r="J30" s="1"/>
      <c r="K30" s="1"/>
      <c r="L30" s="172"/>
      <c r="N30" s="195">
        <v>10</v>
      </c>
      <c r="O30" s="40">
        <f>N30*0.44704*($F$12+$F$13*N30+$F$14*N30*N30)*4.44822162/1000</f>
        <v>0.7062672631255148</v>
      </c>
      <c r="P30" s="419">
        <f t="shared" ref="P30:P37" si="0">N30*0.44704*($G$12+$G$13*N30+$G$14*N30*N30)*4.44822162/1000</f>
        <v>0.8056541421158947</v>
      </c>
      <c r="Q30" s="191"/>
      <c r="R30" s="18"/>
      <c r="S30" s="193"/>
      <c r="T30" s="18"/>
    </row>
    <row r="31" spans="1:80" x14ac:dyDescent="0.25">
      <c r="A31" s="13" t="s">
        <v>330</v>
      </c>
      <c r="B31" s="401" t="s">
        <v>626</v>
      </c>
      <c r="C31" s="99">
        <v>20</v>
      </c>
      <c r="D31" s="21"/>
      <c r="E31" s="401"/>
      <c r="F31" s="1"/>
      <c r="G31" s="1"/>
      <c r="H31" s="1"/>
      <c r="I31" s="1"/>
      <c r="J31" s="1"/>
      <c r="K31" s="1"/>
      <c r="L31" s="172"/>
      <c r="N31" s="195">
        <v>20</v>
      </c>
      <c r="O31" s="40">
        <f t="shared" ref="O31:O37" si="1">N31*0.44704*($F$12+$F$13*N31+$F$14*N31*N31)*4.44822162/1000</f>
        <v>1.77321464052224</v>
      </c>
      <c r="P31" s="419">
        <f t="shared" si="0"/>
        <v>1.8024063048595507</v>
      </c>
      <c r="Q31" s="191"/>
      <c r="R31" s="18"/>
      <c r="S31" s="18"/>
      <c r="T31" s="18"/>
    </row>
    <row r="32" spans="1:80" x14ac:dyDescent="0.25">
      <c r="A32" s="13"/>
      <c r="B32" s="38"/>
      <c r="C32" s="38"/>
      <c r="D32" s="21"/>
      <c r="E32" s="38"/>
      <c r="F32" s="1"/>
      <c r="G32" s="1"/>
      <c r="H32" s="1"/>
      <c r="I32" s="1"/>
      <c r="J32" s="1"/>
      <c r="K32" s="1"/>
      <c r="L32" s="172"/>
      <c r="N32" s="195">
        <v>30</v>
      </c>
      <c r="O32" s="40">
        <f t="shared" si="1"/>
        <v>3.4342163642492198</v>
      </c>
      <c r="P32" s="419">
        <f t="shared" si="0"/>
        <v>3.1692244576013997</v>
      </c>
      <c r="Q32" s="191"/>
      <c r="R32" s="18"/>
      <c r="S32" s="18"/>
      <c r="T32" s="18"/>
    </row>
    <row r="33" spans="1:20" x14ac:dyDescent="0.25">
      <c r="A33" s="13"/>
      <c r="B33" s="38"/>
      <c r="C33" s="38"/>
      <c r="D33" s="99"/>
      <c r="E33" s="214"/>
      <c r="F33" s="1"/>
      <c r="G33" s="1"/>
      <c r="H33" s="1"/>
      <c r="I33" s="1"/>
      <c r="J33" s="1"/>
      <c r="K33" s="1"/>
      <c r="L33" s="172"/>
      <c r="N33" s="195">
        <v>40</v>
      </c>
      <c r="O33" s="40">
        <f t="shared" si="1"/>
        <v>5.9226466663654964</v>
      </c>
      <c r="P33" s="419">
        <f t="shared" si="0"/>
        <v>5.0850765697118741</v>
      </c>
      <c r="Q33" s="191"/>
      <c r="R33" s="18"/>
      <c r="S33" s="18"/>
      <c r="T33" s="18"/>
    </row>
    <row r="34" spans="1:20" x14ac:dyDescent="0.25">
      <c r="A34" s="13"/>
      <c r="B34" s="38"/>
      <c r="C34" s="38"/>
      <c r="D34" s="99"/>
      <c r="E34" s="214"/>
      <c r="F34" s="1"/>
      <c r="G34" s="1"/>
      <c r="H34" s="1"/>
      <c r="I34" s="1"/>
      <c r="J34" s="1"/>
      <c r="K34" s="1"/>
      <c r="L34" s="172"/>
      <c r="N34" s="195">
        <v>55</v>
      </c>
      <c r="O34" s="40">
        <f t="shared" si="1"/>
        <v>11.717226836649003</v>
      </c>
      <c r="P34" s="419">
        <f t="shared" si="0"/>
        <v>9.3797858446915789</v>
      </c>
      <c r="Q34" s="191"/>
      <c r="R34" s="18"/>
      <c r="S34" s="18"/>
      <c r="T34" s="18"/>
    </row>
    <row r="35" spans="1:20" ht="15.75" thickBot="1" x14ac:dyDescent="0.3">
      <c r="A35" s="15"/>
      <c r="B35" s="16"/>
      <c r="C35" s="16"/>
      <c r="D35" s="16"/>
      <c r="E35" s="16"/>
      <c r="F35" s="16"/>
      <c r="G35" s="16"/>
      <c r="H35" s="16"/>
      <c r="I35" s="16"/>
      <c r="J35" s="16"/>
      <c r="K35" s="16"/>
      <c r="L35" s="172"/>
      <c r="N35" s="195">
        <v>65</v>
      </c>
      <c r="O35" s="40">
        <f t="shared" si="1"/>
        <v>17.295240849996837</v>
      </c>
      <c r="P35" s="419">
        <f t="shared" si="0"/>
        <v>13.451207721219257</v>
      </c>
      <c r="Q35" s="191"/>
      <c r="R35" s="18"/>
      <c r="S35" s="18"/>
      <c r="T35" s="18"/>
    </row>
    <row r="36" spans="1:20" ht="14.45" customHeight="1" x14ac:dyDescent="0.25">
      <c r="A36" s="17" t="s">
        <v>435</v>
      </c>
      <c r="B36" s="12"/>
      <c r="C36" s="12"/>
      <c r="D36" s="12"/>
      <c r="E36" s="12"/>
      <c r="F36" s="12"/>
      <c r="G36" s="12"/>
      <c r="H36" s="12"/>
      <c r="I36" s="12"/>
      <c r="J36" s="12"/>
      <c r="K36" s="12"/>
      <c r="L36" s="172"/>
      <c r="N36" s="195">
        <v>70</v>
      </c>
      <c r="O36" s="40">
        <f t="shared" si="1"/>
        <v>20.68625136364054</v>
      </c>
      <c r="P36" s="419">
        <f t="shared" si="0"/>
        <v>15.916516355959372</v>
      </c>
      <c r="Q36" s="191"/>
      <c r="R36" s="18"/>
      <c r="S36" s="18"/>
      <c r="T36" s="18"/>
    </row>
    <row r="37" spans="1:20" ht="18" customHeight="1" x14ac:dyDescent="0.25">
      <c r="A37" s="196"/>
      <c r="B37" s="1"/>
      <c r="C37" s="1"/>
      <c r="D37" s="1"/>
      <c r="E37" s="1"/>
      <c r="F37" s="1"/>
      <c r="G37" s="1"/>
      <c r="H37" s="1"/>
      <c r="I37" s="1"/>
      <c r="J37" s="1"/>
      <c r="K37" s="1"/>
      <c r="L37" s="172"/>
      <c r="N37" s="195">
        <v>80</v>
      </c>
      <c r="O37" s="40">
        <f t="shared" si="1"/>
        <v>28.818138299904437</v>
      </c>
      <c r="P37" s="419">
        <f t="shared" si="0"/>
        <v>21.818183999248667</v>
      </c>
      <c r="Q37" s="191"/>
    </row>
    <row r="38" spans="1:20" ht="14.45" customHeight="1" thickBot="1" x14ac:dyDescent="0.35">
      <c r="A38" s="13"/>
      <c r="B38" s="319" t="s">
        <v>331</v>
      </c>
      <c r="C38" s="1"/>
      <c r="D38" s="319" t="s">
        <v>440</v>
      </c>
      <c r="E38" s="1" t="s">
        <v>456</v>
      </c>
      <c r="F38" s="1" t="s">
        <v>463</v>
      </c>
      <c r="G38" s="319" t="s">
        <v>335</v>
      </c>
      <c r="H38" s="38" t="s">
        <v>457</v>
      </c>
      <c r="I38" s="1"/>
      <c r="J38" s="1"/>
      <c r="K38" s="1"/>
      <c r="L38" s="172"/>
    </row>
    <row r="39" spans="1:20" x14ac:dyDescent="0.25">
      <c r="A39" s="13"/>
      <c r="B39" s="312" t="s">
        <v>421</v>
      </c>
      <c r="C39" s="1">
        <v>1</v>
      </c>
      <c r="D39" s="323"/>
      <c r="E39" s="12"/>
      <c r="F39" s="336"/>
      <c r="G39" s="315"/>
      <c r="H39" s="1"/>
      <c r="I39" s="1"/>
      <c r="J39" s="1"/>
      <c r="K39" s="1"/>
      <c r="L39" s="172"/>
    </row>
    <row r="40" spans="1:20" x14ac:dyDescent="0.25">
      <c r="A40" s="13"/>
      <c r="B40" s="313" t="s">
        <v>422</v>
      </c>
      <c r="C40" s="203">
        <v>2</v>
      </c>
      <c r="D40" s="324"/>
      <c r="E40" s="1"/>
      <c r="F40" s="93"/>
      <c r="G40" s="316"/>
      <c r="H40" s="1"/>
      <c r="I40" s="1"/>
      <c r="J40" s="1"/>
      <c r="K40" s="1"/>
      <c r="L40" s="172"/>
    </row>
    <row r="41" spans="1:20" x14ac:dyDescent="0.25">
      <c r="A41" s="13"/>
      <c r="B41" s="313" t="s">
        <v>423</v>
      </c>
      <c r="C41" s="1">
        <v>3</v>
      </c>
      <c r="D41" s="324"/>
      <c r="E41" s="38"/>
      <c r="F41" s="93"/>
      <c r="G41" s="316"/>
      <c r="H41" s="1"/>
      <c r="I41" s="1"/>
      <c r="J41" s="1"/>
      <c r="K41" s="1"/>
      <c r="L41" s="172"/>
    </row>
    <row r="42" spans="1:20" x14ac:dyDescent="0.25">
      <c r="A42" s="13"/>
      <c r="B42" s="313" t="s">
        <v>424</v>
      </c>
      <c r="C42" s="214">
        <v>4</v>
      </c>
      <c r="D42" s="324"/>
      <c r="E42" s="38"/>
      <c r="F42" s="337"/>
      <c r="G42" s="316"/>
      <c r="H42" s="1"/>
      <c r="I42" s="1"/>
      <c r="J42" s="1"/>
      <c r="K42" s="1"/>
      <c r="L42" s="172"/>
    </row>
    <row r="43" spans="1:20" x14ac:dyDescent="0.25">
      <c r="A43" s="13"/>
      <c r="B43" s="313" t="s">
        <v>425</v>
      </c>
      <c r="C43" s="1">
        <v>5</v>
      </c>
      <c r="D43" s="324"/>
      <c r="E43" s="38"/>
      <c r="F43" s="337"/>
      <c r="G43" s="316"/>
      <c r="H43" s="1"/>
      <c r="I43" s="1"/>
      <c r="J43" s="1"/>
      <c r="K43" s="1"/>
      <c r="L43" s="172"/>
      <c r="N43" s="203" t="s">
        <v>332</v>
      </c>
      <c r="O43" s="18"/>
    </row>
    <row r="44" spans="1:20" x14ac:dyDescent="0.25">
      <c r="A44" s="13"/>
      <c r="B44" s="313" t="s">
        <v>426</v>
      </c>
      <c r="C44" s="214">
        <v>6</v>
      </c>
      <c r="D44" s="324"/>
      <c r="E44" s="1"/>
      <c r="F44" s="337"/>
      <c r="G44" s="316"/>
      <c r="H44" s="1"/>
      <c r="I44" s="1"/>
      <c r="J44" s="1"/>
      <c r="K44" s="1"/>
      <c r="L44" s="172"/>
      <c r="N44" s="203" t="s">
        <v>379</v>
      </c>
    </row>
    <row r="45" spans="1:20" ht="15.75" customHeight="1" x14ac:dyDescent="0.25">
      <c r="A45" s="13"/>
      <c r="B45" s="313" t="s">
        <v>427</v>
      </c>
      <c r="C45" s="1">
        <v>7</v>
      </c>
      <c r="D45" s="324"/>
      <c r="E45" s="1"/>
      <c r="F45" s="337"/>
      <c r="G45" s="316"/>
      <c r="H45" s="1"/>
      <c r="I45" s="1"/>
      <c r="J45" s="1"/>
      <c r="K45" s="1"/>
      <c r="L45" s="172"/>
      <c r="N45" s="192">
        <f>B1</f>
        <v>0</v>
      </c>
      <c r="O45" s="192"/>
    </row>
    <row r="46" spans="1:20" ht="18.600000000000001" customHeight="1" thickBot="1" x14ac:dyDescent="0.3">
      <c r="A46" s="13"/>
      <c r="B46" s="313" t="s">
        <v>428</v>
      </c>
      <c r="C46" s="214">
        <v>8</v>
      </c>
      <c r="D46" s="338"/>
      <c r="E46" s="16"/>
      <c r="F46" s="218"/>
      <c r="G46" s="316"/>
      <c r="H46" s="1"/>
      <c r="I46" s="1"/>
      <c r="J46" s="1"/>
      <c r="K46" s="1"/>
      <c r="L46" s="172"/>
      <c r="N46" s="197" t="s">
        <v>333</v>
      </c>
      <c r="O46" s="197" t="s">
        <v>334</v>
      </c>
      <c r="P46" s="204" t="s">
        <v>384</v>
      </c>
    </row>
    <row r="47" spans="1:20" x14ac:dyDescent="0.25">
      <c r="A47" s="13"/>
      <c r="B47" s="313" t="s">
        <v>429</v>
      </c>
      <c r="C47" s="1">
        <v>9</v>
      </c>
      <c r="D47" s="323"/>
      <c r="E47" s="12"/>
      <c r="F47" s="336"/>
      <c r="G47" s="318"/>
      <c r="H47" s="1"/>
      <c r="I47" s="1"/>
      <c r="J47" s="1"/>
      <c r="K47" s="1"/>
      <c r="L47" s="172"/>
      <c r="N47" s="195">
        <v>10</v>
      </c>
      <c r="O47" s="195">
        <v>138.9</v>
      </c>
      <c r="P47" s="21">
        <v>1360</v>
      </c>
    </row>
    <row r="48" spans="1:20" x14ac:dyDescent="0.25">
      <c r="A48" s="13"/>
      <c r="B48" s="313" t="s">
        <v>430</v>
      </c>
      <c r="C48" s="214">
        <v>10</v>
      </c>
      <c r="D48" s="324"/>
      <c r="E48" s="1"/>
      <c r="F48" s="337"/>
      <c r="G48" s="316"/>
      <c r="H48" s="1"/>
      <c r="I48" s="1"/>
      <c r="J48" s="1"/>
      <c r="K48" s="1"/>
      <c r="L48" s="172"/>
      <c r="N48" s="195">
        <v>20</v>
      </c>
      <c r="O48" s="195">
        <v>278</v>
      </c>
      <c r="P48" s="253">
        <v>2720</v>
      </c>
      <c r="Q48" s="214"/>
    </row>
    <row r="49" spans="1:17" x14ac:dyDescent="0.25">
      <c r="A49" s="13"/>
      <c r="B49" s="313" t="s">
        <v>431</v>
      </c>
      <c r="C49" s="1">
        <v>11</v>
      </c>
      <c r="D49" s="324"/>
      <c r="E49" s="1"/>
      <c r="F49" s="337"/>
      <c r="G49" s="316"/>
      <c r="H49" s="1"/>
      <c r="I49" s="1"/>
      <c r="J49" s="1"/>
      <c r="K49" s="1"/>
      <c r="L49" s="172"/>
      <c r="N49" s="195">
        <v>30</v>
      </c>
      <c r="O49" s="195">
        <v>416.9</v>
      </c>
      <c r="P49" s="21">
        <v>4080</v>
      </c>
      <c r="Q49" s="214"/>
    </row>
    <row r="50" spans="1:17" x14ac:dyDescent="0.25">
      <c r="A50" s="13"/>
      <c r="B50" s="313" t="s">
        <v>432</v>
      </c>
      <c r="C50" s="214">
        <v>12</v>
      </c>
      <c r="D50" s="324"/>
      <c r="E50" s="1"/>
      <c r="F50" s="337"/>
      <c r="G50" s="316"/>
      <c r="H50" s="1"/>
      <c r="I50" s="1"/>
      <c r="J50" s="1"/>
      <c r="K50" s="1"/>
      <c r="L50" s="172"/>
      <c r="N50" s="195">
        <v>40</v>
      </c>
      <c r="O50" s="195">
        <v>555.5</v>
      </c>
      <c r="P50" s="253">
        <v>5440</v>
      </c>
      <c r="Q50" s="214"/>
    </row>
    <row r="51" spans="1:17" x14ac:dyDescent="0.25">
      <c r="A51" s="13"/>
      <c r="B51" s="313" t="s">
        <v>433</v>
      </c>
      <c r="C51" s="1">
        <v>13</v>
      </c>
      <c r="D51" s="324"/>
      <c r="E51" s="1"/>
      <c r="F51" s="337"/>
      <c r="G51" s="316"/>
      <c r="H51" s="1"/>
      <c r="I51" s="1"/>
      <c r="J51" s="1"/>
      <c r="K51" s="1"/>
      <c r="L51" s="172"/>
      <c r="N51" s="195">
        <v>50</v>
      </c>
      <c r="O51" s="195">
        <v>697.3</v>
      </c>
      <c r="P51" s="21">
        <v>6800</v>
      </c>
      <c r="Q51" s="214"/>
    </row>
    <row r="52" spans="1:17" x14ac:dyDescent="0.25">
      <c r="A52" s="13"/>
      <c r="B52" s="313" t="s">
        <v>459</v>
      </c>
      <c r="C52" s="214">
        <v>14</v>
      </c>
      <c r="D52" s="324"/>
      <c r="E52" s="1"/>
      <c r="F52" s="337"/>
      <c r="G52" s="316"/>
      <c r="H52" s="1"/>
      <c r="I52" s="1"/>
      <c r="J52" s="1"/>
      <c r="K52" s="1"/>
      <c r="L52" s="172"/>
      <c r="N52" s="195">
        <v>60</v>
      </c>
      <c r="O52" s="195">
        <v>832.7</v>
      </c>
      <c r="P52" s="253">
        <v>8160</v>
      </c>
      <c r="Q52" s="214"/>
    </row>
    <row r="53" spans="1:17" x14ac:dyDescent="0.25">
      <c r="A53" s="13"/>
      <c r="B53" s="313" t="s">
        <v>460</v>
      </c>
      <c r="C53" s="1">
        <v>15</v>
      </c>
      <c r="D53" s="324"/>
      <c r="E53" s="1"/>
      <c r="F53" s="337"/>
      <c r="G53" s="316"/>
      <c r="H53" s="1"/>
      <c r="I53" s="1"/>
      <c r="J53" s="1"/>
      <c r="K53" s="1"/>
      <c r="L53" s="172"/>
      <c r="N53" s="195">
        <v>70</v>
      </c>
      <c r="O53" s="195">
        <v>970.6</v>
      </c>
      <c r="P53" s="21">
        <v>9520</v>
      </c>
      <c r="Q53" s="214"/>
    </row>
    <row r="54" spans="1:17" ht="15.75" thickBot="1" x14ac:dyDescent="0.3">
      <c r="A54" s="13"/>
      <c r="B54" s="313" t="s">
        <v>461</v>
      </c>
      <c r="C54" s="38">
        <v>16</v>
      </c>
      <c r="D54" s="339"/>
      <c r="E54" s="16"/>
      <c r="F54" s="218"/>
      <c r="G54" s="316"/>
      <c r="H54" s="1"/>
      <c r="I54" s="1"/>
      <c r="J54" s="1"/>
      <c r="K54" s="1"/>
      <c r="L54" s="172"/>
      <c r="N54" s="195">
        <v>80</v>
      </c>
      <c r="O54" s="195">
        <v>1108</v>
      </c>
      <c r="P54" s="253">
        <v>10880</v>
      </c>
      <c r="Q54" s="214"/>
    </row>
    <row r="55" spans="1:17" x14ac:dyDescent="0.25">
      <c r="A55" s="13"/>
      <c r="B55" s="313"/>
      <c r="C55" s="1"/>
      <c r="D55" s="322"/>
      <c r="E55" s="1"/>
      <c r="F55" s="1"/>
      <c r="G55" s="316"/>
      <c r="H55" s="1"/>
      <c r="I55" s="1"/>
      <c r="J55" s="1"/>
      <c r="K55" s="1"/>
      <c r="L55" s="172"/>
    </row>
    <row r="56" spans="1:17" ht="15.75" thickBot="1" x14ac:dyDescent="0.3">
      <c r="A56" s="13"/>
      <c r="B56" s="314" t="s">
        <v>458</v>
      </c>
      <c r="C56" s="1"/>
      <c r="D56" s="322"/>
      <c r="E56" s="1"/>
      <c r="F56" s="1"/>
      <c r="G56" s="316"/>
      <c r="H56" s="1"/>
      <c r="I56" s="1"/>
      <c r="J56" s="1"/>
      <c r="K56" s="1"/>
      <c r="L56" s="172"/>
    </row>
    <row r="57" spans="1:17" x14ac:dyDescent="0.25">
      <c r="A57" s="13"/>
      <c r="B57" s="102"/>
      <c r="C57" s="1"/>
      <c r="D57" s="322"/>
      <c r="E57" s="1"/>
      <c r="F57" s="1"/>
      <c r="G57" s="316"/>
      <c r="H57" s="1"/>
      <c r="I57" s="1"/>
      <c r="J57" s="1"/>
      <c r="K57" s="1"/>
      <c r="L57" s="172"/>
    </row>
    <row r="58" spans="1:17" x14ac:dyDescent="0.25">
      <c r="A58" s="13"/>
      <c r="C58" s="1"/>
      <c r="D58" s="322"/>
      <c r="E58" s="1"/>
      <c r="F58" s="1"/>
      <c r="G58" s="316"/>
      <c r="H58" s="1"/>
      <c r="I58" s="1"/>
      <c r="J58" s="1"/>
      <c r="K58" s="1"/>
      <c r="L58" s="172"/>
    </row>
    <row r="59" spans="1:17" x14ac:dyDescent="0.25">
      <c r="A59" s="13"/>
      <c r="C59" s="1"/>
      <c r="D59" s="322"/>
      <c r="E59" s="1"/>
      <c r="F59" s="1"/>
      <c r="G59" s="316"/>
      <c r="H59" s="1"/>
      <c r="I59" s="1"/>
      <c r="J59" s="1"/>
      <c r="K59" s="1"/>
      <c r="L59" s="172"/>
    </row>
    <row r="60" spans="1:17" x14ac:dyDescent="0.25">
      <c r="A60" s="13"/>
      <c r="C60" s="1"/>
      <c r="D60" s="322"/>
      <c r="E60" s="1"/>
      <c r="F60" s="1"/>
      <c r="G60" s="316"/>
      <c r="H60" s="1"/>
      <c r="I60" s="1"/>
      <c r="J60" s="1"/>
      <c r="K60" s="1"/>
      <c r="L60" s="172"/>
    </row>
    <row r="61" spans="1:17" x14ac:dyDescent="0.25">
      <c r="A61" s="13"/>
      <c r="C61" s="1"/>
      <c r="D61" s="322"/>
      <c r="E61" s="1"/>
      <c r="F61" s="1"/>
      <c r="G61" s="316"/>
      <c r="H61" s="1"/>
      <c r="I61" s="1"/>
      <c r="J61" s="1"/>
      <c r="K61" s="1"/>
      <c r="L61" s="172"/>
    </row>
    <row r="62" spans="1:17" ht="15.75" thickBot="1" x14ac:dyDescent="0.3">
      <c r="A62" s="13"/>
      <c r="C62" s="1"/>
      <c r="D62" s="322"/>
      <c r="E62" s="1"/>
      <c r="F62" s="1"/>
      <c r="G62" s="317"/>
      <c r="H62" s="1"/>
      <c r="I62" s="1"/>
      <c r="J62" s="1"/>
      <c r="K62" s="1"/>
      <c r="L62" s="172"/>
    </row>
    <row r="63" spans="1:17" x14ac:dyDescent="0.25">
      <c r="A63" s="13"/>
      <c r="D63" s="1"/>
      <c r="E63" s="1"/>
      <c r="F63" s="1"/>
      <c r="G63" s="1"/>
      <c r="H63" s="1"/>
      <c r="I63" s="1"/>
      <c r="J63" s="1"/>
      <c r="K63" s="1"/>
      <c r="L63" s="172"/>
    </row>
    <row r="64" spans="1:17" x14ac:dyDescent="0.25">
      <c r="A64" s="13"/>
      <c r="D64" s="1"/>
      <c r="E64" s="1"/>
      <c r="F64" s="1"/>
      <c r="G64" s="1"/>
      <c r="H64" s="1"/>
      <c r="I64" s="1"/>
      <c r="J64" s="1"/>
      <c r="K64" s="1"/>
      <c r="L64" s="172"/>
    </row>
    <row r="65" spans="1:12" ht="15.75" customHeight="1" x14ac:dyDescent="0.25">
      <c r="L65" s="172"/>
    </row>
    <row r="66" spans="1:12" x14ac:dyDescent="0.25">
      <c r="A66" s="198"/>
      <c r="B66" s="198"/>
      <c r="C66" s="198"/>
      <c r="D66" s="172"/>
      <c r="E66" s="198"/>
      <c r="F66" s="198"/>
      <c r="G66" s="198"/>
      <c r="H66" s="198"/>
      <c r="I66" s="198"/>
      <c r="J66" s="198"/>
      <c r="K66" s="198"/>
      <c r="L66" s="172"/>
    </row>
    <row r="80" spans="1:12" x14ac:dyDescent="0.25">
      <c r="A80" s="203">
        <v>1</v>
      </c>
      <c r="B80" s="324" t="s">
        <v>442</v>
      </c>
      <c r="D80" s="324" t="s">
        <v>450</v>
      </c>
    </row>
    <row r="81" spans="1:4" x14ac:dyDescent="0.25">
      <c r="A81" s="203">
        <v>2</v>
      </c>
      <c r="B81" s="324" t="s">
        <v>443</v>
      </c>
      <c r="D81" s="324" t="s">
        <v>453</v>
      </c>
    </row>
    <row r="82" spans="1:4" x14ac:dyDescent="0.25">
      <c r="A82" s="203">
        <v>3</v>
      </c>
      <c r="B82" s="324" t="s">
        <v>448</v>
      </c>
      <c r="D82" s="324" t="s">
        <v>454</v>
      </c>
    </row>
    <row r="83" spans="1:4" ht="15.75" thickBot="1" x14ac:dyDescent="0.3">
      <c r="A83" s="38">
        <v>4</v>
      </c>
      <c r="B83" s="324" t="s">
        <v>449</v>
      </c>
      <c r="D83" s="324" t="s">
        <v>451</v>
      </c>
    </row>
    <row r="84" spans="1:4" x14ac:dyDescent="0.25">
      <c r="B84" s="324" t="s">
        <v>444</v>
      </c>
      <c r="D84" s="323" t="s">
        <v>441</v>
      </c>
    </row>
    <row r="85" spans="1:4" x14ac:dyDescent="0.25">
      <c r="B85" s="324" t="s">
        <v>445</v>
      </c>
      <c r="D85" s="324" t="s">
        <v>464</v>
      </c>
    </row>
    <row r="86" spans="1:4" x14ac:dyDescent="0.25">
      <c r="B86" s="324" t="s">
        <v>446</v>
      </c>
      <c r="D86" s="324" t="s">
        <v>455</v>
      </c>
    </row>
    <row r="87" spans="1:4" x14ac:dyDescent="0.25">
      <c r="B87" s="325" t="s">
        <v>447</v>
      </c>
      <c r="D87" s="324" t="s">
        <v>452</v>
      </c>
    </row>
  </sheetData>
  <mergeCells count="2">
    <mergeCell ref="D1:E1"/>
    <mergeCell ref="E9:I9"/>
  </mergeCells>
  <hyperlinks>
    <hyperlink ref="P1" r:id="rId1"/>
  </hyperlinks>
  <pageMargins left="0.7" right="0.7" top="0.75" bottom="0.75" header="0.3" footer="0.3"/>
  <pageSetup scale="10" fitToHeight="0" orientation="portrait" verticalDpi="300"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P17"/>
  <sheetViews>
    <sheetView topLeftCell="AR1" workbookViewId="0">
      <selection activeCell="BF25" sqref="BF25"/>
    </sheetView>
  </sheetViews>
  <sheetFormatPr defaultRowHeight="15" x14ac:dyDescent="0.25"/>
  <cols>
    <col min="58" max="58" width="14.5703125" bestFit="1" customWidth="1"/>
    <col min="59" max="59" width="19.42578125" bestFit="1" customWidth="1"/>
    <col min="60" max="60" width="22.5703125" bestFit="1" customWidth="1"/>
  </cols>
  <sheetData>
    <row r="1" spans="1:68" x14ac:dyDescent="0.25">
      <c r="A1" s="405" t="s">
        <v>234</v>
      </c>
      <c r="B1" s="405" t="s">
        <v>114</v>
      </c>
      <c r="C1" s="405" t="s">
        <v>115</v>
      </c>
      <c r="D1" s="405" t="s">
        <v>99</v>
      </c>
      <c r="E1" s="405" t="s">
        <v>100</v>
      </c>
      <c r="F1" s="405" t="s">
        <v>101</v>
      </c>
      <c r="G1" s="405" t="s">
        <v>116</v>
      </c>
      <c r="H1" s="405" t="s">
        <v>117</v>
      </c>
      <c r="I1" s="405" t="s">
        <v>118</v>
      </c>
      <c r="J1" s="405" t="s">
        <v>102</v>
      </c>
      <c r="K1" s="405" t="s">
        <v>119</v>
      </c>
      <c r="L1" s="405" t="s">
        <v>120</v>
      </c>
      <c r="M1" s="405" t="s">
        <v>121</v>
      </c>
      <c r="N1" s="405" t="s">
        <v>122</v>
      </c>
      <c r="O1" s="405" t="s">
        <v>123</v>
      </c>
      <c r="P1" s="405" t="s">
        <v>103</v>
      </c>
      <c r="Q1" s="405" t="s">
        <v>124</v>
      </c>
      <c r="R1" s="405" t="s">
        <v>125</v>
      </c>
      <c r="S1" s="405" t="s">
        <v>126</v>
      </c>
      <c r="T1" s="405" t="s">
        <v>127</v>
      </c>
      <c r="U1" s="405" t="s">
        <v>128</v>
      </c>
      <c r="V1" s="405" t="s">
        <v>129</v>
      </c>
      <c r="W1" s="405" t="s">
        <v>130</v>
      </c>
      <c r="X1" s="405" t="s">
        <v>131</v>
      </c>
      <c r="Y1" s="405" t="s">
        <v>132</v>
      </c>
      <c r="Z1" s="405" t="s">
        <v>133</v>
      </c>
      <c r="AA1" s="405" t="s">
        <v>134</v>
      </c>
      <c r="AB1" s="405" t="s">
        <v>135</v>
      </c>
      <c r="AC1" s="405" t="s">
        <v>136</v>
      </c>
      <c r="AD1" s="405" t="s">
        <v>373</v>
      </c>
      <c r="AE1" s="405" t="s">
        <v>374</v>
      </c>
      <c r="AF1" s="405" t="s">
        <v>375</v>
      </c>
      <c r="AG1" s="405" t="s">
        <v>376</v>
      </c>
      <c r="AH1" s="405" t="s">
        <v>137</v>
      </c>
      <c r="AI1" s="405" t="s">
        <v>138</v>
      </c>
      <c r="AJ1" s="405" t="s">
        <v>139</v>
      </c>
      <c r="AK1" s="405" t="s">
        <v>140</v>
      </c>
      <c r="AL1" s="405" t="s">
        <v>141</v>
      </c>
      <c r="AM1" s="405" t="s">
        <v>142</v>
      </c>
      <c r="AN1" s="405" t="s">
        <v>143</v>
      </c>
      <c r="AO1" s="405" t="s">
        <v>144</v>
      </c>
      <c r="AP1" s="405" t="s">
        <v>145</v>
      </c>
      <c r="AQ1" s="405" t="s">
        <v>146</v>
      </c>
      <c r="AR1" s="405" t="s">
        <v>147</v>
      </c>
      <c r="AS1" s="405" t="s">
        <v>148</v>
      </c>
      <c r="AT1" s="405" t="s">
        <v>149</v>
      </c>
      <c r="AU1" s="405" t="s">
        <v>150</v>
      </c>
      <c r="AV1" s="405" t="s">
        <v>151</v>
      </c>
      <c r="AW1" s="405" t="s">
        <v>152</v>
      </c>
      <c r="AX1" s="405" t="s">
        <v>153</v>
      </c>
      <c r="AY1" s="405" t="s">
        <v>154</v>
      </c>
      <c r="AZ1" s="405" t="s">
        <v>407</v>
      </c>
      <c r="BA1" s="405" t="s">
        <v>408</v>
      </c>
      <c r="BB1" s="405" t="s">
        <v>409</v>
      </c>
      <c r="BC1" s="405" t="s">
        <v>155</v>
      </c>
      <c r="BD1" s="405" t="s">
        <v>156</v>
      </c>
      <c r="BE1" s="405" t="s">
        <v>157</v>
      </c>
      <c r="BF1" s="405" t="s">
        <v>158</v>
      </c>
      <c r="BG1" s="405" t="s">
        <v>159</v>
      </c>
      <c r="BH1" s="405" t="s">
        <v>160</v>
      </c>
      <c r="BI1" s="405" t="s">
        <v>161</v>
      </c>
      <c r="BJ1" s="405" t="s">
        <v>162</v>
      </c>
      <c r="BK1" s="405" t="s">
        <v>163</v>
      </c>
      <c r="BL1" s="405" t="s">
        <v>164</v>
      </c>
      <c r="BM1" s="405" t="s">
        <v>165</v>
      </c>
      <c r="BN1" s="405" t="s">
        <v>166</v>
      </c>
      <c r="BO1" s="405" t="s">
        <v>167</v>
      </c>
      <c r="BP1" s="195"/>
    </row>
    <row r="2" spans="1:68" x14ac:dyDescent="0.25">
      <c r="A2" s="105">
        <v>2019</v>
      </c>
      <c r="B2" s="299" t="s">
        <v>558</v>
      </c>
      <c r="C2" s="299" t="s">
        <v>559</v>
      </c>
      <c r="D2" s="299" t="s">
        <v>560</v>
      </c>
      <c r="E2" s="299" t="s">
        <v>561</v>
      </c>
      <c r="F2" s="299" t="s">
        <v>562</v>
      </c>
      <c r="G2" s="105">
        <v>0</v>
      </c>
      <c r="H2" s="300">
        <v>99.998999999999995</v>
      </c>
      <c r="I2" s="299" t="s">
        <v>563</v>
      </c>
      <c r="J2" s="299" t="s">
        <v>564</v>
      </c>
      <c r="K2" s="105">
        <v>147</v>
      </c>
      <c r="L2" s="105"/>
      <c r="M2" s="299" t="s">
        <v>565</v>
      </c>
      <c r="N2" s="299" t="s">
        <v>566</v>
      </c>
      <c r="O2" s="299" t="s">
        <v>567</v>
      </c>
      <c r="P2" s="105">
        <v>1</v>
      </c>
      <c r="Q2" s="299" t="s">
        <v>568</v>
      </c>
      <c r="R2" s="299" t="s">
        <v>569</v>
      </c>
      <c r="S2" s="299" t="s">
        <v>570</v>
      </c>
      <c r="T2" s="299" t="s">
        <v>571</v>
      </c>
      <c r="U2" s="299" t="s">
        <v>572</v>
      </c>
      <c r="V2" s="105">
        <v>3875</v>
      </c>
      <c r="W2" s="301">
        <v>8.19</v>
      </c>
      <c r="X2" s="302">
        <v>112.5</v>
      </c>
      <c r="Y2" s="299" t="s">
        <v>571</v>
      </c>
      <c r="Z2" s="299" t="s">
        <v>573</v>
      </c>
      <c r="AA2" s="299" t="s">
        <v>574</v>
      </c>
      <c r="AB2" s="299" t="s">
        <v>575</v>
      </c>
      <c r="AC2" s="299" t="s">
        <v>24</v>
      </c>
      <c r="AD2" s="299" t="s">
        <v>576</v>
      </c>
      <c r="AE2" s="302"/>
      <c r="AF2" s="105"/>
      <c r="AG2" s="302"/>
      <c r="AH2" s="299" t="s">
        <v>577</v>
      </c>
      <c r="AI2" s="299" t="s">
        <v>578</v>
      </c>
      <c r="AJ2" s="299" t="s">
        <v>579</v>
      </c>
      <c r="AK2" s="299" t="s">
        <v>580</v>
      </c>
      <c r="AL2" s="299" t="s">
        <v>581</v>
      </c>
      <c r="AM2" s="303"/>
      <c r="AN2" s="303"/>
      <c r="AO2" s="303"/>
      <c r="AP2" s="303"/>
      <c r="AQ2" s="303"/>
      <c r="AR2" s="303"/>
      <c r="AS2" s="303"/>
      <c r="AT2" s="303">
        <v>141.1</v>
      </c>
      <c r="AU2" s="299" t="s">
        <v>582</v>
      </c>
      <c r="AV2" s="303"/>
      <c r="AW2" s="303"/>
      <c r="AX2" s="303"/>
      <c r="AY2" s="303"/>
      <c r="AZ2" s="303"/>
      <c r="BA2" s="303"/>
      <c r="BB2" s="303"/>
      <c r="BC2" s="300">
        <v>25.89</v>
      </c>
      <c r="BD2" s="304">
        <v>0.34489999999999998</v>
      </c>
      <c r="BE2" s="305">
        <v>1.9449999999999999E-2</v>
      </c>
      <c r="BF2" s="300">
        <v>5.62</v>
      </c>
      <c r="BG2" s="304">
        <v>0.31040000000000001</v>
      </c>
      <c r="BH2" s="305">
        <v>1.7770000000000001E-2</v>
      </c>
      <c r="BI2" s="299" t="s">
        <v>576</v>
      </c>
      <c r="BJ2" s="299" t="s">
        <v>576</v>
      </c>
      <c r="BK2" s="299" t="s">
        <v>583</v>
      </c>
      <c r="BL2" s="299" t="s">
        <v>569</v>
      </c>
      <c r="BM2" s="302">
        <v>0.5</v>
      </c>
      <c r="BN2" s="299" t="s">
        <v>584</v>
      </c>
      <c r="BO2" s="299" t="s">
        <v>585</v>
      </c>
    </row>
    <row r="3" spans="1:68" x14ac:dyDescent="0.25">
      <c r="A3" s="105">
        <v>2019</v>
      </c>
      <c r="B3" s="299" t="s">
        <v>558</v>
      </c>
      <c r="C3" s="299" t="s">
        <v>559</v>
      </c>
      <c r="D3" s="299" t="s">
        <v>560</v>
      </c>
      <c r="E3" s="299" t="s">
        <v>561</v>
      </c>
      <c r="F3" s="299" t="s">
        <v>562</v>
      </c>
      <c r="G3" s="105">
        <v>0</v>
      </c>
      <c r="H3" s="300">
        <v>99.998999999999995</v>
      </c>
      <c r="I3" s="299" t="s">
        <v>563</v>
      </c>
      <c r="J3" s="299" t="s">
        <v>564</v>
      </c>
      <c r="K3" s="105">
        <v>147</v>
      </c>
      <c r="L3" s="105"/>
      <c r="M3" s="299" t="s">
        <v>565</v>
      </c>
      <c r="N3" s="299" t="s">
        <v>566</v>
      </c>
      <c r="O3" s="299" t="s">
        <v>567</v>
      </c>
      <c r="P3" s="105">
        <v>1</v>
      </c>
      <c r="Q3" s="299" t="s">
        <v>568</v>
      </c>
      <c r="R3" s="299" t="s">
        <v>569</v>
      </c>
      <c r="S3" s="299" t="s">
        <v>570</v>
      </c>
      <c r="T3" s="299" t="s">
        <v>571</v>
      </c>
      <c r="U3" s="299" t="s">
        <v>572</v>
      </c>
      <c r="V3" s="105">
        <v>3875</v>
      </c>
      <c r="W3" s="301">
        <v>8.19</v>
      </c>
      <c r="X3" s="302">
        <v>112.5</v>
      </c>
      <c r="Y3" s="299" t="s">
        <v>571</v>
      </c>
      <c r="Z3" s="299" t="s">
        <v>573</v>
      </c>
      <c r="AA3" s="299" t="s">
        <v>586</v>
      </c>
      <c r="AB3" s="299" t="s">
        <v>575</v>
      </c>
      <c r="AC3" s="299" t="s">
        <v>24</v>
      </c>
      <c r="AD3" s="299" t="s">
        <v>576</v>
      </c>
      <c r="AE3" s="302"/>
      <c r="AF3" s="105"/>
      <c r="AG3" s="302"/>
      <c r="AH3" s="299" t="s">
        <v>587</v>
      </c>
      <c r="AI3" s="299" t="s">
        <v>588</v>
      </c>
      <c r="AJ3" s="299" t="s">
        <v>579</v>
      </c>
      <c r="AK3" s="299" t="s">
        <v>580</v>
      </c>
      <c r="AL3" s="299" t="s">
        <v>581</v>
      </c>
      <c r="AM3" s="303"/>
      <c r="AN3" s="303"/>
      <c r="AO3" s="303"/>
      <c r="AP3" s="303"/>
      <c r="AQ3" s="303"/>
      <c r="AR3" s="303"/>
      <c r="AS3" s="303"/>
      <c r="AT3" s="303">
        <v>174</v>
      </c>
      <c r="AU3" s="299" t="s">
        <v>582</v>
      </c>
      <c r="AV3" s="303"/>
      <c r="AW3" s="303"/>
      <c r="AX3" s="303"/>
      <c r="AY3" s="303"/>
      <c r="AZ3" s="303"/>
      <c r="BA3" s="303"/>
      <c r="BB3" s="303"/>
      <c r="BC3" s="300">
        <v>25.89</v>
      </c>
      <c r="BD3" s="304">
        <v>0.34489999999999998</v>
      </c>
      <c r="BE3" s="305">
        <v>1.9449999999999999E-2</v>
      </c>
      <c r="BF3" s="300">
        <v>5.62</v>
      </c>
      <c r="BG3" s="304">
        <v>0.31040000000000001</v>
      </c>
      <c r="BH3" s="305">
        <v>1.7770000000000001E-2</v>
      </c>
      <c r="BI3" s="299" t="s">
        <v>576</v>
      </c>
      <c r="BJ3" s="299" t="s">
        <v>576</v>
      </c>
      <c r="BK3" s="299" t="s">
        <v>583</v>
      </c>
      <c r="BL3" s="299" t="s">
        <v>589</v>
      </c>
      <c r="BM3" s="302">
        <v>0.5</v>
      </c>
      <c r="BN3" s="299" t="s">
        <v>584</v>
      </c>
      <c r="BO3" s="299" t="s">
        <v>585</v>
      </c>
    </row>
    <row r="4" spans="1:68" x14ac:dyDescent="0.25">
      <c r="A4" s="105">
        <v>2019</v>
      </c>
      <c r="B4" s="299" t="s">
        <v>558</v>
      </c>
      <c r="C4" s="299" t="s">
        <v>559</v>
      </c>
      <c r="D4" s="299" t="s">
        <v>560</v>
      </c>
      <c r="E4" s="299" t="s">
        <v>561</v>
      </c>
      <c r="F4" s="299" t="s">
        <v>562</v>
      </c>
      <c r="G4" s="105">
        <v>1</v>
      </c>
      <c r="H4" s="300">
        <v>99.998999999999995</v>
      </c>
      <c r="I4" s="299" t="s">
        <v>563</v>
      </c>
      <c r="J4" s="299" t="s">
        <v>564</v>
      </c>
      <c r="K4" s="105">
        <v>147</v>
      </c>
      <c r="L4" s="105"/>
      <c r="M4" s="299" t="s">
        <v>565</v>
      </c>
      <c r="N4" s="299" t="s">
        <v>566</v>
      </c>
      <c r="O4" s="299" t="s">
        <v>567</v>
      </c>
      <c r="P4" s="105">
        <v>1</v>
      </c>
      <c r="Q4" s="299" t="s">
        <v>568</v>
      </c>
      <c r="R4" s="299" t="s">
        <v>569</v>
      </c>
      <c r="S4" s="299" t="s">
        <v>570</v>
      </c>
      <c r="T4" s="299" t="s">
        <v>571</v>
      </c>
      <c r="U4" s="299" t="s">
        <v>572</v>
      </c>
      <c r="V4" s="105">
        <v>3875</v>
      </c>
      <c r="W4" s="301">
        <v>8.19</v>
      </c>
      <c r="X4" s="302">
        <v>112.5</v>
      </c>
      <c r="Y4" s="299" t="s">
        <v>571</v>
      </c>
      <c r="Z4" s="299" t="s">
        <v>573</v>
      </c>
      <c r="AA4" s="299" t="s">
        <v>590</v>
      </c>
      <c r="AB4" s="299" t="s">
        <v>575</v>
      </c>
      <c r="AC4" s="299" t="s">
        <v>24</v>
      </c>
      <c r="AD4" s="299" t="s">
        <v>576</v>
      </c>
      <c r="AE4" s="302"/>
      <c r="AF4" s="105"/>
      <c r="AG4" s="302"/>
      <c r="AH4" s="299" t="s">
        <v>587</v>
      </c>
      <c r="AI4" s="299" t="s">
        <v>588</v>
      </c>
      <c r="AJ4" s="299" t="s">
        <v>579</v>
      </c>
      <c r="AK4" s="299" t="s">
        <v>580</v>
      </c>
      <c r="AL4" s="299" t="s">
        <v>581</v>
      </c>
      <c r="AM4" s="303"/>
      <c r="AN4" s="303"/>
      <c r="AO4" s="303"/>
      <c r="AP4" s="303"/>
      <c r="AQ4" s="303"/>
      <c r="AR4" s="303"/>
      <c r="AS4" s="303"/>
      <c r="AT4" s="303">
        <v>177.1</v>
      </c>
      <c r="AU4" s="299" t="s">
        <v>582</v>
      </c>
      <c r="AV4" s="303"/>
      <c r="AW4" s="303"/>
      <c r="AX4" s="303"/>
      <c r="AY4" s="303"/>
      <c r="AZ4" s="303"/>
      <c r="BA4" s="303"/>
      <c r="BB4" s="303"/>
      <c r="BC4" s="300">
        <v>25.89</v>
      </c>
      <c r="BD4" s="304">
        <v>0.34489999999999998</v>
      </c>
      <c r="BE4" s="305">
        <v>1.9449999999999999E-2</v>
      </c>
      <c r="BF4" s="300">
        <v>5.62</v>
      </c>
      <c r="BG4" s="304">
        <v>0.31040000000000001</v>
      </c>
      <c r="BH4" s="305">
        <v>1.7770000000000001E-2</v>
      </c>
      <c r="BI4" s="299" t="s">
        <v>576</v>
      </c>
      <c r="BJ4" s="299" t="s">
        <v>576</v>
      </c>
      <c r="BK4" s="299" t="s">
        <v>583</v>
      </c>
      <c r="BL4" s="299" t="s">
        <v>589</v>
      </c>
      <c r="BM4" s="302">
        <v>0.5</v>
      </c>
      <c r="BN4" s="299" t="s">
        <v>584</v>
      </c>
      <c r="BO4" s="299" t="s">
        <v>585</v>
      </c>
    </row>
    <row r="5" spans="1:68" x14ac:dyDescent="0.25">
      <c r="A5" s="105">
        <v>2019</v>
      </c>
      <c r="B5" s="299" t="s">
        <v>558</v>
      </c>
      <c r="C5" s="299" t="s">
        <v>559</v>
      </c>
      <c r="D5" s="299" t="s">
        <v>560</v>
      </c>
      <c r="E5" s="299" t="s">
        <v>561</v>
      </c>
      <c r="F5" s="299" t="s">
        <v>562</v>
      </c>
      <c r="G5" s="105">
        <v>1</v>
      </c>
      <c r="H5" s="300">
        <v>99.998999999999995</v>
      </c>
      <c r="I5" s="299" t="s">
        <v>563</v>
      </c>
      <c r="J5" s="299" t="s">
        <v>564</v>
      </c>
      <c r="K5" s="105">
        <v>147</v>
      </c>
      <c r="L5" s="105"/>
      <c r="M5" s="299" t="s">
        <v>565</v>
      </c>
      <c r="N5" s="299" t="s">
        <v>566</v>
      </c>
      <c r="O5" s="299" t="s">
        <v>567</v>
      </c>
      <c r="P5" s="105">
        <v>1</v>
      </c>
      <c r="Q5" s="299" t="s">
        <v>568</v>
      </c>
      <c r="R5" s="299" t="s">
        <v>569</v>
      </c>
      <c r="S5" s="299" t="s">
        <v>570</v>
      </c>
      <c r="T5" s="299" t="s">
        <v>571</v>
      </c>
      <c r="U5" s="299" t="s">
        <v>572</v>
      </c>
      <c r="V5" s="105">
        <v>3875</v>
      </c>
      <c r="W5" s="301">
        <v>8.19</v>
      </c>
      <c r="X5" s="302">
        <v>112.5</v>
      </c>
      <c r="Y5" s="299" t="s">
        <v>571</v>
      </c>
      <c r="Z5" s="299" t="s">
        <v>573</v>
      </c>
      <c r="AA5" s="299" t="s">
        <v>591</v>
      </c>
      <c r="AB5" s="299" t="s">
        <v>575</v>
      </c>
      <c r="AC5" s="299" t="s">
        <v>24</v>
      </c>
      <c r="AD5" s="299" t="s">
        <v>576</v>
      </c>
      <c r="AE5" s="302"/>
      <c r="AF5" s="105"/>
      <c r="AG5" s="302"/>
      <c r="AH5" s="299" t="s">
        <v>577</v>
      </c>
      <c r="AI5" s="299" t="s">
        <v>578</v>
      </c>
      <c r="AJ5" s="299" t="s">
        <v>579</v>
      </c>
      <c r="AK5" s="299" t="s">
        <v>580</v>
      </c>
      <c r="AL5" s="299" t="s">
        <v>581</v>
      </c>
      <c r="AM5" s="303"/>
      <c r="AN5" s="303"/>
      <c r="AO5" s="303"/>
      <c r="AP5" s="303"/>
      <c r="AQ5" s="303"/>
      <c r="AR5" s="303"/>
      <c r="AS5" s="303"/>
      <c r="AT5" s="303">
        <v>141.30000000000001</v>
      </c>
      <c r="AU5" s="299" t="s">
        <v>582</v>
      </c>
      <c r="AV5" s="303"/>
      <c r="AW5" s="303"/>
      <c r="AX5" s="303"/>
      <c r="AY5" s="303"/>
      <c r="AZ5" s="303"/>
      <c r="BA5" s="303"/>
      <c r="BB5" s="303"/>
      <c r="BC5" s="300">
        <v>25.89</v>
      </c>
      <c r="BD5" s="304">
        <v>0.34489999999999998</v>
      </c>
      <c r="BE5" s="305">
        <v>1.9449999999999999E-2</v>
      </c>
      <c r="BF5" s="300">
        <v>5.62</v>
      </c>
      <c r="BG5" s="304">
        <v>0.31040000000000001</v>
      </c>
      <c r="BH5" s="305">
        <v>1.7770000000000001E-2</v>
      </c>
      <c r="BI5" s="299" t="s">
        <v>576</v>
      </c>
      <c r="BJ5" s="299" t="s">
        <v>576</v>
      </c>
      <c r="BK5" s="299" t="s">
        <v>583</v>
      </c>
      <c r="BL5" s="299" t="s">
        <v>569</v>
      </c>
      <c r="BM5" s="302">
        <v>0.5</v>
      </c>
      <c r="BN5" s="299" t="s">
        <v>584</v>
      </c>
      <c r="BO5" s="299" t="s">
        <v>585</v>
      </c>
    </row>
    <row r="6" spans="1:68" x14ac:dyDescent="0.25">
      <c r="A6" s="105">
        <v>2019</v>
      </c>
      <c r="B6" s="299" t="s">
        <v>558</v>
      </c>
      <c r="C6" s="299" t="s">
        <v>559</v>
      </c>
      <c r="D6" s="299" t="s">
        <v>560</v>
      </c>
      <c r="E6" s="299" t="s">
        <v>561</v>
      </c>
      <c r="F6" s="299" t="s">
        <v>562</v>
      </c>
      <c r="G6" s="105">
        <v>2</v>
      </c>
      <c r="H6" s="300">
        <v>99.998999999999995</v>
      </c>
      <c r="I6" s="299" t="s">
        <v>563</v>
      </c>
      <c r="J6" s="299" t="s">
        <v>564</v>
      </c>
      <c r="K6" s="105">
        <v>147</v>
      </c>
      <c r="L6" s="105"/>
      <c r="M6" s="299" t="s">
        <v>565</v>
      </c>
      <c r="N6" s="299" t="s">
        <v>566</v>
      </c>
      <c r="O6" s="299" t="s">
        <v>567</v>
      </c>
      <c r="P6" s="105">
        <v>1</v>
      </c>
      <c r="Q6" s="299" t="s">
        <v>568</v>
      </c>
      <c r="R6" s="299" t="s">
        <v>569</v>
      </c>
      <c r="S6" s="299" t="s">
        <v>570</v>
      </c>
      <c r="T6" s="299" t="s">
        <v>571</v>
      </c>
      <c r="U6" s="299" t="s">
        <v>572</v>
      </c>
      <c r="V6" s="105">
        <v>3750</v>
      </c>
      <c r="W6" s="301">
        <v>8.19</v>
      </c>
      <c r="X6" s="302">
        <v>114.7</v>
      </c>
      <c r="Y6" s="299" t="s">
        <v>571</v>
      </c>
      <c r="Z6" s="299" t="s">
        <v>573</v>
      </c>
      <c r="AA6" s="299" t="s">
        <v>592</v>
      </c>
      <c r="AB6" s="299" t="s">
        <v>575</v>
      </c>
      <c r="AC6" s="299" t="s">
        <v>24</v>
      </c>
      <c r="AD6" s="299" t="s">
        <v>576</v>
      </c>
      <c r="AE6" s="302"/>
      <c r="AF6" s="105"/>
      <c r="AG6" s="302"/>
      <c r="AH6" s="299" t="s">
        <v>587</v>
      </c>
      <c r="AI6" s="299" t="s">
        <v>588</v>
      </c>
      <c r="AJ6" s="299" t="s">
        <v>579</v>
      </c>
      <c r="AK6" s="299" t="s">
        <v>580</v>
      </c>
      <c r="AL6" s="299" t="s">
        <v>581</v>
      </c>
      <c r="AM6" s="303"/>
      <c r="AN6" s="303"/>
      <c r="AO6" s="303"/>
      <c r="AP6" s="303"/>
      <c r="AQ6" s="303"/>
      <c r="AR6" s="303"/>
      <c r="AS6" s="303"/>
      <c r="AT6" s="303">
        <v>179.4</v>
      </c>
      <c r="AU6" s="299" t="s">
        <v>582</v>
      </c>
      <c r="AV6" s="303"/>
      <c r="AW6" s="303"/>
      <c r="AX6" s="303"/>
      <c r="AY6" s="303"/>
      <c r="AZ6" s="303"/>
      <c r="BA6" s="303"/>
      <c r="BB6" s="303"/>
      <c r="BC6" s="300">
        <v>26.06</v>
      </c>
      <c r="BD6" s="304">
        <v>0.3</v>
      </c>
      <c r="BE6" s="305">
        <v>1.9650000000000001E-2</v>
      </c>
      <c r="BF6" s="300">
        <v>8.33</v>
      </c>
      <c r="BG6" s="304">
        <v>0.1263</v>
      </c>
      <c r="BH6" s="305">
        <v>1.9300000000000001E-2</v>
      </c>
      <c r="BI6" s="299" t="s">
        <v>576</v>
      </c>
      <c r="BJ6" s="299" t="s">
        <v>576</v>
      </c>
      <c r="BK6" s="299" t="s">
        <v>583</v>
      </c>
      <c r="BL6" s="299" t="s">
        <v>31</v>
      </c>
      <c r="BM6" s="302">
        <v>0.5</v>
      </c>
      <c r="BN6" s="299" t="s">
        <v>584</v>
      </c>
      <c r="BO6" s="299" t="s">
        <v>585</v>
      </c>
    </row>
    <row r="7" spans="1:68" x14ac:dyDescent="0.25">
      <c r="A7" s="105">
        <v>2019</v>
      </c>
      <c r="B7" s="299" t="s">
        <v>558</v>
      </c>
      <c r="C7" s="299" t="s">
        <v>559</v>
      </c>
      <c r="D7" s="299" t="s">
        <v>560</v>
      </c>
      <c r="E7" s="299" t="s">
        <v>561</v>
      </c>
      <c r="F7" s="299" t="s">
        <v>562</v>
      </c>
      <c r="G7" s="105">
        <v>2</v>
      </c>
      <c r="H7" s="300">
        <v>99.998999999999995</v>
      </c>
      <c r="I7" s="299" t="s">
        <v>563</v>
      </c>
      <c r="J7" s="299" t="s">
        <v>564</v>
      </c>
      <c r="K7" s="105">
        <v>147</v>
      </c>
      <c r="L7" s="105"/>
      <c r="M7" s="299" t="s">
        <v>565</v>
      </c>
      <c r="N7" s="299" t="s">
        <v>566</v>
      </c>
      <c r="O7" s="299" t="s">
        <v>567</v>
      </c>
      <c r="P7" s="105">
        <v>1</v>
      </c>
      <c r="Q7" s="299" t="s">
        <v>568</v>
      </c>
      <c r="R7" s="299" t="s">
        <v>569</v>
      </c>
      <c r="S7" s="299" t="s">
        <v>570</v>
      </c>
      <c r="T7" s="299" t="s">
        <v>571</v>
      </c>
      <c r="U7" s="299" t="s">
        <v>572</v>
      </c>
      <c r="V7" s="105">
        <v>3750</v>
      </c>
      <c r="W7" s="301">
        <v>8.19</v>
      </c>
      <c r="X7" s="302">
        <v>114.7</v>
      </c>
      <c r="Y7" s="299" t="s">
        <v>571</v>
      </c>
      <c r="Z7" s="299" t="s">
        <v>573</v>
      </c>
      <c r="AA7" s="299" t="s">
        <v>593</v>
      </c>
      <c r="AB7" s="299" t="s">
        <v>575</v>
      </c>
      <c r="AC7" s="299" t="s">
        <v>24</v>
      </c>
      <c r="AD7" s="299" t="s">
        <v>576</v>
      </c>
      <c r="AE7" s="302"/>
      <c r="AF7" s="105"/>
      <c r="AG7" s="302"/>
      <c r="AH7" s="299" t="s">
        <v>577</v>
      </c>
      <c r="AI7" s="299" t="s">
        <v>578</v>
      </c>
      <c r="AJ7" s="299" t="s">
        <v>579</v>
      </c>
      <c r="AK7" s="299" t="s">
        <v>580</v>
      </c>
      <c r="AL7" s="299" t="s">
        <v>581</v>
      </c>
      <c r="AM7" s="303"/>
      <c r="AN7" s="303"/>
      <c r="AO7" s="303"/>
      <c r="AP7" s="303"/>
      <c r="AQ7" s="303"/>
      <c r="AR7" s="303"/>
      <c r="AS7" s="303"/>
      <c r="AT7" s="303">
        <v>143.69999999999999</v>
      </c>
      <c r="AU7" s="299" t="s">
        <v>582</v>
      </c>
      <c r="AV7" s="303"/>
      <c r="AW7" s="303"/>
      <c r="AX7" s="303"/>
      <c r="AY7" s="303"/>
      <c r="AZ7" s="303"/>
      <c r="BA7" s="303"/>
      <c r="BB7" s="303"/>
      <c r="BC7" s="300">
        <v>26.06</v>
      </c>
      <c r="BD7" s="304">
        <v>0.3</v>
      </c>
      <c r="BE7" s="305">
        <v>1.9650000000000001E-2</v>
      </c>
      <c r="BF7" s="300">
        <v>8.33</v>
      </c>
      <c r="BG7" s="304">
        <v>0.1263</v>
      </c>
      <c r="BH7" s="305">
        <v>1.9300000000000001E-2</v>
      </c>
      <c r="BI7" s="299" t="s">
        <v>576</v>
      </c>
      <c r="BJ7" s="299" t="s">
        <v>576</v>
      </c>
      <c r="BK7" s="299" t="s">
        <v>583</v>
      </c>
      <c r="BL7" s="299" t="s">
        <v>32</v>
      </c>
      <c r="BM7" s="302">
        <v>0.5</v>
      </c>
      <c r="BN7" s="299" t="s">
        <v>584</v>
      </c>
      <c r="BO7" s="299" t="s">
        <v>585</v>
      </c>
    </row>
    <row r="8" spans="1:68" x14ac:dyDescent="0.25">
      <c r="A8" s="105">
        <v>2019</v>
      </c>
      <c r="B8" s="299" t="s">
        <v>558</v>
      </c>
      <c r="C8" s="299" t="s">
        <v>559</v>
      </c>
      <c r="D8" s="299" t="s">
        <v>560</v>
      </c>
      <c r="E8" s="299" t="s">
        <v>561</v>
      </c>
      <c r="F8" s="299" t="s">
        <v>562</v>
      </c>
      <c r="G8" s="105">
        <v>3</v>
      </c>
      <c r="H8" s="300">
        <v>99.998999999999995</v>
      </c>
      <c r="I8" s="299" t="s">
        <v>563</v>
      </c>
      <c r="J8" s="299" t="s">
        <v>564</v>
      </c>
      <c r="K8" s="105">
        <v>147</v>
      </c>
      <c r="L8" s="105"/>
      <c r="M8" s="299" t="s">
        <v>565</v>
      </c>
      <c r="N8" s="299" t="s">
        <v>566</v>
      </c>
      <c r="O8" s="299" t="s">
        <v>567</v>
      </c>
      <c r="P8" s="105">
        <v>1</v>
      </c>
      <c r="Q8" s="299" t="s">
        <v>568</v>
      </c>
      <c r="R8" s="299" t="s">
        <v>569</v>
      </c>
      <c r="S8" s="299" t="s">
        <v>570</v>
      </c>
      <c r="T8" s="299" t="s">
        <v>571</v>
      </c>
      <c r="U8" s="299" t="s">
        <v>572</v>
      </c>
      <c r="V8" s="105">
        <v>3750</v>
      </c>
      <c r="W8" s="301">
        <v>8.19</v>
      </c>
      <c r="X8" s="302">
        <v>114.7</v>
      </c>
      <c r="Y8" s="299" t="s">
        <v>571</v>
      </c>
      <c r="Z8" s="299" t="s">
        <v>573</v>
      </c>
      <c r="AA8" s="299" t="s">
        <v>594</v>
      </c>
      <c r="AB8" s="299" t="s">
        <v>575</v>
      </c>
      <c r="AC8" s="299" t="s">
        <v>24</v>
      </c>
      <c r="AD8" s="299" t="s">
        <v>576</v>
      </c>
      <c r="AE8" s="302"/>
      <c r="AF8" s="105"/>
      <c r="AG8" s="302"/>
      <c r="AH8" s="299" t="s">
        <v>587</v>
      </c>
      <c r="AI8" s="299" t="s">
        <v>588</v>
      </c>
      <c r="AJ8" s="299" t="s">
        <v>579</v>
      </c>
      <c r="AK8" s="299" t="s">
        <v>580</v>
      </c>
      <c r="AL8" s="299" t="s">
        <v>581</v>
      </c>
      <c r="AM8" s="303"/>
      <c r="AN8" s="303"/>
      <c r="AO8" s="303"/>
      <c r="AP8" s="303"/>
      <c r="AQ8" s="303"/>
      <c r="AR8" s="303"/>
      <c r="AS8" s="303"/>
      <c r="AT8" s="303">
        <v>180.5</v>
      </c>
      <c r="AU8" s="299" t="s">
        <v>582</v>
      </c>
      <c r="AV8" s="303"/>
      <c r="AW8" s="303"/>
      <c r="AX8" s="303"/>
      <c r="AY8" s="303"/>
      <c r="AZ8" s="303"/>
      <c r="BA8" s="303"/>
      <c r="BB8" s="303"/>
      <c r="BC8" s="300">
        <v>26.06</v>
      </c>
      <c r="BD8" s="304">
        <v>0.3</v>
      </c>
      <c r="BE8" s="305">
        <v>1.9650000000000001E-2</v>
      </c>
      <c r="BF8" s="300">
        <v>8.33</v>
      </c>
      <c r="BG8" s="304">
        <v>0.1263</v>
      </c>
      <c r="BH8" s="305">
        <v>1.9300000000000001E-2</v>
      </c>
      <c r="BI8" s="299" t="s">
        <v>576</v>
      </c>
      <c r="BJ8" s="299" t="s">
        <v>576</v>
      </c>
      <c r="BK8" s="299" t="s">
        <v>583</v>
      </c>
      <c r="BL8" s="299" t="s">
        <v>31</v>
      </c>
      <c r="BM8" s="302">
        <v>0.5</v>
      </c>
      <c r="BN8" s="299" t="s">
        <v>584</v>
      </c>
      <c r="BO8" s="299" t="s">
        <v>585</v>
      </c>
    </row>
    <row r="9" spans="1:68" x14ac:dyDescent="0.25">
      <c r="A9" s="105">
        <v>2019</v>
      </c>
      <c r="B9" s="299" t="s">
        <v>558</v>
      </c>
      <c r="C9" s="299" t="s">
        <v>559</v>
      </c>
      <c r="D9" s="299" t="s">
        <v>560</v>
      </c>
      <c r="E9" s="299" t="s">
        <v>561</v>
      </c>
      <c r="F9" s="299" t="s">
        <v>562</v>
      </c>
      <c r="G9" s="105">
        <v>3</v>
      </c>
      <c r="H9" s="300">
        <v>99.998999999999995</v>
      </c>
      <c r="I9" s="299" t="s">
        <v>563</v>
      </c>
      <c r="J9" s="299" t="s">
        <v>564</v>
      </c>
      <c r="K9" s="105">
        <v>147</v>
      </c>
      <c r="L9" s="105"/>
      <c r="M9" s="299" t="s">
        <v>565</v>
      </c>
      <c r="N9" s="299" t="s">
        <v>566</v>
      </c>
      <c r="O9" s="299" t="s">
        <v>567</v>
      </c>
      <c r="P9" s="105">
        <v>1</v>
      </c>
      <c r="Q9" s="299" t="s">
        <v>568</v>
      </c>
      <c r="R9" s="299" t="s">
        <v>569</v>
      </c>
      <c r="S9" s="299" t="s">
        <v>570</v>
      </c>
      <c r="T9" s="299" t="s">
        <v>571</v>
      </c>
      <c r="U9" s="299" t="s">
        <v>572</v>
      </c>
      <c r="V9" s="105">
        <v>3750</v>
      </c>
      <c r="W9" s="301">
        <v>8.19</v>
      </c>
      <c r="X9" s="302">
        <v>114.7</v>
      </c>
      <c r="Y9" s="299" t="s">
        <v>571</v>
      </c>
      <c r="Z9" s="299" t="s">
        <v>573</v>
      </c>
      <c r="AA9" s="299" t="s">
        <v>595</v>
      </c>
      <c r="AB9" s="299" t="s">
        <v>575</v>
      </c>
      <c r="AC9" s="299" t="s">
        <v>24</v>
      </c>
      <c r="AD9" s="299" t="s">
        <v>576</v>
      </c>
      <c r="AE9" s="302"/>
      <c r="AF9" s="105"/>
      <c r="AG9" s="302"/>
      <c r="AH9" s="299" t="s">
        <v>577</v>
      </c>
      <c r="AI9" s="299" t="s">
        <v>578</v>
      </c>
      <c r="AJ9" s="299" t="s">
        <v>579</v>
      </c>
      <c r="AK9" s="299" t="s">
        <v>580</v>
      </c>
      <c r="AL9" s="299" t="s">
        <v>581</v>
      </c>
      <c r="AM9" s="303"/>
      <c r="AN9" s="303"/>
      <c r="AO9" s="303"/>
      <c r="AP9" s="303"/>
      <c r="AQ9" s="303"/>
      <c r="AR9" s="303"/>
      <c r="AS9" s="303"/>
      <c r="AT9" s="303">
        <v>143.30000000000001</v>
      </c>
      <c r="AU9" s="299" t="s">
        <v>582</v>
      </c>
      <c r="AV9" s="303"/>
      <c r="AW9" s="303"/>
      <c r="AX9" s="303"/>
      <c r="AY9" s="303"/>
      <c r="AZ9" s="303"/>
      <c r="BA9" s="303"/>
      <c r="BB9" s="303"/>
      <c r="BC9" s="300">
        <v>26.06</v>
      </c>
      <c r="BD9" s="304">
        <v>0.3</v>
      </c>
      <c r="BE9" s="305">
        <v>1.9650000000000001E-2</v>
      </c>
      <c r="BF9" s="300">
        <v>8.33</v>
      </c>
      <c r="BG9" s="304">
        <v>0.1263</v>
      </c>
      <c r="BH9" s="305">
        <v>1.9300000000000001E-2</v>
      </c>
      <c r="BI9" s="299" t="s">
        <v>576</v>
      </c>
      <c r="BJ9" s="299" t="s">
        <v>576</v>
      </c>
      <c r="BK9" s="299" t="s">
        <v>583</v>
      </c>
      <c r="BL9" s="299" t="s">
        <v>32</v>
      </c>
      <c r="BM9" s="302">
        <v>0.5</v>
      </c>
      <c r="BN9" s="299" t="s">
        <v>584</v>
      </c>
      <c r="BO9" s="299" t="s">
        <v>585</v>
      </c>
    </row>
    <row r="10" spans="1:68" x14ac:dyDescent="0.25">
      <c r="A10" s="105">
        <v>2019</v>
      </c>
      <c r="B10" s="299" t="s">
        <v>558</v>
      </c>
      <c r="C10" s="299" t="s">
        <v>559</v>
      </c>
      <c r="D10" s="299" t="s">
        <v>560</v>
      </c>
      <c r="E10" s="299" t="s">
        <v>561</v>
      </c>
      <c r="F10" s="299" t="s">
        <v>596</v>
      </c>
      <c r="G10" s="105">
        <v>2</v>
      </c>
      <c r="H10" s="300">
        <v>99.998999999999995</v>
      </c>
      <c r="I10" s="299" t="s">
        <v>597</v>
      </c>
      <c r="J10" s="299" t="s">
        <v>564</v>
      </c>
      <c r="K10" s="105">
        <v>214</v>
      </c>
      <c r="L10" s="105"/>
      <c r="M10" s="299" t="s">
        <v>598</v>
      </c>
      <c r="N10" s="299" t="s">
        <v>566</v>
      </c>
      <c r="O10" s="299" t="s">
        <v>567</v>
      </c>
      <c r="P10" s="105">
        <v>1</v>
      </c>
      <c r="Q10" s="299" t="s">
        <v>568</v>
      </c>
      <c r="R10" s="299" t="s">
        <v>569</v>
      </c>
      <c r="S10" s="299" t="s">
        <v>570</v>
      </c>
      <c r="T10" s="299" t="s">
        <v>571</v>
      </c>
      <c r="U10" s="299" t="s">
        <v>572</v>
      </c>
      <c r="V10" s="105">
        <v>4000</v>
      </c>
      <c r="W10" s="301">
        <v>8.19</v>
      </c>
      <c r="X10" s="302">
        <v>114.7</v>
      </c>
      <c r="Y10" s="299" t="s">
        <v>571</v>
      </c>
      <c r="Z10" s="299" t="s">
        <v>573</v>
      </c>
      <c r="AA10" s="299" t="s">
        <v>599</v>
      </c>
      <c r="AB10" s="299" t="s">
        <v>575</v>
      </c>
      <c r="AC10" s="299" t="s">
        <v>24</v>
      </c>
      <c r="AD10" s="299" t="s">
        <v>576</v>
      </c>
      <c r="AE10" s="302"/>
      <c r="AF10" s="105"/>
      <c r="AG10" s="302"/>
      <c r="AH10" s="299" t="s">
        <v>587</v>
      </c>
      <c r="AI10" s="299" t="s">
        <v>588</v>
      </c>
      <c r="AJ10" s="299" t="s">
        <v>579</v>
      </c>
      <c r="AK10" s="299" t="s">
        <v>580</v>
      </c>
      <c r="AL10" s="299" t="s">
        <v>581</v>
      </c>
      <c r="AM10" s="303"/>
      <c r="AN10" s="303"/>
      <c r="AO10" s="303"/>
      <c r="AP10" s="303"/>
      <c r="AQ10" s="303"/>
      <c r="AR10" s="303"/>
      <c r="AS10" s="303"/>
      <c r="AT10" s="303">
        <v>175.2</v>
      </c>
      <c r="AU10" s="299" t="s">
        <v>582</v>
      </c>
      <c r="AV10" s="303"/>
      <c r="AW10" s="303"/>
      <c r="AX10" s="303"/>
      <c r="AY10" s="303"/>
      <c r="AZ10" s="303"/>
      <c r="BA10" s="303"/>
      <c r="BB10" s="303"/>
      <c r="BC10" s="300">
        <v>26.3</v>
      </c>
      <c r="BD10" s="304">
        <v>0.2868</v>
      </c>
      <c r="BE10" s="305">
        <v>2.0029999999999999E-2</v>
      </c>
      <c r="BF10" s="300">
        <v>8.09</v>
      </c>
      <c r="BG10" s="304">
        <v>0.1265</v>
      </c>
      <c r="BH10" s="305">
        <v>1.917E-2</v>
      </c>
      <c r="BI10" s="299" t="s">
        <v>576</v>
      </c>
      <c r="BJ10" s="299" t="s">
        <v>576</v>
      </c>
      <c r="BK10" s="299" t="s">
        <v>583</v>
      </c>
      <c r="BL10" s="299" t="s">
        <v>31</v>
      </c>
      <c r="BM10" s="302">
        <v>0.5</v>
      </c>
      <c r="BN10" s="299" t="s">
        <v>584</v>
      </c>
      <c r="BO10" s="299" t="s">
        <v>585</v>
      </c>
    </row>
    <row r="11" spans="1:68" x14ac:dyDescent="0.25">
      <c r="A11" s="105">
        <v>2019</v>
      </c>
      <c r="B11" s="299" t="s">
        <v>558</v>
      </c>
      <c r="C11" s="299" t="s">
        <v>559</v>
      </c>
      <c r="D11" s="299" t="s">
        <v>560</v>
      </c>
      <c r="E11" s="299" t="s">
        <v>561</v>
      </c>
      <c r="F11" s="299" t="s">
        <v>596</v>
      </c>
      <c r="G11" s="105">
        <v>2</v>
      </c>
      <c r="H11" s="300">
        <v>99.998999999999995</v>
      </c>
      <c r="I11" s="299" t="s">
        <v>597</v>
      </c>
      <c r="J11" s="299" t="s">
        <v>564</v>
      </c>
      <c r="K11" s="105">
        <v>214</v>
      </c>
      <c r="L11" s="105"/>
      <c r="M11" s="299" t="s">
        <v>598</v>
      </c>
      <c r="N11" s="299" t="s">
        <v>566</v>
      </c>
      <c r="O11" s="299" t="s">
        <v>567</v>
      </c>
      <c r="P11" s="105">
        <v>1</v>
      </c>
      <c r="Q11" s="299" t="s">
        <v>568</v>
      </c>
      <c r="R11" s="299" t="s">
        <v>569</v>
      </c>
      <c r="S11" s="299" t="s">
        <v>570</v>
      </c>
      <c r="T11" s="299" t="s">
        <v>571</v>
      </c>
      <c r="U11" s="299" t="s">
        <v>572</v>
      </c>
      <c r="V11" s="105">
        <v>4000</v>
      </c>
      <c r="W11" s="301">
        <v>8.19</v>
      </c>
      <c r="X11" s="302">
        <v>114.7</v>
      </c>
      <c r="Y11" s="299" t="s">
        <v>571</v>
      </c>
      <c r="Z11" s="299" t="s">
        <v>573</v>
      </c>
      <c r="AA11" s="299" t="s">
        <v>600</v>
      </c>
      <c r="AB11" s="299" t="s">
        <v>575</v>
      </c>
      <c r="AC11" s="299" t="s">
        <v>24</v>
      </c>
      <c r="AD11" s="299" t="s">
        <v>576</v>
      </c>
      <c r="AE11" s="302"/>
      <c r="AF11" s="105"/>
      <c r="AG11" s="302"/>
      <c r="AH11" s="299" t="s">
        <v>577</v>
      </c>
      <c r="AI11" s="299" t="s">
        <v>578</v>
      </c>
      <c r="AJ11" s="299" t="s">
        <v>579</v>
      </c>
      <c r="AK11" s="299" t="s">
        <v>580</v>
      </c>
      <c r="AL11" s="299" t="s">
        <v>581</v>
      </c>
      <c r="AM11" s="303"/>
      <c r="AN11" s="303"/>
      <c r="AO11" s="303"/>
      <c r="AP11" s="303"/>
      <c r="AQ11" s="303"/>
      <c r="AR11" s="303"/>
      <c r="AS11" s="303"/>
      <c r="AT11" s="303">
        <v>142.4</v>
      </c>
      <c r="AU11" s="299" t="s">
        <v>582</v>
      </c>
      <c r="AV11" s="303"/>
      <c r="AW11" s="303"/>
      <c r="AX11" s="303"/>
      <c r="AY11" s="303"/>
      <c r="AZ11" s="303"/>
      <c r="BA11" s="303"/>
      <c r="BB11" s="303"/>
      <c r="BC11" s="300">
        <v>26.3</v>
      </c>
      <c r="BD11" s="304">
        <v>0.2868</v>
      </c>
      <c r="BE11" s="305">
        <v>2.0029999999999999E-2</v>
      </c>
      <c r="BF11" s="300">
        <v>8.09</v>
      </c>
      <c r="BG11" s="304">
        <v>0.1265</v>
      </c>
      <c r="BH11" s="305">
        <v>1.917E-2</v>
      </c>
      <c r="BI11" s="299" t="s">
        <v>576</v>
      </c>
      <c r="BJ11" s="299" t="s">
        <v>576</v>
      </c>
      <c r="BK11" s="299" t="s">
        <v>583</v>
      </c>
      <c r="BL11" s="299" t="s">
        <v>32</v>
      </c>
      <c r="BM11" s="302">
        <v>0.5</v>
      </c>
      <c r="BN11" s="299" t="s">
        <v>584</v>
      </c>
      <c r="BO11" s="299" t="s">
        <v>585</v>
      </c>
    </row>
    <row r="12" spans="1:68" x14ac:dyDescent="0.25">
      <c r="A12" s="105">
        <v>2019</v>
      </c>
      <c r="B12" s="299" t="s">
        <v>558</v>
      </c>
      <c r="C12" s="299" t="s">
        <v>559</v>
      </c>
      <c r="D12" s="299" t="s">
        <v>560</v>
      </c>
      <c r="E12" s="299" t="s">
        <v>561</v>
      </c>
      <c r="F12" s="299" t="s">
        <v>596</v>
      </c>
      <c r="G12" s="105">
        <v>3</v>
      </c>
      <c r="H12" s="300">
        <v>99.998999999999995</v>
      </c>
      <c r="I12" s="299" t="s">
        <v>597</v>
      </c>
      <c r="J12" s="299" t="s">
        <v>564</v>
      </c>
      <c r="K12" s="105">
        <v>214</v>
      </c>
      <c r="L12" s="105"/>
      <c r="M12" s="299" t="s">
        <v>598</v>
      </c>
      <c r="N12" s="299" t="s">
        <v>566</v>
      </c>
      <c r="O12" s="299" t="s">
        <v>567</v>
      </c>
      <c r="P12" s="105">
        <v>1</v>
      </c>
      <c r="Q12" s="299" t="s">
        <v>568</v>
      </c>
      <c r="R12" s="299" t="s">
        <v>569</v>
      </c>
      <c r="S12" s="299" t="s">
        <v>570</v>
      </c>
      <c r="T12" s="299" t="s">
        <v>571</v>
      </c>
      <c r="U12" s="299" t="s">
        <v>572</v>
      </c>
      <c r="V12" s="105">
        <v>4000</v>
      </c>
      <c r="W12" s="301">
        <v>8.19</v>
      </c>
      <c r="X12" s="302">
        <v>114.7</v>
      </c>
      <c r="Y12" s="299" t="s">
        <v>571</v>
      </c>
      <c r="Z12" s="299" t="s">
        <v>573</v>
      </c>
      <c r="AA12" s="299" t="s">
        <v>601</v>
      </c>
      <c r="AB12" s="299" t="s">
        <v>575</v>
      </c>
      <c r="AC12" s="299" t="s">
        <v>24</v>
      </c>
      <c r="AD12" s="299" t="s">
        <v>576</v>
      </c>
      <c r="AE12" s="302"/>
      <c r="AF12" s="105"/>
      <c r="AG12" s="302"/>
      <c r="AH12" s="299" t="s">
        <v>587</v>
      </c>
      <c r="AI12" s="299" t="s">
        <v>588</v>
      </c>
      <c r="AJ12" s="299" t="s">
        <v>579</v>
      </c>
      <c r="AK12" s="299" t="s">
        <v>580</v>
      </c>
      <c r="AL12" s="299" t="s">
        <v>581</v>
      </c>
      <c r="AM12" s="303"/>
      <c r="AN12" s="303"/>
      <c r="AO12" s="303"/>
      <c r="AP12" s="303"/>
      <c r="AQ12" s="303"/>
      <c r="AR12" s="303"/>
      <c r="AS12" s="303"/>
      <c r="AT12" s="303">
        <v>177.9</v>
      </c>
      <c r="AU12" s="299" t="s">
        <v>582</v>
      </c>
      <c r="AV12" s="303"/>
      <c r="AW12" s="303"/>
      <c r="AX12" s="303"/>
      <c r="AY12" s="303"/>
      <c r="AZ12" s="303"/>
      <c r="BA12" s="303"/>
      <c r="BB12" s="303"/>
      <c r="BC12" s="300">
        <v>26.3</v>
      </c>
      <c r="BD12" s="304">
        <v>0.2868</v>
      </c>
      <c r="BE12" s="305">
        <v>2.0029999999999999E-2</v>
      </c>
      <c r="BF12" s="300">
        <v>8.09</v>
      </c>
      <c r="BG12" s="304">
        <v>0.1265</v>
      </c>
      <c r="BH12" s="305">
        <v>1.917E-2</v>
      </c>
      <c r="BI12" s="299" t="s">
        <v>576</v>
      </c>
      <c r="BJ12" s="299" t="s">
        <v>576</v>
      </c>
      <c r="BK12" s="299" t="s">
        <v>583</v>
      </c>
      <c r="BL12" s="299" t="s">
        <v>31</v>
      </c>
      <c r="BM12" s="302">
        <v>0.5</v>
      </c>
      <c r="BN12" s="299" t="s">
        <v>584</v>
      </c>
      <c r="BO12" s="299" t="s">
        <v>585</v>
      </c>
    </row>
    <row r="13" spans="1:68" x14ac:dyDescent="0.25">
      <c r="A13" s="105">
        <v>2019</v>
      </c>
      <c r="B13" s="299" t="s">
        <v>558</v>
      </c>
      <c r="C13" s="299" t="s">
        <v>559</v>
      </c>
      <c r="D13" s="299" t="s">
        <v>560</v>
      </c>
      <c r="E13" s="299" t="s">
        <v>561</v>
      </c>
      <c r="F13" s="299" t="s">
        <v>596</v>
      </c>
      <c r="G13" s="105">
        <v>3</v>
      </c>
      <c r="H13" s="300">
        <v>99.998999999999995</v>
      </c>
      <c r="I13" s="299" t="s">
        <v>597</v>
      </c>
      <c r="J13" s="299" t="s">
        <v>564</v>
      </c>
      <c r="K13" s="105">
        <v>214</v>
      </c>
      <c r="L13" s="105"/>
      <c r="M13" s="299" t="s">
        <v>598</v>
      </c>
      <c r="N13" s="299" t="s">
        <v>566</v>
      </c>
      <c r="O13" s="299" t="s">
        <v>567</v>
      </c>
      <c r="P13" s="105">
        <v>1</v>
      </c>
      <c r="Q13" s="299" t="s">
        <v>568</v>
      </c>
      <c r="R13" s="299" t="s">
        <v>569</v>
      </c>
      <c r="S13" s="299" t="s">
        <v>570</v>
      </c>
      <c r="T13" s="299" t="s">
        <v>571</v>
      </c>
      <c r="U13" s="299" t="s">
        <v>572</v>
      </c>
      <c r="V13" s="105">
        <v>4000</v>
      </c>
      <c r="W13" s="301">
        <v>8.19</v>
      </c>
      <c r="X13" s="302">
        <v>114.7</v>
      </c>
      <c r="Y13" s="299" t="s">
        <v>571</v>
      </c>
      <c r="Z13" s="299" t="s">
        <v>573</v>
      </c>
      <c r="AA13" s="299" t="s">
        <v>602</v>
      </c>
      <c r="AB13" s="299" t="s">
        <v>575</v>
      </c>
      <c r="AC13" s="299" t="s">
        <v>24</v>
      </c>
      <c r="AD13" s="299" t="s">
        <v>576</v>
      </c>
      <c r="AE13" s="302"/>
      <c r="AF13" s="105"/>
      <c r="AG13" s="302"/>
      <c r="AH13" s="299" t="s">
        <v>577</v>
      </c>
      <c r="AI13" s="299" t="s">
        <v>578</v>
      </c>
      <c r="AJ13" s="299" t="s">
        <v>579</v>
      </c>
      <c r="AK13" s="299" t="s">
        <v>580</v>
      </c>
      <c r="AL13" s="299" t="s">
        <v>581</v>
      </c>
      <c r="AM13" s="303"/>
      <c r="AN13" s="303"/>
      <c r="AO13" s="303"/>
      <c r="AP13" s="303"/>
      <c r="AQ13" s="303"/>
      <c r="AR13" s="303"/>
      <c r="AS13" s="303"/>
      <c r="AT13" s="303">
        <v>144.1</v>
      </c>
      <c r="AU13" s="299" t="s">
        <v>582</v>
      </c>
      <c r="AV13" s="303"/>
      <c r="AW13" s="303"/>
      <c r="AX13" s="303"/>
      <c r="AY13" s="303"/>
      <c r="AZ13" s="303"/>
      <c r="BA13" s="303"/>
      <c r="BB13" s="303"/>
      <c r="BC13" s="300">
        <v>26.3</v>
      </c>
      <c r="BD13" s="304">
        <v>0.2868</v>
      </c>
      <c r="BE13" s="305">
        <v>2.0029999999999999E-2</v>
      </c>
      <c r="BF13" s="300">
        <v>8.09</v>
      </c>
      <c r="BG13" s="304">
        <v>0.1265</v>
      </c>
      <c r="BH13" s="305">
        <v>1.917E-2</v>
      </c>
      <c r="BI13" s="299" t="s">
        <v>576</v>
      </c>
      <c r="BJ13" s="299" t="s">
        <v>576</v>
      </c>
      <c r="BK13" s="299" t="s">
        <v>583</v>
      </c>
      <c r="BL13" s="299" t="s">
        <v>32</v>
      </c>
      <c r="BM13" s="302">
        <v>0.5</v>
      </c>
      <c r="BN13" s="299" t="s">
        <v>584</v>
      </c>
      <c r="BO13" s="299" t="s">
        <v>585</v>
      </c>
    </row>
    <row r="14" spans="1:68" x14ac:dyDescent="0.25">
      <c r="A14" s="105">
        <v>2019</v>
      </c>
      <c r="B14" s="299" t="s">
        <v>558</v>
      </c>
      <c r="C14" s="299" t="s">
        <v>559</v>
      </c>
      <c r="D14" s="299" t="s">
        <v>560</v>
      </c>
      <c r="E14" s="299" t="s">
        <v>603</v>
      </c>
      <c r="F14" s="299" t="s">
        <v>596</v>
      </c>
      <c r="G14" s="105">
        <v>0</v>
      </c>
      <c r="H14" s="300">
        <v>99.998999999999995</v>
      </c>
      <c r="I14" s="299" t="s">
        <v>597</v>
      </c>
      <c r="J14" s="299" t="s">
        <v>564</v>
      </c>
      <c r="K14" s="105">
        <v>214</v>
      </c>
      <c r="L14" s="105"/>
      <c r="M14" s="299" t="s">
        <v>598</v>
      </c>
      <c r="N14" s="299" t="s">
        <v>566</v>
      </c>
      <c r="O14" s="299" t="s">
        <v>567</v>
      </c>
      <c r="P14" s="105">
        <v>1</v>
      </c>
      <c r="Q14" s="299" t="s">
        <v>568</v>
      </c>
      <c r="R14" s="299" t="s">
        <v>569</v>
      </c>
      <c r="S14" s="299" t="s">
        <v>570</v>
      </c>
      <c r="T14" s="299" t="s">
        <v>571</v>
      </c>
      <c r="U14" s="299" t="s">
        <v>572</v>
      </c>
      <c r="V14" s="105">
        <v>4250</v>
      </c>
      <c r="W14" s="301">
        <v>8.19</v>
      </c>
      <c r="X14" s="302">
        <v>112.5</v>
      </c>
      <c r="Y14" s="299" t="s">
        <v>571</v>
      </c>
      <c r="Z14" s="299" t="s">
        <v>573</v>
      </c>
      <c r="AA14" s="299" t="s">
        <v>604</v>
      </c>
      <c r="AB14" s="299" t="s">
        <v>575</v>
      </c>
      <c r="AC14" s="299" t="s">
        <v>24</v>
      </c>
      <c r="AD14" s="299" t="s">
        <v>576</v>
      </c>
      <c r="AE14" s="302"/>
      <c r="AF14" s="105"/>
      <c r="AG14" s="302"/>
      <c r="AH14" s="299" t="s">
        <v>587</v>
      </c>
      <c r="AI14" s="299" t="s">
        <v>588</v>
      </c>
      <c r="AJ14" s="299" t="s">
        <v>579</v>
      </c>
      <c r="AK14" s="299" t="s">
        <v>580</v>
      </c>
      <c r="AL14" s="299" t="s">
        <v>581</v>
      </c>
      <c r="AM14" s="303"/>
      <c r="AN14" s="303"/>
      <c r="AO14" s="303"/>
      <c r="AP14" s="303"/>
      <c r="AQ14" s="303"/>
      <c r="AR14" s="303"/>
      <c r="AS14" s="303"/>
      <c r="AT14" s="303">
        <v>162.6</v>
      </c>
      <c r="AU14" s="299" t="s">
        <v>582</v>
      </c>
      <c r="AV14" s="303"/>
      <c r="AW14" s="303"/>
      <c r="AX14" s="303"/>
      <c r="AY14" s="303"/>
      <c r="AZ14" s="303"/>
      <c r="BA14" s="303"/>
      <c r="BB14" s="303"/>
      <c r="BC14" s="300">
        <v>30.36</v>
      </c>
      <c r="BD14" s="304">
        <v>0.3201</v>
      </c>
      <c r="BE14" s="305">
        <v>1.9560000000000001E-2</v>
      </c>
      <c r="BF14" s="300">
        <v>11.75</v>
      </c>
      <c r="BG14" s="304">
        <v>0.17460000000000001</v>
      </c>
      <c r="BH14" s="305">
        <v>1.8839999999999999E-2</v>
      </c>
      <c r="BI14" s="299" t="s">
        <v>576</v>
      </c>
      <c r="BJ14" s="299" t="s">
        <v>576</v>
      </c>
      <c r="BK14" s="299" t="s">
        <v>583</v>
      </c>
      <c r="BL14" s="299" t="s">
        <v>31</v>
      </c>
      <c r="BM14" s="302">
        <v>0.5</v>
      </c>
      <c r="BN14" s="299" t="s">
        <v>584</v>
      </c>
      <c r="BO14" s="299" t="s">
        <v>585</v>
      </c>
    </row>
    <row r="15" spans="1:68" x14ac:dyDescent="0.25">
      <c r="A15" s="105">
        <v>2019</v>
      </c>
      <c r="B15" s="299" t="s">
        <v>558</v>
      </c>
      <c r="C15" s="299" t="s">
        <v>559</v>
      </c>
      <c r="D15" s="299" t="s">
        <v>560</v>
      </c>
      <c r="E15" s="299" t="s">
        <v>603</v>
      </c>
      <c r="F15" s="299" t="s">
        <v>596</v>
      </c>
      <c r="G15" s="105">
        <v>0</v>
      </c>
      <c r="H15" s="300">
        <v>99.998999999999995</v>
      </c>
      <c r="I15" s="299" t="s">
        <v>597</v>
      </c>
      <c r="J15" s="299" t="s">
        <v>564</v>
      </c>
      <c r="K15" s="105">
        <v>214</v>
      </c>
      <c r="L15" s="105"/>
      <c r="M15" s="299" t="s">
        <v>598</v>
      </c>
      <c r="N15" s="299" t="s">
        <v>566</v>
      </c>
      <c r="O15" s="299" t="s">
        <v>567</v>
      </c>
      <c r="P15" s="105">
        <v>1</v>
      </c>
      <c r="Q15" s="299" t="s">
        <v>568</v>
      </c>
      <c r="R15" s="299" t="s">
        <v>569</v>
      </c>
      <c r="S15" s="299" t="s">
        <v>570</v>
      </c>
      <c r="T15" s="299" t="s">
        <v>571</v>
      </c>
      <c r="U15" s="299" t="s">
        <v>572</v>
      </c>
      <c r="V15" s="105">
        <v>4250</v>
      </c>
      <c r="W15" s="301">
        <v>8.19</v>
      </c>
      <c r="X15" s="302">
        <v>112.5</v>
      </c>
      <c r="Y15" s="299" t="s">
        <v>571</v>
      </c>
      <c r="Z15" s="299" t="s">
        <v>573</v>
      </c>
      <c r="AA15" s="299" t="s">
        <v>605</v>
      </c>
      <c r="AB15" s="299" t="s">
        <v>575</v>
      </c>
      <c r="AC15" s="299" t="s">
        <v>24</v>
      </c>
      <c r="AD15" s="299" t="s">
        <v>576</v>
      </c>
      <c r="AE15" s="302"/>
      <c r="AF15" s="105"/>
      <c r="AG15" s="302"/>
      <c r="AH15" s="299" t="s">
        <v>577</v>
      </c>
      <c r="AI15" s="299" t="s">
        <v>578</v>
      </c>
      <c r="AJ15" s="299" t="s">
        <v>579</v>
      </c>
      <c r="AK15" s="299" t="s">
        <v>580</v>
      </c>
      <c r="AL15" s="299" t="s">
        <v>581</v>
      </c>
      <c r="AM15" s="303"/>
      <c r="AN15" s="303"/>
      <c r="AO15" s="303"/>
      <c r="AP15" s="303"/>
      <c r="AQ15" s="303"/>
      <c r="AR15" s="303"/>
      <c r="AS15" s="303"/>
      <c r="AT15" s="303">
        <v>133.30000000000001</v>
      </c>
      <c r="AU15" s="299" t="s">
        <v>582</v>
      </c>
      <c r="AV15" s="303"/>
      <c r="AW15" s="303"/>
      <c r="AX15" s="303"/>
      <c r="AY15" s="303"/>
      <c r="AZ15" s="303"/>
      <c r="BA15" s="303"/>
      <c r="BB15" s="303"/>
      <c r="BC15" s="300">
        <v>30.36</v>
      </c>
      <c r="BD15" s="304">
        <v>0.3201</v>
      </c>
      <c r="BE15" s="305">
        <v>1.9560000000000001E-2</v>
      </c>
      <c r="BF15" s="300">
        <v>11.75</v>
      </c>
      <c r="BG15" s="304">
        <v>0.17460000000000001</v>
      </c>
      <c r="BH15" s="305">
        <v>1.8839999999999999E-2</v>
      </c>
      <c r="BI15" s="299" t="s">
        <v>576</v>
      </c>
      <c r="BJ15" s="299" t="s">
        <v>576</v>
      </c>
      <c r="BK15" s="299" t="s">
        <v>583</v>
      </c>
      <c r="BL15" s="299" t="s">
        <v>32</v>
      </c>
      <c r="BM15" s="302">
        <v>0.5</v>
      </c>
      <c r="BN15" s="299" t="s">
        <v>584</v>
      </c>
      <c r="BO15" s="299" t="s">
        <v>585</v>
      </c>
    </row>
    <row r="16" spans="1:68" x14ac:dyDescent="0.25">
      <c r="A16" s="105">
        <v>2019</v>
      </c>
      <c r="B16" s="299" t="s">
        <v>558</v>
      </c>
      <c r="C16" s="299" t="s">
        <v>559</v>
      </c>
      <c r="D16" s="299" t="s">
        <v>560</v>
      </c>
      <c r="E16" s="299" t="s">
        <v>603</v>
      </c>
      <c r="F16" s="299" t="s">
        <v>596</v>
      </c>
      <c r="G16" s="105">
        <v>1</v>
      </c>
      <c r="H16" s="300">
        <v>99.998999999999995</v>
      </c>
      <c r="I16" s="299" t="s">
        <v>597</v>
      </c>
      <c r="J16" s="299" t="s">
        <v>564</v>
      </c>
      <c r="K16" s="105">
        <v>214</v>
      </c>
      <c r="L16" s="105"/>
      <c r="M16" s="299" t="s">
        <v>598</v>
      </c>
      <c r="N16" s="299" t="s">
        <v>566</v>
      </c>
      <c r="O16" s="299" t="s">
        <v>567</v>
      </c>
      <c r="P16" s="105">
        <v>1</v>
      </c>
      <c r="Q16" s="299" t="s">
        <v>568</v>
      </c>
      <c r="R16" s="299" t="s">
        <v>569</v>
      </c>
      <c r="S16" s="299" t="s">
        <v>570</v>
      </c>
      <c r="T16" s="299" t="s">
        <v>571</v>
      </c>
      <c r="U16" s="299" t="s">
        <v>572</v>
      </c>
      <c r="V16" s="105">
        <v>4250</v>
      </c>
      <c r="W16" s="301">
        <v>8.19</v>
      </c>
      <c r="X16" s="302">
        <v>112.5</v>
      </c>
      <c r="Y16" s="299" t="s">
        <v>571</v>
      </c>
      <c r="Z16" s="299" t="s">
        <v>573</v>
      </c>
      <c r="AA16" s="299" t="s">
        <v>606</v>
      </c>
      <c r="AB16" s="299" t="s">
        <v>575</v>
      </c>
      <c r="AC16" s="299" t="s">
        <v>24</v>
      </c>
      <c r="AD16" s="299" t="s">
        <v>576</v>
      </c>
      <c r="AE16" s="302"/>
      <c r="AF16" s="105"/>
      <c r="AG16" s="302"/>
      <c r="AH16" s="299" t="s">
        <v>587</v>
      </c>
      <c r="AI16" s="299" t="s">
        <v>588</v>
      </c>
      <c r="AJ16" s="299" t="s">
        <v>579</v>
      </c>
      <c r="AK16" s="299" t="s">
        <v>580</v>
      </c>
      <c r="AL16" s="299" t="s">
        <v>581</v>
      </c>
      <c r="AM16" s="303"/>
      <c r="AN16" s="303"/>
      <c r="AO16" s="303"/>
      <c r="AP16" s="303"/>
      <c r="AQ16" s="303"/>
      <c r="AR16" s="303"/>
      <c r="AS16" s="303"/>
      <c r="AT16" s="303">
        <v>164.5</v>
      </c>
      <c r="AU16" s="299" t="s">
        <v>582</v>
      </c>
      <c r="AV16" s="303"/>
      <c r="AW16" s="303"/>
      <c r="AX16" s="303"/>
      <c r="AY16" s="303"/>
      <c r="AZ16" s="303"/>
      <c r="BA16" s="303"/>
      <c r="BB16" s="303"/>
      <c r="BC16" s="300">
        <v>30.36</v>
      </c>
      <c r="BD16" s="304">
        <v>0.3201</v>
      </c>
      <c r="BE16" s="305">
        <v>1.9560000000000001E-2</v>
      </c>
      <c r="BF16" s="300">
        <v>11.75</v>
      </c>
      <c r="BG16" s="304">
        <v>0.17460000000000001</v>
      </c>
      <c r="BH16" s="305">
        <v>1.8839999999999999E-2</v>
      </c>
      <c r="BI16" s="299" t="s">
        <v>576</v>
      </c>
      <c r="BJ16" s="299" t="s">
        <v>576</v>
      </c>
      <c r="BK16" s="299" t="s">
        <v>583</v>
      </c>
      <c r="BL16" s="299" t="s">
        <v>31</v>
      </c>
      <c r="BM16" s="302">
        <v>0.5</v>
      </c>
      <c r="BN16" s="299" t="s">
        <v>584</v>
      </c>
      <c r="BO16" s="299" t="s">
        <v>585</v>
      </c>
    </row>
    <row r="17" spans="1:67" x14ac:dyDescent="0.25">
      <c r="A17" s="105">
        <v>2019</v>
      </c>
      <c r="B17" s="299" t="s">
        <v>558</v>
      </c>
      <c r="C17" s="299" t="s">
        <v>559</v>
      </c>
      <c r="D17" s="299" t="s">
        <v>560</v>
      </c>
      <c r="E17" s="299" t="s">
        <v>603</v>
      </c>
      <c r="F17" s="299" t="s">
        <v>596</v>
      </c>
      <c r="G17" s="105">
        <v>1</v>
      </c>
      <c r="H17" s="300">
        <v>99.998999999999995</v>
      </c>
      <c r="I17" s="299" t="s">
        <v>597</v>
      </c>
      <c r="J17" s="299" t="s">
        <v>564</v>
      </c>
      <c r="K17" s="105">
        <v>214</v>
      </c>
      <c r="L17" s="105"/>
      <c r="M17" s="299" t="s">
        <v>598</v>
      </c>
      <c r="N17" s="299" t="s">
        <v>566</v>
      </c>
      <c r="O17" s="299" t="s">
        <v>567</v>
      </c>
      <c r="P17" s="105">
        <v>1</v>
      </c>
      <c r="Q17" s="299" t="s">
        <v>568</v>
      </c>
      <c r="R17" s="299" t="s">
        <v>569</v>
      </c>
      <c r="S17" s="299" t="s">
        <v>570</v>
      </c>
      <c r="T17" s="299" t="s">
        <v>571</v>
      </c>
      <c r="U17" s="299" t="s">
        <v>572</v>
      </c>
      <c r="V17" s="105">
        <v>4250</v>
      </c>
      <c r="W17" s="301">
        <v>8.19</v>
      </c>
      <c r="X17" s="302">
        <v>112.5</v>
      </c>
      <c r="Y17" s="299" t="s">
        <v>571</v>
      </c>
      <c r="Z17" s="299" t="s">
        <v>573</v>
      </c>
      <c r="AA17" s="299" t="s">
        <v>607</v>
      </c>
      <c r="AB17" s="299" t="s">
        <v>575</v>
      </c>
      <c r="AC17" s="299" t="s">
        <v>24</v>
      </c>
      <c r="AD17" s="299" t="s">
        <v>576</v>
      </c>
      <c r="AE17" s="302"/>
      <c r="AF17" s="105"/>
      <c r="AG17" s="302"/>
      <c r="AH17" s="299" t="s">
        <v>577</v>
      </c>
      <c r="AI17" s="299" t="s">
        <v>578</v>
      </c>
      <c r="AJ17" s="299" t="s">
        <v>579</v>
      </c>
      <c r="AK17" s="299" t="s">
        <v>580</v>
      </c>
      <c r="AL17" s="299" t="s">
        <v>581</v>
      </c>
      <c r="AM17" s="303"/>
      <c r="AN17" s="303"/>
      <c r="AO17" s="303"/>
      <c r="AP17" s="303"/>
      <c r="AQ17" s="303"/>
      <c r="AR17" s="303"/>
      <c r="AS17" s="303"/>
      <c r="AT17" s="303">
        <v>136.1</v>
      </c>
      <c r="AU17" s="299" t="s">
        <v>582</v>
      </c>
      <c r="AV17" s="303"/>
      <c r="AW17" s="303"/>
      <c r="AX17" s="303"/>
      <c r="AY17" s="303"/>
      <c r="AZ17" s="303"/>
      <c r="BA17" s="303"/>
      <c r="BB17" s="303"/>
      <c r="BC17" s="300">
        <v>30.36</v>
      </c>
      <c r="BD17" s="304">
        <v>0.3201</v>
      </c>
      <c r="BE17" s="305">
        <v>1.9560000000000001E-2</v>
      </c>
      <c r="BF17" s="300">
        <v>11.75</v>
      </c>
      <c r="BG17" s="304">
        <v>0.17460000000000001</v>
      </c>
      <c r="BH17" s="305">
        <v>1.8839999999999999E-2</v>
      </c>
      <c r="BI17" s="299" t="s">
        <v>576</v>
      </c>
      <c r="BJ17" s="299" t="s">
        <v>576</v>
      </c>
      <c r="BK17" s="299" t="s">
        <v>583</v>
      </c>
      <c r="BL17" s="299" t="s">
        <v>32</v>
      </c>
      <c r="BM17" s="302">
        <v>0.5</v>
      </c>
      <c r="BN17" s="299" t="s">
        <v>584</v>
      </c>
      <c r="BO17" s="299" t="s">
        <v>585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V33"/>
  <sheetViews>
    <sheetView workbookViewId="0">
      <selection activeCell="D8" sqref="D8"/>
    </sheetView>
  </sheetViews>
  <sheetFormatPr defaultColWidth="9.140625" defaultRowHeight="15" x14ac:dyDescent="0.25"/>
  <cols>
    <col min="1" max="6" width="9.140625" style="31"/>
    <col min="7" max="7" width="16" style="31" customWidth="1"/>
    <col min="8" max="8" width="13" style="31" customWidth="1"/>
    <col min="9" max="9" width="16.5703125" style="31" bestFit="1" customWidth="1"/>
    <col min="10" max="10" width="10.5703125" style="31" customWidth="1"/>
    <col min="11" max="14" width="9.140625" style="31"/>
    <col min="15" max="15" width="11" style="31" customWidth="1"/>
    <col min="16" max="16384" width="9.140625" style="31"/>
  </cols>
  <sheetData>
    <row r="1" spans="3:22" x14ac:dyDescent="0.25">
      <c r="J1" s="84"/>
    </row>
    <row r="2" spans="3:22" ht="15.75" thickBot="1" x14ac:dyDescent="0.3">
      <c r="L2" s="637" t="s">
        <v>214</v>
      </c>
      <c r="M2" s="637"/>
      <c r="N2" s="637"/>
      <c r="O2" s="637"/>
      <c r="P2" s="637"/>
      <c r="Q2" s="637"/>
      <c r="R2" s="637"/>
    </row>
    <row r="3" spans="3:22" x14ac:dyDescent="0.25">
      <c r="C3" s="87"/>
      <c r="D3" s="12"/>
      <c r="E3" s="12"/>
      <c r="F3" s="12"/>
      <c r="G3" s="12"/>
      <c r="H3" s="88" t="s">
        <v>213</v>
      </c>
      <c r="I3" s="88"/>
      <c r="J3" s="89"/>
      <c r="L3" s="87"/>
      <c r="M3" s="12"/>
      <c r="N3" s="12"/>
      <c r="O3" s="12"/>
      <c r="P3" s="12"/>
      <c r="Q3" s="88" t="s">
        <v>213</v>
      </c>
      <c r="R3" s="88"/>
      <c r="S3" s="97"/>
    </row>
    <row r="4" spans="3:22" x14ac:dyDescent="0.25">
      <c r="C4" s="90" t="s">
        <v>215</v>
      </c>
      <c r="D4" s="91">
        <v>60000</v>
      </c>
      <c r="E4" s="1" t="s">
        <v>216</v>
      </c>
      <c r="F4" s="1"/>
      <c r="G4" s="1" t="s">
        <v>217</v>
      </c>
      <c r="H4" s="91">
        <v>4002</v>
      </c>
      <c r="I4" s="92" t="s">
        <v>218</v>
      </c>
      <c r="J4" s="93"/>
      <c r="L4" s="90" t="s">
        <v>215</v>
      </c>
      <c r="M4" s="91"/>
      <c r="N4" s="1" t="s">
        <v>216</v>
      </c>
      <c r="O4" s="1"/>
      <c r="P4" s="1" t="s">
        <v>217</v>
      </c>
      <c r="Q4" s="91"/>
      <c r="R4" s="92" t="s">
        <v>218</v>
      </c>
      <c r="S4" s="93"/>
    </row>
    <row r="5" spans="3:22" x14ac:dyDescent="0.25">
      <c r="C5" s="90" t="s">
        <v>215</v>
      </c>
      <c r="D5" s="248">
        <f>D4*0.95</f>
        <v>57000</v>
      </c>
      <c r="E5" s="1" t="s">
        <v>219</v>
      </c>
      <c r="F5" s="1"/>
      <c r="G5" s="1" t="s">
        <v>220</v>
      </c>
      <c r="H5" s="91">
        <v>3478</v>
      </c>
      <c r="I5" s="92" t="s">
        <v>218</v>
      </c>
      <c r="J5" s="93"/>
      <c r="L5" s="90" t="s">
        <v>215</v>
      </c>
      <c r="M5" s="248">
        <f>M4*0.95</f>
        <v>0</v>
      </c>
      <c r="N5" s="1" t="s">
        <v>219</v>
      </c>
      <c r="O5" s="1"/>
      <c r="P5" s="1" t="s">
        <v>222</v>
      </c>
      <c r="Q5" s="91"/>
      <c r="R5" s="92" t="s">
        <v>218</v>
      </c>
      <c r="S5" s="93"/>
    </row>
    <row r="6" spans="3:22" x14ac:dyDescent="0.25">
      <c r="C6" s="13"/>
      <c r="D6" s="1"/>
      <c r="E6" s="1"/>
      <c r="F6" s="1"/>
      <c r="G6" s="1" t="s">
        <v>221</v>
      </c>
      <c r="H6" s="91">
        <v>3677</v>
      </c>
      <c r="I6" s="92" t="s">
        <v>218</v>
      </c>
      <c r="J6" s="93"/>
      <c r="L6" s="13"/>
      <c r="M6" s="1"/>
      <c r="N6" s="1"/>
      <c r="O6" s="1"/>
      <c r="P6" s="1" t="s">
        <v>225</v>
      </c>
      <c r="Q6" s="91"/>
      <c r="R6" s="92" t="s">
        <v>218</v>
      </c>
      <c r="S6" s="93"/>
    </row>
    <row r="7" spans="3:22" x14ac:dyDescent="0.25">
      <c r="C7" s="90" t="s">
        <v>215</v>
      </c>
      <c r="D7" s="91">
        <v>380</v>
      </c>
      <c r="E7" s="1" t="s">
        <v>223</v>
      </c>
      <c r="F7" s="1"/>
      <c r="G7" s="1" t="s">
        <v>224</v>
      </c>
      <c r="H7" s="91">
        <v>3585</v>
      </c>
      <c r="I7" s="92" t="s">
        <v>218</v>
      </c>
      <c r="J7" s="93"/>
      <c r="L7" s="90" t="s">
        <v>215</v>
      </c>
      <c r="M7" s="91"/>
      <c r="N7" s="1" t="s">
        <v>223</v>
      </c>
      <c r="O7" s="1"/>
      <c r="P7" s="1" t="s">
        <v>226</v>
      </c>
      <c r="Q7" s="91"/>
      <c r="R7" s="92" t="s">
        <v>218</v>
      </c>
      <c r="S7" s="93"/>
    </row>
    <row r="8" spans="3:22" x14ac:dyDescent="0.25">
      <c r="C8" s="13"/>
      <c r="D8" s="1"/>
      <c r="E8" s="1"/>
      <c r="F8" s="1"/>
      <c r="G8" s="1"/>
      <c r="H8" s="1"/>
      <c r="I8" s="1"/>
      <c r="J8" s="93"/>
      <c r="L8" s="90"/>
      <c r="M8" s="91"/>
      <c r="N8" s="1"/>
      <c r="O8" s="1"/>
      <c r="P8" s="38" t="s">
        <v>228</v>
      </c>
      <c r="Q8" s="91"/>
      <c r="R8" s="92"/>
      <c r="S8" s="93"/>
    </row>
    <row r="9" spans="3:22" ht="15.75" thickBot="1" x14ac:dyDescent="0.3">
      <c r="C9" s="251">
        <v>245</v>
      </c>
      <c r="D9" s="226"/>
      <c r="E9" s="1"/>
      <c r="F9" s="1"/>
      <c r="G9" s="94" t="s">
        <v>357</v>
      </c>
      <c r="H9" s="95">
        <f>(H5*2+H6+H7)*2</f>
        <v>28436</v>
      </c>
      <c r="I9" s="244">
        <f>6404*2</f>
        <v>12808</v>
      </c>
      <c r="J9" s="93"/>
      <c r="L9" s="13"/>
      <c r="M9" s="1"/>
      <c r="N9" s="1"/>
      <c r="O9" s="1"/>
      <c r="P9" s="1"/>
      <c r="Q9" s="1"/>
      <c r="R9" s="1"/>
      <c r="S9" s="93"/>
    </row>
    <row r="10" spans="3:22" x14ac:dyDescent="0.25">
      <c r="C10" s="228" t="s">
        <v>360</v>
      </c>
      <c r="D10" s="227">
        <v>350</v>
      </c>
      <c r="E10" s="1"/>
      <c r="F10" s="1"/>
      <c r="G10" s="1"/>
      <c r="H10" s="1"/>
      <c r="I10" s="1"/>
      <c r="J10" s="93"/>
      <c r="L10" s="13"/>
      <c r="M10" s="1"/>
      <c r="N10" s="1"/>
      <c r="O10" s="1"/>
      <c r="P10" s="94" t="s">
        <v>227</v>
      </c>
      <c r="Q10" s="95">
        <f>SUM(Q4:Q8)*2</f>
        <v>0</v>
      </c>
      <c r="R10" s="1"/>
      <c r="S10" s="93"/>
      <c r="V10" s="31" t="s">
        <v>466</v>
      </c>
    </row>
    <row r="11" spans="3:22" x14ac:dyDescent="0.25">
      <c r="C11" s="13" t="s">
        <v>383</v>
      </c>
      <c r="D11" s="1">
        <v>280</v>
      </c>
      <c r="E11" s="1"/>
      <c r="F11" s="1"/>
      <c r="G11" s="94" t="s">
        <v>229</v>
      </c>
      <c r="H11" s="225">
        <f>D5-H9-D5*0.05</f>
        <v>25714</v>
      </c>
      <c r="I11" s="1" t="s">
        <v>359</v>
      </c>
      <c r="J11" s="93"/>
      <c r="L11" s="13"/>
      <c r="M11" s="1"/>
      <c r="N11" s="1"/>
      <c r="O11" s="1"/>
      <c r="P11" s="1"/>
      <c r="Q11" s="1"/>
      <c r="R11" s="1"/>
      <c r="S11" s="93"/>
    </row>
    <row r="12" spans="3:22" x14ac:dyDescent="0.25">
      <c r="C12" s="13"/>
      <c r="D12" s="1"/>
      <c r="E12" s="1"/>
      <c r="F12" s="1"/>
      <c r="G12" s="1"/>
      <c r="H12" s="1"/>
      <c r="I12" s="1"/>
      <c r="J12" s="93"/>
      <c r="L12" s="13"/>
      <c r="M12" s="1"/>
      <c r="N12" s="1"/>
      <c r="O12" s="1"/>
      <c r="P12" s="94" t="s">
        <v>229</v>
      </c>
      <c r="Q12" s="95">
        <f>M5-Q10-M5*0.1</f>
        <v>0</v>
      </c>
      <c r="R12" s="1" t="s">
        <v>230</v>
      </c>
      <c r="S12" s="93"/>
    </row>
    <row r="13" spans="3:22" x14ac:dyDescent="0.25">
      <c r="C13" s="13"/>
      <c r="D13" s="1"/>
      <c r="E13" s="1"/>
      <c r="F13" s="1"/>
      <c r="G13" s="94" t="s">
        <v>342</v>
      </c>
      <c r="H13" s="224">
        <f>H11/D7</f>
        <v>67.668421052631572</v>
      </c>
      <c r="I13" s="1" t="s">
        <v>250</v>
      </c>
      <c r="J13" s="93"/>
      <c r="L13" s="13"/>
      <c r="M13" s="1"/>
      <c r="N13" s="1"/>
      <c r="O13" s="1"/>
      <c r="P13" s="1"/>
      <c r="Q13" s="1"/>
      <c r="R13" s="1"/>
      <c r="S13" s="93"/>
    </row>
    <row r="14" spans="3:22" s="103" customFormat="1" x14ac:dyDescent="0.25">
      <c r="C14" s="13"/>
      <c r="D14" s="1"/>
      <c r="E14" s="1"/>
      <c r="F14" s="1"/>
      <c r="G14" s="94" t="s">
        <v>338</v>
      </c>
      <c r="H14" s="104">
        <f>H13/65*3600</f>
        <v>3747.78947368421</v>
      </c>
      <c r="I14" s="1" t="s">
        <v>251</v>
      </c>
      <c r="J14" s="93"/>
      <c r="L14" s="13"/>
      <c r="M14" s="1"/>
      <c r="N14" s="1"/>
      <c r="O14" s="1"/>
      <c r="P14" s="94" t="s">
        <v>231</v>
      </c>
      <c r="Q14" s="112" t="e">
        <f>Q12/M7</f>
        <v>#DIV/0!</v>
      </c>
      <c r="R14" s="1"/>
      <c r="S14" s="93"/>
    </row>
    <row r="15" spans="3:22" s="103" customFormat="1" x14ac:dyDescent="0.25">
      <c r="C15" s="13"/>
      <c r="D15" s="1"/>
      <c r="E15" s="1"/>
      <c r="F15" s="1"/>
      <c r="G15" s="94" t="s">
        <v>339</v>
      </c>
      <c r="H15" s="223">
        <f>H14+25</f>
        <v>3772.78947368421</v>
      </c>
      <c r="I15" s="38" t="s">
        <v>251</v>
      </c>
      <c r="J15" s="93"/>
      <c r="L15" s="13"/>
      <c r="M15" s="1"/>
      <c r="N15" s="1"/>
      <c r="O15" s="1"/>
      <c r="P15" s="1"/>
      <c r="Q15" s="1"/>
      <c r="R15" s="1"/>
      <c r="S15" s="93"/>
    </row>
    <row r="16" spans="3:22" ht="15.75" thickBot="1" x14ac:dyDescent="0.3">
      <c r="C16" s="15"/>
      <c r="D16" s="16"/>
      <c r="E16" s="16"/>
      <c r="F16" s="668" t="s">
        <v>351</v>
      </c>
      <c r="G16" s="668"/>
      <c r="H16" s="668"/>
      <c r="I16" s="668"/>
      <c r="J16" s="669"/>
      <c r="L16" s="15"/>
      <c r="M16" s="16"/>
      <c r="N16" s="16"/>
      <c r="O16" s="16"/>
      <c r="P16" s="98"/>
      <c r="Q16" s="98"/>
      <c r="R16" s="16"/>
      <c r="S16" s="96"/>
    </row>
    <row r="17" spans="2:19" s="103" customFormat="1" x14ac:dyDescent="0.25">
      <c r="C17" s="1"/>
      <c r="D17" s="1"/>
      <c r="E17" s="1"/>
      <c r="F17" s="1"/>
      <c r="G17" s="1"/>
      <c r="H17" s="1"/>
      <c r="I17" s="1"/>
      <c r="J17" s="1"/>
      <c r="L17" s="1"/>
      <c r="M17" s="1"/>
      <c r="N17" s="1"/>
      <c r="O17" s="1"/>
      <c r="P17" s="94"/>
      <c r="Q17" s="94"/>
      <c r="R17" s="1"/>
      <c r="S17" s="1"/>
    </row>
    <row r="18" spans="2:19" s="103" customFormat="1" x14ac:dyDescent="0.25">
      <c r="C18" s="1"/>
      <c r="D18" s="667" t="s">
        <v>258</v>
      </c>
      <c r="E18" s="667"/>
      <c r="F18" s="667"/>
      <c r="G18" s="667"/>
      <c r="H18" s="667"/>
      <c r="I18" s="667"/>
      <c r="J18" s="1"/>
      <c r="L18" s="1"/>
      <c r="M18" s="1"/>
      <c r="N18" s="1"/>
      <c r="O18" s="1"/>
      <c r="P18" s="94"/>
      <c r="Q18" s="94"/>
      <c r="R18" s="1"/>
      <c r="S18" s="1"/>
    </row>
    <row r="19" spans="2:19" s="103" customFormat="1" x14ac:dyDescent="0.25">
      <c r="C19" s="1"/>
      <c r="D19" s="106" t="s">
        <v>252</v>
      </c>
      <c r="E19" s="106" t="s">
        <v>254</v>
      </c>
      <c r="F19" s="106" t="s">
        <v>358</v>
      </c>
      <c r="G19" s="106" t="s">
        <v>255</v>
      </c>
      <c r="H19" s="111" t="s">
        <v>256</v>
      </c>
      <c r="I19" s="111" t="s">
        <v>257</v>
      </c>
      <c r="J19" s="1"/>
      <c r="L19" s="1"/>
      <c r="M19" s="1"/>
      <c r="N19" s="1"/>
      <c r="O19" s="1"/>
      <c r="P19" s="94"/>
      <c r="Q19" s="94"/>
      <c r="R19" s="94"/>
      <c r="S19" s="1"/>
    </row>
    <row r="20" spans="2:19" s="103" customFormat="1" x14ac:dyDescent="0.25">
      <c r="B20" s="666" t="s">
        <v>253</v>
      </c>
      <c r="C20" s="109" t="s">
        <v>340</v>
      </c>
      <c r="D20" s="105">
        <f>ROUND(H15,0)</f>
        <v>3773</v>
      </c>
      <c r="E20" s="103">
        <v>65</v>
      </c>
      <c r="F20" s="103">
        <v>0</v>
      </c>
      <c r="G20" s="103">
        <v>1</v>
      </c>
      <c r="H20" s="103">
        <v>0</v>
      </c>
      <c r="J20" s="108"/>
      <c r="L20" s="165"/>
      <c r="M20" s="165"/>
      <c r="N20" s="165"/>
      <c r="O20" s="165"/>
      <c r="P20" s="165"/>
      <c r="Q20" s="165"/>
      <c r="R20" s="165"/>
      <c r="S20" s="1"/>
    </row>
    <row r="21" spans="2:19" x14ac:dyDescent="0.25">
      <c r="B21" s="666"/>
      <c r="C21" s="110">
        <v>20</v>
      </c>
      <c r="D21" s="105">
        <f>C21+D20</f>
        <v>3793</v>
      </c>
      <c r="E21" s="103">
        <v>0</v>
      </c>
      <c r="F21" s="103">
        <v>0</v>
      </c>
      <c r="G21" s="103">
        <v>1</v>
      </c>
      <c r="H21" s="103">
        <v>0</v>
      </c>
      <c r="I21" s="103"/>
      <c r="J21" s="108"/>
      <c r="L21" s="165">
        <v>610</v>
      </c>
      <c r="M21" s="165">
        <v>65</v>
      </c>
      <c r="N21" s="165">
        <v>0</v>
      </c>
      <c r="O21" s="165">
        <v>1</v>
      </c>
      <c r="P21" s="165">
        <v>0</v>
      </c>
      <c r="Q21" s="165"/>
      <c r="R21" s="165"/>
    </row>
    <row r="22" spans="2:19" x14ac:dyDescent="0.25">
      <c r="B22" s="666"/>
      <c r="C22" s="110">
        <v>4</v>
      </c>
      <c r="D22" s="105">
        <f t="shared" ref="D22:D28" si="0">C22+D21</f>
        <v>3797</v>
      </c>
      <c r="E22" s="103">
        <v>0</v>
      </c>
      <c r="F22" s="103">
        <v>0</v>
      </c>
      <c r="G22" s="103">
        <v>1</v>
      </c>
      <c r="H22" s="103">
        <v>0</v>
      </c>
      <c r="I22" s="103"/>
      <c r="J22" s="108"/>
      <c r="L22" s="165">
        <v>630</v>
      </c>
      <c r="M22" s="165">
        <v>0</v>
      </c>
      <c r="N22" s="165">
        <v>0</v>
      </c>
      <c r="O22" s="165">
        <v>1</v>
      </c>
      <c r="P22" s="165">
        <v>0</v>
      </c>
      <c r="Q22" s="165"/>
      <c r="R22" s="165"/>
    </row>
    <row r="23" spans="2:19" x14ac:dyDescent="0.25">
      <c r="B23" s="666"/>
      <c r="C23" s="110">
        <v>1</v>
      </c>
      <c r="D23" s="105">
        <f t="shared" si="0"/>
        <v>3798</v>
      </c>
      <c r="E23" s="103">
        <v>0</v>
      </c>
      <c r="F23" s="103">
        <v>0</v>
      </c>
      <c r="G23" s="103">
        <v>0</v>
      </c>
      <c r="H23" s="103">
        <v>0</v>
      </c>
      <c r="I23" s="103"/>
      <c r="J23" s="108"/>
      <c r="L23" s="165">
        <v>634</v>
      </c>
      <c r="M23" s="165">
        <v>0</v>
      </c>
      <c r="N23" s="165">
        <v>0</v>
      </c>
      <c r="O23" s="165">
        <v>1</v>
      </c>
      <c r="P23" s="165">
        <v>0</v>
      </c>
      <c r="Q23" s="165"/>
      <c r="R23" s="165"/>
    </row>
    <row r="24" spans="2:19" x14ac:dyDescent="0.25">
      <c r="B24" s="666"/>
      <c r="C24" s="110">
        <v>1</v>
      </c>
      <c r="D24" s="105">
        <f t="shared" si="0"/>
        <v>3799</v>
      </c>
      <c r="E24" s="103">
        <v>0</v>
      </c>
      <c r="F24" s="103">
        <v>0</v>
      </c>
      <c r="G24" s="38">
        <v>0</v>
      </c>
      <c r="H24" s="103">
        <v>0</v>
      </c>
      <c r="I24" s="103"/>
      <c r="J24" s="108"/>
      <c r="L24" s="165">
        <v>635</v>
      </c>
      <c r="M24" s="165">
        <v>0</v>
      </c>
      <c r="N24" s="165">
        <v>0</v>
      </c>
      <c r="O24" s="165">
        <v>0</v>
      </c>
      <c r="P24" s="165">
        <v>0</v>
      </c>
      <c r="Q24" s="165"/>
      <c r="R24" s="165"/>
    </row>
    <row r="25" spans="2:19" x14ac:dyDescent="0.25">
      <c r="B25" s="666"/>
      <c r="C25" s="110">
        <v>1</v>
      </c>
      <c r="D25" s="105">
        <f t="shared" si="0"/>
        <v>3800</v>
      </c>
      <c r="E25" s="103">
        <v>0</v>
      </c>
      <c r="F25" s="103">
        <v>0</v>
      </c>
      <c r="G25" s="103">
        <v>0</v>
      </c>
      <c r="H25" s="103">
        <v>0</v>
      </c>
      <c r="I25" s="103"/>
      <c r="J25" s="108"/>
      <c r="L25" s="165">
        <v>636</v>
      </c>
      <c r="M25" s="165">
        <v>0</v>
      </c>
      <c r="N25" s="165">
        <v>0</v>
      </c>
      <c r="O25" s="165">
        <v>2</v>
      </c>
      <c r="P25" s="165">
        <v>0</v>
      </c>
      <c r="Q25" s="165" t="s">
        <v>311</v>
      </c>
      <c r="R25" s="165"/>
    </row>
    <row r="26" spans="2:19" x14ac:dyDescent="0.25">
      <c r="B26" s="666"/>
      <c r="C26" s="110">
        <v>3</v>
      </c>
      <c r="D26" s="105">
        <f t="shared" si="0"/>
        <v>3803</v>
      </c>
      <c r="E26" s="103">
        <v>0</v>
      </c>
      <c r="F26" s="103">
        <v>0</v>
      </c>
      <c r="G26" s="103">
        <v>0</v>
      </c>
      <c r="H26" s="103">
        <v>0</v>
      </c>
      <c r="I26" s="103"/>
      <c r="J26" s="108"/>
      <c r="L26" s="165">
        <v>637</v>
      </c>
      <c r="M26" s="165">
        <v>0</v>
      </c>
      <c r="N26" s="165">
        <v>0</v>
      </c>
      <c r="O26" s="165">
        <v>0</v>
      </c>
      <c r="P26" s="165">
        <v>0</v>
      </c>
      <c r="Q26" s="165"/>
      <c r="R26" s="165"/>
    </row>
    <row r="27" spans="2:19" x14ac:dyDescent="0.25">
      <c r="B27" s="666"/>
      <c r="C27" s="110">
        <v>89</v>
      </c>
      <c r="D27" s="105">
        <f t="shared" si="0"/>
        <v>3892</v>
      </c>
      <c r="E27" s="103">
        <v>0</v>
      </c>
      <c r="F27" s="103">
        <v>0</v>
      </c>
      <c r="G27" s="103">
        <v>0</v>
      </c>
      <c r="H27" s="103">
        <v>0</v>
      </c>
      <c r="I27" s="103"/>
      <c r="J27" s="108"/>
      <c r="L27" s="165">
        <v>640</v>
      </c>
      <c r="M27" s="165">
        <v>0</v>
      </c>
      <c r="N27" s="165">
        <v>0</v>
      </c>
      <c r="O27" s="165">
        <v>0</v>
      </c>
      <c r="P27" s="165">
        <v>0</v>
      </c>
      <c r="Q27" s="165"/>
      <c r="R27" s="165"/>
    </row>
    <row r="28" spans="2:19" x14ac:dyDescent="0.25">
      <c r="B28" s="666"/>
      <c r="C28" s="110">
        <v>1</v>
      </c>
      <c r="D28" s="105">
        <f t="shared" si="0"/>
        <v>3893</v>
      </c>
      <c r="E28" s="103">
        <v>0</v>
      </c>
      <c r="F28" s="103">
        <v>0</v>
      </c>
      <c r="G28" s="103">
        <v>3</v>
      </c>
      <c r="H28" s="103">
        <v>0</v>
      </c>
      <c r="I28" s="103"/>
      <c r="J28" s="108"/>
      <c r="L28" s="165">
        <v>729</v>
      </c>
      <c r="M28" s="165">
        <v>0</v>
      </c>
      <c r="N28" s="165">
        <v>0</v>
      </c>
      <c r="O28" s="165">
        <v>0</v>
      </c>
      <c r="P28" s="165">
        <v>0</v>
      </c>
      <c r="Q28" s="165"/>
      <c r="R28" s="165"/>
    </row>
    <row r="29" spans="2:19" x14ac:dyDescent="0.25">
      <c r="D29" s="107"/>
      <c r="E29" s="107"/>
      <c r="F29" s="107"/>
      <c r="G29" s="107"/>
      <c r="H29" s="107"/>
      <c r="I29" s="107"/>
      <c r="L29" s="165">
        <v>730</v>
      </c>
      <c r="M29" s="165">
        <v>0</v>
      </c>
      <c r="N29" s="165">
        <v>0</v>
      </c>
      <c r="O29" s="165">
        <v>3</v>
      </c>
      <c r="P29" s="165">
        <v>0</v>
      </c>
      <c r="Q29" s="165"/>
      <c r="R29" s="165"/>
    </row>
    <row r="30" spans="2:19" x14ac:dyDescent="0.25">
      <c r="L30" s="165">
        <v>731</v>
      </c>
      <c r="M30" s="165">
        <v>0</v>
      </c>
      <c r="N30" s="165">
        <v>0</v>
      </c>
      <c r="O30" s="165">
        <v>3</v>
      </c>
      <c r="P30" s="165">
        <v>0</v>
      </c>
      <c r="Q30" s="165"/>
      <c r="R30" s="165"/>
    </row>
    <row r="31" spans="2:19" x14ac:dyDescent="0.25">
      <c r="L31" s="165">
        <v>732</v>
      </c>
      <c r="M31" s="165">
        <v>0</v>
      </c>
      <c r="N31" s="165">
        <v>0</v>
      </c>
      <c r="O31" s="165">
        <v>3</v>
      </c>
      <c r="P31" s="165">
        <v>0</v>
      </c>
      <c r="Q31" s="165"/>
      <c r="R31" s="165"/>
    </row>
    <row r="32" spans="2:19" x14ac:dyDescent="0.25">
      <c r="L32" s="165">
        <v>733</v>
      </c>
      <c r="M32" s="165">
        <v>0</v>
      </c>
      <c r="N32" s="165">
        <v>0</v>
      </c>
      <c r="O32" s="165">
        <v>3</v>
      </c>
      <c r="P32" s="165">
        <v>0</v>
      </c>
      <c r="Q32" s="165"/>
      <c r="R32" s="165"/>
    </row>
    <row r="33" spans="8:18" ht="14.45" customHeight="1" x14ac:dyDescent="0.25">
      <c r="H33" s="214"/>
      <c r="L33" s="165">
        <v>734</v>
      </c>
      <c r="M33" s="165">
        <v>0</v>
      </c>
      <c r="N33" s="165">
        <v>0</v>
      </c>
      <c r="O33" s="165">
        <v>3</v>
      </c>
      <c r="P33" s="165">
        <v>0</v>
      </c>
      <c r="Q33" s="114"/>
      <c r="R33" s="114"/>
    </row>
  </sheetData>
  <mergeCells count="4">
    <mergeCell ref="L2:R2"/>
    <mergeCell ref="B20:B28"/>
    <mergeCell ref="D18:I18"/>
    <mergeCell ref="F16:J16"/>
  </mergeCells>
  <hyperlinks>
    <hyperlink ref="F16" r:id="rId1" display="Click here for a link to the No-Soak MCT 55mph &amp; US06 test folder"/>
    <hyperlink ref="F16:J16" r:id="rId2" display="Click here for a link to the No-Soak MCT 55-65mph &amp; US06 test folder"/>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S25"/>
  <sheetViews>
    <sheetView workbookViewId="0">
      <selection activeCell="G31" sqref="G31"/>
    </sheetView>
  </sheetViews>
  <sheetFormatPr defaultRowHeight="15" x14ac:dyDescent="0.25"/>
  <cols>
    <col min="1" max="1" width="8.85546875" style="114"/>
    <col min="2" max="2" width="11.140625" bestFit="1" customWidth="1"/>
    <col min="3" max="3" width="11.140625" style="114" customWidth="1"/>
    <col min="4" max="4" width="14.5703125" customWidth="1"/>
    <col min="5" max="5" width="9.5703125" style="114" customWidth="1"/>
    <col min="6" max="6" width="11.5703125" style="114" bestFit="1" customWidth="1"/>
    <col min="7" max="12" width="9.5703125" style="114" customWidth="1"/>
    <col min="13" max="13" width="8.85546875" style="114"/>
    <col min="14" max="14" width="11.140625" bestFit="1" customWidth="1"/>
    <col min="15" max="17" width="11.140625" style="114" customWidth="1"/>
    <col min="18" max="18" width="11.5703125" style="114" bestFit="1" customWidth="1"/>
    <col min="19" max="19" width="10.5703125" customWidth="1"/>
    <col min="20" max="20" width="9.5703125" customWidth="1"/>
    <col min="21" max="21" width="7.42578125" bestFit="1" customWidth="1"/>
  </cols>
  <sheetData>
    <row r="2" spans="1:19" s="114" customFormat="1" x14ac:dyDescent="0.25"/>
    <row r="3" spans="1:19" s="114" customFormat="1" x14ac:dyDescent="0.25"/>
    <row r="5" spans="1:19" s="114" customFormat="1" x14ac:dyDescent="0.25"/>
    <row r="7" spans="1:19" s="114" customFormat="1" x14ac:dyDescent="0.25"/>
    <row r="8" spans="1:19" x14ac:dyDescent="0.25">
      <c r="C8" s="637" t="s">
        <v>264</v>
      </c>
      <c r="D8" s="637"/>
      <c r="E8" s="637" t="s">
        <v>266</v>
      </c>
      <c r="F8" s="637"/>
      <c r="G8" s="637" t="s">
        <v>267</v>
      </c>
      <c r="H8" s="637"/>
      <c r="I8" s="637" t="s">
        <v>268</v>
      </c>
      <c r="J8" s="637"/>
      <c r="K8" s="637" t="s">
        <v>269</v>
      </c>
      <c r="L8" s="637"/>
      <c r="M8" s="637" t="s">
        <v>270</v>
      </c>
      <c r="N8" s="637"/>
      <c r="O8" s="637" t="s">
        <v>271</v>
      </c>
      <c r="P8" s="637"/>
      <c r="Q8" s="637" t="s">
        <v>272</v>
      </c>
      <c r="R8" s="637"/>
    </row>
    <row r="9" spans="1:19" ht="29.1" customHeight="1" thickBot="1" x14ac:dyDescent="0.3">
      <c r="C9" s="114" t="s">
        <v>0</v>
      </c>
      <c r="D9" s="8" t="s">
        <v>265</v>
      </c>
      <c r="E9" s="114" t="s">
        <v>0</v>
      </c>
      <c r="F9" s="8" t="s">
        <v>265</v>
      </c>
      <c r="G9" s="114" t="s">
        <v>0</v>
      </c>
      <c r="H9" s="8" t="s">
        <v>265</v>
      </c>
      <c r="I9" s="114" t="s">
        <v>0</v>
      </c>
      <c r="J9" s="8" t="s">
        <v>265</v>
      </c>
      <c r="K9" s="114" t="s">
        <v>0</v>
      </c>
      <c r="L9" s="8" t="s">
        <v>265</v>
      </c>
      <c r="M9" s="114" t="s">
        <v>0</v>
      </c>
      <c r="N9" s="8" t="s">
        <v>265</v>
      </c>
      <c r="O9" s="114" t="s">
        <v>0</v>
      </c>
      <c r="P9" s="8" t="s">
        <v>265</v>
      </c>
      <c r="Q9" s="114" t="s">
        <v>0</v>
      </c>
      <c r="R9" s="8" t="s">
        <v>265</v>
      </c>
      <c r="S9" s="114"/>
    </row>
    <row r="10" spans="1:19" x14ac:dyDescent="0.25">
      <c r="A10" s="670" t="s">
        <v>262</v>
      </c>
      <c r="B10" s="118">
        <v>0</v>
      </c>
      <c r="C10" s="87"/>
      <c r="D10" s="12">
        <v>5</v>
      </c>
      <c r="E10" s="12"/>
      <c r="F10" s="12"/>
      <c r="G10" s="12"/>
      <c r="H10" s="12"/>
      <c r="I10" s="12"/>
      <c r="J10" s="12"/>
      <c r="K10" s="12"/>
      <c r="L10" s="12"/>
      <c r="M10" s="12"/>
      <c r="N10" s="12">
        <v>15</v>
      </c>
      <c r="O10" s="12"/>
      <c r="P10" s="12"/>
      <c r="Q10" s="12"/>
      <c r="R10" s="97">
        <v>55</v>
      </c>
    </row>
    <row r="11" spans="1:19" x14ac:dyDescent="0.25">
      <c r="A11" s="670"/>
      <c r="B11" s="118" t="s">
        <v>261</v>
      </c>
      <c r="C11" s="13"/>
      <c r="D11" s="1">
        <v>10</v>
      </c>
      <c r="E11" s="1"/>
      <c r="F11" s="1"/>
      <c r="G11" s="1"/>
      <c r="H11" s="1"/>
      <c r="I11" s="1"/>
      <c r="J11" s="1"/>
      <c r="K11" s="1"/>
      <c r="L11" s="1"/>
      <c r="M11" s="1"/>
      <c r="N11" s="1">
        <v>20</v>
      </c>
      <c r="O11" s="1"/>
      <c r="P11" s="1"/>
      <c r="Q11" s="1"/>
      <c r="R11" s="93">
        <v>60</v>
      </c>
    </row>
    <row r="12" spans="1:19" x14ac:dyDescent="0.25">
      <c r="A12" s="670"/>
      <c r="B12" s="118" t="s">
        <v>248</v>
      </c>
      <c r="C12" s="13"/>
      <c r="D12" s="1">
        <v>15</v>
      </c>
      <c r="E12" s="1"/>
      <c r="F12" s="1"/>
      <c r="G12" s="1"/>
      <c r="H12" s="1"/>
      <c r="I12" s="1"/>
      <c r="J12" s="1"/>
      <c r="K12" s="1"/>
      <c r="L12" s="1"/>
      <c r="M12" s="1"/>
      <c r="N12" s="1">
        <v>25</v>
      </c>
      <c r="O12" s="1"/>
      <c r="P12" s="1"/>
      <c r="Q12" s="1"/>
      <c r="R12" s="93">
        <v>65</v>
      </c>
    </row>
    <row r="13" spans="1:19" x14ac:dyDescent="0.25">
      <c r="A13" s="670"/>
      <c r="B13" s="118">
        <v>72</v>
      </c>
      <c r="C13" s="13"/>
      <c r="D13" s="1">
        <v>20</v>
      </c>
      <c r="E13" s="1"/>
      <c r="F13" s="1"/>
      <c r="G13" s="1"/>
      <c r="H13" s="1"/>
      <c r="I13" s="1"/>
      <c r="J13" s="1"/>
      <c r="K13" s="1"/>
      <c r="L13" s="1"/>
      <c r="M13" s="1"/>
      <c r="N13" s="1">
        <v>30</v>
      </c>
      <c r="O13" s="1"/>
      <c r="P13" s="1"/>
      <c r="Q13" s="1"/>
      <c r="R13" s="93">
        <v>70</v>
      </c>
    </row>
    <row r="14" spans="1:19" x14ac:dyDescent="0.25">
      <c r="A14" s="670"/>
      <c r="B14" s="118">
        <v>95</v>
      </c>
      <c r="C14" s="13"/>
      <c r="D14" s="1">
        <v>25</v>
      </c>
      <c r="E14" s="1"/>
      <c r="F14" s="1"/>
      <c r="G14" s="1"/>
      <c r="H14" s="1"/>
      <c r="I14" s="1"/>
      <c r="J14" s="1"/>
      <c r="K14" s="1"/>
      <c r="L14" s="1"/>
      <c r="M14" s="1"/>
      <c r="N14" s="1">
        <v>35</v>
      </c>
      <c r="O14" s="1"/>
      <c r="P14" s="1"/>
      <c r="Q14" s="1"/>
      <c r="R14" s="93">
        <v>75</v>
      </c>
    </row>
    <row r="15" spans="1:19" ht="15.75" thickBot="1" x14ac:dyDescent="0.3">
      <c r="A15" s="670"/>
      <c r="B15" s="118" t="s">
        <v>260</v>
      </c>
      <c r="C15" s="15"/>
      <c r="D15" s="16">
        <v>30</v>
      </c>
      <c r="E15" s="16"/>
      <c r="F15" s="16"/>
      <c r="G15" s="16"/>
      <c r="H15" s="16"/>
      <c r="I15" s="16"/>
      <c r="J15" s="16"/>
      <c r="K15" s="16"/>
      <c r="L15" s="16"/>
      <c r="M15" s="16"/>
      <c r="N15" s="16">
        <v>40</v>
      </c>
      <c r="O15" s="16"/>
      <c r="P15" s="16"/>
      <c r="Q15" s="16"/>
      <c r="R15" s="96">
        <v>80</v>
      </c>
    </row>
    <row r="18" spans="1:18" s="114" customFormat="1" x14ac:dyDescent="0.25">
      <c r="C18" s="637" t="s">
        <v>57</v>
      </c>
      <c r="D18" s="637"/>
      <c r="E18" s="117"/>
      <c r="F18" s="117"/>
      <c r="G18" s="117"/>
      <c r="H18" s="117"/>
      <c r="I18" s="117"/>
      <c r="J18" s="117"/>
      <c r="K18" s="117"/>
      <c r="L18" s="117"/>
      <c r="M18" s="637" t="s">
        <v>55</v>
      </c>
      <c r="N18" s="637"/>
      <c r="O18" s="117"/>
      <c r="P18" s="117"/>
      <c r="Q18" s="637" t="s">
        <v>210</v>
      </c>
      <c r="R18" s="637"/>
    </row>
    <row r="19" spans="1:18" s="114" customFormat="1" ht="15.75" thickBot="1" x14ac:dyDescent="0.3">
      <c r="C19" s="114" t="s">
        <v>0</v>
      </c>
      <c r="D19" s="114" t="s">
        <v>263</v>
      </c>
      <c r="M19" s="114" t="s">
        <v>0</v>
      </c>
      <c r="N19" s="114" t="s">
        <v>263</v>
      </c>
      <c r="Q19" s="114" t="s">
        <v>0</v>
      </c>
      <c r="R19" s="114" t="s">
        <v>263</v>
      </c>
    </row>
    <row r="20" spans="1:18" s="114" customFormat="1" x14ac:dyDescent="0.25">
      <c r="A20" s="670" t="s">
        <v>262</v>
      </c>
      <c r="B20" s="118">
        <v>0</v>
      </c>
      <c r="C20" s="87"/>
      <c r="D20" s="12">
        <v>5</v>
      </c>
      <c r="E20" s="12"/>
      <c r="F20" s="12"/>
      <c r="G20" s="12"/>
      <c r="H20" s="12"/>
      <c r="I20" s="12"/>
      <c r="J20" s="12"/>
      <c r="K20" s="12"/>
      <c r="L20" s="12"/>
      <c r="M20" s="12"/>
      <c r="N20" s="12">
        <v>15</v>
      </c>
      <c r="O20" s="12"/>
      <c r="P20" s="12"/>
      <c r="Q20" s="12"/>
      <c r="R20" s="97">
        <v>55</v>
      </c>
    </row>
    <row r="21" spans="1:18" s="114" customFormat="1" x14ac:dyDescent="0.25">
      <c r="A21" s="670"/>
      <c r="B21" s="118" t="s">
        <v>261</v>
      </c>
      <c r="C21" s="13"/>
      <c r="D21" s="1">
        <v>10</v>
      </c>
      <c r="E21" s="1"/>
      <c r="F21" s="1"/>
      <c r="G21" s="1"/>
      <c r="H21" s="1"/>
      <c r="I21" s="1"/>
      <c r="J21" s="1"/>
      <c r="K21" s="1"/>
      <c r="L21" s="1"/>
      <c r="M21" s="1"/>
      <c r="N21" s="1">
        <v>20</v>
      </c>
      <c r="O21" s="1"/>
      <c r="P21" s="1"/>
      <c r="Q21" s="1"/>
      <c r="R21" s="93">
        <v>60</v>
      </c>
    </row>
    <row r="22" spans="1:18" s="114" customFormat="1" x14ac:dyDescent="0.25">
      <c r="A22" s="670"/>
      <c r="B22" s="118" t="s">
        <v>248</v>
      </c>
      <c r="C22" s="13"/>
      <c r="D22" s="1">
        <v>15</v>
      </c>
      <c r="E22" s="1"/>
      <c r="F22" s="1"/>
      <c r="G22" s="1"/>
      <c r="H22" s="1"/>
      <c r="I22" s="1"/>
      <c r="J22" s="1"/>
      <c r="K22" s="1"/>
      <c r="L22" s="1"/>
      <c r="M22" s="1"/>
      <c r="N22" s="1">
        <v>25</v>
      </c>
      <c r="O22" s="1"/>
      <c r="P22" s="1"/>
      <c r="Q22" s="1"/>
      <c r="R22" s="93">
        <v>65</v>
      </c>
    </row>
    <row r="23" spans="1:18" s="114" customFormat="1" x14ac:dyDescent="0.25">
      <c r="A23" s="670"/>
      <c r="B23" s="118">
        <v>72</v>
      </c>
      <c r="C23" s="13"/>
      <c r="D23" s="1">
        <v>20</v>
      </c>
      <c r="E23" s="1"/>
      <c r="F23" s="1"/>
      <c r="G23" s="1"/>
      <c r="H23" s="1"/>
      <c r="I23" s="1"/>
      <c r="J23" s="1"/>
      <c r="K23" s="1"/>
      <c r="L23" s="1"/>
      <c r="M23" s="1"/>
      <c r="N23" s="1">
        <v>30</v>
      </c>
      <c r="O23" s="1"/>
      <c r="P23" s="1"/>
      <c r="Q23" s="1"/>
      <c r="R23" s="93">
        <v>70</v>
      </c>
    </row>
    <row r="24" spans="1:18" s="114" customFormat="1" x14ac:dyDescent="0.25">
      <c r="A24" s="670"/>
      <c r="B24" s="118">
        <v>95</v>
      </c>
      <c r="C24" s="13"/>
      <c r="D24" s="1">
        <v>25</v>
      </c>
      <c r="E24" s="1"/>
      <c r="F24" s="1"/>
      <c r="G24" s="1"/>
      <c r="H24" s="1"/>
      <c r="I24" s="1"/>
      <c r="J24" s="1"/>
      <c r="K24" s="1"/>
      <c r="L24" s="1"/>
      <c r="M24" s="1"/>
      <c r="N24" s="1">
        <v>35</v>
      </c>
      <c r="O24" s="1"/>
      <c r="P24" s="1"/>
      <c r="Q24" s="1"/>
      <c r="R24" s="93">
        <v>75</v>
      </c>
    </row>
    <row r="25" spans="1:18" s="114" customFormat="1" ht="15.75" thickBot="1" x14ac:dyDescent="0.3">
      <c r="A25" s="670"/>
      <c r="B25" s="118" t="s">
        <v>260</v>
      </c>
      <c r="C25" s="15"/>
      <c r="D25" s="16">
        <v>30</v>
      </c>
      <c r="E25" s="16"/>
      <c r="F25" s="16"/>
      <c r="G25" s="16"/>
      <c r="H25" s="16"/>
      <c r="I25" s="16"/>
      <c r="J25" s="16"/>
      <c r="K25" s="16"/>
      <c r="L25" s="16"/>
      <c r="M25" s="16"/>
      <c r="N25" s="16">
        <v>40</v>
      </c>
      <c r="O25" s="16"/>
      <c r="P25" s="16"/>
      <c r="Q25" s="16"/>
      <c r="R25" s="96">
        <v>80</v>
      </c>
    </row>
  </sheetData>
  <mergeCells count="13">
    <mergeCell ref="M18:N18"/>
    <mergeCell ref="Q18:R18"/>
    <mergeCell ref="O8:P8"/>
    <mergeCell ref="A10:A15"/>
    <mergeCell ref="Q8:R8"/>
    <mergeCell ref="M8:N8"/>
    <mergeCell ref="C8:D8"/>
    <mergeCell ref="A20:A25"/>
    <mergeCell ref="E8:F8"/>
    <mergeCell ref="G8:H8"/>
    <mergeCell ref="I8:J8"/>
    <mergeCell ref="K8:L8"/>
    <mergeCell ref="C18:D1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Q93"/>
  <sheetViews>
    <sheetView workbookViewId="0">
      <selection activeCell="D1" sqref="D1"/>
    </sheetView>
  </sheetViews>
  <sheetFormatPr defaultColWidth="8.85546875" defaultRowHeight="15" x14ac:dyDescent="0.25"/>
  <cols>
    <col min="1" max="1" width="32.85546875" style="31" customWidth="1"/>
    <col min="2" max="2" width="20.42578125" style="31" customWidth="1"/>
    <col min="3" max="4" width="8.85546875" style="31"/>
    <col min="5" max="5" width="9" style="31" customWidth="1"/>
    <col min="6" max="11" width="8.85546875" style="31"/>
    <col min="12" max="12" width="10.5703125" style="31" customWidth="1"/>
    <col min="13" max="13" width="8.85546875" style="31"/>
    <col min="14" max="14" width="10.42578125" style="31" customWidth="1"/>
    <col min="15" max="16384" width="8.85546875" style="31"/>
  </cols>
  <sheetData>
    <row r="1" spans="1:17" x14ac:dyDescent="0.25">
      <c r="A1" s="671" t="s">
        <v>980</v>
      </c>
      <c r="B1" s="671"/>
      <c r="C1" s="71" t="s">
        <v>212</v>
      </c>
      <c r="D1" s="590">
        <v>62008047</v>
      </c>
    </row>
    <row r="2" spans="1:17" ht="30" x14ac:dyDescent="0.25">
      <c r="A2" s="70"/>
      <c r="B2" s="69" t="s">
        <v>197</v>
      </c>
      <c r="C2" s="69" t="s">
        <v>196</v>
      </c>
      <c r="D2" s="69" t="s">
        <v>203</v>
      </c>
    </row>
    <row r="3" spans="1:17" x14ac:dyDescent="0.25">
      <c r="A3" s="68" t="s">
        <v>202</v>
      </c>
      <c r="B3" s="42"/>
      <c r="C3" s="42"/>
      <c r="D3" s="67"/>
    </row>
    <row r="4" spans="1:17" x14ac:dyDescent="0.25">
      <c r="A4" s="66" t="s">
        <v>201</v>
      </c>
      <c r="B4" s="65"/>
      <c r="C4" s="65"/>
      <c r="D4" s="64"/>
    </row>
    <row r="5" spans="1:17" ht="15.75" thickBot="1" x14ac:dyDescent="0.3">
      <c r="A5" s="590"/>
      <c r="B5" s="590"/>
      <c r="E5" s="672" t="s">
        <v>200</v>
      </c>
      <c r="F5" s="672"/>
      <c r="G5" s="672"/>
      <c r="H5" s="672"/>
      <c r="I5" s="672"/>
    </row>
    <row r="6" spans="1:17" s="51" customFormat="1" ht="75.75" thickBot="1" x14ac:dyDescent="0.3">
      <c r="A6" s="63" t="s">
        <v>199</v>
      </c>
      <c r="B6" s="62" t="s">
        <v>198</v>
      </c>
      <c r="C6" s="61" t="s">
        <v>197</v>
      </c>
      <c r="D6" s="60" t="s">
        <v>196</v>
      </c>
      <c r="E6" s="60" t="s">
        <v>195</v>
      </c>
      <c r="F6" s="60" t="s">
        <v>194</v>
      </c>
      <c r="G6" s="60" t="s">
        <v>193</v>
      </c>
      <c r="H6" s="60" t="s">
        <v>192</v>
      </c>
      <c r="I6" s="59" t="s">
        <v>191</v>
      </c>
      <c r="J6" s="58" t="s">
        <v>190</v>
      </c>
      <c r="K6" s="57" t="s">
        <v>189</v>
      </c>
      <c r="L6" s="56" t="s">
        <v>188</v>
      </c>
      <c r="M6" s="55" t="s">
        <v>187</v>
      </c>
      <c r="N6" s="54" t="s">
        <v>186</v>
      </c>
      <c r="O6" s="53" t="s">
        <v>185</v>
      </c>
      <c r="P6" s="53" t="s">
        <v>184</v>
      </c>
      <c r="Q6" s="52" t="s">
        <v>183</v>
      </c>
    </row>
    <row r="7" spans="1:17" s="51" customFormat="1" x14ac:dyDescent="0.25">
      <c r="A7" s="50" t="s">
        <v>235</v>
      </c>
      <c r="B7" s="49">
        <v>30</v>
      </c>
      <c r="C7" s="40"/>
      <c r="D7" s="47"/>
      <c r="E7" s="45"/>
      <c r="F7" s="46"/>
      <c r="G7" s="45"/>
      <c r="H7" s="46"/>
      <c r="I7" s="45"/>
      <c r="J7" s="43">
        <f t="shared" ref="J7:J77" si="0">F7-H7</f>
        <v>0</v>
      </c>
      <c r="K7" s="44">
        <f t="shared" ref="K7:K77" si="1">G7+I7</f>
        <v>0</v>
      </c>
      <c r="L7" s="64">
        <f t="shared" ref="L7:L77" si="2">J7*$D$4</f>
        <v>0</v>
      </c>
      <c r="M7" s="67">
        <f t="shared" ref="M7:M77" si="3">K7*$D$3</f>
        <v>0</v>
      </c>
      <c r="N7" s="41">
        <f t="shared" ref="N7:N77" si="4">L7+M7</f>
        <v>0</v>
      </c>
      <c r="O7" s="79">
        <f t="shared" ref="O7:O77" si="5">(E7-F7+H7)*$D$4</f>
        <v>0</v>
      </c>
      <c r="P7" s="79">
        <f t="shared" ref="P7:P77" si="6">(G7)*$D$3</f>
        <v>0</v>
      </c>
      <c r="Q7" s="80">
        <f t="shared" ref="Q7:Q77" si="7">O7-P7</f>
        <v>0</v>
      </c>
    </row>
    <row r="8" spans="1:17" s="51" customFormat="1" x14ac:dyDescent="0.25">
      <c r="A8" s="50"/>
      <c r="B8" s="49"/>
      <c r="C8" s="40"/>
      <c r="D8" s="47"/>
      <c r="E8" s="45"/>
      <c r="F8" s="46"/>
      <c r="G8" s="45"/>
      <c r="H8" s="46"/>
      <c r="I8" s="45"/>
      <c r="J8" s="43"/>
      <c r="K8" s="44"/>
      <c r="L8" s="64"/>
      <c r="M8" s="67"/>
      <c r="N8" s="41"/>
      <c r="O8" s="79"/>
      <c r="P8" s="79"/>
      <c r="Q8" s="80"/>
    </row>
    <row r="9" spans="1:17" s="51" customFormat="1" x14ac:dyDescent="0.25">
      <c r="A9" s="50" t="s">
        <v>236</v>
      </c>
      <c r="B9" s="49">
        <v>60</v>
      </c>
      <c r="C9" s="40"/>
      <c r="D9" s="47"/>
      <c r="E9" s="45"/>
      <c r="F9" s="46"/>
      <c r="G9" s="45"/>
      <c r="H9" s="46"/>
      <c r="I9" s="45"/>
      <c r="J9" s="43">
        <f t="shared" si="0"/>
        <v>0</v>
      </c>
      <c r="K9" s="44">
        <f t="shared" si="1"/>
        <v>0</v>
      </c>
      <c r="L9" s="64">
        <f t="shared" si="2"/>
        <v>0</v>
      </c>
      <c r="M9" s="67">
        <f t="shared" si="3"/>
        <v>0</v>
      </c>
      <c r="N9" s="41">
        <f t="shared" si="4"/>
        <v>0</v>
      </c>
      <c r="O9" s="79">
        <f t="shared" si="5"/>
        <v>0</v>
      </c>
      <c r="P9" s="79">
        <f t="shared" si="6"/>
        <v>0</v>
      </c>
      <c r="Q9" s="80">
        <f t="shared" si="7"/>
        <v>0</v>
      </c>
    </row>
    <row r="10" spans="1:17" s="51" customFormat="1" x14ac:dyDescent="0.25">
      <c r="A10" s="50"/>
      <c r="B10" s="49"/>
      <c r="C10" s="40"/>
      <c r="D10" s="47"/>
      <c r="E10" s="45"/>
      <c r="F10" s="46"/>
      <c r="G10" s="45"/>
      <c r="H10" s="46"/>
      <c r="I10" s="45"/>
      <c r="J10" s="43"/>
      <c r="K10" s="44"/>
      <c r="L10" s="64"/>
      <c r="M10" s="67"/>
      <c r="N10" s="41"/>
      <c r="O10" s="79"/>
      <c r="P10" s="79"/>
      <c r="Q10" s="80"/>
    </row>
    <row r="11" spans="1:17" s="51" customFormat="1" x14ac:dyDescent="0.25">
      <c r="A11" s="50" t="s">
        <v>237</v>
      </c>
      <c r="B11" s="49">
        <v>75</v>
      </c>
      <c r="C11" s="40"/>
      <c r="D11" s="47"/>
      <c r="E11" s="45"/>
      <c r="F11" s="46"/>
      <c r="G11" s="45"/>
      <c r="H11" s="46"/>
      <c r="I11" s="45"/>
      <c r="J11" s="43">
        <f t="shared" si="0"/>
        <v>0</v>
      </c>
      <c r="K11" s="44">
        <f t="shared" si="1"/>
        <v>0</v>
      </c>
      <c r="L11" s="64">
        <f t="shared" si="2"/>
        <v>0</v>
      </c>
      <c r="M11" s="67">
        <f t="shared" si="3"/>
        <v>0</v>
      </c>
      <c r="N11" s="41">
        <f t="shared" si="4"/>
        <v>0</v>
      </c>
      <c r="O11" s="79">
        <f t="shared" si="5"/>
        <v>0</v>
      </c>
      <c r="P11" s="79">
        <f t="shared" si="6"/>
        <v>0</v>
      </c>
      <c r="Q11" s="80">
        <f t="shared" si="7"/>
        <v>0</v>
      </c>
    </row>
    <row r="12" spans="1:17" s="51" customFormat="1" x14ac:dyDescent="0.25">
      <c r="A12" s="50"/>
      <c r="B12" s="49"/>
      <c r="C12" s="40"/>
      <c r="D12" s="47"/>
      <c r="E12" s="45"/>
      <c r="F12" s="46"/>
      <c r="G12" s="45"/>
      <c r="H12" s="46"/>
      <c r="I12" s="45"/>
      <c r="J12" s="43"/>
      <c r="K12" s="44"/>
      <c r="L12" s="64"/>
      <c r="M12" s="67"/>
      <c r="N12" s="41"/>
      <c r="O12" s="79"/>
      <c r="P12" s="79"/>
      <c r="Q12" s="80"/>
    </row>
    <row r="13" spans="1:17" x14ac:dyDescent="0.25">
      <c r="A13" s="50" t="s">
        <v>182</v>
      </c>
      <c r="B13" s="49">
        <v>100</v>
      </c>
      <c r="C13" s="40"/>
      <c r="D13" s="47"/>
      <c r="E13" s="45"/>
      <c r="F13" s="46"/>
      <c r="G13" s="45"/>
      <c r="H13" s="46"/>
      <c r="I13" s="45"/>
      <c r="J13" s="43">
        <f t="shared" si="0"/>
        <v>0</v>
      </c>
      <c r="K13" s="44">
        <f t="shared" si="1"/>
        <v>0</v>
      </c>
      <c r="L13" s="64">
        <f t="shared" si="2"/>
        <v>0</v>
      </c>
      <c r="M13" s="67">
        <f t="shared" si="3"/>
        <v>0</v>
      </c>
      <c r="N13" s="41">
        <f t="shared" si="4"/>
        <v>0</v>
      </c>
      <c r="O13" s="79">
        <f t="shared" si="5"/>
        <v>0</v>
      </c>
      <c r="P13" s="79">
        <f t="shared" si="6"/>
        <v>0</v>
      </c>
      <c r="Q13" s="80">
        <f t="shared" si="7"/>
        <v>0</v>
      </c>
    </row>
    <row r="14" spans="1:17" s="214" customFormat="1" x14ac:dyDescent="0.25">
      <c r="A14" s="50"/>
      <c r="B14" s="49"/>
      <c r="C14" s="40"/>
      <c r="D14" s="47"/>
      <c r="E14" s="45"/>
      <c r="F14" s="46"/>
      <c r="G14" s="45"/>
      <c r="H14" s="46"/>
      <c r="I14" s="45"/>
      <c r="J14" s="43"/>
      <c r="K14" s="44"/>
      <c r="L14" s="64"/>
      <c r="M14" s="67"/>
      <c r="N14" s="41"/>
      <c r="O14" s="79"/>
      <c r="P14" s="79"/>
      <c r="Q14" s="80"/>
    </row>
    <row r="15" spans="1:17" x14ac:dyDescent="0.25">
      <c r="A15" s="50" t="s">
        <v>367</v>
      </c>
      <c r="B15" s="49" t="s">
        <v>956</v>
      </c>
      <c r="C15" s="40"/>
      <c r="D15" s="47"/>
      <c r="E15" s="45"/>
      <c r="F15" s="46"/>
      <c r="G15" s="45"/>
      <c r="H15" s="46"/>
      <c r="I15" s="45"/>
      <c r="J15" s="43">
        <f t="shared" si="0"/>
        <v>0</v>
      </c>
      <c r="K15" s="44">
        <f t="shared" si="1"/>
        <v>0</v>
      </c>
      <c r="L15" s="64">
        <f t="shared" si="2"/>
        <v>0</v>
      </c>
      <c r="M15" s="67">
        <f t="shared" si="3"/>
        <v>0</v>
      </c>
      <c r="N15" s="41">
        <f t="shared" si="4"/>
        <v>0</v>
      </c>
      <c r="O15" s="79">
        <f t="shared" si="5"/>
        <v>0</v>
      </c>
      <c r="P15" s="79">
        <f t="shared" si="6"/>
        <v>0</v>
      </c>
      <c r="Q15" s="80">
        <f t="shared" si="7"/>
        <v>0</v>
      </c>
    </row>
    <row r="16" spans="1:17" s="214" customFormat="1" x14ac:dyDescent="0.25">
      <c r="A16" s="50"/>
      <c r="B16" s="49"/>
      <c r="C16" s="40"/>
      <c r="D16" s="47"/>
      <c r="E16" s="45"/>
      <c r="F16" s="46"/>
      <c r="G16" s="45"/>
      <c r="H16" s="46"/>
      <c r="I16" s="45"/>
      <c r="J16" s="43"/>
      <c r="K16" s="44"/>
      <c r="L16" s="64"/>
      <c r="M16" s="67"/>
      <c r="N16" s="41"/>
      <c r="O16" s="79"/>
      <c r="P16" s="79"/>
      <c r="Q16" s="80"/>
    </row>
    <row r="17" spans="1:17" x14ac:dyDescent="0.25">
      <c r="A17" s="50" t="s">
        <v>181</v>
      </c>
      <c r="B17" s="49">
        <v>910</v>
      </c>
      <c r="C17" s="40"/>
      <c r="D17" s="47"/>
      <c r="E17" s="45"/>
      <c r="F17" s="46"/>
      <c r="G17" s="45"/>
      <c r="H17" s="46"/>
      <c r="I17" s="45"/>
      <c r="J17" s="43">
        <f t="shared" si="0"/>
        <v>0</v>
      </c>
      <c r="K17" s="44">
        <f t="shared" si="1"/>
        <v>0</v>
      </c>
      <c r="L17" s="64">
        <f t="shared" si="2"/>
        <v>0</v>
      </c>
      <c r="M17" s="67">
        <f t="shared" si="3"/>
        <v>0</v>
      </c>
      <c r="N17" s="41">
        <f t="shared" si="4"/>
        <v>0</v>
      </c>
      <c r="O17" s="79">
        <f t="shared" si="5"/>
        <v>0</v>
      </c>
      <c r="P17" s="79">
        <f t="shared" si="6"/>
        <v>0</v>
      </c>
      <c r="Q17" s="80">
        <f t="shared" si="7"/>
        <v>0</v>
      </c>
    </row>
    <row r="18" spans="1:17" s="214" customFormat="1" x14ac:dyDescent="0.25">
      <c r="A18" s="50"/>
      <c r="B18" s="49"/>
      <c r="C18" s="40"/>
      <c r="D18" s="47"/>
      <c r="E18" s="45"/>
      <c r="F18" s="46"/>
      <c r="G18" s="45"/>
      <c r="H18" s="46"/>
      <c r="I18" s="45"/>
      <c r="J18" s="43"/>
      <c r="K18" s="44"/>
      <c r="L18" s="64"/>
      <c r="M18" s="67"/>
      <c r="N18" s="41"/>
      <c r="O18" s="79"/>
      <c r="P18" s="79"/>
      <c r="Q18" s="80"/>
    </row>
    <row r="19" spans="1:17" x14ac:dyDescent="0.25">
      <c r="A19" s="50" t="s">
        <v>180</v>
      </c>
      <c r="B19" s="49">
        <v>930</v>
      </c>
      <c r="C19" s="40"/>
      <c r="D19" s="47"/>
      <c r="E19" s="45"/>
      <c r="F19" s="46"/>
      <c r="G19" s="45"/>
      <c r="H19" s="46"/>
      <c r="I19" s="45"/>
      <c r="J19" s="43">
        <f t="shared" si="0"/>
        <v>0</v>
      </c>
      <c r="K19" s="44">
        <f t="shared" si="1"/>
        <v>0</v>
      </c>
      <c r="L19" s="64">
        <f t="shared" si="2"/>
        <v>0</v>
      </c>
      <c r="M19" s="67">
        <f t="shared" si="3"/>
        <v>0</v>
      </c>
      <c r="N19" s="41">
        <f t="shared" si="4"/>
        <v>0</v>
      </c>
      <c r="O19" s="79">
        <f t="shared" si="5"/>
        <v>0</v>
      </c>
      <c r="P19" s="79">
        <f t="shared" si="6"/>
        <v>0</v>
      </c>
      <c r="Q19" s="80">
        <f t="shared" si="7"/>
        <v>0</v>
      </c>
    </row>
    <row r="20" spans="1:17" s="214" customFormat="1" x14ac:dyDescent="0.25">
      <c r="A20" s="50"/>
      <c r="B20" s="49"/>
      <c r="C20" s="40"/>
      <c r="D20" s="47"/>
      <c r="E20" s="45"/>
      <c r="F20" s="46"/>
      <c r="G20" s="45"/>
      <c r="H20" s="46"/>
      <c r="I20" s="45"/>
      <c r="J20" s="43"/>
      <c r="K20" s="44"/>
      <c r="L20" s="64"/>
      <c r="M20" s="67"/>
      <c r="N20" s="41"/>
      <c r="O20" s="79"/>
      <c r="P20" s="79"/>
      <c r="Q20" s="80"/>
    </row>
    <row r="21" spans="1:17" x14ac:dyDescent="0.25">
      <c r="A21" s="50" t="s">
        <v>179</v>
      </c>
      <c r="B21" s="49">
        <v>950</v>
      </c>
      <c r="C21" s="40"/>
      <c r="D21" s="47"/>
      <c r="E21" s="45"/>
      <c r="F21" s="46"/>
      <c r="G21" s="45"/>
      <c r="H21" s="46"/>
      <c r="I21" s="45"/>
      <c r="J21" s="43">
        <f t="shared" si="0"/>
        <v>0</v>
      </c>
      <c r="K21" s="44">
        <f t="shared" si="1"/>
        <v>0</v>
      </c>
      <c r="L21" s="64">
        <f t="shared" si="2"/>
        <v>0</v>
      </c>
      <c r="M21" s="67">
        <f t="shared" si="3"/>
        <v>0</v>
      </c>
      <c r="N21" s="41">
        <f t="shared" si="4"/>
        <v>0</v>
      </c>
      <c r="O21" s="79">
        <f t="shared" si="5"/>
        <v>0</v>
      </c>
      <c r="P21" s="79">
        <f t="shared" si="6"/>
        <v>0</v>
      </c>
      <c r="Q21" s="80">
        <f t="shared" si="7"/>
        <v>0</v>
      </c>
    </row>
    <row r="22" spans="1:17" s="214" customFormat="1" x14ac:dyDescent="0.25">
      <c r="A22" s="50"/>
      <c r="B22" s="49"/>
      <c r="C22" s="40"/>
      <c r="D22" s="47"/>
      <c r="E22" s="45"/>
      <c r="F22" s="46"/>
      <c r="G22" s="45"/>
      <c r="H22" s="46"/>
      <c r="I22" s="45"/>
      <c r="J22" s="43"/>
      <c r="K22" s="44"/>
      <c r="L22" s="64"/>
      <c r="M22" s="67"/>
      <c r="N22" s="41"/>
      <c r="O22" s="79"/>
      <c r="P22" s="79"/>
      <c r="Q22" s="80"/>
    </row>
    <row r="23" spans="1:17" x14ac:dyDescent="0.25">
      <c r="A23" s="50" t="s">
        <v>178</v>
      </c>
      <c r="B23" s="49">
        <v>1060</v>
      </c>
      <c r="C23" s="40"/>
      <c r="D23" s="47"/>
      <c r="E23" s="45"/>
      <c r="F23" s="46"/>
      <c r="G23" s="45"/>
      <c r="H23" s="46"/>
      <c r="I23" s="45"/>
      <c r="J23" s="43">
        <f t="shared" si="0"/>
        <v>0</v>
      </c>
      <c r="K23" s="44">
        <f t="shared" si="1"/>
        <v>0</v>
      </c>
      <c r="L23" s="64">
        <f t="shared" si="2"/>
        <v>0</v>
      </c>
      <c r="M23" s="67">
        <f t="shared" si="3"/>
        <v>0</v>
      </c>
      <c r="N23" s="41">
        <f t="shared" si="4"/>
        <v>0</v>
      </c>
      <c r="O23" s="79">
        <f t="shared" si="5"/>
        <v>0</v>
      </c>
      <c r="P23" s="79">
        <f t="shared" si="6"/>
        <v>0</v>
      </c>
      <c r="Q23" s="80">
        <f t="shared" si="7"/>
        <v>0</v>
      </c>
    </row>
    <row r="24" spans="1:17" s="214" customFormat="1" x14ac:dyDescent="0.25">
      <c r="A24" s="50"/>
      <c r="B24" s="49"/>
      <c r="C24" s="40"/>
      <c r="D24" s="47"/>
      <c r="E24" s="45"/>
      <c r="F24" s="46"/>
      <c r="G24" s="45"/>
      <c r="H24" s="46"/>
      <c r="I24" s="45"/>
      <c r="J24" s="43"/>
      <c r="K24" s="44"/>
      <c r="L24" s="64"/>
      <c r="M24" s="67"/>
      <c r="N24" s="41"/>
      <c r="O24" s="79"/>
      <c r="P24" s="79"/>
      <c r="Q24" s="80"/>
    </row>
    <row r="25" spans="1:17" x14ac:dyDescent="0.25">
      <c r="A25" s="50" t="s">
        <v>177</v>
      </c>
      <c r="B25" s="49">
        <v>1130</v>
      </c>
      <c r="C25" s="40"/>
      <c r="D25" s="47"/>
      <c r="E25" s="45"/>
      <c r="F25" s="46"/>
      <c r="G25" s="45"/>
      <c r="H25" s="46"/>
      <c r="I25" s="45"/>
      <c r="J25" s="43">
        <f t="shared" si="0"/>
        <v>0</v>
      </c>
      <c r="K25" s="44">
        <f t="shared" si="1"/>
        <v>0</v>
      </c>
      <c r="L25" s="64">
        <f t="shared" si="2"/>
        <v>0</v>
      </c>
      <c r="M25" s="67">
        <f t="shared" si="3"/>
        <v>0</v>
      </c>
      <c r="N25" s="41">
        <f t="shared" si="4"/>
        <v>0</v>
      </c>
      <c r="O25" s="79">
        <f t="shared" si="5"/>
        <v>0</v>
      </c>
      <c r="P25" s="79">
        <f t="shared" si="6"/>
        <v>0</v>
      </c>
      <c r="Q25" s="80">
        <f t="shared" si="7"/>
        <v>0</v>
      </c>
    </row>
    <row r="26" spans="1:17" s="214" customFormat="1" x14ac:dyDescent="0.25">
      <c r="A26" s="50"/>
      <c r="B26" s="49"/>
      <c r="C26" s="40"/>
      <c r="D26" s="47"/>
      <c r="E26" s="45"/>
      <c r="F26" s="46"/>
      <c r="G26" s="45"/>
      <c r="H26" s="46"/>
      <c r="I26" s="45"/>
      <c r="J26" s="43"/>
      <c r="K26" s="44"/>
      <c r="L26" s="64"/>
      <c r="M26" s="67"/>
      <c r="N26" s="41"/>
      <c r="O26" s="79"/>
      <c r="P26" s="79"/>
      <c r="Q26" s="80"/>
    </row>
    <row r="27" spans="1:17" x14ac:dyDescent="0.25">
      <c r="A27" s="50" t="s">
        <v>176</v>
      </c>
      <c r="B27" s="49">
        <v>1160</v>
      </c>
      <c r="C27" s="40"/>
      <c r="D27" s="47"/>
      <c r="E27" s="45"/>
      <c r="F27" s="46"/>
      <c r="G27" s="45"/>
      <c r="H27" s="46"/>
      <c r="I27" s="45"/>
      <c r="J27" s="43">
        <f t="shared" si="0"/>
        <v>0</v>
      </c>
      <c r="K27" s="44">
        <f t="shared" si="1"/>
        <v>0</v>
      </c>
      <c r="L27" s="64">
        <f t="shared" si="2"/>
        <v>0</v>
      </c>
      <c r="M27" s="67">
        <f t="shared" si="3"/>
        <v>0</v>
      </c>
      <c r="N27" s="41">
        <f t="shared" si="4"/>
        <v>0</v>
      </c>
      <c r="O27" s="79">
        <f t="shared" si="5"/>
        <v>0</v>
      </c>
      <c r="P27" s="79">
        <f t="shared" si="6"/>
        <v>0</v>
      </c>
      <c r="Q27" s="80">
        <f t="shared" si="7"/>
        <v>0</v>
      </c>
    </row>
    <row r="28" spans="1:17" s="214" customFormat="1" x14ac:dyDescent="0.25">
      <c r="A28" s="50"/>
      <c r="B28" s="49"/>
      <c r="C28" s="40"/>
      <c r="D28" s="47"/>
      <c r="E28" s="45"/>
      <c r="F28" s="46"/>
      <c r="G28" s="45"/>
      <c r="H28" s="46"/>
      <c r="I28" s="45"/>
      <c r="J28" s="43"/>
      <c r="K28" s="44"/>
      <c r="L28" s="64"/>
      <c r="M28" s="67"/>
      <c r="N28" s="41"/>
      <c r="O28" s="79"/>
      <c r="P28" s="79"/>
      <c r="Q28" s="80"/>
    </row>
    <row r="29" spans="1:17" x14ac:dyDescent="0.25">
      <c r="A29" s="50" t="s">
        <v>957</v>
      </c>
      <c r="B29" s="49" t="s">
        <v>958</v>
      </c>
      <c r="C29" s="40"/>
      <c r="D29" s="47"/>
      <c r="E29" s="45"/>
      <c r="F29" s="46"/>
      <c r="G29" s="45"/>
      <c r="H29" s="46"/>
      <c r="I29" s="45"/>
      <c r="J29" s="43">
        <f t="shared" si="0"/>
        <v>0</v>
      </c>
      <c r="K29" s="44">
        <f t="shared" si="1"/>
        <v>0</v>
      </c>
      <c r="L29" s="64">
        <f t="shared" si="2"/>
        <v>0</v>
      </c>
      <c r="M29" s="67">
        <f t="shared" si="3"/>
        <v>0</v>
      </c>
      <c r="N29" s="41">
        <f t="shared" si="4"/>
        <v>0</v>
      </c>
      <c r="O29" s="79">
        <f t="shared" si="5"/>
        <v>0</v>
      </c>
      <c r="P29" s="79">
        <f t="shared" si="6"/>
        <v>0</v>
      </c>
      <c r="Q29" s="80">
        <f t="shared" si="7"/>
        <v>0</v>
      </c>
    </row>
    <row r="30" spans="1:17" s="214" customFormat="1" x14ac:dyDescent="0.25">
      <c r="A30" s="50"/>
      <c r="B30" s="49"/>
      <c r="C30" s="40"/>
      <c r="D30" s="47"/>
      <c r="E30" s="45"/>
      <c r="F30" s="46"/>
      <c r="G30" s="45"/>
      <c r="H30" s="46"/>
      <c r="I30" s="45"/>
      <c r="J30" s="43"/>
      <c r="K30" s="44"/>
      <c r="L30" s="64"/>
      <c r="M30" s="67"/>
      <c r="N30" s="41"/>
      <c r="O30" s="79"/>
      <c r="P30" s="79"/>
      <c r="Q30" s="80"/>
    </row>
    <row r="31" spans="1:17" x14ac:dyDescent="0.25">
      <c r="A31" s="50" t="s">
        <v>175</v>
      </c>
      <c r="B31" s="49" t="s">
        <v>959</v>
      </c>
      <c r="C31" s="40"/>
      <c r="D31" s="47"/>
      <c r="E31" s="45"/>
      <c r="F31" s="46"/>
      <c r="G31" s="45"/>
      <c r="H31" s="46"/>
      <c r="I31" s="45"/>
      <c r="J31" s="43">
        <f t="shared" si="0"/>
        <v>0</v>
      </c>
      <c r="K31" s="44">
        <f t="shared" si="1"/>
        <v>0</v>
      </c>
      <c r="L31" s="64">
        <f t="shared" si="2"/>
        <v>0</v>
      </c>
      <c r="M31" s="67">
        <f t="shared" si="3"/>
        <v>0</v>
      </c>
      <c r="N31" s="41">
        <f t="shared" si="4"/>
        <v>0</v>
      </c>
      <c r="O31" s="79">
        <f t="shared" si="5"/>
        <v>0</v>
      </c>
      <c r="P31" s="79">
        <f t="shared" si="6"/>
        <v>0</v>
      </c>
      <c r="Q31" s="80">
        <f t="shared" si="7"/>
        <v>0</v>
      </c>
    </row>
    <row r="32" spans="1:17" s="214" customFormat="1" x14ac:dyDescent="0.25">
      <c r="A32" s="50"/>
      <c r="B32" s="49"/>
      <c r="C32" s="40"/>
      <c r="D32" s="47"/>
      <c r="E32" s="45"/>
      <c r="F32" s="46"/>
      <c r="G32" s="45"/>
      <c r="H32" s="46"/>
      <c r="I32" s="45"/>
      <c r="J32" s="43"/>
      <c r="K32" s="44"/>
      <c r="L32" s="64"/>
      <c r="M32" s="67"/>
      <c r="N32" s="41"/>
      <c r="O32" s="79"/>
      <c r="P32" s="79"/>
      <c r="Q32" s="80"/>
    </row>
    <row r="33" spans="1:17" x14ac:dyDescent="0.25">
      <c r="A33" s="50" t="s">
        <v>174</v>
      </c>
      <c r="B33" s="49">
        <v>1430</v>
      </c>
      <c r="C33" s="40"/>
      <c r="D33" s="47"/>
      <c r="E33" s="45"/>
      <c r="F33" s="46"/>
      <c r="G33" s="45"/>
      <c r="H33" s="46"/>
      <c r="I33" s="45"/>
      <c r="J33" s="43">
        <f t="shared" si="0"/>
        <v>0</v>
      </c>
      <c r="K33" s="44">
        <f t="shared" si="1"/>
        <v>0</v>
      </c>
      <c r="L33" s="64">
        <f t="shared" si="2"/>
        <v>0</v>
      </c>
      <c r="M33" s="67">
        <f t="shared" si="3"/>
        <v>0</v>
      </c>
      <c r="N33" s="41">
        <f t="shared" si="4"/>
        <v>0</v>
      </c>
      <c r="O33" s="79">
        <f t="shared" si="5"/>
        <v>0</v>
      </c>
      <c r="P33" s="79">
        <f t="shared" si="6"/>
        <v>0</v>
      </c>
      <c r="Q33" s="80">
        <f t="shared" si="7"/>
        <v>0</v>
      </c>
    </row>
    <row r="34" spans="1:17" s="214" customFormat="1" x14ac:dyDescent="0.25">
      <c r="A34" s="50"/>
      <c r="B34" s="49"/>
      <c r="C34" s="40"/>
      <c r="D34" s="47"/>
      <c r="E34" s="45"/>
      <c r="F34" s="46"/>
      <c r="G34" s="45"/>
      <c r="H34" s="46"/>
      <c r="I34" s="45"/>
      <c r="J34" s="43"/>
      <c r="K34" s="44"/>
      <c r="L34" s="64"/>
      <c r="M34" s="67"/>
      <c r="N34" s="41"/>
      <c r="O34" s="79"/>
      <c r="P34" s="79"/>
      <c r="Q34" s="80"/>
    </row>
    <row r="35" spans="1:17" x14ac:dyDescent="0.25">
      <c r="A35" s="50" t="s">
        <v>173</v>
      </c>
      <c r="B35" s="49" t="s">
        <v>960</v>
      </c>
      <c r="C35" s="40"/>
      <c r="D35" s="47"/>
      <c r="E35" s="45"/>
      <c r="F35" s="46"/>
      <c r="G35" s="45"/>
      <c r="H35" s="46"/>
      <c r="I35" s="45"/>
      <c r="J35" s="43">
        <f t="shared" si="0"/>
        <v>0</v>
      </c>
      <c r="K35" s="44">
        <f t="shared" si="1"/>
        <v>0</v>
      </c>
      <c r="L35" s="64">
        <f t="shared" si="2"/>
        <v>0</v>
      </c>
      <c r="M35" s="67">
        <f t="shared" si="3"/>
        <v>0</v>
      </c>
      <c r="N35" s="41">
        <f t="shared" si="4"/>
        <v>0</v>
      </c>
      <c r="O35" s="79">
        <f t="shared" si="5"/>
        <v>0</v>
      </c>
      <c r="P35" s="79">
        <f t="shared" si="6"/>
        <v>0</v>
      </c>
      <c r="Q35" s="80">
        <f t="shared" si="7"/>
        <v>0</v>
      </c>
    </row>
    <row r="36" spans="1:17" s="214" customFormat="1" x14ac:dyDescent="0.25">
      <c r="A36" s="50"/>
      <c r="B36" s="49"/>
      <c r="C36" s="40"/>
      <c r="D36" s="47"/>
      <c r="E36" s="45"/>
      <c r="F36" s="46"/>
      <c r="G36" s="45"/>
      <c r="H36" s="46"/>
      <c r="I36" s="45"/>
      <c r="J36" s="43"/>
      <c r="K36" s="44"/>
      <c r="L36" s="64"/>
      <c r="M36" s="67"/>
      <c r="N36" s="41"/>
      <c r="O36" s="79"/>
      <c r="P36" s="79"/>
      <c r="Q36" s="80"/>
    </row>
    <row r="37" spans="1:17" x14ac:dyDescent="0.25">
      <c r="A37" s="50" t="s">
        <v>961</v>
      </c>
      <c r="B37" s="49" t="s">
        <v>964</v>
      </c>
      <c r="C37" s="40"/>
      <c r="D37" s="47"/>
      <c r="E37" s="45"/>
      <c r="F37" s="46"/>
      <c r="G37" s="45"/>
      <c r="H37" s="46"/>
      <c r="I37" s="45"/>
      <c r="J37" s="43">
        <f t="shared" si="0"/>
        <v>0</v>
      </c>
      <c r="K37" s="44">
        <f t="shared" si="1"/>
        <v>0</v>
      </c>
      <c r="L37" s="64">
        <f t="shared" si="2"/>
        <v>0</v>
      </c>
      <c r="M37" s="67">
        <f t="shared" si="3"/>
        <v>0</v>
      </c>
      <c r="N37" s="41">
        <f t="shared" si="4"/>
        <v>0</v>
      </c>
      <c r="O37" s="79">
        <f t="shared" si="5"/>
        <v>0</v>
      </c>
      <c r="P37" s="79">
        <f t="shared" si="6"/>
        <v>0</v>
      </c>
      <c r="Q37" s="80">
        <f t="shared" si="7"/>
        <v>0</v>
      </c>
    </row>
    <row r="38" spans="1:17" s="214" customFormat="1" x14ac:dyDescent="0.25">
      <c r="A38" s="50"/>
      <c r="B38" s="49"/>
      <c r="C38" s="40"/>
      <c r="D38" s="47"/>
      <c r="E38" s="45"/>
      <c r="F38" s="46"/>
      <c r="G38" s="45"/>
      <c r="H38" s="46"/>
      <c r="I38" s="45"/>
      <c r="J38" s="43"/>
      <c r="K38" s="44"/>
      <c r="L38" s="64"/>
      <c r="M38" s="67"/>
      <c r="N38" s="41"/>
      <c r="O38" s="79"/>
      <c r="P38" s="79"/>
      <c r="Q38" s="80"/>
    </row>
    <row r="39" spans="1:17" x14ac:dyDescent="0.25">
      <c r="A39" s="50" t="s">
        <v>962</v>
      </c>
      <c r="B39" s="49" t="s">
        <v>965</v>
      </c>
      <c r="C39" s="40"/>
      <c r="D39" s="47"/>
      <c r="E39" s="45"/>
      <c r="F39" s="46"/>
      <c r="G39" s="45"/>
      <c r="H39" s="46"/>
      <c r="I39" s="45"/>
      <c r="J39" s="43">
        <f t="shared" si="0"/>
        <v>0</v>
      </c>
      <c r="K39" s="44">
        <f t="shared" si="1"/>
        <v>0</v>
      </c>
      <c r="L39" s="64">
        <f t="shared" si="2"/>
        <v>0</v>
      </c>
      <c r="M39" s="67">
        <f t="shared" si="3"/>
        <v>0</v>
      </c>
      <c r="N39" s="41">
        <f t="shared" si="4"/>
        <v>0</v>
      </c>
      <c r="O39" s="79">
        <f t="shared" si="5"/>
        <v>0</v>
      </c>
      <c r="P39" s="79">
        <f t="shared" si="6"/>
        <v>0</v>
      </c>
      <c r="Q39" s="80">
        <f t="shared" si="7"/>
        <v>0</v>
      </c>
    </row>
    <row r="40" spans="1:17" s="214" customFormat="1" x14ac:dyDescent="0.25">
      <c r="A40" s="50"/>
      <c r="B40" s="49"/>
      <c r="C40" s="40"/>
      <c r="D40" s="47"/>
      <c r="E40" s="45"/>
      <c r="F40" s="46"/>
      <c r="G40" s="45"/>
      <c r="H40" s="46"/>
      <c r="I40" s="45"/>
      <c r="J40" s="43"/>
      <c r="K40" s="44"/>
      <c r="L40" s="64"/>
      <c r="M40" s="67"/>
      <c r="N40" s="41"/>
      <c r="O40" s="79"/>
      <c r="P40" s="79"/>
      <c r="Q40" s="80"/>
    </row>
    <row r="41" spans="1:17" x14ac:dyDescent="0.25">
      <c r="A41" s="50" t="s">
        <v>963</v>
      </c>
      <c r="B41" s="49" t="s">
        <v>966</v>
      </c>
      <c r="C41" s="40"/>
      <c r="D41" s="47"/>
      <c r="E41" s="45"/>
      <c r="F41" s="46"/>
      <c r="G41" s="45"/>
      <c r="H41" s="46"/>
      <c r="I41" s="45"/>
      <c r="J41" s="43">
        <f t="shared" si="0"/>
        <v>0</v>
      </c>
      <c r="K41" s="44">
        <f t="shared" si="1"/>
        <v>0</v>
      </c>
      <c r="L41" s="64">
        <f t="shared" si="2"/>
        <v>0</v>
      </c>
      <c r="M41" s="67">
        <f t="shared" si="3"/>
        <v>0</v>
      </c>
      <c r="N41" s="41">
        <f t="shared" si="4"/>
        <v>0</v>
      </c>
      <c r="O41" s="79">
        <f t="shared" si="5"/>
        <v>0</v>
      </c>
      <c r="P41" s="79">
        <f t="shared" si="6"/>
        <v>0</v>
      </c>
      <c r="Q41" s="80">
        <f t="shared" si="7"/>
        <v>0</v>
      </c>
    </row>
    <row r="42" spans="1:17" s="214" customFormat="1" x14ac:dyDescent="0.25">
      <c r="A42" s="50"/>
      <c r="B42" s="49"/>
      <c r="C42" s="40"/>
      <c r="D42" s="47"/>
      <c r="E42" s="45"/>
      <c r="F42" s="46"/>
      <c r="G42" s="45"/>
      <c r="H42" s="46"/>
      <c r="I42" s="45"/>
      <c r="J42" s="43"/>
      <c r="K42" s="44"/>
      <c r="L42" s="64"/>
      <c r="M42" s="67"/>
      <c r="N42" s="41"/>
      <c r="O42" s="79"/>
      <c r="P42" s="79"/>
      <c r="Q42" s="80"/>
    </row>
    <row r="43" spans="1:17" x14ac:dyDescent="0.25">
      <c r="A43" s="50" t="s">
        <v>968</v>
      </c>
      <c r="B43" s="49" t="s">
        <v>967</v>
      </c>
      <c r="C43" s="40"/>
      <c r="D43" s="47"/>
      <c r="E43" s="45"/>
      <c r="F43" s="46"/>
      <c r="G43" s="45"/>
      <c r="H43" s="46"/>
      <c r="I43" s="45"/>
      <c r="J43" s="43">
        <f t="shared" si="0"/>
        <v>0</v>
      </c>
      <c r="K43" s="44">
        <f t="shared" si="1"/>
        <v>0</v>
      </c>
      <c r="L43" s="64">
        <f t="shared" si="2"/>
        <v>0</v>
      </c>
      <c r="M43" s="67">
        <f t="shared" si="3"/>
        <v>0</v>
      </c>
      <c r="N43" s="41">
        <f t="shared" si="4"/>
        <v>0</v>
      </c>
      <c r="O43" s="79">
        <f t="shared" si="5"/>
        <v>0</v>
      </c>
      <c r="P43" s="79">
        <f t="shared" si="6"/>
        <v>0</v>
      </c>
      <c r="Q43" s="80">
        <f t="shared" si="7"/>
        <v>0</v>
      </c>
    </row>
    <row r="44" spans="1:17" s="214" customFormat="1" x14ac:dyDescent="0.25">
      <c r="A44" s="50"/>
      <c r="B44" s="49"/>
      <c r="C44" s="40"/>
      <c r="D44" s="47"/>
      <c r="E44" s="45"/>
      <c r="F44" s="46"/>
      <c r="G44" s="45"/>
      <c r="H44" s="46"/>
      <c r="I44" s="45"/>
      <c r="J44" s="43"/>
      <c r="K44" s="44"/>
      <c r="L44" s="64"/>
      <c r="M44" s="67"/>
      <c r="N44" s="41"/>
      <c r="O44" s="79"/>
      <c r="P44" s="79"/>
      <c r="Q44" s="80"/>
    </row>
    <row r="45" spans="1:17" x14ac:dyDescent="0.25">
      <c r="A45" s="50" t="s">
        <v>238</v>
      </c>
      <c r="B45" s="49" t="s">
        <v>969</v>
      </c>
      <c r="C45" s="40"/>
      <c r="D45" s="47"/>
      <c r="E45" s="45"/>
      <c r="F45" s="46"/>
      <c r="G45" s="45"/>
      <c r="H45" s="46"/>
      <c r="I45" s="45"/>
      <c r="J45" s="43">
        <f t="shared" si="0"/>
        <v>0</v>
      </c>
      <c r="K45" s="44">
        <f t="shared" si="1"/>
        <v>0</v>
      </c>
      <c r="L45" s="64">
        <f t="shared" si="2"/>
        <v>0</v>
      </c>
      <c r="M45" s="67">
        <f t="shared" si="3"/>
        <v>0</v>
      </c>
      <c r="N45" s="41">
        <f t="shared" si="4"/>
        <v>0</v>
      </c>
      <c r="O45" s="79">
        <f t="shared" si="5"/>
        <v>0</v>
      </c>
      <c r="P45" s="79">
        <f t="shared" si="6"/>
        <v>0</v>
      </c>
      <c r="Q45" s="80">
        <f t="shared" si="7"/>
        <v>0</v>
      </c>
    </row>
    <row r="46" spans="1:17" s="214" customFormat="1" x14ac:dyDescent="0.25">
      <c r="A46" s="50"/>
      <c r="B46" s="49"/>
      <c r="C46" s="40"/>
      <c r="D46" s="47"/>
      <c r="E46" s="45"/>
      <c r="F46" s="46"/>
      <c r="G46" s="45"/>
      <c r="H46" s="46"/>
      <c r="I46" s="45"/>
      <c r="J46" s="43"/>
      <c r="K46" s="44"/>
      <c r="L46" s="64"/>
      <c r="M46" s="67"/>
      <c r="N46" s="41"/>
      <c r="O46" s="79"/>
      <c r="P46" s="79"/>
      <c r="Q46" s="80"/>
    </row>
    <row r="47" spans="1:17" x14ac:dyDescent="0.25">
      <c r="A47" s="50" t="s">
        <v>239</v>
      </c>
      <c r="B47" s="49" t="s">
        <v>970</v>
      </c>
      <c r="C47" s="40"/>
      <c r="D47" s="47"/>
      <c r="E47" s="45"/>
      <c r="F47" s="46"/>
      <c r="G47" s="45"/>
      <c r="H47" s="46"/>
      <c r="I47" s="45"/>
      <c r="J47" s="43">
        <f t="shared" si="0"/>
        <v>0</v>
      </c>
      <c r="K47" s="44">
        <f t="shared" si="1"/>
        <v>0</v>
      </c>
      <c r="L47" s="64">
        <f t="shared" si="2"/>
        <v>0</v>
      </c>
      <c r="M47" s="67">
        <f t="shared" si="3"/>
        <v>0</v>
      </c>
      <c r="N47" s="41">
        <f t="shared" si="4"/>
        <v>0</v>
      </c>
      <c r="O47" s="79">
        <f t="shared" si="5"/>
        <v>0</v>
      </c>
      <c r="P47" s="79">
        <f t="shared" si="6"/>
        <v>0</v>
      </c>
      <c r="Q47" s="80">
        <f t="shared" si="7"/>
        <v>0</v>
      </c>
    </row>
    <row r="48" spans="1:17" s="214" customFormat="1" x14ac:dyDescent="0.25">
      <c r="A48" s="50"/>
      <c r="B48" s="49"/>
      <c r="C48" s="40"/>
      <c r="D48" s="47"/>
      <c r="E48" s="45"/>
      <c r="F48" s="46"/>
      <c r="G48" s="45"/>
      <c r="H48" s="46"/>
      <c r="I48" s="45"/>
      <c r="J48" s="43"/>
      <c r="K48" s="44"/>
      <c r="L48" s="64"/>
      <c r="M48" s="67"/>
      <c r="N48" s="41"/>
      <c r="O48" s="79"/>
      <c r="P48" s="79"/>
      <c r="Q48" s="80"/>
    </row>
    <row r="49" spans="1:17" x14ac:dyDescent="0.25">
      <c r="A49" s="50" t="s">
        <v>240</v>
      </c>
      <c r="B49" s="49">
        <v>2170</v>
      </c>
      <c r="C49" s="40"/>
      <c r="D49" s="47"/>
      <c r="E49" s="45"/>
      <c r="F49" s="46"/>
      <c r="G49" s="45"/>
      <c r="H49" s="46"/>
      <c r="I49" s="45"/>
      <c r="J49" s="43">
        <f t="shared" si="0"/>
        <v>0</v>
      </c>
      <c r="K49" s="44">
        <f t="shared" si="1"/>
        <v>0</v>
      </c>
      <c r="L49" s="64">
        <f t="shared" si="2"/>
        <v>0</v>
      </c>
      <c r="M49" s="67">
        <f t="shared" si="3"/>
        <v>0</v>
      </c>
      <c r="N49" s="41">
        <f t="shared" si="4"/>
        <v>0</v>
      </c>
      <c r="O49" s="79">
        <f t="shared" si="5"/>
        <v>0</v>
      </c>
      <c r="P49" s="79">
        <f t="shared" si="6"/>
        <v>0</v>
      </c>
      <c r="Q49" s="80">
        <f t="shared" si="7"/>
        <v>0</v>
      </c>
    </row>
    <row r="50" spans="1:17" s="214" customFormat="1" x14ac:dyDescent="0.25">
      <c r="A50" s="50"/>
      <c r="B50" s="49"/>
      <c r="C50" s="40"/>
      <c r="D50" s="47"/>
      <c r="E50" s="45"/>
      <c r="F50" s="46"/>
      <c r="G50" s="45"/>
      <c r="H50" s="46"/>
      <c r="I50" s="45"/>
      <c r="J50" s="43"/>
      <c r="K50" s="44"/>
      <c r="L50" s="64"/>
      <c r="M50" s="67"/>
      <c r="N50" s="41"/>
      <c r="O50" s="79"/>
      <c r="P50" s="79"/>
      <c r="Q50" s="80"/>
    </row>
    <row r="51" spans="1:17" x14ac:dyDescent="0.25">
      <c r="A51" s="50" t="s">
        <v>241</v>
      </c>
      <c r="B51" s="49" t="s">
        <v>971</v>
      </c>
      <c r="C51" s="40"/>
      <c r="D51" s="47"/>
      <c r="E51" s="45"/>
      <c r="F51" s="46"/>
      <c r="G51" s="45"/>
      <c r="H51" s="46"/>
      <c r="I51" s="45"/>
      <c r="J51" s="43">
        <f t="shared" si="0"/>
        <v>0</v>
      </c>
      <c r="K51" s="44">
        <f t="shared" si="1"/>
        <v>0</v>
      </c>
      <c r="L51" s="64">
        <f t="shared" si="2"/>
        <v>0</v>
      </c>
      <c r="M51" s="67">
        <f t="shared" si="3"/>
        <v>0</v>
      </c>
      <c r="N51" s="41">
        <f t="shared" si="4"/>
        <v>0</v>
      </c>
      <c r="O51" s="79">
        <f t="shared" si="5"/>
        <v>0</v>
      </c>
      <c r="P51" s="79">
        <f t="shared" si="6"/>
        <v>0</v>
      </c>
      <c r="Q51" s="80">
        <f t="shared" si="7"/>
        <v>0</v>
      </c>
    </row>
    <row r="52" spans="1:17" s="214" customFormat="1" x14ac:dyDescent="0.25">
      <c r="A52" s="50"/>
      <c r="B52" s="49"/>
      <c r="C52" s="40"/>
      <c r="D52" s="47"/>
      <c r="E52" s="45"/>
      <c r="F52" s="46"/>
      <c r="G52" s="45"/>
      <c r="H52" s="46"/>
      <c r="I52" s="45"/>
      <c r="J52" s="43"/>
      <c r="K52" s="44"/>
      <c r="L52" s="64"/>
      <c r="M52" s="67"/>
      <c r="N52" s="41"/>
      <c r="O52" s="79"/>
      <c r="P52" s="79"/>
      <c r="Q52" s="80"/>
    </row>
    <row r="53" spans="1:17" x14ac:dyDescent="0.25">
      <c r="A53" s="50" t="s">
        <v>981</v>
      </c>
      <c r="B53" s="591" t="s">
        <v>21</v>
      </c>
      <c r="C53" s="40"/>
      <c r="D53" s="47"/>
      <c r="E53" s="45"/>
      <c r="F53" s="46"/>
      <c r="G53" s="45"/>
      <c r="H53" s="46"/>
      <c r="I53" s="45"/>
      <c r="J53" s="43">
        <f t="shared" si="0"/>
        <v>0</v>
      </c>
      <c r="K53" s="44">
        <f t="shared" si="1"/>
        <v>0</v>
      </c>
      <c r="L53" s="64">
        <f t="shared" si="2"/>
        <v>0</v>
      </c>
      <c r="M53" s="67">
        <f t="shared" si="3"/>
        <v>0</v>
      </c>
      <c r="N53" s="41">
        <f t="shared" si="4"/>
        <v>0</v>
      </c>
      <c r="O53" s="79">
        <f t="shared" si="5"/>
        <v>0</v>
      </c>
      <c r="P53" s="79">
        <f t="shared" si="6"/>
        <v>0</v>
      </c>
      <c r="Q53" s="80">
        <f t="shared" si="7"/>
        <v>0</v>
      </c>
    </row>
    <row r="54" spans="1:17" s="214" customFormat="1" x14ac:dyDescent="0.25">
      <c r="A54" s="50"/>
      <c r="B54" s="49"/>
      <c r="C54" s="40"/>
      <c r="D54" s="47"/>
      <c r="E54" s="45"/>
      <c r="F54" s="46"/>
      <c r="G54" s="45"/>
      <c r="H54" s="46"/>
      <c r="I54" s="45"/>
      <c r="J54" s="43"/>
      <c r="K54" s="44"/>
      <c r="L54" s="64"/>
      <c r="M54" s="67"/>
      <c r="N54" s="41"/>
      <c r="O54" s="79"/>
      <c r="P54" s="79"/>
      <c r="Q54" s="80"/>
    </row>
    <row r="55" spans="1:17" x14ac:dyDescent="0.25">
      <c r="A55" s="50" t="s">
        <v>242</v>
      </c>
      <c r="B55" s="591" t="s">
        <v>21</v>
      </c>
      <c r="C55" s="40"/>
      <c r="D55" s="47"/>
      <c r="E55" s="45"/>
      <c r="F55" s="46"/>
      <c r="G55" s="45"/>
      <c r="H55" s="46"/>
      <c r="I55" s="45"/>
      <c r="J55" s="43">
        <f t="shared" si="0"/>
        <v>0</v>
      </c>
      <c r="K55" s="44">
        <f t="shared" si="1"/>
        <v>0</v>
      </c>
      <c r="L55" s="64">
        <f t="shared" si="2"/>
        <v>0</v>
      </c>
      <c r="M55" s="67">
        <f t="shared" si="3"/>
        <v>0</v>
      </c>
      <c r="N55" s="41">
        <f t="shared" si="4"/>
        <v>0</v>
      </c>
      <c r="O55" s="79">
        <f t="shared" si="5"/>
        <v>0</v>
      </c>
      <c r="P55" s="79">
        <f t="shared" si="6"/>
        <v>0</v>
      </c>
      <c r="Q55" s="80">
        <f t="shared" si="7"/>
        <v>0</v>
      </c>
    </row>
    <row r="56" spans="1:17" s="214" customFormat="1" x14ac:dyDescent="0.25">
      <c r="A56" s="50"/>
      <c r="B56" s="49"/>
      <c r="C56" s="40"/>
      <c r="D56" s="47"/>
      <c r="E56" s="45"/>
      <c r="F56" s="46"/>
      <c r="G56" s="45"/>
      <c r="H56" s="46"/>
      <c r="I56" s="45"/>
      <c r="J56" s="43"/>
      <c r="K56" s="44"/>
      <c r="L56" s="64"/>
      <c r="M56" s="67"/>
      <c r="N56" s="41"/>
      <c r="O56" s="79"/>
      <c r="P56" s="79"/>
      <c r="Q56" s="80"/>
    </row>
    <row r="57" spans="1:17" x14ac:dyDescent="0.25">
      <c r="A57" s="50" t="s">
        <v>172</v>
      </c>
      <c r="B57" s="49" t="s">
        <v>972</v>
      </c>
      <c r="C57" s="40"/>
      <c r="D57" s="47"/>
      <c r="E57" s="45"/>
      <c r="F57" s="46"/>
      <c r="G57" s="45"/>
      <c r="H57" s="46"/>
      <c r="I57" s="45"/>
      <c r="J57" s="43">
        <f t="shared" si="0"/>
        <v>0</v>
      </c>
      <c r="K57" s="44">
        <f t="shared" si="1"/>
        <v>0</v>
      </c>
      <c r="L57" s="64">
        <f t="shared" si="2"/>
        <v>0</v>
      </c>
      <c r="M57" s="67">
        <f t="shared" si="3"/>
        <v>0</v>
      </c>
      <c r="N57" s="41">
        <f t="shared" si="4"/>
        <v>0</v>
      </c>
      <c r="O57" s="79">
        <f t="shared" si="5"/>
        <v>0</v>
      </c>
      <c r="P57" s="79">
        <f t="shared" si="6"/>
        <v>0</v>
      </c>
      <c r="Q57" s="80">
        <f t="shared" si="7"/>
        <v>0</v>
      </c>
    </row>
    <row r="58" spans="1:17" s="214" customFormat="1" x14ac:dyDescent="0.25">
      <c r="A58" s="50"/>
      <c r="B58" s="49"/>
      <c r="C58" s="40"/>
      <c r="D58" s="47"/>
      <c r="E58" s="45"/>
      <c r="F58" s="46"/>
      <c r="G58" s="45"/>
      <c r="H58" s="46"/>
      <c r="I58" s="45"/>
      <c r="J58" s="43"/>
      <c r="K58" s="44"/>
      <c r="L58" s="64"/>
      <c r="M58" s="67"/>
      <c r="N58" s="41"/>
      <c r="O58" s="79"/>
      <c r="P58" s="79"/>
      <c r="Q58" s="80"/>
    </row>
    <row r="59" spans="1:17" x14ac:dyDescent="0.25">
      <c r="A59" s="50" t="s">
        <v>243</v>
      </c>
      <c r="B59" s="49" t="s">
        <v>973</v>
      </c>
      <c r="C59" s="40"/>
      <c r="D59" s="47"/>
      <c r="E59" s="45"/>
      <c r="F59" s="46"/>
      <c r="G59" s="45"/>
      <c r="H59" s="46"/>
      <c r="I59" s="45"/>
      <c r="J59" s="43">
        <f t="shared" si="0"/>
        <v>0</v>
      </c>
      <c r="K59" s="44">
        <f t="shared" si="1"/>
        <v>0</v>
      </c>
      <c r="L59" s="64">
        <f t="shared" si="2"/>
        <v>0</v>
      </c>
      <c r="M59" s="67">
        <f t="shared" si="3"/>
        <v>0</v>
      </c>
      <c r="N59" s="41">
        <f t="shared" si="4"/>
        <v>0</v>
      </c>
      <c r="O59" s="79">
        <f t="shared" si="5"/>
        <v>0</v>
      </c>
      <c r="P59" s="79">
        <f t="shared" si="6"/>
        <v>0</v>
      </c>
      <c r="Q59" s="80">
        <f t="shared" si="7"/>
        <v>0</v>
      </c>
    </row>
    <row r="60" spans="1:17" s="214" customFormat="1" x14ac:dyDescent="0.25">
      <c r="A60" s="50"/>
      <c r="B60" s="49"/>
      <c r="C60" s="40"/>
      <c r="D60" s="47"/>
      <c r="E60" s="45"/>
      <c r="F60" s="46"/>
      <c r="G60" s="45"/>
      <c r="H60" s="46"/>
      <c r="I60" s="45"/>
      <c r="J60" s="43"/>
      <c r="K60" s="44"/>
      <c r="L60" s="64"/>
      <c r="M60" s="67"/>
      <c r="N60" s="41"/>
      <c r="O60" s="79"/>
      <c r="P60" s="79"/>
      <c r="Q60" s="80"/>
    </row>
    <row r="61" spans="1:17" x14ac:dyDescent="0.25">
      <c r="A61" s="50" t="s">
        <v>974</v>
      </c>
      <c r="B61" s="49" t="s">
        <v>976</v>
      </c>
      <c r="C61" s="40"/>
      <c r="D61" s="47"/>
      <c r="E61" s="45"/>
      <c r="F61" s="46"/>
      <c r="G61" s="45"/>
      <c r="H61" s="46"/>
      <c r="I61" s="45"/>
      <c r="J61" s="43">
        <f t="shared" si="0"/>
        <v>0</v>
      </c>
      <c r="K61" s="44">
        <f t="shared" si="1"/>
        <v>0</v>
      </c>
      <c r="L61" s="64">
        <f t="shared" si="2"/>
        <v>0</v>
      </c>
      <c r="M61" s="67">
        <f t="shared" si="3"/>
        <v>0</v>
      </c>
      <c r="N61" s="41">
        <f t="shared" si="4"/>
        <v>0</v>
      </c>
      <c r="O61" s="79">
        <f t="shared" si="5"/>
        <v>0</v>
      </c>
      <c r="P61" s="79">
        <f t="shared" si="6"/>
        <v>0</v>
      </c>
      <c r="Q61" s="80">
        <f t="shared" si="7"/>
        <v>0</v>
      </c>
    </row>
    <row r="62" spans="1:17" s="214" customFormat="1" x14ac:dyDescent="0.25">
      <c r="A62" s="50"/>
      <c r="B62" s="49"/>
      <c r="C62" s="40"/>
      <c r="D62" s="47"/>
      <c r="E62" s="45"/>
      <c r="F62" s="46"/>
      <c r="G62" s="45"/>
      <c r="H62" s="46"/>
      <c r="I62" s="45"/>
      <c r="J62" s="43"/>
      <c r="K62" s="44"/>
      <c r="L62" s="64"/>
      <c r="M62" s="67"/>
      <c r="N62" s="41"/>
      <c r="O62" s="79"/>
      <c r="P62" s="79"/>
      <c r="Q62" s="80"/>
    </row>
    <row r="63" spans="1:17" x14ac:dyDescent="0.25">
      <c r="A63" s="50" t="s">
        <v>244</v>
      </c>
      <c r="B63" s="49" t="s">
        <v>975</v>
      </c>
      <c r="C63" s="40"/>
      <c r="D63" s="47"/>
      <c r="E63" s="45"/>
      <c r="F63" s="46"/>
      <c r="G63" s="45"/>
      <c r="H63" s="46"/>
      <c r="I63" s="45"/>
      <c r="J63" s="43">
        <f t="shared" si="0"/>
        <v>0</v>
      </c>
      <c r="K63" s="44">
        <f t="shared" si="1"/>
        <v>0</v>
      </c>
      <c r="L63" s="64">
        <f t="shared" si="2"/>
        <v>0</v>
      </c>
      <c r="M63" s="67">
        <f t="shared" si="3"/>
        <v>0</v>
      </c>
      <c r="N63" s="41">
        <f t="shared" si="4"/>
        <v>0</v>
      </c>
      <c r="O63" s="79">
        <f t="shared" si="5"/>
        <v>0</v>
      </c>
      <c r="P63" s="79">
        <f t="shared" si="6"/>
        <v>0</v>
      </c>
      <c r="Q63" s="80">
        <f t="shared" si="7"/>
        <v>0</v>
      </c>
    </row>
    <row r="64" spans="1:17" s="214" customFormat="1" x14ac:dyDescent="0.25">
      <c r="A64" s="50"/>
      <c r="B64" s="49"/>
      <c r="C64" s="40"/>
      <c r="D64" s="47"/>
      <c r="E64" s="45"/>
      <c r="F64" s="46"/>
      <c r="G64" s="45"/>
      <c r="H64" s="46"/>
      <c r="I64" s="45"/>
      <c r="J64" s="43"/>
      <c r="K64" s="44"/>
      <c r="L64" s="64"/>
      <c r="M64" s="67"/>
      <c r="N64" s="41"/>
      <c r="O64" s="79"/>
      <c r="P64" s="79"/>
      <c r="Q64" s="80"/>
    </row>
    <row r="65" spans="1:17" x14ac:dyDescent="0.25">
      <c r="A65" s="50" t="s">
        <v>245</v>
      </c>
      <c r="B65" s="49" t="s">
        <v>977</v>
      </c>
      <c r="C65" s="40"/>
      <c r="D65" s="47"/>
      <c r="E65" s="45"/>
      <c r="F65" s="46"/>
      <c r="G65" s="45"/>
      <c r="H65" s="46"/>
      <c r="I65" s="45"/>
      <c r="J65" s="43">
        <f t="shared" si="0"/>
        <v>0</v>
      </c>
      <c r="K65" s="44">
        <f t="shared" si="1"/>
        <v>0</v>
      </c>
      <c r="L65" s="64">
        <f t="shared" si="2"/>
        <v>0</v>
      </c>
      <c r="M65" s="67">
        <f t="shared" si="3"/>
        <v>0</v>
      </c>
      <c r="N65" s="41">
        <f t="shared" si="4"/>
        <v>0</v>
      </c>
      <c r="O65" s="79">
        <f t="shared" si="5"/>
        <v>0</v>
      </c>
      <c r="P65" s="79">
        <f t="shared" si="6"/>
        <v>0</v>
      </c>
      <c r="Q65" s="80">
        <f t="shared" si="7"/>
        <v>0</v>
      </c>
    </row>
    <row r="66" spans="1:17" s="214" customFormat="1" x14ac:dyDescent="0.25">
      <c r="A66" s="50"/>
      <c r="B66" s="49"/>
      <c r="C66" s="40"/>
      <c r="D66" s="47"/>
      <c r="E66" s="45"/>
      <c r="F66" s="46"/>
      <c r="G66" s="45"/>
      <c r="H66" s="46"/>
      <c r="I66" s="45"/>
      <c r="J66" s="43"/>
      <c r="K66" s="44"/>
      <c r="L66" s="64"/>
      <c r="M66" s="67"/>
      <c r="N66" s="41"/>
      <c r="O66" s="79"/>
      <c r="P66" s="79"/>
      <c r="Q66" s="80"/>
    </row>
    <row r="67" spans="1:17" x14ac:dyDescent="0.25">
      <c r="A67" s="50" t="s">
        <v>978</v>
      </c>
      <c r="B67" s="49" t="s">
        <v>979</v>
      </c>
      <c r="C67" s="40"/>
      <c r="D67" s="47"/>
      <c r="E67" s="45"/>
      <c r="F67" s="46"/>
      <c r="G67" s="45"/>
      <c r="H67" s="46"/>
      <c r="I67" s="45"/>
      <c r="J67" s="43">
        <f t="shared" si="0"/>
        <v>0</v>
      </c>
      <c r="K67" s="44">
        <f t="shared" si="1"/>
        <v>0</v>
      </c>
      <c r="L67" s="64">
        <f t="shared" si="2"/>
        <v>0</v>
      </c>
      <c r="M67" s="67">
        <f t="shared" si="3"/>
        <v>0</v>
      </c>
      <c r="N67" s="41">
        <f t="shared" si="4"/>
        <v>0</v>
      </c>
      <c r="O67" s="79">
        <f t="shared" si="5"/>
        <v>0</v>
      </c>
      <c r="P67" s="79">
        <f t="shared" si="6"/>
        <v>0</v>
      </c>
      <c r="Q67" s="80">
        <f t="shared" si="7"/>
        <v>0</v>
      </c>
    </row>
    <row r="68" spans="1:17" s="214" customFormat="1" x14ac:dyDescent="0.25">
      <c r="A68" s="50"/>
      <c r="B68" s="49"/>
      <c r="C68" s="40"/>
      <c r="D68" s="47"/>
      <c r="E68" s="45"/>
      <c r="F68" s="46"/>
      <c r="G68" s="45"/>
      <c r="H68" s="46"/>
      <c r="I68" s="45"/>
      <c r="J68" s="43"/>
      <c r="K68" s="44"/>
      <c r="L68" s="64"/>
      <c r="M68" s="67"/>
      <c r="N68" s="41"/>
      <c r="O68" s="79"/>
      <c r="P68" s="79"/>
      <c r="Q68" s="80"/>
    </row>
    <row r="69" spans="1:17" x14ac:dyDescent="0.25">
      <c r="A69" s="50" t="s">
        <v>171</v>
      </c>
      <c r="B69" s="49">
        <v>2750</v>
      </c>
      <c r="C69" s="40"/>
      <c r="D69" s="47"/>
      <c r="E69" s="45"/>
      <c r="F69" s="46"/>
      <c r="G69" s="45"/>
      <c r="H69" s="46"/>
      <c r="I69" s="45"/>
      <c r="J69" s="43">
        <f t="shared" si="0"/>
        <v>0</v>
      </c>
      <c r="K69" s="44">
        <f t="shared" si="1"/>
        <v>0</v>
      </c>
      <c r="L69" s="64">
        <f t="shared" si="2"/>
        <v>0</v>
      </c>
      <c r="M69" s="67">
        <f t="shared" si="3"/>
        <v>0</v>
      </c>
      <c r="N69" s="41">
        <f t="shared" si="4"/>
        <v>0</v>
      </c>
      <c r="O69" s="79">
        <f t="shared" si="5"/>
        <v>0</v>
      </c>
      <c r="P69" s="79">
        <f t="shared" si="6"/>
        <v>0</v>
      </c>
      <c r="Q69" s="80">
        <f t="shared" si="7"/>
        <v>0</v>
      </c>
    </row>
    <row r="70" spans="1:17" s="214" customFormat="1" x14ac:dyDescent="0.25">
      <c r="A70" s="50"/>
      <c r="B70" s="49"/>
      <c r="C70" s="40"/>
      <c r="D70" s="47"/>
      <c r="E70" s="45"/>
      <c r="F70" s="46"/>
      <c r="G70" s="45"/>
      <c r="H70" s="46"/>
      <c r="I70" s="45"/>
      <c r="J70" s="43"/>
      <c r="K70" s="44"/>
      <c r="L70" s="64"/>
      <c r="M70" s="67"/>
      <c r="N70" s="41"/>
      <c r="O70" s="79"/>
      <c r="P70" s="79"/>
      <c r="Q70" s="80"/>
    </row>
    <row r="71" spans="1:17" x14ac:dyDescent="0.25">
      <c r="A71" s="50" t="s">
        <v>247</v>
      </c>
      <c r="B71" s="49">
        <v>2755</v>
      </c>
      <c r="C71" s="40"/>
      <c r="D71" s="47"/>
      <c r="E71" s="45"/>
      <c r="F71" s="46"/>
      <c r="G71" s="45"/>
      <c r="H71" s="46"/>
      <c r="I71" s="45"/>
      <c r="J71" s="43">
        <f t="shared" si="0"/>
        <v>0</v>
      </c>
      <c r="K71" s="44">
        <f t="shared" si="1"/>
        <v>0</v>
      </c>
      <c r="L71" s="64">
        <f t="shared" si="2"/>
        <v>0</v>
      </c>
      <c r="M71" s="67">
        <f t="shared" si="3"/>
        <v>0</v>
      </c>
      <c r="N71" s="41">
        <f t="shared" si="4"/>
        <v>0</v>
      </c>
      <c r="O71" s="79">
        <f t="shared" si="5"/>
        <v>0</v>
      </c>
      <c r="P71" s="79">
        <f t="shared" si="6"/>
        <v>0</v>
      </c>
      <c r="Q71" s="80">
        <f t="shared" si="7"/>
        <v>0</v>
      </c>
    </row>
    <row r="72" spans="1:17" s="214" customFormat="1" x14ac:dyDescent="0.25">
      <c r="B72" s="49"/>
      <c r="C72" s="40"/>
      <c r="D72" s="47"/>
      <c r="E72" s="45"/>
      <c r="F72" s="46"/>
      <c r="G72" s="45"/>
      <c r="H72" s="46"/>
      <c r="I72" s="45"/>
      <c r="J72" s="43"/>
      <c r="K72" s="44"/>
      <c r="L72" s="64"/>
      <c r="M72" s="67"/>
      <c r="N72" s="41"/>
      <c r="O72" s="79"/>
      <c r="P72" s="79"/>
      <c r="Q72" s="80"/>
    </row>
    <row r="73" spans="1:17" x14ac:dyDescent="0.25">
      <c r="A73" s="50" t="s">
        <v>246</v>
      </c>
      <c r="B73" s="49">
        <v>2940</v>
      </c>
      <c r="C73" s="40"/>
      <c r="D73" s="47"/>
      <c r="E73" s="45"/>
      <c r="F73" s="46"/>
      <c r="G73" s="45"/>
      <c r="H73" s="46"/>
      <c r="I73" s="45"/>
      <c r="J73" s="43">
        <f t="shared" si="0"/>
        <v>0</v>
      </c>
      <c r="K73" s="44">
        <f t="shared" si="1"/>
        <v>0</v>
      </c>
      <c r="L73" s="64">
        <f t="shared" si="2"/>
        <v>0</v>
      </c>
      <c r="M73" s="67">
        <f t="shared" si="3"/>
        <v>0</v>
      </c>
      <c r="N73" s="41">
        <f t="shared" si="4"/>
        <v>0</v>
      </c>
      <c r="O73" s="79">
        <f t="shared" si="5"/>
        <v>0</v>
      </c>
      <c r="P73" s="79">
        <f t="shared" si="6"/>
        <v>0</v>
      </c>
      <c r="Q73" s="80">
        <f t="shared" si="7"/>
        <v>0</v>
      </c>
    </row>
    <row r="74" spans="1:17" s="214" customFormat="1" x14ac:dyDescent="0.25">
      <c r="A74" s="50"/>
      <c r="B74" s="49"/>
      <c r="C74" s="40"/>
      <c r="D74" s="47"/>
      <c r="E74" s="45"/>
      <c r="F74" s="46"/>
      <c r="G74" s="45"/>
      <c r="H74" s="46"/>
      <c r="I74" s="45"/>
      <c r="J74" s="43"/>
      <c r="K74" s="44"/>
      <c r="L74" s="64"/>
      <c r="M74" s="67"/>
      <c r="N74" s="41"/>
      <c r="O74" s="79"/>
      <c r="P74" s="79"/>
      <c r="Q74" s="80"/>
    </row>
    <row r="75" spans="1:17" x14ac:dyDescent="0.25">
      <c r="A75" s="50"/>
      <c r="B75" s="49"/>
      <c r="C75" s="40"/>
      <c r="D75" s="47"/>
      <c r="E75" s="45"/>
      <c r="F75" s="46"/>
      <c r="G75" s="45"/>
      <c r="H75" s="46"/>
      <c r="I75" s="45"/>
      <c r="J75" s="43">
        <f t="shared" si="0"/>
        <v>0</v>
      </c>
      <c r="K75" s="44">
        <f t="shared" si="1"/>
        <v>0</v>
      </c>
      <c r="L75" s="64">
        <f t="shared" si="2"/>
        <v>0</v>
      </c>
      <c r="M75" s="67">
        <f t="shared" si="3"/>
        <v>0</v>
      </c>
      <c r="N75" s="41">
        <f t="shared" si="4"/>
        <v>0</v>
      </c>
      <c r="O75" s="79">
        <f t="shared" si="5"/>
        <v>0</v>
      </c>
      <c r="P75" s="79">
        <f t="shared" si="6"/>
        <v>0</v>
      </c>
      <c r="Q75" s="80">
        <f t="shared" si="7"/>
        <v>0</v>
      </c>
    </row>
    <row r="76" spans="1:17" s="214" customFormat="1" x14ac:dyDescent="0.25">
      <c r="A76" s="50"/>
      <c r="B76" s="49"/>
      <c r="C76" s="40"/>
      <c r="D76" s="47"/>
      <c r="E76" s="45"/>
      <c r="F76" s="46"/>
      <c r="G76" s="45"/>
      <c r="H76" s="46"/>
      <c r="I76" s="45"/>
      <c r="J76" s="43"/>
      <c r="K76" s="44"/>
      <c r="L76" s="64"/>
      <c r="M76" s="67"/>
      <c r="N76" s="41"/>
      <c r="O76" s="79"/>
      <c r="P76" s="79"/>
      <c r="Q76" s="80"/>
    </row>
    <row r="77" spans="1:17" x14ac:dyDescent="0.25">
      <c r="A77" s="50"/>
      <c r="B77" s="49"/>
      <c r="C77" s="40"/>
      <c r="D77" s="47"/>
      <c r="E77" s="45"/>
      <c r="F77" s="46"/>
      <c r="G77" s="45"/>
      <c r="H77" s="46"/>
      <c r="I77" s="45"/>
      <c r="J77" s="43">
        <f t="shared" si="0"/>
        <v>0</v>
      </c>
      <c r="K77" s="44">
        <f t="shared" si="1"/>
        <v>0</v>
      </c>
      <c r="L77" s="64">
        <f t="shared" si="2"/>
        <v>0</v>
      </c>
      <c r="M77" s="67">
        <f t="shared" si="3"/>
        <v>0</v>
      </c>
      <c r="N77" s="41">
        <f t="shared" si="4"/>
        <v>0</v>
      </c>
      <c r="O77" s="79">
        <f t="shared" si="5"/>
        <v>0</v>
      </c>
      <c r="P77" s="79">
        <f t="shared" si="6"/>
        <v>0</v>
      </c>
      <c r="Q77" s="80">
        <f t="shared" si="7"/>
        <v>0</v>
      </c>
    </row>
    <row r="78" spans="1:17" s="114" customFormat="1" x14ac:dyDescent="0.25">
      <c r="A78" s="49"/>
      <c r="B78" s="49"/>
      <c r="C78" s="40"/>
      <c r="D78" s="47"/>
      <c r="E78" s="45"/>
      <c r="F78" s="46"/>
      <c r="G78" s="45"/>
      <c r="H78" s="46"/>
      <c r="I78" s="45"/>
      <c r="J78" s="43"/>
      <c r="K78" s="44"/>
      <c r="L78" s="64"/>
      <c r="M78" s="67"/>
      <c r="N78" s="41"/>
      <c r="O78" s="79"/>
      <c r="P78" s="79"/>
      <c r="Q78" s="80"/>
    </row>
    <row r="79" spans="1:17" s="114" customFormat="1" x14ac:dyDescent="0.25">
      <c r="A79" s="49"/>
      <c r="B79" s="49"/>
      <c r="C79" s="40"/>
      <c r="D79" s="47"/>
      <c r="E79" s="45"/>
      <c r="F79" s="46"/>
      <c r="G79" s="45"/>
      <c r="H79" s="46"/>
      <c r="I79" s="45"/>
      <c r="J79" s="43"/>
      <c r="K79" s="44"/>
      <c r="L79" s="64"/>
      <c r="M79" s="67"/>
      <c r="N79" s="41"/>
      <c r="O79" s="79"/>
      <c r="P79" s="79"/>
      <c r="Q79" s="80"/>
    </row>
    <row r="80" spans="1:17" s="114" customFormat="1" x14ac:dyDescent="0.25">
      <c r="A80" s="49"/>
      <c r="B80" s="49"/>
      <c r="C80" s="40"/>
      <c r="D80" s="47"/>
      <c r="E80" s="45"/>
      <c r="F80" s="46"/>
      <c r="G80" s="45"/>
      <c r="H80" s="46"/>
      <c r="I80" s="45"/>
      <c r="J80" s="43"/>
      <c r="K80" s="44"/>
      <c r="L80" s="64"/>
      <c r="M80" s="67"/>
      <c r="N80" s="41"/>
      <c r="O80" s="79"/>
      <c r="P80" s="79"/>
      <c r="Q80" s="80"/>
    </row>
    <row r="81" spans="1:17" s="114" customFormat="1" x14ac:dyDescent="0.25">
      <c r="A81" s="49"/>
      <c r="B81" s="49"/>
      <c r="C81" s="40"/>
      <c r="D81" s="47"/>
      <c r="E81" s="45"/>
      <c r="F81" s="46"/>
      <c r="G81" s="45"/>
      <c r="H81" s="46"/>
      <c r="I81" s="45"/>
      <c r="J81" s="43"/>
      <c r="K81" s="44"/>
      <c r="L81" s="64"/>
      <c r="M81" s="67"/>
      <c r="N81" s="41"/>
      <c r="O81" s="79"/>
      <c r="P81" s="79"/>
      <c r="Q81" s="80"/>
    </row>
    <row r="82" spans="1:17" s="114" customFormat="1" x14ac:dyDescent="0.25">
      <c r="A82" s="49"/>
      <c r="B82" s="49"/>
      <c r="C82" s="40"/>
      <c r="D82" s="47"/>
      <c r="E82" s="45"/>
      <c r="F82" s="46"/>
      <c r="G82" s="45"/>
      <c r="H82" s="46"/>
      <c r="I82" s="45"/>
      <c r="J82" s="43"/>
      <c r="K82" s="44"/>
      <c r="L82" s="64"/>
      <c r="M82" s="67"/>
      <c r="N82" s="41"/>
      <c r="O82" s="79"/>
      <c r="P82" s="79"/>
      <c r="Q82" s="80"/>
    </row>
    <row r="83" spans="1:17" s="114" customFormat="1" x14ac:dyDescent="0.25">
      <c r="A83" s="49"/>
      <c r="B83" s="49"/>
      <c r="C83" s="40"/>
      <c r="D83" s="47"/>
      <c r="E83" s="45"/>
      <c r="F83" s="46"/>
      <c r="G83" s="45"/>
      <c r="H83" s="46"/>
      <c r="I83" s="45"/>
      <c r="J83" s="43"/>
      <c r="K83" s="44"/>
      <c r="L83" s="64"/>
      <c r="M83" s="67"/>
      <c r="N83" s="41"/>
      <c r="O83" s="79"/>
      <c r="P83" s="79"/>
      <c r="Q83" s="80"/>
    </row>
    <row r="84" spans="1:17" s="114" customFormat="1" x14ac:dyDescent="0.25">
      <c r="A84" s="49"/>
      <c r="B84" s="49"/>
      <c r="C84" s="40"/>
      <c r="D84" s="47"/>
      <c r="E84" s="45"/>
      <c r="F84" s="46"/>
      <c r="G84" s="45"/>
      <c r="H84" s="46"/>
      <c r="I84" s="45"/>
      <c r="J84" s="43"/>
      <c r="K84" s="44"/>
      <c r="L84" s="64"/>
      <c r="M84" s="67"/>
      <c r="N84" s="41"/>
      <c r="O84" s="79"/>
      <c r="P84" s="79"/>
      <c r="Q84" s="80"/>
    </row>
    <row r="85" spans="1:17" s="114" customFormat="1" x14ac:dyDescent="0.25">
      <c r="A85" s="49"/>
      <c r="B85" s="49"/>
      <c r="C85" s="40"/>
      <c r="D85" s="47"/>
      <c r="E85" s="45"/>
      <c r="F85" s="46"/>
      <c r="G85" s="45"/>
      <c r="H85" s="46"/>
      <c r="I85" s="45"/>
      <c r="J85" s="43"/>
      <c r="K85" s="44"/>
      <c r="L85" s="64"/>
      <c r="M85" s="67"/>
      <c r="N85" s="41"/>
      <c r="O85" s="79"/>
      <c r="P85" s="79"/>
      <c r="Q85" s="80"/>
    </row>
    <row r="86" spans="1:17" s="114" customFormat="1" x14ac:dyDescent="0.25">
      <c r="A86" s="49"/>
      <c r="B86" s="49"/>
      <c r="C86" s="40"/>
      <c r="D86" s="47"/>
      <c r="E86" s="45"/>
      <c r="F86" s="46"/>
      <c r="G86" s="45"/>
      <c r="H86" s="46"/>
      <c r="I86" s="45"/>
      <c r="J86" s="43"/>
      <c r="K86" s="44"/>
      <c r="L86" s="64"/>
      <c r="M86" s="67"/>
      <c r="N86" s="41"/>
      <c r="O86" s="79"/>
      <c r="P86" s="79"/>
      <c r="Q86" s="80"/>
    </row>
    <row r="87" spans="1:17" s="114" customFormat="1" x14ac:dyDescent="0.25">
      <c r="A87" s="49"/>
      <c r="B87" s="49"/>
      <c r="C87" s="40"/>
      <c r="D87" s="47"/>
      <c r="E87" s="45"/>
      <c r="F87" s="46"/>
      <c r="G87" s="45"/>
      <c r="H87" s="46"/>
      <c r="I87" s="45"/>
      <c r="J87" s="43"/>
      <c r="K87" s="44"/>
      <c r="L87" s="64"/>
      <c r="M87" s="67"/>
      <c r="N87" s="41"/>
      <c r="O87" s="79"/>
      <c r="P87" s="79"/>
      <c r="Q87" s="80"/>
    </row>
    <row r="88" spans="1:17" s="114" customFormat="1" x14ac:dyDescent="0.25">
      <c r="A88" s="49"/>
      <c r="B88" s="49"/>
      <c r="C88" s="40"/>
      <c r="D88" s="47"/>
      <c r="E88" s="45"/>
      <c r="F88" s="46"/>
      <c r="G88" s="45"/>
      <c r="H88" s="46"/>
      <c r="I88" s="45"/>
      <c r="J88" s="43"/>
      <c r="K88" s="44"/>
      <c r="L88" s="64"/>
      <c r="M88" s="67"/>
      <c r="N88" s="41"/>
      <c r="O88" s="79"/>
      <c r="P88" s="79"/>
      <c r="Q88" s="80"/>
    </row>
    <row r="89" spans="1:17" s="114" customFormat="1" x14ac:dyDescent="0.25">
      <c r="A89" s="49"/>
      <c r="B89" s="49"/>
      <c r="C89" s="40"/>
      <c r="D89" s="47"/>
      <c r="E89" s="45"/>
      <c r="F89" s="46"/>
      <c r="G89" s="45"/>
      <c r="H89" s="46"/>
      <c r="I89" s="45"/>
      <c r="J89" s="43"/>
      <c r="K89" s="44"/>
      <c r="L89" s="64"/>
      <c r="M89" s="67"/>
      <c r="N89" s="41"/>
      <c r="O89" s="79"/>
      <c r="P89" s="79"/>
      <c r="Q89" s="80"/>
    </row>
    <row r="90" spans="1:17" s="114" customFormat="1" x14ac:dyDescent="0.25">
      <c r="A90" s="49"/>
      <c r="B90" s="49"/>
      <c r="C90" s="40"/>
      <c r="D90" s="47"/>
      <c r="E90" s="45"/>
      <c r="F90" s="46"/>
      <c r="G90" s="45"/>
      <c r="H90" s="46"/>
      <c r="I90" s="45"/>
      <c r="J90" s="43"/>
      <c r="K90" s="44"/>
      <c r="L90" s="64"/>
      <c r="M90" s="67"/>
      <c r="N90" s="41"/>
      <c r="O90" s="79"/>
      <c r="P90" s="79"/>
      <c r="Q90" s="80"/>
    </row>
    <row r="91" spans="1:17" s="114" customFormat="1" x14ac:dyDescent="0.25">
      <c r="A91" s="48"/>
      <c r="B91" s="48"/>
      <c r="C91" s="40"/>
      <c r="D91" s="47"/>
      <c r="E91" s="45"/>
      <c r="F91" s="46"/>
      <c r="G91" s="45"/>
      <c r="H91" s="46"/>
      <c r="I91" s="45"/>
      <c r="J91" s="43"/>
      <c r="K91" s="44"/>
      <c r="L91" s="64"/>
      <c r="M91" s="67"/>
      <c r="N91" s="41"/>
      <c r="O91" s="79"/>
      <c r="P91" s="79"/>
      <c r="Q91" s="80"/>
    </row>
    <row r="92" spans="1:17" x14ac:dyDescent="0.25">
      <c r="G92" s="637" t="s">
        <v>170</v>
      </c>
      <c r="H92" s="637"/>
      <c r="I92" s="27">
        <f>SUM(I13:I77)</f>
        <v>0</v>
      </c>
    </row>
    <row r="93" spans="1:17" x14ac:dyDescent="0.25">
      <c r="G93" s="637" t="s">
        <v>169</v>
      </c>
      <c r="H93" s="637"/>
      <c r="I93" s="31">
        <f>I92*D3</f>
        <v>0</v>
      </c>
    </row>
  </sheetData>
  <mergeCells count="4">
    <mergeCell ref="A1:B1"/>
    <mergeCell ref="E5:I5"/>
    <mergeCell ref="G92:H92"/>
    <mergeCell ref="G93:H93"/>
  </mergeCells>
  <pageMargins left="0.7" right="0.7" top="0.75" bottom="0.75" header="0.3" footer="0.3"/>
  <pageSetup scale="57"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XFD30"/>
  <sheetViews>
    <sheetView workbookViewId="0">
      <pane xSplit="1" topLeftCell="D1" activePane="topRight" state="frozen"/>
      <selection pane="topRight" activeCell="H22" sqref="H22"/>
    </sheetView>
  </sheetViews>
  <sheetFormatPr defaultRowHeight="15" x14ac:dyDescent="0.25"/>
  <cols>
    <col min="1" max="1" width="35.7109375" bestFit="1" customWidth="1"/>
    <col min="2" max="11" width="26" style="385" bestFit="1" customWidth="1"/>
  </cols>
  <sheetData>
    <row r="2" spans="1:11 16384:16384" x14ac:dyDescent="0.25">
      <c r="A2" s="387" t="s">
        <v>134</v>
      </c>
      <c r="B2" s="199" t="e">
        <f>TestSummary!#REF!</f>
        <v>#REF!</v>
      </c>
      <c r="C2" s="199" t="e">
        <f>TestSummary!#REF!</f>
        <v>#REF!</v>
      </c>
      <c r="D2" s="199" t="e">
        <f>TestSummary!#REF!</f>
        <v>#REF!</v>
      </c>
      <c r="E2" s="199" t="e">
        <f>TestSummary!#REF!</f>
        <v>#REF!</v>
      </c>
      <c r="F2" s="199" t="e">
        <f>TestSummary!#REF!</f>
        <v>#REF!</v>
      </c>
      <c r="G2" s="199" t="e">
        <f>TestSummary!#REF!</f>
        <v>#REF!</v>
      </c>
      <c r="H2" s="199" t="e">
        <f>TestSummary!#REF!</f>
        <v>#REF!</v>
      </c>
      <c r="I2" s="394" t="e">
        <f>TestSummary!#REF!</f>
        <v>#REF!</v>
      </c>
      <c r="J2" s="390" t="e">
        <f>TestSummary!#REF!</f>
        <v>#REF!</v>
      </c>
      <c r="K2" s="390" t="e">
        <f>TestSummary!#REF!</f>
        <v>#REF!</v>
      </c>
    </row>
    <row r="3" spans="1:11 16384:16384" x14ac:dyDescent="0.25">
      <c r="A3" s="387" t="s">
        <v>396</v>
      </c>
      <c r="B3" s="288" t="e">
        <f>TestSummary!#REF!</f>
        <v>#REF!</v>
      </c>
      <c r="C3" s="288" t="e">
        <f>TestSummary!#REF!</f>
        <v>#REF!</v>
      </c>
      <c r="D3" s="288" t="e">
        <f>TestSummary!#REF!</f>
        <v>#REF!</v>
      </c>
      <c r="E3" s="288" t="e">
        <f>TestSummary!#REF!</f>
        <v>#REF!</v>
      </c>
      <c r="F3" s="288" t="e">
        <f>TestSummary!#REF!</f>
        <v>#REF!</v>
      </c>
      <c r="G3" s="288" t="e">
        <f>TestSummary!#REF!</f>
        <v>#REF!</v>
      </c>
      <c r="H3" s="288" t="e">
        <f>TestSummary!#REF!</f>
        <v>#REF!</v>
      </c>
      <c r="I3" s="395" t="e">
        <f>TestSummary!#REF!</f>
        <v>#REF!</v>
      </c>
      <c r="J3" s="391" t="e">
        <f>TestSummary!#REF!</f>
        <v>#REF!</v>
      </c>
      <c r="K3" s="391" t="e">
        <f>TestSummary!#REF!</f>
        <v>#REF!</v>
      </c>
    </row>
    <row r="4" spans="1:11 16384:16384" x14ac:dyDescent="0.25">
      <c r="A4" s="387" t="s">
        <v>401</v>
      </c>
      <c r="B4" s="385">
        <v>23</v>
      </c>
      <c r="C4" s="385">
        <v>23</v>
      </c>
      <c r="D4" s="385">
        <v>23</v>
      </c>
      <c r="E4" s="385">
        <v>35</v>
      </c>
      <c r="F4" s="385">
        <v>-7</v>
      </c>
      <c r="G4" s="385">
        <v>-7</v>
      </c>
      <c r="H4" s="385">
        <v>-17</v>
      </c>
      <c r="I4" s="396">
        <v>-17</v>
      </c>
      <c r="J4" s="386">
        <v>23</v>
      </c>
      <c r="K4" s="386">
        <v>23</v>
      </c>
    </row>
    <row r="5" spans="1:11 16384:16384" x14ac:dyDescent="0.25">
      <c r="A5" s="387" t="s">
        <v>397</v>
      </c>
      <c r="B5" s="385" t="s">
        <v>533</v>
      </c>
      <c r="C5" s="385" t="s">
        <v>533</v>
      </c>
      <c r="D5" s="385" t="s">
        <v>533</v>
      </c>
      <c r="E5" s="385" t="s">
        <v>533</v>
      </c>
      <c r="F5" s="385" t="s">
        <v>533</v>
      </c>
      <c r="G5" s="385" t="s">
        <v>533</v>
      </c>
      <c r="H5" s="385" t="s">
        <v>533</v>
      </c>
      <c r="I5" s="396" t="s">
        <v>533</v>
      </c>
      <c r="J5" s="386" t="s">
        <v>533</v>
      </c>
      <c r="K5" s="386" t="s">
        <v>533</v>
      </c>
    </row>
    <row r="6" spans="1:11 16384:16384" x14ac:dyDescent="0.25">
      <c r="A6" s="387" t="s">
        <v>80</v>
      </c>
      <c r="I6" s="396"/>
      <c r="J6" s="386"/>
      <c r="K6" s="386"/>
    </row>
    <row r="7" spans="1:11 16384:16384" x14ac:dyDescent="0.25">
      <c r="A7" s="387" t="s">
        <v>102</v>
      </c>
      <c r="B7" s="385" t="s">
        <v>398</v>
      </c>
      <c r="C7" s="385" t="s">
        <v>398</v>
      </c>
      <c r="D7" s="385" t="s">
        <v>398</v>
      </c>
      <c r="E7" s="385" t="s">
        <v>398</v>
      </c>
      <c r="F7" s="385" t="s">
        <v>398</v>
      </c>
      <c r="G7" s="385" t="s">
        <v>398</v>
      </c>
      <c r="H7" s="385" t="s">
        <v>398</v>
      </c>
      <c r="I7" s="396" t="s">
        <v>398</v>
      </c>
      <c r="J7" s="386" t="s">
        <v>398</v>
      </c>
      <c r="K7" s="386" t="s">
        <v>398</v>
      </c>
    </row>
    <row r="8" spans="1:11 16384:16384" x14ac:dyDescent="0.25">
      <c r="A8" s="387" t="s">
        <v>399</v>
      </c>
      <c r="B8" s="385">
        <v>2</v>
      </c>
      <c r="C8" s="385">
        <v>2</v>
      </c>
      <c r="D8" s="385">
        <v>1</v>
      </c>
      <c r="E8" s="385">
        <v>2</v>
      </c>
      <c r="F8" s="385">
        <v>2</v>
      </c>
      <c r="G8" s="385">
        <v>2</v>
      </c>
      <c r="H8" s="385">
        <v>2</v>
      </c>
      <c r="I8" s="396">
        <v>2</v>
      </c>
      <c r="J8" s="386">
        <v>2</v>
      </c>
      <c r="K8" s="386">
        <v>2</v>
      </c>
    </row>
    <row r="9" spans="1:11 16384:16384" x14ac:dyDescent="0.25">
      <c r="A9" s="387" t="s">
        <v>400</v>
      </c>
      <c r="B9" s="385" t="s">
        <v>534</v>
      </c>
      <c r="C9" s="385" t="s">
        <v>534</v>
      </c>
      <c r="D9" s="385" t="s">
        <v>547</v>
      </c>
      <c r="E9" s="385" t="s">
        <v>534</v>
      </c>
      <c r="F9" s="385" t="s">
        <v>534</v>
      </c>
      <c r="G9" s="385" t="s">
        <v>534</v>
      </c>
      <c r="H9" s="385" t="s">
        <v>534</v>
      </c>
      <c r="I9" s="396" t="s">
        <v>534</v>
      </c>
      <c r="J9" s="386" t="s">
        <v>534</v>
      </c>
      <c r="K9" s="386" t="s">
        <v>534</v>
      </c>
    </row>
    <row r="10" spans="1:11 16384:16384" x14ac:dyDescent="0.25">
      <c r="A10" s="387" t="s">
        <v>402</v>
      </c>
      <c r="B10" s="385">
        <v>23</v>
      </c>
      <c r="C10" s="385">
        <v>23</v>
      </c>
      <c r="D10" s="385">
        <v>23</v>
      </c>
      <c r="E10" s="385">
        <v>35</v>
      </c>
      <c r="F10" s="385">
        <v>-7</v>
      </c>
      <c r="G10" s="385">
        <v>-17</v>
      </c>
      <c r="H10" s="385">
        <v>-7</v>
      </c>
      <c r="I10" s="396">
        <v>-17</v>
      </c>
      <c r="J10" s="386">
        <v>23</v>
      </c>
      <c r="K10" s="386">
        <v>23</v>
      </c>
    </row>
    <row r="11" spans="1:11 16384:16384" s="345" customFormat="1" x14ac:dyDescent="0.25">
      <c r="A11" s="387" t="s">
        <v>508</v>
      </c>
      <c r="B11" s="288" t="e">
        <f>TestSummary!#REF!</f>
        <v>#REF!</v>
      </c>
      <c r="C11" s="288" t="e">
        <f>TestSummary!#REF!</f>
        <v>#REF!</v>
      </c>
      <c r="D11" s="288" t="e">
        <f>TestSummary!#REF!</f>
        <v>#REF!</v>
      </c>
      <c r="E11" s="288" t="e">
        <f>TestSummary!#REF!</f>
        <v>#REF!</v>
      </c>
      <c r="F11" s="288" t="e">
        <f>TestSummary!#REF!</f>
        <v>#REF!</v>
      </c>
      <c r="G11" s="288" t="e">
        <f>TestSummary!#REF!</f>
        <v>#REF!</v>
      </c>
      <c r="H11" s="288" t="e">
        <f>TestSummary!#REF!</f>
        <v>#REF!</v>
      </c>
      <c r="I11" s="395" t="e">
        <f>TestSummary!#REF!</f>
        <v>#REF!</v>
      </c>
      <c r="J11" s="391" t="e">
        <f>TestSummary!#REF!</f>
        <v>#REF!</v>
      </c>
      <c r="K11" s="391" t="e">
        <f>TestSummary!#REF!</f>
        <v>#REF!</v>
      </c>
    </row>
    <row r="12" spans="1:11 16384:16384" s="345" customFormat="1" x14ac:dyDescent="0.25">
      <c r="A12" s="387" t="s">
        <v>509</v>
      </c>
      <c r="B12" s="288" t="e">
        <f>TestSummary!#REF!</f>
        <v>#REF!</v>
      </c>
      <c r="C12" s="288" t="e">
        <f>TestSummary!#REF!</f>
        <v>#REF!</v>
      </c>
      <c r="D12" s="288" t="e">
        <f>TestSummary!#REF!</f>
        <v>#REF!</v>
      </c>
      <c r="E12" s="288" t="e">
        <f>TestSummary!#REF!</f>
        <v>#REF!</v>
      </c>
      <c r="F12" s="288" t="e">
        <f>TestSummary!#REF!</f>
        <v>#REF!</v>
      </c>
      <c r="G12" s="288" t="e">
        <f>TestSummary!#REF!</f>
        <v>#REF!</v>
      </c>
      <c r="H12" s="288" t="e">
        <f>TestSummary!#REF!</f>
        <v>#REF!</v>
      </c>
      <c r="I12" s="395" t="e">
        <f>TestSummary!#REF!</f>
        <v>#REF!</v>
      </c>
      <c r="J12" s="391" t="e">
        <f>TestSummary!#REF!</f>
        <v>#REF!</v>
      </c>
      <c r="K12" s="391" t="e">
        <f>TestSummary!#REF!</f>
        <v>#REF!</v>
      </c>
    </row>
    <row r="13" spans="1:11 16384:16384" s="345" customFormat="1" x14ac:dyDescent="0.25">
      <c r="A13" s="387" t="s">
        <v>542</v>
      </c>
      <c r="B13" s="288"/>
      <c r="C13" s="288" t="e">
        <f>TestSummary!#REF!</f>
        <v>#REF!</v>
      </c>
      <c r="D13" s="288" t="e">
        <f>TestSummary!#REF!</f>
        <v>#REF!</v>
      </c>
      <c r="E13" s="288" t="e">
        <f>TestSummary!#REF!</f>
        <v>#REF!</v>
      </c>
      <c r="F13" s="288" t="e">
        <f>TestSummary!#REF!</f>
        <v>#REF!</v>
      </c>
      <c r="G13" s="288" t="e">
        <f>TestSummary!#REF!</f>
        <v>#REF!</v>
      </c>
      <c r="H13" s="288" t="e">
        <f>TestSummary!#REF!</f>
        <v>#REF!</v>
      </c>
      <c r="I13" s="395" t="e">
        <f>TestSummary!#REF!</f>
        <v>#REF!</v>
      </c>
      <c r="J13" s="391"/>
      <c r="K13" s="391"/>
      <c r="XFD13" s="288"/>
    </row>
    <row r="14" spans="1:11 16384:16384" x14ac:dyDescent="0.25">
      <c r="A14" s="387" t="s">
        <v>541</v>
      </c>
      <c r="B14" s="288" t="e">
        <f>TestSummary!#REF!</f>
        <v>#REF!</v>
      </c>
      <c r="C14" s="288" t="e">
        <f>TestSummary!#REF!</f>
        <v>#REF!</v>
      </c>
      <c r="D14" s="288" t="e">
        <f>TestSummary!#REF!</f>
        <v>#REF!</v>
      </c>
      <c r="E14" s="288" t="e">
        <f>TestSummary!#REF!</f>
        <v>#REF!</v>
      </c>
      <c r="F14" s="288" t="e">
        <f>TestSummary!#REF!</f>
        <v>#REF!</v>
      </c>
      <c r="G14" s="288" t="e">
        <f>TestSummary!#REF!</f>
        <v>#REF!</v>
      </c>
      <c r="H14" s="288" t="e">
        <f>TestSummary!#REF!</f>
        <v>#REF!</v>
      </c>
      <c r="I14" s="395" t="e">
        <f>TestSummary!#REF!</f>
        <v>#REF!</v>
      </c>
      <c r="J14" s="391" t="e">
        <f>TestSummary!#REF!</f>
        <v>#REF!</v>
      </c>
      <c r="K14" s="391" t="e">
        <f>TestSummary!#REF!</f>
        <v>#REF!</v>
      </c>
    </row>
    <row r="15" spans="1:11 16384:16384" x14ac:dyDescent="0.25">
      <c r="A15" s="387" t="s">
        <v>536</v>
      </c>
      <c r="B15" s="385" t="e">
        <f>TestSummary!#REF!</f>
        <v>#REF!</v>
      </c>
      <c r="C15" s="385" t="e">
        <f>TestSummary!#REF!</f>
        <v>#REF!</v>
      </c>
      <c r="D15" s="385" t="e">
        <f>TestSummary!#REF!</f>
        <v>#REF!</v>
      </c>
      <c r="E15" s="385" t="e">
        <f>TestSummary!#REF!</f>
        <v>#REF!</v>
      </c>
      <c r="F15" s="385" t="e">
        <f>TestSummary!#REF!</f>
        <v>#REF!</v>
      </c>
      <c r="G15" s="385" t="e">
        <f>TestSummary!#REF!</f>
        <v>#REF!</v>
      </c>
      <c r="H15" s="385" t="e">
        <f>TestSummary!#REF!</f>
        <v>#REF!</v>
      </c>
      <c r="I15" s="396" t="e">
        <f>TestSummary!#REF!</f>
        <v>#REF!</v>
      </c>
      <c r="J15" s="386" t="e">
        <f>TestSummary!#REF!</f>
        <v>#REF!</v>
      </c>
      <c r="K15" s="386" t="e">
        <f>TestSummary!#REF!</f>
        <v>#REF!</v>
      </c>
    </row>
    <row r="16" spans="1:11 16384:16384" s="345" customFormat="1" x14ac:dyDescent="0.25">
      <c r="A16" s="387" t="s">
        <v>535</v>
      </c>
      <c r="B16" s="385" t="e">
        <f>TestSummary!#REF!</f>
        <v>#REF!</v>
      </c>
      <c r="C16" s="385" t="e">
        <f>TestSummary!#REF!</f>
        <v>#REF!</v>
      </c>
      <c r="D16" s="385" t="e">
        <f>TestSummary!#REF!</f>
        <v>#REF!</v>
      </c>
      <c r="E16" s="385" t="e">
        <f>TestSummary!#REF!</f>
        <v>#REF!</v>
      </c>
      <c r="F16" s="385" t="e">
        <f>TestSummary!#REF!</f>
        <v>#REF!</v>
      </c>
      <c r="G16" s="385" t="e">
        <f>TestSummary!#REF!</f>
        <v>#REF!</v>
      </c>
      <c r="H16" s="385" t="e">
        <f>TestSummary!#REF!</f>
        <v>#REF!</v>
      </c>
      <c r="I16" s="396" t="e">
        <f>TestSummary!#REF!</f>
        <v>#REF!</v>
      </c>
      <c r="J16" s="386" t="e">
        <f>TestSummary!#REF!</f>
        <v>#REF!</v>
      </c>
      <c r="K16" s="386" t="e">
        <f>TestSummary!#REF!</f>
        <v>#REF!</v>
      </c>
    </row>
    <row r="17" spans="1:11 16384:16384" s="345" customFormat="1" x14ac:dyDescent="0.25">
      <c r="A17" s="387" t="s">
        <v>537</v>
      </c>
      <c r="B17" s="385" t="e">
        <f>TestSummary!#REF!</f>
        <v>#REF!</v>
      </c>
      <c r="C17" s="385" t="e">
        <f>TestSummary!#REF!</f>
        <v>#REF!</v>
      </c>
      <c r="D17" s="385" t="e">
        <f>TestSummary!#REF!</f>
        <v>#REF!</v>
      </c>
      <c r="E17" s="385" t="e">
        <f>TestSummary!#REF!</f>
        <v>#REF!</v>
      </c>
      <c r="F17" s="385" t="e">
        <f>TestSummary!#REF!</f>
        <v>#REF!</v>
      </c>
      <c r="G17" s="385" t="e">
        <f>TestSummary!#REF!</f>
        <v>#REF!</v>
      </c>
      <c r="H17" s="385" t="e">
        <f>TestSummary!#REF!</f>
        <v>#REF!</v>
      </c>
      <c r="I17" s="396" t="e">
        <f>TestSummary!#REF!</f>
        <v>#REF!</v>
      </c>
      <c r="J17" s="386" t="e">
        <f>TestSummary!#REF!</f>
        <v>#REF!</v>
      </c>
      <c r="K17" s="386" t="e">
        <f>TestSummary!#REF!</f>
        <v>#REF!</v>
      </c>
    </row>
    <row r="18" spans="1:11 16384:16384" s="345" customFormat="1" x14ac:dyDescent="0.25">
      <c r="A18" s="387" t="s">
        <v>538</v>
      </c>
      <c r="B18" s="385" t="e">
        <f>TestSummary!#REF!</f>
        <v>#REF!</v>
      </c>
      <c r="C18" s="385" t="e">
        <f>TestSummary!#REF!</f>
        <v>#REF!</v>
      </c>
      <c r="D18" s="385" t="e">
        <f>TestSummary!#REF!</f>
        <v>#REF!</v>
      </c>
      <c r="E18" s="385" t="e">
        <f>TestSummary!#REF!</f>
        <v>#REF!</v>
      </c>
      <c r="F18" s="385" t="e">
        <f>TestSummary!#REF!</f>
        <v>#REF!</v>
      </c>
      <c r="G18" s="385" t="e">
        <f>TestSummary!#REF!</f>
        <v>#REF!</v>
      </c>
      <c r="H18" s="385" t="e">
        <f>TestSummary!#REF!</f>
        <v>#REF!</v>
      </c>
      <c r="I18" s="396" t="e">
        <f>TestSummary!#REF!</f>
        <v>#REF!</v>
      </c>
      <c r="J18" s="386" t="e">
        <f>TestSummary!#REF!</f>
        <v>#REF!</v>
      </c>
      <c r="K18" s="386" t="e">
        <f>TestSummary!#REF!</f>
        <v>#REF!</v>
      </c>
    </row>
    <row r="19" spans="1:11 16384:16384" s="345" customFormat="1" x14ac:dyDescent="0.25">
      <c r="A19" s="387" t="s">
        <v>540</v>
      </c>
      <c r="B19" s="385" t="e">
        <f>TestSummary!#REF!</f>
        <v>#REF!</v>
      </c>
      <c r="C19" s="385" t="e">
        <f>TestSummary!#REF!</f>
        <v>#REF!</v>
      </c>
      <c r="D19" s="385" t="e">
        <f>TestSummary!#REF!</f>
        <v>#REF!</v>
      </c>
      <c r="E19" s="385" t="e">
        <f>TestSummary!#REF!</f>
        <v>#REF!</v>
      </c>
      <c r="F19" s="385" t="e">
        <f>TestSummary!#REF!</f>
        <v>#REF!</v>
      </c>
      <c r="G19" s="385" t="e">
        <f>TestSummary!#REF!</f>
        <v>#REF!</v>
      </c>
      <c r="H19" s="385" t="e">
        <f>TestSummary!#REF!</f>
        <v>#REF!</v>
      </c>
      <c r="I19" s="396" t="e">
        <f>TestSummary!#REF!</f>
        <v>#REF!</v>
      </c>
      <c r="J19" s="386" t="e">
        <f>TestSummary!#REF!</f>
        <v>#REF!</v>
      </c>
      <c r="K19" s="386" t="e">
        <f>TestSummary!#REF!</f>
        <v>#REF!</v>
      </c>
    </row>
    <row r="20" spans="1:11 16384:16384" s="345" customFormat="1" x14ac:dyDescent="0.25">
      <c r="A20" s="387" t="s">
        <v>539</v>
      </c>
      <c r="B20" s="385" t="e">
        <f>TestSummary!#REF!</f>
        <v>#REF!</v>
      </c>
      <c r="C20" s="385" t="e">
        <f>TestSummary!#REF!</f>
        <v>#REF!</v>
      </c>
      <c r="D20" s="385" t="e">
        <f>TestSummary!#REF!</f>
        <v>#REF!</v>
      </c>
      <c r="E20" s="385" t="e">
        <f>TestSummary!#REF!</f>
        <v>#REF!</v>
      </c>
      <c r="F20" s="385" t="e">
        <f>TestSummary!#REF!</f>
        <v>#REF!</v>
      </c>
      <c r="G20" s="385" t="e">
        <f>TestSummary!#REF!</f>
        <v>#REF!</v>
      </c>
      <c r="H20" s="385" t="e">
        <f>TestSummary!#REF!</f>
        <v>#REF!</v>
      </c>
      <c r="I20" s="396" t="e">
        <f>TestSummary!#REF!</f>
        <v>#REF!</v>
      </c>
      <c r="J20" s="386" t="e">
        <f>TestSummary!#REF!</f>
        <v>#REF!</v>
      </c>
      <c r="K20" s="386" t="e">
        <f>TestSummary!#REF!</f>
        <v>#REF!</v>
      </c>
    </row>
    <row r="21" spans="1:11 16384:16384" s="345" customFormat="1" x14ac:dyDescent="0.25">
      <c r="A21" s="387" t="s">
        <v>416</v>
      </c>
      <c r="B21" s="385" t="e">
        <f>TestSummary!#REF!</f>
        <v>#REF!</v>
      </c>
      <c r="C21" s="385" t="e">
        <f>TestSummary!#REF!</f>
        <v>#REF!</v>
      </c>
      <c r="D21" s="385" t="e">
        <f>TestSummary!#REF!</f>
        <v>#REF!</v>
      </c>
      <c r="E21" s="385" t="e">
        <f>TestSummary!#REF!</f>
        <v>#REF!</v>
      </c>
      <c r="F21" s="385" t="e">
        <f>TestSummary!#REF!</f>
        <v>#REF!</v>
      </c>
      <c r="G21" s="385" t="e">
        <f>TestSummary!#REF!</f>
        <v>#REF!</v>
      </c>
      <c r="H21" s="385" t="e">
        <f>TestSummary!#REF!</f>
        <v>#REF!</v>
      </c>
      <c r="I21" s="396" t="e">
        <f>TestSummary!#REF!</f>
        <v>#REF!</v>
      </c>
      <c r="J21" s="386" t="e">
        <f>TestSummary!#REF!</f>
        <v>#REF!</v>
      </c>
      <c r="K21" s="386" t="e">
        <f>TestSummary!#REF!</f>
        <v>#REF!</v>
      </c>
    </row>
    <row r="22" spans="1:11 16384:16384" s="345" customFormat="1" x14ac:dyDescent="0.25">
      <c r="A22" s="387" t="s">
        <v>404</v>
      </c>
      <c r="B22" s="398" t="e">
        <f>TestSummary!#REF!</f>
        <v>#REF!</v>
      </c>
      <c r="C22" s="398" t="e">
        <f>TestSummary!#REF!</f>
        <v>#REF!</v>
      </c>
      <c r="D22" s="398" t="e">
        <f>TestSummary!#REF!</f>
        <v>#REF!</v>
      </c>
      <c r="E22" s="398" t="e">
        <f>TestSummary!#REF!</f>
        <v>#REF!</v>
      </c>
      <c r="F22" s="398" t="e">
        <f>TestSummary!#REF!</f>
        <v>#REF!</v>
      </c>
      <c r="G22" s="398" t="e">
        <f>TestSummary!#REF!</f>
        <v>#REF!</v>
      </c>
      <c r="H22" s="398" t="e">
        <f>TestSummary!#REF!</f>
        <v>#REF!</v>
      </c>
      <c r="I22" s="396" t="e">
        <f>TestSummary!#REF!</f>
        <v>#REF!</v>
      </c>
      <c r="J22" s="399" t="e">
        <f>TestSummary!#REF!</f>
        <v>#REF!</v>
      </c>
      <c r="K22" s="399" t="e">
        <f>TestSummary!#REF!</f>
        <v>#REF!</v>
      </c>
    </row>
    <row r="23" spans="1:11 16384:16384" x14ac:dyDescent="0.25">
      <c r="A23" s="387" t="s">
        <v>546</v>
      </c>
      <c r="B23" s="385" t="e">
        <f>TestSummary!#REF!</f>
        <v>#REF!</v>
      </c>
      <c r="C23" s="385" t="e">
        <f>TestSummary!#REF!</f>
        <v>#REF!</v>
      </c>
      <c r="D23" s="385" t="e">
        <f>TestSummary!#REF!</f>
        <v>#REF!</v>
      </c>
      <c r="E23" s="385" t="e">
        <f>TestSummary!#REF!</f>
        <v>#REF!</v>
      </c>
      <c r="F23" s="385" t="e">
        <f>TestSummary!#REF!</f>
        <v>#REF!</v>
      </c>
      <c r="G23" s="385" t="e">
        <f>TestSummary!#REF!</f>
        <v>#REF!</v>
      </c>
      <c r="H23" s="385" t="e">
        <f>TestSummary!#REF!</f>
        <v>#REF!</v>
      </c>
      <c r="I23" s="396" t="e">
        <f>TestSummary!#REF!</f>
        <v>#REF!</v>
      </c>
      <c r="J23" s="386" t="e">
        <f>TestSummary!#REF!</f>
        <v>#REF!</v>
      </c>
      <c r="K23" s="386" t="e">
        <f>TestSummary!#REF!</f>
        <v>#REF!</v>
      </c>
    </row>
    <row r="24" spans="1:11 16384:16384" x14ac:dyDescent="0.25">
      <c r="I24" s="396"/>
      <c r="J24" s="386"/>
      <c r="K24" s="386"/>
    </row>
    <row r="25" spans="1:11 16384:16384" x14ac:dyDescent="0.25">
      <c r="A25" s="387" t="s">
        <v>545</v>
      </c>
      <c r="B25" s="388" t="e">
        <f t="shared" ref="B25:I25" si="0">B16/B13</f>
        <v>#REF!</v>
      </c>
      <c r="C25" s="388" t="e">
        <f t="shared" si="0"/>
        <v>#REF!</v>
      </c>
      <c r="D25" s="388" t="e">
        <f t="shared" si="0"/>
        <v>#REF!</v>
      </c>
      <c r="E25" s="388" t="e">
        <f t="shared" si="0"/>
        <v>#REF!</v>
      </c>
      <c r="F25" s="388" t="e">
        <f t="shared" si="0"/>
        <v>#REF!</v>
      </c>
      <c r="G25" s="388" t="e">
        <f t="shared" si="0"/>
        <v>#REF!</v>
      </c>
      <c r="H25" s="388" t="e">
        <f t="shared" si="0"/>
        <v>#REF!</v>
      </c>
      <c r="I25" s="388" t="e">
        <f t="shared" si="0"/>
        <v>#REF!</v>
      </c>
      <c r="J25" s="392" t="e">
        <f>J16/J14</f>
        <v>#REF!</v>
      </c>
      <c r="K25" s="392" t="e">
        <f>K16/K14</f>
        <v>#REF!</v>
      </c>
      <c r="XFD25" s="385"/>
    </row>
    <row r="26" spans="1:11 16384:16384" x14ac:dyDescent="0.25">
      <c r="A26" s="387" t="s">
        <v>543</v>
      </c>
      <c r="B26" s="389" t="e">
        <f>-B15/B16</f>
        <v>#REF!</v>
      </c>
      <c r="C26" s="389" t="e">
        <f>-C15/C16</f>
        <v>#REF!</v>
      </c>
      <c r="D26" s="389" t="e">
        <f>-D15/D16</f>
        <v>#REF!</v>
      </c>
      <c r="E26" s="389" t="e">
        <f>-E15/E16</f>
        <v>#REF!</v>
      </c>
      <c r="F26" s="389" t="e">
        <f>-F15/F16</f>
        <v>#REF!</v>
      </c>
      <c r="G26" s="389" t="e">
        <f>-G15/G16</f>
        <v>#REF!</v>
      </c>
      <c r="H26" s="389" t="e">
        <f>-H15/H16</f>
        <v>#REF!</v>
      </c>
      <c r="I26" s="397" t="e">
        <f>-I15/I16</f>
        <v>#REF!</v>
      </c>
      <c r="J26" s="393" t="e">
        <f>-J15/J16</f>
        <v>#REF!</v>
      </c>
      <c r="K26" s="393" t="e">
        <f>-K15/K16</f>
        <v>#REF!</v>
      </c>
    </row>
    <row r="27" spans="1:11 16384:16384" x14ac:dyDescent="0.25">
      <c r="A27" s="387" t="s">
        <v>544</v>
      </c>
      <c r="B27" s="389" t="e">
        <f>B19/B16</f>
        <v>#REF!</v>
      </c>
      <c r="C27" s="389" t="e">
        <f t="shared" ref="C27:K27" si="1">C19/C16</f>
        <v>#REF!</v>
      </c>
      <c r="D27" s="389" t="e">
        <f t="shared" si="1"/>
        <v>#REF!</v>
      </c>
      <c r="E27" s="389" t="e">
        <f t="shared" si="1"/>
        <v>#REF!</v>
      </c>
      <c r="F27" s="389" t="e">
        <f t="shared" si="1"/>
        <v>#REF!</v>
      </c>
      <c r="G27" s="389" t="e">
        <f t="shared" si="1"/>
        <v>#REF!</v>
      </c>
      <c r="H27" s="389" t="e">
        <f t="shared" si="1"/>
        <v>#REF!</v>
      </c>
      <c r="I27" s="397" t="e">
        <f t="shared" si="1"/>
        <v>#REF!</v>
      </c>
      <c r="J27" s="393" t="e">
        <f t="shared" si="1"/>
        <v>#REF!</v>
      </c>
      <c r="K27" s="393" t="e">
        <f t="shared" si="1"/>
        <v>#REF!</v>
      </c>
    </row>
    <row r="28" spans="1:11 16384:16384" s="345" customFormat="1" x14ac:dyDescent="0.25">
      <c r="A28" s="387" t="s">
        <v>549</v>
      </c>
      <c r="B28" s="389" t="e">
        <f t="shared" ref="B28:I28" si="2">B14/B19</f>
        <v>#REF!</v>
      </c>
      <c r="C28" s="389" t="e">
        <f t="shared" si="2"/>
        <v>#REF!</v>
      </c>
      <c r="D28" s="389" t="e">
        <f t="shared" si="2"/>
        <v>#REF!</v>
      </c>
      <c r="E28" s="389" t="e">
        <f t="shared" si="2"/>
        <v>#REF!</v>
      </c>
      <c r="F28" s="389" t="e">
        <f t="shared" si="2"/>
        <v>#REF!</v>
      </c>
      <c r="G28" s="389" t="e">
        <f t="shared" si="2"/>
        <v>#REF!</v>
      </c>
      <c r="H28" s="389" t="e">
        <f t="shared" si="2"/>
        <v>#REF!</v>
      </c>
      <c r="I28" s="389" t="e">
        <f t="shared" si="2"/>
        <v>#REF!</v>
      </c>
      <c r="J28" s="393"/>
      <c r="K28" s="393"/>
    </row>
    <row r="30" spans="1:11 16384:16384" x14ac:dyDescent="0.25">
      <c r="A30" s="387" t="s">
        <v>439</v>
      </c>
      <c r="C30" s="385" t="s">
        <v>548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TestPlan</vt:lpstr>
      <vt:lpstr>TestSummary</vt:lpstr>
      <vt:lpstr>J1634 Calcs</vt:lpstr>
      <vt:lpstr>J1634 Calcs no precondition</vt:lpstr>
      <vt:lpstr>AVTEReporting</vt:lpstr>
      <vt:lpstr>TestInfoInstru</vt:lpstr>
      <vt:lpstr>EPA Test Data</vt:lpstr>
      <vt:lpstr>J1634ShortcutWorksheet</vt:lpstr>
      <vt:lpstr>Vehicle Distance</vt:lpstr>
      <vt:lpstr>Accessory Load</vt:lpstr>
      <vt:lpstr>Charge Summary</vt:lpstr>
      <vt:lpstr>'Accessory Load'!Print_Area</vt:lpstr>
      <vt:lpstr>TestPlan!Print_Area</vt:lpstr>
    </vt:vector>
  </TitlesOfParts>
  <Company>Argonne National Laboratory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Michael Stutenberg</dc:creator>
  <cp:lastModifiedBy>Jehlik, Forrest A.</cp:lastModifiedBy>
  <cp:lastPrinted>2020-08-20T13:28:04Z</cp:lastPrinted>
  <dcterms:created xsi:type="dcterms:W3CDTF">2011-08-29T21:53:01Z</dcterms:created>
  <dcterms:modified xsi:type="dcterms:W3CDTF">2021-11-04T14:54:37Z</dcterms:modified>
</cp:coreProperties>
</file>