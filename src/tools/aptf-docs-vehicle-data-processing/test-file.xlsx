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202300"/>
  <mc:AlternateContent xmlns:mc="http://schemas.openxmlformats.org/markup-compatibility/2006">
    <mc:Choice Requires="x15">
      <x15ac:absPath xmlns:x15ac="http://schemas.microsoft.com/office/spreadsheetml/2010/11/ac" url="C:\Users\ddas\Box\Debashis-ANL\Paper\Uncertainity-Paper\data-processing\"/>
    </mc:Choice>
  </mc:AlternateContent>
  <xr:revisionPtr revIDLastSave="0" documentId="13_ncr:1_{C23CA8EC-085F-4E3D-A94A-E6593269E43E}" xr6:coauthVersionLast="47" xr6:coauthVersionMax="47" xr10:uidLastSave="{00000000-0000-0000-0000-000000000000}"/>
  <bookViews>
    <workbookView xWindow="-120" yWindow="-120" windowWidth="29040" windowHeight="15840" xr2:uid="{905763CF-3352-450B-A349-CF96CC83CC86}"/>
  </bookViews>
  <sheets>
    <sheet name="TestSummary" sheetId="2" r:id="rId1"/>
  </sheets>
  <externalReferences>
    <externalReference r:id="rId2"/>
    <externalReference r:id="rId3"/>
  </externalReferences>
  <definedNames>
    <definedName name="A">[1]SpdtoABCcalcFocus!$Q$2</definedName>
    <definedName name="Acold">[1]SpdtoABCcalcFocus!$Q$3</definedName>
    <definedName name="B">[1]SpdtoABCcalcFocus!$R$2</definedName>
    <definedName name="Bcold">[1]SpdtoABCcalcFocus!$R$3</definedName>
    <definedName name="Ccoef">[1]SpdtoABCcalcFocus!$S$2</definedName>
    <definedName name="Ccold">[1]SpdtoABCcalcFocus!$S$3</definedName>
    <definedName name="m">[1]SpdtoABCcalcFocus!$P$2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Q216" i="2" l="1"/>
  <c r="BP216" i="2"/>
  <c r="BO216" i="2"/>
  <c r="BN216" i="2"/>
  <c r="BM216" i="2"/>
  <c r="BH216" i="2"/>
  <c r="BH215" i="2" s="1"/>
  <c r="BI215" i="2" s="1"/>
  <c r="BG216" i="2"/>
  <c r="BF216" i="2"/>
  <c r="BD216" i="2"/>
  <c r="BC216" i="2"/>
  <c r="BB216" i="2"/>
  <c r="AY216" i="2"/>
  <c r="AX216" i="2"/>
  <c r="AU216" i="2"/>
  <c r="AT216" i="2"/>
  <c r="AQ216" i="2"/>
  <c r="AP216" i="2"/>
  <c r="AM216" i="2"/>
  <c r="AL216" i="2"/>
  <c r="AI216" i="2"/>
  <c r="AH216" i="2"/>
  <c r="AE216" i="2"/>
  <c r="AD216" i="2"/>
  <c r="AA216" i="2"/>
  <c r="Z216" i="2"/>
  <c r="W216" i="2"/>
  <c r="V216" i="2"/>
  <c r="U216" i="2"/>
  <c r="T216" i="2"/>
  <c r="R216" i="2"/>
  <c r="AW216" i="2" s="1"/>
  <c r="M216" i="2"/>
  <c r="L216" i="2"/>
  <c r="K216" i="2"/>
  <c r="J216" i="2"/>
  <c r="F216" i="2"/>
  <c r="BO215" i="2"/>
  <c r="AV215" i="2"/>
  <c r="AW215" i="2" s="1"/>
  <c r="S215" i="2"/>
  <c r="S216" i="2" s="1"/>
  <c r="F215" i="2"/>
  <c r="BR214" i="2"/>
  <c r="BR216" i="2" s="1"/>
  <c r="BR215" i="2" s="1"/>
  <c r="BO214" i="2"/>
  <c r="BL214" i="2"/>
  <c r="BL216" i="2" s="1"/>
  <c r="BL215" i="2" s="1"/>
  <c r="BH214" i="2"/>
  <c r="BI214" i="2" s="1"/>
  <c r="BD214" i="2"/>
  <c r="BE214" i="2" s="1"/>
  <c r="AZ214" i="2"/>
  <c r="AV214" i="2"/>
  <c r="AV216" i="2" s="1"/>
  <c r="AR214" i="2"/>
  <c r="AR216" i="2" s="1"/>
  <c r="AR215" i="2" s="1"/>
  <c r="AS215" i="2" s="1"/>
  <c r="AN214" i="2"/>
  <c r="AJ214" i="2"/>
  <c r="AK214" i="2" s="1"/>
  <c r="AG214" i="2"/>
  <c r="AF214" i="2"/>
  <c r="AF216" i="2" s="1"/>
  <c r="AB214" i="2"/>
  <c r="AC214" i="2" s="1"/>
  <c r="X214" i="2"/>
  <c r="Y214" i="2" s="1"/>
  <c r="S214" i="2"/>
  <c r="F214" i="2"/>
  <c r="D213" i="2"/>
  <c r="BR173" i="2"/>
  <c r="BO173" i="2"/>
  <c r="BL173" i="2"/>
  <c r="BH173" i="2"/>
  <c r="BI173" i="2" s="1"/>
  <c r="BD173" i="2"/>
  <c r="BE173" i="2" s="1"/>
  <c r="AZ173" i="2"/>
  <c r="BA173" i="2" s="1"/>
  <c r="AV173" i="2"/>
  <c r="AW173" i="2" s="1"/>
  <c r="AR173" i="2"/>
  <c r="AS173" i="2" s="1"/>
  <c r="AN173" i="2"/>
  <c r="AO173" i="2" s="1"/>
  <c r="AK173" i="2"/>
  <c r="AJ173" i="2"/>
  <c r="AF173" i="2"/>
  <c r="AG173" i="2" s="1"/>
  <c r="AB173" i="2"/>
  <c r="AC173" i="2" s="1"/>
  <c r="X173" i="2"/>
  <c r="Y173" i="2" s="1"/>
  <c r="S173" i="2"/>
  <c r="F173" i="2"/>
  <c r="BR172" i="2"/>
  <c r="BO172" i="2"/>
  <c r="BL172" i="2"/>
  <c r="BI172" i="2"/>
  <c r="BH172" i="2"/>
  <c r="BD172" i="2"/>
  <c r="BE172" i="2" s="1"/>
  <c r="AZ172" i="2"/>
  <c r="BA172" i="2" s="1"/>
  <c r="AV172" i="2"/>
  <c r="AW172" i="2" s="1"/>
  <c r="AR172" i="2"/>
  <c r="AS172" i="2" s="1"/>
  <c r="AN172" i="2"/>
  <c r="AO172" i="2" s="1"/>
  <c r="AJ172" i="2"/>
  <c r="AK172" i="2" s="1"/>
  <c r="AF172" i="2"/>
  <c r="AG172" i="2" s="1"/>
  <c r="AB172" i="2"/>
  <c r="AC172" i="2" s="1"/>
  <c r="X172" i="2"/>
  <c r="Y172" i="2" s="1"/>
  <c r="F172" i="2"/>
  <c r="BQ171" i="2"/>
  <c r="BP171" i="2"/>
  <c r="BN171" i="2"/>
  <c r="BM171" i="2"/>
  <c r="BG171" i="2"/>
  <c r="BF171" i="2"/>
  <c r="BC171" i="2"/>
  <c r="BB171" i="2"/>
  <c r="AY171" i="2"/>
  <c r="AX171" i="2"/>
  <c r="AU171" i="2"/>
  <c r="AT171" i="2"/>
  <c r="AQ171" i="2"/>
  <c r="AP171" i="2"/>
  <c r="AM171" i="2"/>
  <c r="AL171" i="2"/>
  <c r="AI171" i="2"/>
  <c r="AH171" i="2"/>
  <c r="AF171" i="2"/>
  <c r="AE171" i="2"/>
  <c r="AD171" i="2"/>
  <c r="AA171" i="2"/>
  <c r="Z171" i="2"/>
  <c r="W171" i="2"/>
  <c r="V171" i="2"/>
  <c r="U171" i="2"/>
  <c r="T171" i="2"/>
  <c r="R171" i="2"/>
  <c r="M171" i="2"/>
  <c r="L171" i="2"/>
  <c r="K171" i="2"/>
  <c r="J171" i="2"/>
  <c r="F171" i="2"/>
  <c r="BR170" i="2"/>
  <c r="BO170" i="2"/>
  <c r="BL170" i="2"/>
  <c r="BI170" i="2"/>
  <c r="BH170" i="2"/>
  <c r="BD170" i="2"/>
  <c r="AZ170" i="2"/>
  <c r="BA170" i="2" s="1"/>
  <c r="AV170" i="2"/>
  <c r="AW170" i="2" s="1"/>
  <c r="AR170" i="2"/>
  <c r="AS170" i="2" s="1"/>
  <c r="AN170" i="2"/>
  <c r="AO170" i="2" s="1"/>
  <c r="AJ170" i="2"/>
  <c r="AK170" i="2" s="1"/>
  <c r="AG170" i="2"/>
  <c r="AF170" i="2"/>
  <c r="AB170" i="2"/>
  <c r="AC170" i="2" s="1"/>
  <c r="Y170" i="2"/>
  <c r="X170" i="2"/>
  <c r="S170" i="2"/>
  <c r="S171" i="2" s="1"/>
  <c r="F170" i="2"/>
  <c r="BR169" i="2"/>
  <c r="BO169" i="2"/>
  <c r="BL169" i="2"/>
  <c r="BL171" i="2" s="1"/>
  <c r="BH169" i="2"/>
  <c r="BI169" i="2" s="1"/>
  <c r="BD169" i="2"/>
  <c r="BE169" i="2" s="1"/>
  <c r="AZ169" i="2"/>
  <c r="AV169" i="2"/>
  <c r="AR169" i="2"/>
  <c r="AR171" i="2" s="1"/>
  <c r="AS171" i="2" s="1"/>
  <c r="AN169" i="2"/>
  <c r="AJ169" i="2"/>
  <c r="AK169" i="2" s="1"/>
  <c r="AG169" i="2"/>
  <c r="AF169" i="2"/>
  <c r="AB169" i="2"/>
  <c r="AC169" i="2" s="1"/>
  <c r="X169" i="2"/>
  <c r="S169" i="2"/>
  <c r="F169" i="2"/>
  <c r="BQ168" i="2"/>
  <c r="BP168" i="2"/>
  <c r="BN168" i="2"/>
  <c r="BM168" i="2"/>
  <c r="BG168" i="2"/>
  <c r="BF168" i="2"/>
  <c r="BC168" i="2"/>
  <c r="BB168" i="2"/>
  <c r="AY168" i="2"/>
  <c r="AX168" i="2"/>
  <c r="AU168" i="2"/>
  <c r="AT168" i="2"/>
  <c r="AQ168" i="2"/>
  <c r="AP168" i="2"/>
  <c r="AM168" i="2"/>
  <c r="AL168" i="2"/>
  <c r="AI168" i="2"/>
  <c r="AH168" i="2"/>
  <c r="AE168" i="2"/>
  <c r="AD168" i="2"/>
  <c r="AA168" i="2"/>
  <c r="Z168" i="2"/>
  <c r="W168" i="2"/>
  <c r="V168" i="2"/>
  <c r="U168" i="2"/>
  <c r="T168" i="2"/>
  <c r="R168" i="2"/>
  <c r="M168" i="2"/>
  <c r="L168" i="2"/>
  <c r="K168" i="2"/>
  <c r="J168" i="2"/>
  <c r="F168" i="2"/>
  <c r="BR167" i="2"/>
  <c r="BR168" i="2" s="1"/>
  <c r="BO167" i="2"/>
  <c r="BL167" i="2"/>
  <c r="BH167" i="2"/>
  <c r="BI167" i="2" s="1"/>
  <c r="BD167" i="2"/>
  <c r="BE167" i="2" s="1"/>
  <c r="AZ167" i="2"/>
  <c r="BA167" i="2" s="1"/>
  <c r="AV167" i="2"/>
  <c r="AW167" i="2" s="1"/>
  <c r="AR167" i="2"/>
  <c r="AS167" i="2" s="1"/>
  <c r="AN167" i="2"/>
  <c r="AN168" i="2" s="1"/>
  <c r="AO168" i="2" s="1"/>
  <c r="AK167" i="2"/>
  <c r="AJ167" i="2"/>
  <c r="AF167" i="2"/>
  <c r="AG167" i="2" s="1"/>
  <c r="AB167" i="2"/>
  <c r="AC167" i="2" s="1"/>
  <c r="X167" i="2"/>
  <c r="Y167" i="2" s="1"/>
  <c r="S167" i="2"/>
  <c r="S168" i="2" s="1"/>
  <c r="F167" i="2"/>
  <c r="BR166" i="2"/>
  <c r="BO166" i="2"/>
  <c r="BO168" i="2" s="1"/>
  <c r="BL166" i="2"/>
  <c r="BH166" i="2"/>
  <c r="BD166" i="2"/>
  <c r="AZ166" i="2"/>
  <c r="AW166" i="2"/>
  <c r="AV166" i="2"/>
  <c r="AR166" i="2"/>
  <c r="AS166" i="2" s="1"/>
  <c r="AN166" i="2"/>
  <c r="AO166" i="2" s="1"/>
  <c r="AJ166" i="2"/>
  <c r="AK166" i="2" s="1"/>
  <c r="AG166" i="2"/>
  <c r="AF166" i="2"/>
  <c r="AF168" i="2" s="1"/>
  <c r="AG168" i="2" s="1"/>
  <c r="AB166" i="2"/>
  <c r="AC166" i="2" s="1"/>
  <c r="Y166" i="2"/>
  <c r="X166" i="2"/>
  <c r="X168" i="2" s="1"/>
  <c r="Y168" i="2" s="1"/>
  <c r="S166" i="2"/>
  <c r="F166" i="2"/>
  <c r="BR165" i="2"/>
  <c r="BO165" i="2"/>
  <c r="BL165" i="2"/>
  <c r="BH165" i="2"/>
  <c r="BI165" i="2" s="1"/>
  <c r="BD165" i="2"/>
  <c r="BE165" i="2" s="1"/>
  <c r="AZ165" i="2"/>
  <c r="BA165" i="2" s="1"/>
  <c r="AW165" i="2"/>
  <c r="AV165" i="2"/>
  <c r="AR165" i="2"/>
  <c r="AS165" i="2" s="1"/>
  <c r="AN165" i="2"/>
  <c r="AO165" i="2" s="1"/>
  <c r="AJ165" i="2"/>
  <c r="AK165" i="2" s="1"/>
  <c r="AF165" i="2"/>
  <c r="AG165" i="2" s="1"/>
  <c r="AB165" i="2"/>
  <c r="AC165" i="2" s="1"/>
  <c r="X165" i="2"/>
  <c r="Y165" i="2" s="1"/>
  <c r="F165" i="2"/>
  <c r="BQ164" i="2"/>
  <c r="BP164" i="2"/>
  <c r="BN164" i="2"/>
  <c r="BM164" i="2"/>
  <c r="BG164" i="2"/>
  <c r="BF164" i="2"/>
  <c r="BC164" i="2"/>
  <c r="BB164" i="2"/>
  <c r="AY164" i="2"/>
  <c r="AX164" i="2"/>
  <c r="AU164" i="2"/>
  <c r="AT164" i="2"/>
  <c r="AQ164" i="2"/>
  <c r="AP164" i="2"/>
  <c r="AM164" i="2"/>
  <c r="AL164" i="2"/>
  <c r="AI164" i="2"/>
  <c r="AH164" i="2"/>
  <c r="AE164" i="2"/>
  <c r="AD164" i="2"/>
  <c r="AA164" i="2"/>
  <c r="Z164" i="2"/>
  <c r="W164" i="2"/>
  <c r="V164" i="2"/>
  <c r="U164" i="2"/>
  <c r="T164" i="2"/>
  <c r="R164" i="2"/>
  <c r="M164" i="2"/>
  <c r="L164" i="2"/>
  <c r="K164" i="2"/>
  <c r="J164" i="2"/>
  <c r="BR163" i="2"/>
  <c r="BR162" i="2" s="1"/>
  <c r="BR164" i="2" s="1"/>
  <c r="BO163" i="2"/>
  <c r="BO162" i="2" s="1"/>
  <c r="BO164" i="2" s="1"/>
  <c r="BL163" i="2"/>
  <c r="BL162" i="2" s="1"/>
  <c r="BL164" i="2" s="1"/>
  <c r="BH163" i="2"/>
  <c r="BH162" i="2" s="1"/>
  <c r="BE163" i="2"/>
  <c r="BD163" i="2"/>
  <c r="AZ163" i="2"/>
  <c r="AZ162" i="2" s="1"/>
  <c r="AV163" i="2"/>
  <c r="AR163" i="2"/>
  <c r="AR162" i="2" s="1"/>
  <c r="AR164" i="2" s="1"/>
  <c r="AN163" i="2"/>
  <c r="AO163" i="2" s="1"/>
  <c r="AJ163" i="2"/>
  <c r="AF163" i="2"/>
  <c r="AG163" i="2" s="1"/>
  <c r="AB163" i="2"/>
  <c r="AC163" i="2" s="1"/>
  <c r="X163" i="2"/>
  <c r="Y163" i="2" s="1"/>
  <c r="S163" i="2"/>
  <c r="S164" i="2" s="1"/>
  <c r="F163" i="2"/>
  <c r="BD162" i="2"/>
  <c r="BD164" i="2" s="1"/>
  <c r="AS162" i="2"/>
  <c r="AN162" i="2"/>
  <c r="AF162" i="2"/>
  <c r="AF164" i="2" s="1"/>
  <c r="AG164" i="2" s="1"/>
  <c r="AB162" i="2"/>
  <c r="AB164" i="2" s="1"/>
  <c r="AC164" i="2" s="1"/>
  <c r="X162" i="2"/>
  <c r="X164" i="2" s="1"/>
  <c r="Y164" i="2" s="1"/>
  <c r="S162" i="2"/>
  <c r="F162" i="2"/>
  <c r="BR161" i="2"/>
  <c r="BO161" i="2"/>
  <c r="BL161" i="2"/>
  <c r="BH161" i="2"/>
  <c r="BI161" i="2" s="1"/>
  <c r="BD161" i="2"/>
  <c r="BE161" i="2" s="1"/>
  <c r="AZ161" i="2"/>
  <c r="BA161" i="2" s="1"/>
  <c r="AV161" i="2"/>
  <c r="AW161" i="2" s="1"/>
  <c r="AR161" i="2"/>
  <c r="AS161" i="2" s="1"/>
  <c r="AN161" i="2"/>
  <c r="AO161" i="2" s="1"/>
  <c r="AK161" i="2"/>
  <c r="AJ161" i="2"/>
  <c r="AF161" i="2"/>
  <c r="AG161" i="2" s="1"/>
  <c r="AB161" i="2"/>
  <c r="AC161" i="2" s="1"/>
  <c r="X161" i="2"/>
  <c r="Y161" i="2" s="1"/>
  <c r="S161" i="2"/>
  <c r="F161" i="2"/>
  <c r="BQ160" i="2"/>
  <c r="BP160" i="2"/>
  <c r="BN160" i="2"/>
  <c r="BM160" i="2"/>
  <c r="BG160" i="2"/>
  <c r="BF160" i="2"/>
  <c r="BC160" i="2"/>
  <c r="BB160" i="2"/>
  <c r="AY160" i="2"/>
  <c r="AX160" i="2"/>
  <c r="AV160" i="2"/>
  <c r="AW160" i="2" s="1"/>
  <c r="AU160" i="2"/>
  <c r="AT160" i="2"/>
  <c r="AQ160" i="2"/>
  <c r="AP160" i="2"/>
  <c r="AM160" i="2"/>
  <c r="AL160" i="2"/>
  <c r="AI160" i="2"/>
  <c r="AH160" i="2"/>
  <c r="AE160" i="2"/>
  <c r="AD160" i="2"/>
  <c r="AA160" i="2"/>
  <c r="Z160" i="2"/>
  <c r="W160" i="2"/>
  <c r="V160" i="2"/>
  <c r="U160" i="2"/>
  <c r="T160" i="2"/>
  <c r="R160" i="2"/>
  <c r="M160" i="2"/>
  <c r="L160" i="2"/>
  <c r="K160" i="2"/>
  <c r="J160" i="2"/>
  <c r="F160" i="2"/>
  <c r="BR159" i="2"/>
  <c r="BO159" i="2"/>
  <c r="BL159" i="2"/>
  <c r="BH159" i="2"/>
  <c r="BI159" i="2" s="1"/>
  <c r="BD159" i="2"/>
  <c r="BE159" i="2" s="1"/>
  <c r="AZ159" i="2"/>
  <c r="BA159" i="2" s="1"/>
  <c r="AW159" i="2"/>
  <c r="AV159" i="2"/>
  <c r="AR159" i="2"/>
  <c r="AS159" i="2" s="1"/>
  <c r="AN159" i="2"/>
  <c r="AO159" i="2" s="1"/>
  <c r="AJ159" i="2"/>
  <c r="AK159" i="2" s="1"/>
  <c r="AF159" i="2"/>
  <c r="AG159" i="2" s="1"/>
  <c r="AB159" i="2"/>
  <c r="AC159" i="2" s="1"/>
  <c r="X159" i="2"/>
  <c r="Y159" i="2" s="1"/>
  <c r="S159" i="2"/>
  <c r="S160" i="2" s="1"/>
  <c r="F159" i="2"/>
  <c r="BR158" i="2"/>
  <c r="BR160" i="2" s="1"/>
  <c r="BO158" i="2"/>
  <c r="BL158" i="2"/>
  <c r="BH158" i="2"/>
  <c r="BI158" i="2" s="1"/>
  <c r="BD158" i="2"/>
  <c r="AZ158" i="2"/>
  <c r="AW158" i="2"/>
  <c r="AV158" i="2"/>
  <c r="AR158" i="2"/>
  <c r="AN158" i="2"/>
  <c r="AO158" i="2" s="1"/>
  <c r="AK158" i="2"/>
  <c r="AJ158" i="2"/>
  <c r="AJ160" i="2" s="1"/>
  <c r="AK160" i="2" s="1"/>
  <c r="AF158" i="2"/>
  <c r="AG158" i="2" s="1"/>
  <c r="AB158" i="2"/>
  <c r="AC158" i="2" s="1"/>
  <c r="Y158" i="2"/>
  <c r="X158" i="2"/>
  <c r="F158" i="2"/>
  <c r="BQ157" i="2"/>
  <c r="BP157" i="2"/>
  <c r="BN157" i="2"/>
  <c r="BM157" i="2"/>
  <c r="BG157" i="2"/>
  <c r="BF157" i="2"/>
  <c r="BC157" i="2"/>
  <c r="BB157" i="2"/>
  <c r="AY157" i="2"/>
  <c r="AX157" i="2"/>
  <c r="AU157" i="2"/>
  <c r="AT157" i="2"/>
  <c r="AR157" i="2"/>
  <c r="AS157" i="2" s="1"/>
  <c r="AQ157" i="2"/>
  <c r="AP157" i="2"/>
  <c r="AM157" i="2"/>
  <c r="AL157" i="2"/>
  <c r="AI157" i="2"/>
  <c r="AH157" i="2"/>
  <c r="AE157" i="2"/>
  <c r="AD157" i="2"/>
  <c r="AA157" i="2"/>
  <c r="Z157" i="2"/>
  <c r="W157" i="2"/>
  <c r="V157" i="2"/>
  <c r="U157" i="2"/>
  <c r="T157" i="2"/>
  <c r="R157" i="2"/>
  <c r="S158" i="2" s="1"/>
  <c r="M157" i="2"/>
  <c r="L157" i="2"/>
  <c r="K157" i="2"/>
  <c r="J157" i="2"/>
  <c r="F157" i="2"/>
  <c r="BR156" i="2"/>
  <c r="BO156" i="2"/>
  <c r="BL156" i="2"/>
  <c r="BH156" i="2"/>
  <c r="BI156" i="2" s="1"/>
  <c r="BD156" i="2"/>
  <c r="BE156" i="2" s="1"/>
  <c r="AZ156" i="2"/>
  <c r="BA156" i="2" s="1"/>
  <c r="AV156" i="2"/>
  <c r="AW156" i="2" s="1"/>
  <c r="AR156" i="2"/>
  <c r="AS156" i="2" s="1"/>
  <c r="AN156" i="2"/>
  <c r="AO156" i="2" s="1"/>
  <c r="AK156" i="2"/>
  <c r="AJ156" i="2"/>
  <c r="AF156" i="2"/>
  <c r="AG156" i="2" s="1"/>
  <c r="AB156" i="2"/>
  <c r="AC156" i="2" s="1"/>
  <c r="X156" i="2"/>
  <c r="S156" i="2"/>
  <c r="S157" i="2" s="1"/>
  <c r="F156" i="2"/>
  <c r="BR155" i="2"/>
  <c r="BO155" i="2"/>
  <c r="BL155" i="2"/>
  <c r="BH155" i="2"/>
  <c r="BD155" i="2"/>
  <c r="AZ155" i="2"/>
  <c r="AZ157" i="2" s="1"/>
  <c r="BA157" i="2" s="1"/>
  <c r="AW155" i="2"/>
  <c r="AV155" i="2"/>
  <c r="AR155" i="2"/>
  <c r="AS155" i="2" s="1"/>
  <c r="AN155" i="2"/>
  <c r="AJ155" i="2"/>
  <c r="AK155" i="2" s="1"/>
  <c r="AF155" i="2"/>
  <c r="AB155" i="2"/>
  <c r="Y155" i="2"/>
  <c r="X155" i="2"/>
  <c r="S155" i="2"/>
  <c r="F155" i="2"/>
  <c r="BR153" i="2"/>
  <c r="BO153" i="2"/>
  <c r="BL153" i="2"/>
  <c r="BH153" i="2"/>
  <c r="BI153" i="2" s="1"/>
  <c r="BD153" i="2"/>
  <c r="BE153" i="2" s="1"/>
  <c r="AZ153" i="2"/>
  <c r="BA153" i="2" s="1"/>
  <c r="AW153" i="2"/>
  <c r="AV153" i="2"/>
  <c r="AR153" i="2"/>
  <c r="AS153" i="2" s="1"/>
  <c r="AN153" i="2"/>
  <c r="AO153" i="2" s="1"/>
  <c r="AJ153" i="2"/>
  <c r="AK153" i="2" s="1"/>
  <c r="AF153" i="2"/>
  <c r="AG153" i="2" s="1"/>
  <c r="AB153" i="2"/>
  <c r="AC153" i="2" s="1"/>
  <c r="Y153" i="2"/>
  <c r="X153" i="2"/>
  <c r="S153" i="2"/>
  <c r="F153" i="2"/>
  <c r="BR152" i="2"/>
  <c r="BO152" i="2"/>
  <c r="BL152" i="2"/>
  <c r="BH152" i="2"/>
  <c r="BI152" i="2" s="1"/>
  <c r="BD152" i="2"/>
  <c r="BE152" i="2" s="1"/>
  <c r="BA152" i="2"/>
  <c r="AZ152" i="2"/>
  <c r="AV152" i="2"/>
  <c r="AW152" i="2" s="1"/>
  <c r="AR152" i="2"/>
  <c r="AS152" i="2" s="1"/>
  <c r="AN152" i="2"/>
  <c r="AO152" i="2" s="1"/>
  <c r="AK152" i="2"/>
  <c r="AJ152" i="2"/>
  <c r="AG152" i="2"/>
  <c r="AF152" i="2"/>
  <c r="AB152" i="2"/>
  <c r="AC152" i="2" s="1"/>
  <c r="X152" i="2"/>
  <c r="Y152" i="2" s="1"/>
  <c r="S152" i="2"/>
  <c r="F152" i="2"/>
  <c r="BR151" i="2"/>
  <c r="BO151" i="2"/>
  <c r="BL151" i="2"/>
  <c r="BH151" i="2"/>
  <c r="BI151" i="2" s="1"/>
  <c r="BD151" i="2"/>
  <c r="BE151" i="2" s="1"/>
  <c r="AZ151" i="2"/>
  <c r="BA151" i="2" s="1"/>
  <c r="AV151" i="2"/>
  <c r="AW151" i="2" s="1"/>
  <c r="AR151" i="2"/>
  <c r="AS151" i="2" s="1"/>
  <c r="AO151" i="2"/>
  <c r="AN151" i="2"/>
  <c r="AJ151" i="2"/>
  <c r="AK151" i="2" s="1"/>
  <c r="AF151" i="2"/>
  <c r="AG151" i="2" s="1"/>
  <c r="AB151" i="2"/>
  <c r="AC151" i="2" s="1"/>
  <c r="X151" i="2"/>
  <c r="Y151" i="2" s="1"/>
  <c r="S151" i="2"/>
  <c r="F151" i="2"/>
  <c r="BR150" i="2"/>
  <c r="BO150" i="2"/>
  <c r="BL150" i="2"/>
  <c r="BH150" i="2"/>
  <c r="BI150" i="2" s="1"/>
  <c r="BE150" i="2"/>
  <c r="BD150" i="2"/>
  <c r="AZ150" i="2"/>
  <c r="BA150" i="2" s="1"/>
  <c r="AV150" i="2"/>
  <c r="AW150" i="2" s="1"/>
  <c r="AR150" i="2"/>
  <c r="AS150" i="2" s="1"/>
  <c r="AN150" i="2"/>
  <c r="AO150" i="2" s="1"/>
  <c r="AJ150" i="2"/>
  <c r="AK150" i="2" s="1"/>
  <c r="AF150" i="2"/>
  <c r="AG150" i="2" s="1"/>
  <c r="AC150" i="2"/>
  <c r="AB150" i="2"/>
  <c r="X150" i="2"/>
  <c r="Y150" i="2" s="1"/>
  <c r="S150" i="2"/>
  <c r="F150" i="2"/>
  <c r="BR149" i="2"/>
  <c r="BO149" i="2"/>
  <c r="BL149" i="2"/>
  <c r="BH149" i="2"/>
  <c r="BI149" i="2" s="1"/>
  <c r="BD149" i="2"/>
  <c r="BE149" i="2" s="1"/>
  <c r="AZ149" i="2"/>
  <c r="BA149" i="2" s="1"/>
  <c r="AV149" i="2"/>
  <c r="AW149" i="2" s="1"/>
  <c r="AR149" i="2"/>
  <c r="AS149" i="2" s="1"/>
  <c r="AN149" i="2"/>
  <c r="AO149" i="2" s="1"/>
  <c r="AJ149" i="2"/>
  <c r="AK149" i="2" s="1"/>
  <c r="AG149" i="2"/>
  <c r="AF149" i="2"/>
  <c r="AB149" i="2"/>
  <c r="AC149" i="2" s="1"/>
  <c r="X149" i="2"/>
  <c r="Y149" i="2" s="1"/>
  <c r="S149" i="2"/>
  <c r="F149" i="2"/>
  <c r="BR148" i="2"/>
  <c r="BO148" i="2"/>
  <c r="BL148" i="2"/>
  <c r="BH148" i="2"/>
  <c r="BI148" i="2" s="1"/>
  <c r="BE148" i="2"/>
  <c r="BD148" i="2"/>
  <c r="BA148" i="2"/>
  <c r="AZ148" i="2"/>
  <c r="AV148" i="2"/>
  <c r="AW148" i="2" s="1"/>
  <c r="AS148" i="2"/>
  <c r="AR148" i="2"/>
  <c r="AN148" i="2"/>
  <c r="AO148" i="2" s="1"/>
  <c r="AK148" i="2"/>
  <c r="AJ148" i="2"/>
  <c r="AF148" i="2"/>
  <c r="AG148" i="2" s="1"/>
  <c r="AB148" i="2"/>
  <c r="AC148" i="2" s="1"/>
  <c r="X148" i="2"/>
  <c r="Y148" i="2" s="1"/>
  <c r="S148" i="2"/>
  <c r="F148" i="2"/>
  <c r="BR147" i="2"/>
  <c r="BO147" i="2"/>
  <c r="BL147" i="2"/>
  <c r="BH147" i="2"/>
  <c r="BI147" i="2" s="1"/>
  <c r="BD147" i="2"/>
  <c r="BE147" i="2" s="1"/>
  <c r="AZ147" i="2"/>
  <c r="BA147" i="2" s="1"/>
  <c r="AV147" i="2"/>
  <c r="AW147" i="2" s="1"/>
  <c r="AS147" i="2"/>
  <c r="AR147" i="2"/>
  <c r="AN147" i="2"/>
  <c r="AO147" i="2" s="1"/>
  <c r="AJ147" i="2"/>
  <c r="AK147" i="2" s="1"/>
  <c r="AF147" i="2"/>
  <c r="AG147" i="2" s="1"/>
  <c r="AB147" i="2"/>
  <c r="AC147" i="2" s="1"/>
  <c r="Y147" i="2"/>
  <c r="X147" i="2"/>
  <c r="S147" i="2"/>
  <c r="F147" i="2"/>
  <c r="BR146" i="2"/>
  <c r="BO146" i="2"/>
  <c r="BL146" i="2"/>
  <c r="BI146" i="2"/>
  <c r="BH146" i="2"/>
  <c r="BD146" i="2"/>
  <c r="BE146" i="2" s="1"/>
  <c r="AZ146" i="2"/>
  <c r="BA146" i="2" s="1"/>
  <c r="AV146" i="2"/>
  <c r="AW146" i="2" s="1"/>
  <c r="AS146" i="2"/>
  <c r="AR146" i="2"/>
  <c r="AN146" i="2"/>
  <c r="AO146" i="2" s="1"/>
  <c r="AJ146" i="2"/>
  <c r="AK146" i="2" s="1"/>
  <c r="AF146" i="2"/>
  <c r="AG146" i="2" s="1"/>
  <c r="AB146" i="2"/>
  <c r="AC146" i="2" s="1"/>
  <c r="X146" i="2"/>
  <c r="Y146" i="2" s="1"/>
  <c r="S146" i="2"/>
  <c r="F146" i="2"/>
  <c r="BR145" i="2"/>
  <c r="BO145" i="2"/>
  <c r="BL145" i="2"/>
  <c r="BI145" i="2"/>
  <c r="BH145" i="2"/>
  <c r="BD145" i="2"/>
  <c r="BE145" i="2" s="1"/>
  <c r="AZ145" i="2"/>
  <c r="BA145" i="2" s="1"/>
  <c r="AV145" i="2"/>
  <c r="AW145" i="2" s="1"/>
  <c r="AS145" i="2"/>
  <c r="AR145" i="2"/>
  <c r="AN145" i="2"/>
  <c r="AO145" i="2" s="1"/>
  <c r="AJ145" i="2"/>
  <c r="AK145" i="2" s="1"/>
  <c r="AF145" i="2"/>
  <c r="AG145" i="2" s="1"/>
  <c r="AB145" i="2"/>
  <c r="AC145" i="2" s="1"/>
  <c r="X145" i="2"/>
  <c r="Y145" i="2" s="1"/>
  <c r="S145" i="2"/>
  <c r="F145" i="2"/>
  <c r="BR144" i="2"/>
  <c r="BO144" i="2"/>
  <c r="BL144" i="2"/>
  <c r="BI144" i="2"/>
  <c r="BH144" i="2"/>
  <c r="BD144" i="2"/>
  <c r="BE144" i="2" s="1"/>
  <c r="BA144" i="2"/>
  <c r="AZ144" i="2"/>
  <c r="AV144" i="2"/>
  <c r="AW144" i="2" s="1"/>
  <c r="AR144" i="2"/>
  <c r="AS144" i="2" s="1"/>
  <c r="AN144" i="2"/>
  <c r="AO144" i="2" s="1"/>
  <c r="AJ144" i="2"/>
  <c r="AK144" i="2" s="1"/>
  <c r="AF144" i="2"/>
  <c r="AG144" i="2" s="1"/>
  <c r="AC144" i="2"/>
  <c r="AB144" i="2"/>
  <c r="X144" i="2"/>
  <c r="Y144" i="2" s="1"/>
  <c r="F144" i="2"/>
  <c r="BP143" i="2"/>
  <c r="BO143" i="2"/>
  <c r="BM143" i="2"/>
  <c r="BF143" i="2"/>
  <c r="BC143" i="2"/>
  <c r="BB143" i="2"/>
  <c r="AY143" i="2"/>
  <c r="AX143" i="2"/>
  <c r="AT143" i="2"/>
  <c r="AP143" i="2"/>
  <c r="AL143" i="2"/>
  <c r="AH143" i="2"/>
  <c r="AD143" i="2"/>
  <c r="Z143" i="2"/>
  <c r="V143" i="2"/>
  <c r="T143" i="2"/>
  <c r="R143" i="2"/>
  <c r="S144" i="2" s="1"/>
  <c r="M143" i="2"/>
  <c r="F143" i="2"/>
  <c r="BQ142" i="2"/>
  <c r="BQ143" i="2" s="1"/>
  <c r="BP142" i="2"/>
  <c r="BN142" i="2"/>
  <c r="BN143" i="2" s="1"/>
  <c r="BM142" i="2"/>
  <c r="BG142" i="2"/>
  <c r="BG143" i="2" s="1"/>
  <c r="BF142" i="2"/>
  <c r="BC142" i="2"/>
  <c r="BB142" i="2"/>
  <c r="AY142" i="2"/>
  <c r="AX142" i="2"/>
  <c r="AU142" i="2"/>
  <c r="AU143" i="2" s="1"/>
  <c r="AT142" i="2"/>
  <c r="AQ142" i="2"/>
  <c r="AQ143" i="2" s="1"/>
  <c r="AP142" i="2"/>
  <c r="AM142" i="2"/>
  <c r="AM143" i="2" s="1"/>
  <c r="AL142" i="2"/>
  <c r="AI142" i="2"/>
  <c r="AI143" i="2" s="1"/>
  <c r="AH142" i="2"/>
  <c r="AE142" i="2"/>
  <c r="AE143" i="2" s="1"/>
  <c r="AD142" i="2"/>
  <c r="AA142" i="2"/>
  <c r="AA143" i="2" s="1"/>
  <c r="Z142" i="2"/>
  <c r="W142" i="2"/>
  <c r="W143" i="2" s="1"/>
  <c r="V142" i="2"/>
  <c r="U142" i="2"/>
  <c r="U143" i="2" s="1"/>
  <c r="T142" i="2"/>
  <c r="R142" i="2"/>
  <c r="M142" i="2"/>
  <c r="L142" i="2"/>
  <c r="L143" i="2" s="1"/>
  <c r="K142" i="2"/>
  <c r="K143" i="2" s="1"/>
  <c r="J142" i="2"/>
  <c r="J143" i="2" s="1"/>
  <c r="F142" i="2"/>
  <c r="BR141" i="2"/>
  <c r="BO141" i="2"/>
  <c r="BL141" i="2"/>
  <c r="BH141" i="2"/>
  <c r="BI141" i="2" s="1"/>
  <c r="BD141" i="2"/>
  <c r="AZ141" i="2"/>
  <c r="BA141" i="2" s="1"/>
  <c r="AV141" i="2"/>
  <c r="AR141" i="2"/>
  <c r="AO141" i="2"/>
  <c r="AN141" i="2"/>
  <c r="AJ141" i="2"/>
  <c r="AJ142" i="2" s="1"/>
  <c r="AK142" i="2" s="1"/>
  <c r="AF141" i="2"/>
  <c r="AG141" i="2" s="1"/>
  <c r="AB141" i="2"/>
  <c r="X141" i="2"/>
  <c r="S141" i="2"/>
  <c r="S142" i="2" s="1"/>
  <c r="S143" i="2" s="1"/>
  <c r="F141" i="2"/>
  <c r="BR140" i="2"/>
  <c r="BR142" i="2" s="1"/>
  <c r="BO140" i="2"/>
  <c r="BO142" i="2" s="1"/>
  <c r="BL140" i="2"/>
  <c r="BL142" i="2" s="1"/>
  <c r="BH140" i="2"/>
  <c r="BI140" i="2" s="1"/>
  <c r="BD140" i="2"/>
  <c r="AZ140" i="2"/>
  <c r="AV140" i="2"/>
  <c r="AR140" i="2"/>
  <c r="AS140" i="2" s="1"/>
  <c r="AN140" i="2"/>
  <c r="AO140" i="2" s="1"/>
  <c r="AK140" i="2"/>
  <c r="AJ140" i="2"/>
  <c r="AF140" i="2"/>
  <c r="AB140" i="2"/>
  <c r="AC140" i="2" s="1"/>
  <c r="X140" i="2"/>
  <c r="S140" i="2"/>
  <c r="F140" i="2"/>
  <c r="BR139" i="2"/>
  <c r="BO139" i="2"/>
  <c r="BL139" i="2"/>
  <c r="BH139" i="2"/>
  <c r="BI139" i="2" s="1"/>
  <c r="BD139" i="2"/>
  <c r="BE139" i="2" s="1"/>
  <c r="AZ139" i="2"/>
  <c r="BA139" i="2" s="1"/>
  <c r="AW139" i="2"/>
  <c r="AV139" i="2"/>
  <c r="AS139" i="2"/>
  <c r="AR139" i="2"/>
  <c r="AN139" i="2"/>
  <c r="AO139" i="2" s="1"/>
  <c r="AJ139" i="2"/>
  <c r="AK139" i="2" s="1"/>
  <c r="AF139" i="2"/>
  <c r="AG139" i="2" s="1"/>
  <c r="AB139" i="2"/>
  <c r="AC139" i="2" s="1"/>
  <c r="X139" i="2"/>
  <c r="Y139" i="2" s="1"/>
  <c r="S139" i="2"/>
  <c r="F139" i="2"/>
  <c r="BR138" i="2"/>
  <c r="BO138" i="2"/>
  <c r="BL138" i="2"/>
  <c r="BH138" i="2"/>
  <c r="BI138" i="2" s="1"/>
  <c r="BD138" i="2"/>
  <c r="BE138" i="2" s="1"/>
  <c r="AZ138" i="2"/>
  <c r="BA138" i="2" s="1"/>
  <c r="AW138" i="2"/>
  <c r="AV138" i="2"/>
  <c r="AS138" i="2"/>
  <c r="AR138" i="2"/>
  <c r="AN138" i="2"/>
  <c r="AO138" i="2" s="1"/>
  <c r="AJ138" i="2"/>
  <c r="AK138" i="2" s="1"/>
  <c r="AF138" i="2"/>
  <c r="AG138" i="2" s="1"/>
  <c r="AC138" i="2"/>
  <c r="AB138" i="2"/>
  <c r="X138" i="2"/>
  <c r="Y138" i="2" s="1"/>
  <c r="S138" i="2"/>
  <c r="F138" i="2"/>
  <c r="BR137" i="2"/>
  <c r="BO137" i="2"/>
  <c r="BL137" i="2"/>
  <c r="BH137" i="2"/>
  <c r="BI137" i="2" s="1"/>
  <c r="BD137" i="2"/>
  <c r="BE137" i="2" s="1"/>
  <c r="AZ137" i="2"/>
  <c r="BA137" i="2" s="1"/>
  <c r="AV137" i="2"/>
  <c r="AW137" i="2" s="1"/>
  <c r="AR137" i="2"/>
  <c r="AS137" i="2" s="1"/>
  <c r="AN137" i="2"/>
  <c r="AO137" i="2" s="1"/>
  <c r="AJ137" i="2"/>
  <c r="AK137" i="2" s="1"/>
  <c r="AF137" i="2"/>
  <c r="AG137" i="2" s="1"/>
  <c r="AB137" i="2"/>
  <c r="AC137" i="2" s="1"/>
  <c r="X137" i="2"/>
  <c r="Y137" i="2" s="1"/>
  <c r="S137" i="2"/>
  <c r="F137" i="2"/>
  <c r="BR136" i="2"/>
  <c r="BO136" i="2"/>
  <c r="BL136" i="2"/>
  <c r="BH136" i="2"/>
  <c r="BI136" i="2" s="1"/>
  <c r="BD136" i="2"/>
  <c r="BE136" i="2" s="1"/>
  <c r="AZ136" i="2"/>
  <c r="BA136" i="2" s="1"/>
  <c r="AV136" i="2"/>
  <c r="AW136" i="2" s="1"/>
  <c r="AR136" i="2"/>
  <c r="AS136" i="2" s="1"/>
  <c r="AN136" i="2"/>
  <c r="AO136" i="2" s="1"/>
  <c r="AK136" i="2"/>
  <c r="AJ136" i="2"/>
  <c r="AF136" i="2"/>
  <c r="AG136" i="2" s="1"/>
  <c r="AB136" i="2"/>
  <c r="AC136" i="2" s="1"/>
  <c r="X136" i="2"/>
  <c r="Y136" i="2" s="1"/>
  <c r="S136" i="2"/>
  <c r="F136" i="2"/>
  <c r="BR135" i="2"/>
  <c r="BO135" i="2"/>
  <c r="BL135" i="2"/>
  <c r="BH135" i="2"/>
  <c r="BI135" i="2" s="1"/>
  <c r="BD135" i="2"/>
  <c r="BE135" i="2" s="1"/>
  <c r="BA135" i="2"/>
  <c r="AZ135" i="2"/>
  <c r="AW135" i="2"/>
  <c r="AV135" i="2"/>
  <c r="AR135" i="2"/>
  <c r="AS135" i="2" s="1"/>
  <c r="AO135" i="2"/>
  <c r="AN135" i="2"/>
  <c r="AJ135" i="2"/>
  <c r="AK135" i="2" s="1"/>
  <c r="AF135" i="2"/>
  <c r="AG135" i="2" s="1"/>
  <c r="AB135" i="2"/>
  <c r="AC135" i="2" s="1"/>
  <c r="X135" i="2"/>
  <c r="Y135" i="2" s="1"/>
  <c r="S135" i="2"/>
  <c r="F135" i="2"/>
  <c r="BR134" i="2"/>
  <c r="BO134" i="2"/>
  <c r="BL134" i="2"/>
  <c r="BH134" i="2"/>
  <c r="BI134" i="2" s="1"/>
  <c r="BD134" i="2"/>
  <c r="BE134" i="2" s="1"/>
  <c r="AZ134" i="2"/>
  <c r="BA134" i="2" s="1"/>
  <c r="AV134" i="2"/>
  <c r="AW134" i="2" s="1"/>
  <c r="AR134" i="2"/>
  <c r="AS134" i="2" s="1"/>
  <c r="AN134" i="2"/>
  <c r="AO134" i="2" s="1"/>
  <c r="AJ134" i="2"/>
  <c r="AK134" i="2" s="1"/>
  <c r="AF134" i="2"/>
  <c r="AG134" i="2" s="1"/>
  <c r="AC134" i="2"/>
  <c r="AB134" i="2"/>
  <c r="Y134" i="2"/>
  <c r="X134" i="2"/>
  <c r="F134" i="2"/>
  <c r="BQ133" i="2"/>
  <c r="BP133" i="2"/>
  <c r="BN133" i="2"/>
  <c r="BM133" i="2"/>
  <c r="BG133" i="2"/>
  <c r="BF133" i="2"/>
  <c r="BC133" i="2"/>
  <c r="BB133" i="2"/>
  <c r="AY133" i="2"/>
  <c r="AX133" i="2"/>
  <c r="AU133" i="2"/>
  <c r="AT133" i="2"/>
  <c r="AQ133" i="2"/>
  <c r="AP133" i="2"/>
  <c r="AM133" i="2"/>
  <c r="AL133" i="2"/>
  <c r="AI133" i="2"/>
  <c r="AH133" i="2"/>
  <c r="AE133" i="2"/>
  <c r="AD133" i="2"/>
  <c r="AA133" i="2"/>
  <c r="Z133" i="2"/>
  <c r="W133" i="2"/>
  <c r="V133" i="2"/>
  <c r="U133" i="2"/>
  <c r="T133" i="2"/>
  <c r="R133" i="2"/>
  <c r="AW133" i="2" s="1"/>
  <c r="M133" i="2"/>
  <c r="L133" i="2"/>
  <c r="K133" i="2"/>
  <c r="J133" i="2"/>
  <c r="F133" i="2"/>
  <c r="BR132" i="2"/>
  <c r="BR131" i="2" s="1"/>
  <c r="BR133" i="2" s="1"/>
  <c r="BO132" i="2"/>
  <c r="BL132" i="2"/>
  <c r="BL131" i="2" s="1"/>
  <c r="BL133" i="2" s="1"/>
  <c r="BI132" i="2"/>
  <c r="BH132" i="2"/>
  <c r="BD132" i="2"/>
  <c r="BA132" i="2"/>
  <c r="AZ132" i="2"/>
  <c r="AV132" i="2"/>
  <c r="AV131" i="2" s="1"/>
  <c r="AV133" i="2" s="1"/>
  <c r="AR132" i="2"/>
  <c r="AS132" i="2" s="1"/>
  <c r="AN132" i="2"/>
  <c r="AN131" i="2" s="1"/>
  <c r="AJ132" i="2"/>
  <c r="AK132" i="2" s="1"/>
  <c r="AG132" i="2"/>
  <c r="AF132" i="2"/>
  <c r="AF131" i="2" s="1"/>
  <c r="AF133" i="2" s="1"/>
  <c r="AB132" i="2"/>
  <c r="AB131" i="2" s="1"/>
  <c r="AC131" i="2" s="1"/>
  <c r="Y132" i="2"/>
  <c r="X132" i="2"/>
  <c r="X131" i="2" s="1"/>
  <c r="Y131" i="2" s="1"/>
  <c r="S132" i="2"/>
  <c r="S133" i="2" s="1"/>
  <c r="F132" i="2"/>
  <c r="BO131" i="2"/>
  <c r="BO133" i="2" s="1"/>
  <c r="BH131" i="2"/>
  <c r="AZ131" i="2"/>
  <c r="BA131" i="2" s="1"/>
  <c r="AW131" i="2"/>
  <c r="AR131" i="2"/>
  <c r="AS131" i="2" s="1"/>
  <c r="F131" i="2"/>
  <c r="BQ130" i="2"/>
  <c r="BP130" i="2"/>
  <c r="BN130" i="2"/>
  <c r="BM130" i="2"/>
  <c r="BG130" i="2"/>
  <c r="BF130" i="2"/>
  <c r="BC130" i="2"/>
  <c r="BB130" i="2"/>
  <c r="AY130" i="2"/>
  <c r="AX130" i="2"/>
  <c r="AU130" i="2"/>
  <c r="AT130" i="2"/>
  <c r="AQ130" i="2"/>
  <c r="AP130" i="2"/>
  <c r="AM130" i="2"/>
  <c r="AL130" i="2"/>
  <c r="AI130" i="2"/>
  <c r="AH130" i="2"/>
  <c r="AE130" i="2"/>
  <c r="AD130" i="2"/>
  <c r="AA130" i="2"/>
  <c r="Z130" i="2"/>
  <c r="W130" i="2"/>
  <c r="V130" i="2"/>
  <c r="U130" i="2"/>
  <c r="T130" i="2"/>
  <c r="R130" i="2"/>
  <c r="S131" i="2" s="1"/>
  <c r="M130" i="2"/>
  <c r="L130" i="2"/>
  <c r="K130" i="2"/>
  <c r="J130" i="2"/>
  <c r="F130" i="2"/>
  <c r="BR129" i="2"/>
  <c r="BO129" i="2"/>
  <c r="BO130" i="2" s="1"/>
  <c r="BL129" i="2"/>
  <c r="BH129" i="2"/>
  <c r="BI129" i="2" s="1"/>
  <c r="BE129" i="2"/>
  <c r="BD129" i="2"/>
  <c r="BD130" i="2" s="1"/>
  <c r="BE130" i="2" s="1"/>
  <c r="AZ129" i="2"/>
  <c r="AZ130" i="2" s="1"/>
  <c r="BA130" i="2" s="1"/>
  <c r="AV129" i="2"/>
  <c r="AW129" i="2" s="1"/>
  <c r="AR129" i="2"/>
  <c r="AS129" i="2" s="1"/>
  <c r="AN129" i="2"/>
  <c r="AO129" i="2" s="1"/>
  <c r="AJ129" i="2"/>
  <c r="AK129" i="2" s="1"/>
  <c r="AF129" i="2"/>
  <c r="AG129" i="2" s="1"/>
  <c r="AB129" i="2"/>
  <c r="AC129" i="2" s="1"/>
  <c r="X129" i="2"/>
  <c r="Y129" i="2" s="1"/>
  <c r="S129" i="2"/>
  <c r="S130" i="2" s="1"/>
  <c r="F129" i="2"/>
  <c r="BR128" i="2"/>
  <c r="BO128" i="2"/>
  <c r="BL128" i="2"/>
  <c r="BH128" i="2"/>
  <c r="BD128" i="2"/>
  <c r="BE128" i="2" s="1"/>
  <c r="AZ128" i="2"/>
  <c r="BA128" i="2" s="1"/>
  <c r="AV128" i="2"/>
  <c r="AW128" i="2" s="1"/>
  <c r="AR128" i="2"/>
  <c r="AR130" i="2" s="1"/>
  <c r="AS130" i="2" s="1"/>
  <c r="AO128" i="2"/>
  <c r="AN128" i="2"/>
  <c r="AJ128" i="2"/>
  <c r="AK128" i="2" s="1"/>
  <c r="AF128" i="2"/>
  <c r="AB128" i="2"/>
  <c r="AC128" i="2" s="1"/>
  <c r="X128" i="2"/>
  <c r="S128" i="2"/>
  <c r="F128" i="2"/>
  <c r="BR127" i="2"/>
  <c r="BO127" i="2"/>
  <c r="BL127" i="2"/>
  <c r="BH127" i="2"/>
  <c r="BI127" i="2" s="1"/>
  <c r="BD127" i="2"/>
  <c r="BE127" i="2" s="1"/>
  <c r="AZ127" i="2"/>
  <c r="BA127" i="2" s="1"/>
  <c r="AV127" i="2"/>
  <c r="AW127" i="2" s="1"/>
  <c r="AR127" i="2"/>
  <c r="AS127" i="2" s="1"/>
  <c r="AN127" i="2"/>
  <c r="AO127" i="2" s="1"/>
  <c r="AJ127" i="2"/>
  <c r="AK127" i="2" s="1"/>
  <c r="AF127" i="2"/>
  <c r="AG127" i="2" s="1"/>
  <c r="AB127" i="2"/>
  <c r="AC127" i="2" s="1"/>
  <c r="X127" i="2"/>
  <c r="Y127" i="2" s="1"/>
  <c r="F127" i="2"/>
  <c r="BR126" i="2"/>
  <c r="BQ126" i="2"/>
  <c r="BP126" i="2"/>
  <c r="BN126" i="2"/>
  <c r="BM126" i="2"/>
  <c r="BG126" i="2"/>
  <c r="BF126" i="2"/>
  <c r="BC126" i="2"/>
  <c r="BB126" i="2"/>
  <c r="AY126" i="2"/>
  <c r="AX126" i="2"/>
  <c r="AU126" i="2"/>
  <c r="AT126" i="2"/>
  <c r="AQ126" i="2"/>
  <c r="AP126" i="2"/>
  <c r="AM126" i="2"/>
  <c r="AL126" i="2"/>
  <c r="AI126" i="2"/>
  <c r="AH126" i="2"/>
  <c r="AE126" i="2"/>
  <c r="AD126" i="2"/>
  <c r="AA126" i="2"/>
  <c r="Z126" i="2"/>
  <c r="W126" i="2"/>
  <c r="V126" i="2"/>
  <c r="U126" i="2"/>
  <c r="T126" i="2"/>
  <c r="S126" i="2"/>
  <c r="R126" i="2"/>
  <c r="S127" i="2" s="1"/>
  <c r="M126" i="2"/>
  <c r="L126" i="2"/>
  <c r="K126" i="2"/>
  <c r="J126" i="2"/>
  <c r="F126" i="2"/>
  <c r="BR125" i="2"/>
  <c r="BO125" i="2"/>
  <c r="BL125" i="2"/>
  <c r="BI125" i="2"/>
  <c r="BH125" i="2"/>
  <c r="BD125" i="2"/>
  <c r="BE125" i="2" s="1"/>
  <c r="AZ125" i="2"/>
  <c r="BA125" i="2" s="1"/>
  <c r="AV125" i="2"/>
  <c r="AW125" i="2" s="1"/>
  <c r="AS125" i="2"/>
  <c r="AR125" i="2"/>
  <c r="AN125" i="2"/>
  <c r="AO125" i="2" s="1"/>
  <c r="AJ125" i="2"/>
  <c r="AK125" i="2" s="1"/>
  <c r="AF125" i="2"/>
  <c r="AG125" i="2" s="1"/>
  <c r="AB125" i="2"/>
  <c r="AB126" i="2" s="1"/>
  <c r="X125" i="2"/>
  <c r="X126" i="2" s="1"/>
  <c r="S125" i="2"/>
  <c r="F125" i="2"/>
  <c r="A125" i="2"/>
  <c r="A126" i="2" s="1"/>
  <c r="A127" i="2" s="1"/>
  <c r="A128" i="2" s="1"/>
  <c r="A129" i="2" s="1"/>
  <c r="A130" i="2" s="1"/>
  <c r="A131" i="2" s="1"/>
  <c r="A132" i="2" s="1"/>
  <c r="A133" i="2" s="1"/>
  <c r="BR124" i="2"/>
  <c r="BO124" i="2"/>
  <c r="BO126" i="2" s="1"/>
  <c r="BL124" i="2"/>
  <c r="BL126" i="2" s="1"/>
  <c r="BI124" i="2"/>
  <c r="BH124" i="2"/>
  <c r="BH126" i="2" s="1"/>
  <c r="BI126" i="2" s="1"/>
  <c r="BD124" i="2"/>
  <c r="BE124" i="2" s="1"/>
  <c r="AZ124" i="2"/>
  <c r="AV124" i="2"/>
  <c r="AR124" i="2"/>
  <c r="AN124" i="2"/>
  <c r="AN126" i="2" s="1"/>
  <c r="AJ124" i="2"/>
  <c r="AG124" i="2"/>
  <c r="AF124" i="2"/>
  <c r="AF126" i="2" s="1"/>
  <c r="AG126" i="2" s="1"/>
  <c r="AB124" i="2"/>
  <c r="AC124" i="2" s="1"/>
  <c r="X124" i="2"/>
  <c r="Y124" i="2" s="1"/>
  <c r="S124" i="2"/>
  <c r="F124" i="2"/>
  <c r="BR122" i="2"/>
  <c r="BO122" i="2"/>
  <c r="BL122" i="2"/>
  <c r="BH122" i="2"/>
  <c r="BI122" i="2" s="1"/>
  <c r="BD122" i="2"/>
  <c r="BE122" i="2" s="1"/>
  <c r="AZ122" i="2"/>
  <c r="BA122" i="2" s="1"/>
  <c r="AV122" i="2"/>
  <c r="AW122" i="2" s="1"/>
  <c r="AS122" i="2"/>
  <c r="AR122" i="2"/>
  <c r="AN122" i="2"/>
  <c r="AO122" i="2" s="1"/>
  <c r="AJ122" i="2"/>
  <c r="AK122" i="2" s="1"/>
  <c r="AF122" i="2"/>
  <c r="AG122" i="2" s="1"/>
  <c r="AB122" i="2"/>
  <c r="AC122" i="2" s="1"/>
  <c r="X122" i="2"/>
  <c r="Y122" i="2" s="1"/>
  <c r="S122" i="2"/>
  <c r="F122" i="2"/>
  <c r="BR121" i="2"/>
  <c r="BO121" i="2"/>
  <c r="BL121" i="2"/>
  <c r="BH121" i="2"/>
  <c r="BI121" i="2" s="1"/>
  <c r="BD121" i="2"/>
  <c r="BE121" i="2" s="1"/>
  <c r="AZ121" i="2"/>
  <c r="BA121" i="2" s="1"/>
  <c r="AV121" i="2"/>
  <c r="AW121" i="2" s="1"/>
  <c r="AR121" i="2"/>
  <c r="AS121" i="2" s="1"/>
  <c r="AN121" i="2"/>
  <c r="AO121" i="2" s="1"/>
  <c r="AK121" i="2"/>
  <c r="AJ121" i="2"/>
  <c r="AF121" i="2"/>
  <c r="AG121" i="2" s="1"/>
  <c r="AB121" i="2"/>
  <c r="AC121" i="2" s="1"/>
  <c r="X121" i="2"/>
  <c r="Y121" i="2" s="1"/>
  <c r="F121" i="2"/>
  <c r="BQ120" i="2"/>
  <c r="BP120" i="2"/>
  <c r="BN120" i="2"/>
  <c r="BM120" i="2"/>
  <c r="BG120" i="2"/>
  <c r="BF120" i="2"/>
  <c r="BC120" i="2"/>
  <c r="BB120" i="2"/>
  <c r="AY120" i="2"/>
  <c r="AX120" i="2"/>
  <c r="AU120" i="2"/>
  <c r="AT120" i="2"/>
  <c r="AQ120" i="2"/>
  <c r="AP120" i="2"/>
  <c r="AM120" i="2"/>
  <c r="AL120" i="2"/>
  <c r="AI120" i="2"/>
  <c r="AH120" i="2"/>
  <c r="AE120" i="2"/>
  <c r="AD120" i="2"/>
  <c r="AA120" i="2"/>
  <c r="Z120" i="2"/>
  <c r="W120" i="2"/>
  <c r="V120" i="2"/>
  <c r="U120" i="2"/>
  <c r="T120" i="2"/>
  <c r="S120" i="2"/>
  <c r="R120" i="2"/>
  <c r="S121" i="2" s="1"/>
  <c r="M120" i="2"/>
  <c r="L120" i="2"/>
  <c r="K120" i="2"/>
  <c r="J120" i="2"/>
  <c r="F120" i="2"/>
  <c r="BR119" i="2"/>
  <c r="BO119" i="2"/>
  <c r="BL119" i="2"/>
  <c r="BH119" i="2"/>
  <c r="BI119" i="2" s="1"/>
  <c r="BE119" i="2"/>
  <c r="BD119" i="2"/>
  <c r="AZ119" i="2"/>
  <c r="AV119" i="2"/>
  <c r="AW119" i="2" s="1"/>
  <c r="AR119" i="2"/>
  <c r="AR120" i="2" s="1"/>
  <c r="AN119" i="2"/>
  <c r="AO119" i="2" s="1"/>
  <c r="AK119" i="2"/>
  <c r="AJ119" i="2"/>
  <c r="AF119" i="2"/>
  <c r="AG119" i="2" s="1"/>
  <c r="AB119" i="2"/>
  <c r="AC119" i="2" s="1"/>
  <c r="X119" i="2"/>
  <c r="Y119" i="2" s="1"/>
  <c r="S119" i="2"/>
  <c r="F119" i="2"/>
  <c r="BR118" i="2"/>
  <c r="BR120" i="2" s="1"/>
  <c r="BO118" i="2"/>
  <c r="BL118" i="2"/>
  <c r="BH118" i="2"/>
  <c r="BD118" i="2"/>
  <c r="BD120" i="2" s="1"/>
  <c r="BE120" i="2" s="1"/>
  <c r="BA118" i="2"/>
  <c r="AZ118" i="2"/>
  <c r="AV118" i="2"/>
  <c r="AS118" i="2"/>
  <c r="AR118" i="2"/>
  <c r="AO118" i="2"/>
  <c r="AN118" i="2"/>
  <c r="AN120" i="2" s="1"/>
  <c r="AO120" i="2" s="1"/>
  <c r="AJ118" i="2"/>
  <c r="AK118" i="2" s="1"/>
  <c r="AF118" i="2"/>
  <c r="AF120" i="2" s="1"/>
  <c r="AB118" i="2"/>
  <c r="AC118" i="2" s="1"/>
  <c r="X118" i="2"/>
  <c r="S118" i="2"/>
  <c r="F118" i="2"/>
  <c r="BR117" i="2"/>
  <c r="BO117" i="2"/>
  <c r="BL117" i="2"/>
  <c r="BH117" i="2"/>
  <c r="BI117" i="2" s="1"/>
  <c r="BD117" i="2"/>
  <c r="BE117" i="2" s="1"/>
  <c r="AZ117" i="2"/>
  <c r="BA117" i="2" s="1"/>
  <c r="AV117" i="2"/>
  <c r="AW117" i="2" s="1"/>
  <c r="AR117" i="2"/>
  <c r="AS117" i="2" s="1"/>
  <c r="AN117" i="2"/>
  <c r="AO117" i="2" s="1"/>
  <c r="AK117" i="2"/>
  <c r="AJ117" i="2"/>
  <c r="AF117" i="2"/>
  <c r="AG117" i="2" s="1"/>
  <c r="AB117" i="2"/>
  <c r="AC117" i="2" s="1"/>
  <c r="X117" i="2"/>
  <c r="Y117" i="2" s="1"/>
  <c r="F117" i="2"/>
  <c r="BQ116" i="2"/>
  <c r="BP116" i="2"/>
  <c r="BN116" i="2"/>
  <c r="BM116" i="2"/>
  <c r="BG116" i="2"/>
  <c r="BF116" i="2"/>
  <c r="BC116" i="2"/>
  <c r="BB116" i="2"/>
  <c r="AY116" i="2"/>
  <c r="AX116" i="2"/>
  <c r="AU116" i="2"/>
  <c r="AT116" i="2"/>
  <c r="AQ116" i="2"/>
  <c r="AP116" i="2"/>
  <c r="AM116" i="2"/>
  <c r="AL116" i="2"/>
  <c r="AI116" i="2"/>
  <c r="AH116" i="2"/>
  <c r="AE116" i="2"/>
  <c r="AD116" i="2"/>
  <c r="AA116" i="2"/>
  <c r="Z116" i="2"/>
  <c r="W116" i="2"/>
  <c r="V116" i="2"/>
  <c r="U116" i="2"/>
  <c r="T116" i="2"/>
  <c r="R116" i="2"/>
  <c r="S117" i="2" s="1"/>
  <c r="M116" i="2"/>
  <c r="L116" i="2"/>
  <c r="K116" i="2"/>
  <c r="J116" i="2"/>
  <c r="F116" i="2"/>
  <c r="BR115" i="2"/>
  <c r="BO115" i="2"/>
  <c r="BL115" i="2"/>
  <c r="BH115" i="2"/>
  <c r="BI115" i="2" s="1"/>
  <c r="BD115" i="2"/>
  <c r="BE115" i="2" s="1"/>
  <c r="AZ115" i="2"/>
  <c r="BA115" i="2" s="1"/>
  <c r="AV115" i="2"/>
  <c r="AW115" i="2" s="1"/>
  <c r="AS115" i="2"/>
  <c r="AR115" i="2"/>
  <c r="AR116" i="2" s="1"/>
  <c r="AS116" i="2" s="1"/>
  <c r="AN115" i="2"/>
  <c r="AN116" i="2" s="1"/>
  <c r="AO116" i="2" s="1"/>
  <c r="AJ115" i="2"/>
  <c r="AK115" i="2" s="1"/>
  <c r="AF115" i="2"/>
  <c r="AG115" i="2" s="1"/>
  <c r="AB115" i="2"/>
  <c r="AC115" i="2" s="1"/>
  <c r="X115" i="2"/>
  <c r="Y115" i="2" s="1"/>
  <c r="S115" i="2"/>
  <c r="S116" i="2" s="1"/>
  <c r="F115" i="2"/>
  <c r="BR114" i="2"/>
  <c r="BO114" i="2"/>
  <c r="BL114" i="2"/>
  <c r="BH114" i="2"/>
  <c r="BH116" i="2" s="1"/>
  <c r="BI116" i="2" s="1"/>
  <c r="BE114" i="2"/>
  <c r="BD114" i="2"/>
  <c r="AZ114" i="2"/>
  <c r="AV114" i="2"/>
  <c r="AV116" i="2" s="1"/>
  <c r="AW116" i="2" s="1"/>
  <c r="AR114" i="2"/>
  <c r="AS114" i="2" s="1"/>
  <c r="AN114" i="2"/>
  <c r="AO114" i="2" s="1"/>
  <c r="AJ114" i="2"/>
  <c r="AF114" i="2"/>
  <c r="AB114" i="2"/>
  <c r="AC114" i="2" s="1"/>
  <c r="X114" i="2"/>
  <c r="F114" i="2"/>
  <c r="BQ113" i="2"/>
  <c r="BP113" i="2"/>
  <c r="BO113" i="2"/>
  <c r="BN113" i="2"/>
  <c r="BM113" i="2"/>
  <c r="BG113" i="2"/>
  <c r="BF113" i="2"/>
  <c r="BD113" i="2"/>
  <c r="BE113" i="2" s="1"/>
  <c r="BC113" i="2"/>
  <c r="BB113" i="2"/>
  <c r="AY113" i="2"/>
  <c r="AX113" i="2"/>
  <c r="AU113" i="2"/>
  <c r="AT113" i="2"/>
  <c r="AQ113" i="2"/>
  <c r="AP113" i="2"/>
  <c r="AM113" i="2"/>
  <c r="AL113" i="2"/>
  <c r="AI113" i="2"/>
  <c r="AH113" i="2"/>
  <c r="AE113" i="2"/>
  <c r="AD113" i="2"/>
  <c r="AA113" i="2"/>
  <c r="Z113" i="2"/>
  <c r="W113" i="2"/>
  <c r="V113" i="2"/>
  <c r="U113" i="2"/>
  <c r="T113" i="2"/>
  <c r="S113" i="2"/>
  <c r="R113" i="2"/>
  <c r="S114" i="2" s="1"/>
  <c r="M113" i="2"/>
  <c r="L113" i="2"/>
  <c r="K113" i="2"/>
  <c r="J113" i="2"/>
  <c r="F113" i="2"/>
  <c r="BR112" i="2"/>
  <c r="BR111" i="2" s="1"/>
  <c r="BR113" i="2" s="1"/>
  <c r="BO112" i="2"/>
  <c r="BL112" i="2"/>
  <c r="BH112" i="2"/>
  <c r="BD112" i="2"/>
  <c r="BD111" i="2" s="1"/>
  <c r="BE111" i="2" s="1"/>
  <c r="AZ112" i="2"/>
  <c r="BA112" i="2" s="1"/>
  <c r="AV112" i="2"/>
  <c r="AV111" i="2" s="1"/>
  <c r="AV113" i="2" s="1"/>
  <c r="AR112" i="2"/>
  <c r="AO112" i="2"/>
  <c r="AN112" i="2"/>
  <c r="AJ112" i="2"/>
  <c r="AF112" i="2"/>
  <c r="AG112" i="2" s="1"/>
  <c r="AB112" i="2"/>
  <c r="AB111" i="2" s="1"/>
  <c r="AB113" i="2" s="1"/>
  <c r="AC113" i="2" s="1"/>
  <c r="X112" i="2"/>
  <c r="X111" i="2" s="1"/>
  <c r="X113" i="2" s="1"/>
  <c r="Y113" i="2" s="1"/>
  <c r="S112" i="2"/>
  <c r="F112" i="2"/>
  <c r="BO111" i="2"/>
  <c r="BL111" i="2"/>
  <c r="BL113" i="2" s="1"/>
  <c r="AZ111" i="2"/>
  <c r="AW111" i="2"/>
  <c r="AN111" i="2"/>
  <c r="AN113" i="2" s="1"/>
  <c r="AO113" i="2" s="1"/>
  <c r="AF111" i="2"/>
  <c r="S111" i="2"/>
  <c r="F111" i="2"/>
  <c r="BR110" i="2"/>
  <c r="BO110" i="2"/>
  <c r="BL110" i="2"/>
  <c r="BH110" i="2"/>
  <c r="BI110" i="2" s="1"/>
  <c r="BD110" i="2"/>
  <c r="BE110" i="2" s="1"/>
  <c r="BA110" i="2"/>
  <c r="AZ110" i="2"/>
  <c r="AW110" i="2"/>
  <c r="AV110" i="2"/>
  <c r="AR110" i="2"/>
  <c r="AS110" i="2" s="1"/>
  <c r="AN110" i="2"/>
  <c r="AO110" i="2" s="1"/>
  <c r="AJ110" i="2"/>
  <c r="AK110" i="2" s="1"/>
  <c r="AF110" i="2"/>
  <c r="AG110" i="2" s="1"/>
  <c r="AB110" i="2"/>
  <c r="AC110" i="2" s="1"/>
  <c r="X110" i="2"/>
  <c r="Y110" i="2" s="1"/>
  <c r="F110" i="2"/>
  <c r="BR109" i="2"/>
  <c r="BQ109" i="2"/>
  <c r="BP109" i="2"/>
  <c r="BN109" i="2"/>
  <c r="BM109" i="2"/>
  <c r="BG109" i="2"/>
  <c r="BF109" i="2"/>
  <c r="BC109" i="2"/>
  <c r="BB109" i="2"/>
  <c r="AY109" i="2"/>
  <c r="AX109" i="2"/>
  <c r="AU109" i="2"/>
  <c r="AT109" i="2"/>
  <c r="AQ109" i="2"/>
  <c r="AP109" i="2"/>
  <c r="AM109" i="2"/>
  <c r="AL109" i="2"/>
  <c r="AI109" i="2"/>
  <c r="AH109" i="2"/>
  <c r="AE109" i="2"/>
  <c r="AD109" i="2"/>
  <c r="AA109" i="2"/>
  <c r="Z109" i="2"/>
  <c r="W109" i="2"/>
  <c r="V109" i="2"/>
  <c r="U109" i="2"/>
  <c r="T109" i="2"/>
  <c r="R109" i="2"/>
  <c r="S110" i="2" s="1"/>
  <c r="M109" i="2"/>
  <c r="L109" i="2"/>
  <c r="K109" i="2"/>
  <c r="J109" i="2"/>
  <c r="F109" i="2"/>
  <c r="BR108" i="2"/>
  <c r="BR107" i="2" s="1"/>
  <c r="BO108" i="2"/>
  <c r="BL108" i="2"/>
  <c r="BH108" i="2"/>
  <c r="BI108" i="2" s="1"/>
  <c r="BD108" i="2"/>
  <c r="BD107" i="2" s="1"/>
  <c r="AZ108" i="2"/>
  <c r="BA108" i="2" s="1"/>
  <c r="AV108" i="2"/>
  <c r="AR108" i="2"/>
  <c r="AR107" i="2" s="1"/>
  <c r="AN108" i="2"/>
  <c r="AJ108" i="2"/>
  <c r="AF108" i="2"/>
  <c r="AF107" i="2" s="1"/>
  <c r="AF109" i="2" s="1"/>
  <c r="AG109" i="2" s="1"/>
  <c r="AC108" i="2"/>
  <c r="AB108" i="2"/>
  <c r="AB107" i="2" s="1"/>
  <c r="X108" i="2"/>
  <c r="X107" i="2" s="1"/>
  <c r="X109" i="2" s="1"/>
  <c r="S108" i="2"/>
  <c r="S109" i="2" s="1"/>
  <c r="F108" i="2"/>
  <c r="BO107" i="2"/>
  <c r="BO109" i="2" s="1"/>
  <c r="BL107" i="2"/>
  <c r="BL109" i="2" s="1"/>
  <c r="BI107" i="2"/>
  <c r="BH107" i="2"/>
  <c r="BH109" i="2" s="1"/>
  <c r="AZ107" i="2"/>
  <c r="AZ109" i="2" s="1"/>
  <c r="S107" i="2"/>
  <c r="F107" i="2"/>
  <c r="BQ106" i="2"/>
  <c r="BP106" i="2"/>
  <c r="BN106" i="2"/>
  <c r="BM106" i="2"/>
  <c r="BG106" i="2"/>
  <c r="BF106" i="2"/>
  <c r="BC106" i="2"/>
  <c r="BB106" i="2"/>
  <c r="AY106" i="2"/>
  <c r="AX106" i="2"/>
  <c r="AU106" i="2"/>
  <c r="AT106" i="2"/>
  <c r="AQ106" i="2"/>
  <c r="AP106" i="2"/>
  <c r="AM106" i="2"/>
  <c r="AL106" i="2"/>
  <c r="AI106" i="2"/>
  <c r="AH106" i="2"/>
  <c r="AE106" i="2"/>
  <c r="AD106" i="2"/>
  <c r="AA106" i="2"/>
  <c r="Z106" i="2"/>
  <c r="W106" i="2"/>
  <c r="V106" i="2"/>
  <c r="U106" i="2"/>
  <c r="T106" i="2"/>
  <c r="S106" i="2"/>
  <c r="R106" i="2"/>
  <c r="M106" i="2"/>
  <c r="L106" i="2"/>
  <c r="K106" i="2"/>
  <c r="J106" i="2"/>
  <c r="F106" i="2"/>
  <c r="BR105" i="2"/>
  <c r="BO105" i="2"/>
  <c r="BO106" i="2" s="1"/>
  <c r="BL105" i="2"/>
  <c r="BH105" i="2"/>
  <c r="BI105" i="2" s="1"/>
  <c r="BD105" i="2"/>
  <c r="BE105" i="2" s="1"/>
  <c r="AZ105" i="2"/>
  <c r="BA105" i="2" s="1"/>
  <c r="AW105" i="2"/>
  <c r="AV105" i="2"/>
  <c r="AR105" i="2"/>
  <c r="AS105" i="2" s="1"/>
  <c r="AN105" i="2"/>
  <c r="AO105" i="2" s="1"/>
  <c r="AJ105" i="2"/>
  <c r="AK105" i="2" s="1"/>
  <c r="AF105" i="2"/>
  <c r="AG105" i="2" s="1"/>
  <c r="AB105" i="2"/>
  <c r="AC105" i="2" s="1"/>
  <c r="X105" i="2"/>
  <c r="Y105" i="2" s="1"/>
  <c r="S105" i="2"/>
  <c r="F105" i="2"/>
  <c r="BR104" i="2"/>
  <c r="BO104" i="2"/>
  <c r="BL104" i="2"/>
  <c r="BL106" i="2" s="1"/>
  <c r="BH104" i="2"/>
  <c r="BD104" i="2"/>
  <c r="BE104" i="2" s="1"/>
  <c r="AZ104" i="2"/>
  <c r="BA104" i="2" s="1"/>
  <c r="AV104" i="2"/>
  <c r="AW104" i="2" s="1"/>
  <c r="AR104" i="2"/>
  <c r="AR106" i="2" s="1"/>
  <c r="AS106" i="2" s="1"/>
  <c r="AO104" i="2"/>
  <c r="AN104" i="2"/>
  <c r="AN106" i="2" s="1"/>
  <c r="AO106" i="2" s="1"/>
  <c r="AJ104" i="2"/>
  <c r="AF104" i="2"/>
  <c r="AG104" i="2" s="1"/>
  <c r="AB104" i="2"/>
  <c r="AB106" i="2" s="1"/>
  <c r="AC106" i="2" s="1"/>
  <c r="X104" i="2"/>
  <c r="X106" i="2" s="1"/>
  <c r="Y106" i="2" s="1"/>
  <c r="S104" i="2"/>
  <c r="F104" i="2"/>
  <c r="BR103" i="2"/>
  <c r="BO103" i="2"/>
  <c r="BL103" i="2"/>
  <c r="BH103" i="2"/>
  <c r="BI103" i="2" s="1"/>
  <c r="BD103" i="2"/>
  <c r="BE103" i="2" s="1"/>
  <c r="AZ103" i="2"/>
  <c r="BA103" i="2" s="1"/>
  <c r="AV103" i="2"/>
  <c r="AW103" i="2" s="1"/>
  <c r="AR103" i="2"/>
  <c r="AS103" i="2" s="1"/>
  <c r="AN103" i="2"/>
  <c r="AO103" i="2" s="1"/>
  <c r="AJ103" i="2"/>
  <c r="AK103" i="2" s="1"/>
  <c r="AF103" i="2"/>
  <c r="AG103" i="2" s="1"/>
  <c r="AB103" i="2"/>
  <c r="AC103" i="2" s="1"/>
  <c r="X103" i="2"/>
  <c r="Y103" i="2" s="1"/>
  <c r="F103" i="2"/>
  <c r="BQ102" i="2"/>
  <c r="BP102" i="2"/>
  <c r="BN102" i="2"/>
  <c r="BM102" i="2"/>
  <c r="BG102" i="2"/>
  <c r="BF102" i="2"/>
  <c r="BC102" i="2"/>
  <c r="BB102" i="2"/>
  <c r="AY102" i="2"/>
  <c r="AX102" i="2"/>
  <c r="AU102" i="2"/>
  <c r="AT102" i="2"/>
  <c r="AR102" i="2"/>
  <c r="AQ102" i="2"/>
  <c r="AP102" i="2"/>
  <c r="AM102" i="2"/>
  <c r="AL102" i="2"/>
  <c r="AI102" i="2"/>
  <c r="AH102" i="2"/>
  <c r="AE102" i="2"/>
  <c r="AD102" i="2"/>
  <c r="AA102" i="2"/>
  <c r="Z102" i="2"/>
  <c r="W102" i="2"/>
  <c r="V102" i="2"/>
  <c r="U102" i="2"/>
  <c r="T102" i="2"/>
  <c r="S102" i="2"/>
  <c r="R102" i="2"/>
  <c r="S103" i="2" s="1"/>
  <c r="M102" i="2"/>
  <c r="L102" i="2"/>
  <c r="K102" i="2"/>
  <c r="J102" i="2"/>
  <c r="F102" i="2"/>
  <c r="BR101" i="2"/>
  <c r="BO101" i="2"/>
  <c r="BL101" i="2"/>
  <c r="BH101" i="2"/>
  <c r="BI101" i="2" s="1"/>
  <c r="BD101" i="2"/>
  <c r="BD102" i="2" s="1"/>
  <c r="BE102" i="2" s="1"/>
  <c r="AZ101" i="2"/>
  <c r="AW101" i="2"/>
  <c r="AV101" i="2"/>
  <c r="AR101" i="2"/>
  <c r="AS101" i="2" s="1"/>
  <c r="AN101" i="2"/>
  <c r="AO101" i="2" s="1"/>
  <c r="AJ101" i="2"/>
  <c r="AJ102" i="2" s="1"/>
  <c r="AF101" i="2"/>
  <c r="AG101" i="2" s="1"/>
  <c r="AB101" i="2"/>
  <c r="AC101" i="2" s="1"/>
  <c r="X101" i="2"/>
  <c r="Y101" i="2" s="1"/>
  <c r="S101" i="2"/>
  <c r="F101" i="2"/>
  <c r="A101" i="2"/>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BR100" i="2"/>
  <c r="BR102" i="2" s="1"/>
  <c r="BO100" i="2"/>
  <c r="BO102" i="2" s="1"/>
  <c r="BL100" i="2"/>
  <c r="BI100" i="2"/>
  <c r="BH100" i="2"/>
  <c r="BH102" i="2" s="1"/>
  <c r="BE100" i="2"/>
  <c r="BD100" i="2"/>
  <c r="AZ100" i="2"/>
  <c r="BA100" i="2" s="1"/>
  <c r="AV100" i="2"/>
  <c r="AV102" i="2" s="1"/>
  <c r="AW102" i="2" s="1"/>
  <c r="AS100" i="2"/>
  <c r="AR100" i="2"/>
  <c r="AN100" i="2"/>
  <c r="AO100" i="2" s="1"/>
  <c r="AJ100" i="2"/>
  <c r="AK100" i="2" s="1"/>
  <c r="AF100" i="2"/>
  <c r="AG100" i="2" s="1"/>
  <c r="AC100" i="2"/>
  <c r="AB100" i="2"/>
  <c r="X100" i="2"/>
  <c r="Y100" i="2" s="1"/>
  <c r="S100" i="2"/>
  <c r="F100" i="2"/>
  <c r="BR98" i="2"/>
  <c r="BO98" i="2"/>
  <c r="BL98" i="2"/>
  <c r="BH98" i="2"/>
  <c r="BI98" i="2" s="1"/>
  <c r="BD98" i="2"/>
  <c r="BE98" i="2" s="1"/>
  <c r="AZ98" i="2"/>
  <c r="BA98" i="2" s="1"/>
  <c r="AV98" i="2"/>
  <c r="AW98" i="2" s="1"/>
  <c r="AR98" i="2"/>
  <c r="AS98" i="2" s="1"/>
  <c r="AN98" i="2"/>
  <c r="AO98" i="2" s="1"/>
  <c r="AK98" i="2"/>
  <c r="AJ98" i="2"/>
  <c r="AF98" i="2"/>
  <c r="AG98" i="2" s="1"/>
  <c r="AB98" i="2"/>
  <c r="AC98" i="2" s="1"/>
  <c r="X98" i="2"/>
  <c r="Y98" i="2" s="1"/>
  <c r="S98" i="2"/>
  <c r="F98" i="2"/>
  <c r="BR97" i="2"/>
  <c r="BO97" i="2"/>
  <c r="BL97" i="2"/>
  <c r="BH97" i="2"/>
  <c r="BI97" i="2" s="1"/>
  <c r="BD97" i="2"/>
  <c r="BE97" i="2" s="1"/>
  <c r="AZ97" i="2"/>
  <c r="BA97" i="2" s="1"/>
  <c r="AV97" i="2"/>
  <c r="AW97" i="2" s="1"/>
  <c r="AR97" i="2"/>
  <c r="AS97" i="2" s="1"/>
  <c r="AN97" i="2"/>
  <c r="AO97" i="2" s="1"/>
  <c r="AJ97" i="2"/>
  <c r="AK97" i="2" s="1"/>
  <c r="AF97" i="2"/>
  <c r="AG97" i="2" s="1"/>
  <c r="AC97" i="2"/>
  <c r="AB97" i="2"/>
  <c r="X97" i="2"/>
  <c r="Y97" i="2" s="1"/>
  <c r="F97" i="2"/>
  <c r="BQ96" i="2"/>
  <c r="BP96" i="2"/>
  <c r="BN96" i="2"/>
  <c r="BM96" i="2"/>
  <c r="BG96" i="2"/>
  <c r="BF96" i="2"/>
  <c r="BC96" i="2"/>
  <c r="BB96" i="2"/>
  <c r="AY96" i="2"/>
  <c r="AX96" i="2"/>
  <c r="AU96" i="2"/>
  <c r="AT96" i="2"/>
  <c r="AQ96" i="2"/>
  <c r="AP96" i="2"/>
  <c r="AM96" i="2"/>
  <c r="AL96" i="2"/>
  <c r="AI96" i="2"/>
  <c r="AH96" i="2"/>
  <c r="AE96" i="2"/>
  <c r="AD96" i="2"/>
  <c r="AA96" i="2"/>
  <c r="Z96" i="2"/>
  <c r="W96" i="2"/>
  <c r="V96" i="2"/>
  <c r="U96" i="2"/>
  <c r="T96" i="2"/>
  <c r="R96" i="2"/>
  <c r="S97" i="2" s="1"/>
  <c r="M96" i="2"/>
  <c r="L96" i="2"/>
  <c r="K96" i="2"/>
  <c r="J96" i="2"/>
  <c r="F96" i="2"/>
  <c r="BR95" i="2"/>
  <c r="BO95" i="2"/>
  <c r="BL95" i="2"/>
  <c r="BL96" i="2" s="1"/>
  <c r="BH95" i="2"/>
  <c r="BD95" i="2"/>
  <c r="BE95" i="2" s="1"/>
  <c r="AZ95" i="2"/>
  <c r="BA95" i="2" s="1"/>
  <c r="AV95" i="2"/>
  <c r="AW95" i="2" s="1"/>
  <c r="AR95" i="2"/>
  <c r="AS95" i="2" s="1"/>
  <c r="AN95" i="2"/>
  <c r="AO95" i="2" s="1"/>
  <c r="AK95" i="2"/>
  <c r="AJ95" i="2"/>
  <c r="AF95" i="2"/>
  <c r="AG95" i="2" s="1"/>
  <c r="AC95" i="2"/>
  <c r="AB95" i="2"/>
  <c r="AB96" i="2" s="1"/>
  <c r="AC96" i="2" s="1"/>
  <c r="X95" i="2"/>
  <c r="X96" i="2" s="1"/>
  <c r="Y96" i="2" s="1"/>
  <c r="S95" i="2"/>
  <c r="S96" i="2" s="1"/>
  <c r="F95" i="2"/>
  <c r="BR94" i="2"/>
  <c r="BR96" i="2" s="1"/>
  <c r="BO94" i="2"/>
  <c r="BL94" i="2"/>
  <c r="BH94" i="2"/>
  <c r="BI94" i="2" s="1"/>
  <c r="BD94" i="2"/>
  <c r="BE94" i="2" s="1"/>
  <c r="BA94" i="2"/>
  <c r="AZ94" i="2"/>
  <c r="AV94" i="2"/>
  <c r="AW94" i="2" s="1"/>
  <c r="AR94" i="2"/>
  <c r="AN94" i="2"/>
  <c r="AJ94" i="2"/>
  <c r="AK94" i="2" s="1"/>
  <c r="AF94" i="2"/>
  <c r="AB94" i="2"/>
  <c r="AC94" i="2" s="1"/>
  <c r="X94" i="2"/>
  <c r="Y94" i="2" s="1"/>
  <c r="S94" i="2"/>
  <c r="F94" i="2"/>
  <c r="BR93" i="2"/>
  <c r="BO93" i="2"/>
  <c r="BL93" i="2"/>
  <c r="BH93" i="2"/>
  <c r="BI93" i="2" s="1"/>
  <c r="BD93" i="2"/>
  <c r="BE93" i="2" s="1"/>
  <c r="BA93" i="2"/>
  <c r="AZ93" i="2"/>
  <c r="AV93" i="2"/>
  <c r="AW93" i="2" s="1"/>
  <c r="AR93" i="2"/>
  <c r="AS93" i="2" s="1"/>
  <c r="AN93" i="2"/>
  <c r="AO93" i="2" s="1"/>
  <c r="AJ93" i="2"/>
  <c r="AK93" i="2" s="1"/>
  <c r="AF93" i="2"/>
  <c r="AG93" i="2" s="1"/>
  <c r="AB93" i="2"/>
  <c r="AC93" i="2" s="1"/>
  <c r="X93" i="2"/>
  <c r="Y93" i="2" s="1"/>
  <c r="F93" i="2"/>
  <c r="BQ92" i="2"/>
  <c r="BP92" i="2"/>
  <c r="BN92" i="2"/>
  <c r="BM92" i="2"/>
  <c r="BG92" i="2"/>
  <c r="BF92" i="2"/>
  <c r="BC92" i="2"/>
  <c r="BB92" i="2"/>
  <c r="AY92" i="2"/>
  <c r="AX92" i="2"/>
  <c r="AV92" i="2"/>
  <c r="AW92" i="2" s="1"/>
  <c r="AU92" i="2"/>
  <c r="AT92" i="2"/>
  <c r="AQ92" i="2"/>
  <c r="AP92" i="2"/>
  <c r="AM92" i="2"/>
  <c r="AL92" i="2"/>
  <c r="AI92" i="2"/>
  <c r="AH92" i="2"/>
  <c r="AE92" i="2"/>
  <c r="AD92" i="2"/>
  <c r="AA92" i="2"/>
  <c r="Z92" i="2"/>
  <c r="W92" i="2"/>
  <c r="V92" i="2"/>
  <c r="U92" i="2"/>
  <c r="T92" i="2"/>
  <c r="R92" i="2"/>
  <c r="S93" i="2" s="1"/>
  <c r="M92" i="2"/>
  <c r="L92" i="2"/>
  <c r="K92" i="2"/>
  <c r="J92" i="2"/>
  <c r="F92" i="2"/>
  <c r="BR91" i="2"/>
  <c r="BO91" i="2"/>
  <c r="BO92" i="2" s="1"/>
  <c r="BL91" i="2"/>
  <c r="BL92" i="2" s="1"/>
  <c r="BH91" i="2"/>
  <c r="BI91" i="2" s="1"/>
  <c r="BE91" i="2"/>
  <c r="BD91" i="2"/>
  <c r="AZ91" i="2"/>
  <c r="AV91" i="2"/>
  <c r="AW91" i="2" s="1"/>
  <c r="AR91" i="2"/>
  <c r="AR92" i="2" s="1"/>
  <c r="AN91" i="2"/>
  <c r="AO91" i="2" s="1"/>
  <c r="AJ91" i="2"/>
  <c r="AK91" i="2" s="1"/>
  <c r="AF91" i="2"/>
  <c r="AG91" i="2" s="1"/>
  <c r="AB91" i="2"/>
  <c r="X91" i="2"/>
  <c r="Y91" i="2" s="1"/>
  <c r="S91" i="2"/>
  <c r="S92" i="2" s="1"/>
  <c r="F91" i="2"/>
  <c r="BR90" i="2"/>
  <c r="BR92" i="2" s="1"/>
  <c r="BO90" i="2"/>
  <c r="BL90" i="2"/>
  <c r="BH90" i="2"/>
  <c r="BI90" i="2" s="1"/>
  <c r="BD90" i="2"/>
  <c r="BE90" i="2" s="1"/>
  <c r="BA90" i="2"/>
  <c r="AZ90" i="2"/>
  <c r="AW90" i="2"/>
  <c r="AV90" i="2"/>
  <c r="AR90" i="2"/>
  <c r="AS90" i="2" s="1"/>
  <c r="AN90" i="2"/>
  <c r="AO90" i="2" s="1"/>
  <c r="AJ90" i="2"/>
  <c r="AF90" i="2"/>
  <c r="AB90" i="2"/>
  <c r="AC90" i="2" s="1"/>
  <c r="X90" i="2"/>
  <c r="Y90" i="2" s="1"/>
  <c r="F90" i="2"/>
  <c r="BQ89" i="2"/>
  <c r="BP89" i="2"/>
  <c r="BN89" i="2"/>
  <c r="BM89" i="2"/>
  <c r="BG89" i="2"/>
  <c r="BF89" i="2"/>
  <c r="BC89" i="2"/>
  <c r="BB89" i="2"/>
  <c r="AY89" i="2"/>
  <c r="AX89" i="2"/>
  <c r="AU89" i="2"/>
  <c r="AT89" i="2"/>
  <c r="AQ89" i="2"/>
  <c r="AP89" i="2"/>
  <c r="AM89" i="2"/>
  <c r="AL89" i="2"/>
  <c r="AI89" i="2"/>
  <c r="AH89" i="2"/>
  <c r="AE89" i="2"/>
  <c r="AD89" i="2"/>
  <c r="AA89" i="2"/>
  <c r="Z89" i="2"/>
  <c r="W89" i="2"/>
  <c r="V89" i="2"/>
  <c r="U89" i="2"/>
  <c r="T89" i="2"/>
  <c r="R89" i="2"/>
  <c r="S90" i="2" s="1"/>
  <c r="M89" i="2"/>
  <c r="L89" i="2"/>
  <c r="K89" i="2"/>
  <c r="J89" i="2"/>
  <c r="F89" i="2"/>
  <c r="BR88" i="2"/>
  <c r="BO88" i="2"/>
  <c r="BL88" i="2"/>
  <c r="BH88" i="2"/>
  <c r="BI88" i="2" s="1"/>
  <c r="BE88" i="2"/>
  <c r="BD88" i="2"/>
  <c r="AZ88" i="2"/>
  <c r="BA88" i="2" s="1"/>
  <c r="AV88" i="2"/>
  <c r="AR88" i="2"/>
  <c r="AR87" i="2" s="1"/>
  <c r="AN88" i="2"/>
  <c r="AJ88" i="2"/>
  <c r="AJ87" i="2" s="1"/>
  <c r="AJ89" i="2" s="1"/>
  <c r="AK89" i="2" s="1"/>
  <c r="AF88" i="2"/>
  <c r="AG88" i="2" s="1"/>
  <c r="AB88" i="2"/>
  <c r="X88" i="2"/>
  <c r="S88" i="2"/>
  <c r="S89" i="2" s="1"/>
  <c r="F88" i="2"/>
  <c r="BR87" i="2"/>
  <c r="BR89" i="2" s="1"/>
  <c r="BO87" i="2"/>
  <c r="BO89" i="2" s="1"/>
  <c r="BL87" i="2"/>
  <c r="BL89" i="2" s="1"/>
  <c r="BH87" i="2"/>
  <c r="BI87" i="2" s="1"/>
  <c r="BD87" i="2"/>
  <c r="BD89" i="2" s="1"/>
  <c r="AK87" i="2"/>
  <c r="AF87" i="2"/>
  <c r="AG87" i="2" s="1"/>
  <c r="S87" i="2"/>
  <c r="F87" i="2"/>
  <c r="BR86" i="2"/>
  <c r="BO86" i="2"/>
  <c r="BL86" i="2"/>
  <c r="BH86" i="2"/>
  <c r="BI86" i="2" s="1"/>
  <c r="BD86" i="2"/>
  <c r="BE86" i="2" s="1"/>
  <c r="AZ86" i="2"/>
  <c r="BA86" i="2" s="1"/>
  <c r="AV86" i="2"/>
  <c r="AW86" i="2" s="1"/>
  <c r="AR86" i="2"/>
  <c r="AS86" i="2" s="1"/>
  <c r="AN86" i="2"/>
  <c r="AO86" i="2" s="1"/>
  <c r="AK86" i="2"/>
  <c r="AJ86" i="2"/>
  <c r="AF86" i="2"/>
  <c r="AG86" i="2" s="1"/>
  <c r="AB86" i="2"/>
  <c r="AC86" i="2" s="1"/>
  <c r="X86" i="2"/>
  <c r="Y86" i="2" s="1"/>
  <c r="F86" i="2"/>
  <c r="BQ85" i="2"/>
  <c r="BP85" i="2"/>
  <c r="BN85" i="2"/>
  <c r="BM85" i="2"/>
  <c r="BG85" i="2"/>
  <c r="BF85" i="2"/>
  <c r="BC85" i="2"/>
  <c r="BB85" i="2"/>
  <c r="AY85" i="2"/>
  <c r="AX85" i="2"/>
  <c r="AU85" i="2"/>
  <c r="AT85" i="2"/>
  <c r="AQ85" i="2"/>
  <c r="AP85" i="2"/>
  <c r="AM85" i="2"/>
  <c r="AL85" i="2"/>
  <c r="AI85" i="2"/>
  <c r="AH85" i="2"/>
  <c r="AE85" i="2"/>
  <c r="AD85" i="2"/>
  <c r="AA85" i="2"/>
  <c r="Z85" i="2"/>
  <c r="W85" i="2"/>
  <c r="V85" i="2"/>
  <c r="U85" i="2"/>
  <c r="T85" i="2"/>
  <c r="R85" i="2"/>
  <c r="S86" i="2" s="1"/>
  <c r="M85" i="2"/>
  <c r="L85" i="2"/>
  <c r="K85" i="2"/>
  <c r="J85" i="2"/>
  <c r="F85" i="2"/>
  <c r="BR84" i="2"/>
  <c r="BO84" i="2"/>
  <c r="BO83" i="2" s="1"/>
  <c r="BO85" i="2" s="1"/>
  <c r="BL84" i="2"/>
  <c r="BH84" i="2"/>
  <c r="BH83" i="2" s="1"/>
  <c r="BD84" i="2"/>
  <c r="BE84" i="2" s="1"/>
  <c r="AZ84" i="2"/>
  <c r="BA84" i="2" s="1"/>
  <c r="AV84" i="2"/>
  <c r="AW84" i="2" s="1"/>
  <c r="AR84" i="2"/>
  <c r="AR83" i="2" s="1"/>
  <c r="AS83" i="2" s="1"/>
  <c r="AO84" i="2"/>
  <c r="AN84" i="2"/>
  <c r="AJ84" i="2"/>
  <c r="AJ83" i="2" s="1"/>
  <c r="AJ85" i="2" s="1"/>
  <c r="AF84" i="2"/>
  <c r="AG84" i="2" s="1"/>
  <c r="AB84" i="2"/>
  <c r="AC84" i="2" s="1"/>
  <c r="X84" i="2"/>
  <c r="X83" i="2" s="1"/>
  <c r="S84" i="2"/>
  <c r="S85" i="2" s="1"/>
  <c r="F84" i="2"/>
  <c r="BR83" i="2"/>
  <c r="BR85" i="2" s="1"/>
  <c r="BL83" i="2"/>
  <c r="BL85" i="2" s="1"/>
  <c r="BD83" i="2"/>
  <c r="BE83" i="2" s="1"/>
  <c r="AZ83" i="2"/>
  <c r="BA83" i="2" s="1"/>
  <c r="AV83" i="2"/>
  <c r="AV85" i="2" s="1"/>
  <c r="AN83" i="2"/>
  <c r="AN85" i="2" s="1"/>
  <c r="AO85" i="2" s="1"/>
  <c r="AK83" i="2"/>
  <c r="AB83" i="2"/>
  <c r="AB85" i="2" s="1"/>
  <c r="S83" i="2"/>
  <c r="F83" i="2"/>
  <c r="BQ82" i="2"/>
  <c r="BP82" i="2"/>
  <c r="BN82" i="2"/>
  <c r="BM82" i="2"/>
  <c r="BG82" i="2"/>
  <c r="BF82" i="2"/>
  <c r="BC82" i="2"/>
  <c r="BB82" i="2"/>
  <c r="AY82" i="2"/>
  <c r="AX82" i="2"/>
  <c r="AU82" i="2"/>
  <c r="AT82" i="2"/>
  <c r="AQ82" i="2"/>
  <c r="AP82" i="2"/>
  <c r="AM82" i="2"/>
  <c r="AL82" i="2"/>
  <c r="AI82" i="2"/>
  <c r="AH82" i="2"/>
  <c r="AE82" i="2"/>
  <c r="AD82" i="2"/>
  <c r="AA82" i="2"/>
  <c r="Z82" i="2"/>
  <c r="W82" i="2"/>
  <c r="V82" i="2"/>
  <c r="U82" i="2"/>
  <c r="T82" i="2"/>
  <c r="R82" i="2"/>
  <c r="M82" i="2"/>
  <c r="L82" i="2"/>
  <c r="K82" i="2"/>
  <c r="J82" i="2"/>
  <c r="F82" i="2"/>
  <c r="BR81" i="2"/>
  <c r="BO81" i="2"/>
  <c r="BL81" i="2"/>
  <c r="BH81" i="2"/>
  <c r="BD81" i="2"/>
  <c r="BE81" i="2" s="1"/>
  <c r="AZ81" i="2"/>
  <c r="AZ82" i="2" s="1"/>
  <c r="BA82" i="2" s="1"/>
  <c r="AV81" i="2"/>
  <c r="AW81" i="2" s="1"/>
  <c r="AS81" i="2"/>
  <c r="AR81" i="2"/>
  <c r="AR82" i="2" s="1"/>
  <c r="AS82" i="2" s="1"/>
  <c r="AN81" i="2"/>
  <c r="AK81" i="2"/>
  <c r="AJ81" i="2"/>
  <c r="AJ82" i="2" s="1"/>
  <c r="AK82" i="2" s="1"/>
  <c r="AF81" i="2"/>
  <c r="AG81" i="2" s="1"/>
  <c r="AB81" i="2"/>
  <c r="X81" i="2"/>
  <c r="Y81" i="2" s="1"/>
  <c r="S81" i="2"/>
  <c r="S82" i="2" s="1"/>
  <c r="F81" i="2"/>
  <c r="BR80" i="2"/>
  <c r="BR82" i="2" s="1"/>
  <c r="BO80" i="2"/>
  <c r="BO82" i="2" s="1"/>
  <c r="BL80" i="2"/>
  <c r="BH80" i="2"/>
  <c r="BI80" i="2" s="1"/>
  <c r="BD80" i="2"/>
  <c r="BE80" i="2" s="1"/>
  <c r="AZ80" i="2"/>
  <c r="BA80" i="2" s="1"/>
  <c r="AV80" i="2"/>
  <c r="AS80" i="2"/>
  <c r="AR80" i="2"/>
  <c r="AN80" i="2"/>
  <c r="AO80" i="2" s="1"/>
  <c r="AJ80" i="2"/>
  <c r="AK80" i="2" s="1"/>
  <c r="AF80" i="2"/>
  <c r="AF82" i="2" s="1"/>
  <c r="AG82" i="2" s="1"/>
  <c r="AB80" i="2"/>
  <c r="AC80" i="2" s="1"/>
  <c r="X80" i="2"/>
  <c r="Y80" i="2" s="1"/>
  <c r="S80" i="2"/>
  <c r="F80" i="2"/>
  <c r="BR79" i="2"/>
  <c r="BO79" i="2"/>
  <c r="BL79" i="2"/>
  <c r="BI79" i="2"/>
  <c r="BH79" i="2"/>
  <c r="BE79" i="2"/>
  <c r="BD79" i="2"/>
  <c r="AZ79" i="2"/>
  <c r="BA79" i="2" s="1"/>
  <c r="AV79" i="2"/>
  <c r="AW79" i="2" s="1"/>
  <c r="AS79" i="2"/>
  <c r="AR79" i="2"/>
  <c r="AN79" i="2"/>
  <c r="AO79" i="2" s="1"/>
  <c r="AJ79" i="2"/>
  <c r="AK79" i="2" s="1"/>
  <c r="AF79" i="2"/>
  <c r="AG79" i="2" s="1"/>
  <c r="AB79" i="2"/>
  <c r="AC79" i="2" s="1"/>
  <c r="X79" i="2"/>
  <c r="Y79" i="2" s="1"/>
  <c r="F79" i="2"/>
  <c r="BQ78" i="2"/>
  <c r="BP78" i="2"/>
  <c r="BN78" i="2"/>
  <c r="BM78" i="2"/>
  <c r="BL78" i="2"/>
  <c r="BG78" i="2"/>
  <c r="BF78" i="2"/>
  <c r="BC78" i="2"/>
  <c r="BB78" i="2"/>
  <c r="AY78" i="2"/>
  <c r="AX78" i="2"/>
  <c r="AU78" i="2"/>
  <c r="AT78" i="2"/>
  <c r="AQ78" i="2"/>
  <c r="AP78" i="2"/>
  <c r="AM78" i="2"/>
  <c r="AL78" i="2"/>
  <c r="AI78" i="2"/>
  <c r="AH78" i="2"/>
  <c r="AE78" i="2"/>
  <c r="AD78" i="2"/>
  <c r="AA78" i="2"/>
  <c r="Z78" i="2"/>
  <c r="W78" i="2"/>
  <c r="V78" i="2"/>
  <c r="U78" i="2"/>
  <c r="T78" i="2"/>
  <c r="S78" i="2"/>
  <c r="R78" i="2"/>
  <c r="S79" i="2" s="1"/>
  <c r="M78" i="2"/>
  <c r="L78" i="2"/>
  <c r="K78" i="2"/>
  <c r="J78" i="2"/>
  <c r="F78" i="2"/>
  <c r="A78" i="2"/>
  <c r="A79" i="2" s="1"/>
  <c r="A80" i="2" s="1"/>
  <c r="A81" i="2" s="1"/>
  <c r="A82" i="2" s="1"/>
  <c r="A83" i="2" s="1"/>
  <c r="A84" i="2" s="1"/>
  <c r="A85" i="2" s="1"/>
  <c r="A86" i="2" s="1"/>
  <c r="A87" i="2" s="1"/>
  <c r="A88" i="2" s="1"/>
  <c r="A89" i="2" s="1"/>
  <c r="A90" i="2" s="1"/>
  <c r="A91" i="2" s="1"/>
  <c r="A92" i="2" s="1"/>
  <c r="A93" i="2" s="1"/>
  <c r="A94" i="2" s="1"/>
  <c r="A95" i="2" s="1"/>
  <c r="A96" i="2" s="1"/>
  <c r="A97" i="2" s="1"/>
  <c r="A98" i="2" s="1"/>
  <c r="BR77" i="2"/>
  <c r="BO77" i="2"/>
  <c r="BL77" i="2"/>
  <c r="BH77" i="2"/>
  <c r="BI77" i="2" s="1"/>
  <c r="BD77" i="2"/>
  <c r="BE77" i="2" s="1"/>
  <c r="BA77" i="2"/>
  <c r="AZ77" i="2"/>
  <c r="AV77" i="2"/>
  <c r="AW77" i="2" s="1"/>
  <c r="AR77" i="2"/>
  <c r="AS77" i="2" s="1"/>
  <c r="AN77" i="2"/>
  <c r="AO77" i="2" s="1"/>
  <c r="AJ77" i="2"/>
  <c r="AK77" i="2" s="1"/>
  <c r="AF77" i="2"/>
  <c r="AG77" i="2" s="1"/>
  <c r="AB77" i="2"/>
  <c r="AC77" i="2" s="1"/>
  <c r="X77" i="2"/>
  <c r="Y77" i="2" s="1"/>
  <c r="S77" i="2"/>
  <c r="F77" i="2"/>
  <c r="A77" i="2"/>
  <c r="BR76" i="2"/>
  <c r="BR78" i="2" s="1"/>
  <c r="BO76" i="2"/>
  <c r="BO78" i="2" s="1"/>
  <c r="BL76" i="2"/>
  <c r="BH76" i="2"/>
  <c r="BI76" i="2" s="1"/>
  <c r="BE76" i="2"/>
  <c r="BD76" i="2"/>
  <c r="AZ76" i="2"/>
  <c r="AZ78" i="2" s="1"/>
  <c r="BA78" i="2" s="1"/>
  <c r="AV76" i="2"/>
  <c r="AR76" i="2"/>
  <c r="AS76" i="2" s="1"/>
  <c r="AN76" i="2"/>
  <c r="AJ76" i="2"/>
  <c r="AK76" i="2" s="1"/>
  <c r="AF76" i="2"/>
  <c r="AB76" i="2"/>
  <c r="AC76" i="2" s="1"/>
  <c r="X76" i="2"/>
  <c r="S76" i="2"/>
  <c r="F76" i="2"/>
  <c r="BR74" i="2"/>
  <c r="BO74" i="2"/>
  <c r="BL74" i="2"/>
  <c r="BH74" i="2"/>
  <c r="BI74" i="2" s="1"/>
  <c r="BD74" i="2"/>
  <c r="BE74" i="2" s="1"/>
  <c r="AZ74" i="2"/>
  <c r="BA74" i="2" s="1"/>
  <c r="AV74" i="2"/>
  <c r="AW74" i="2" s="1"/>
  <c r="AR74" i="2"/>
  <c r="AS74" i="2" s="1"/>
  <c r="AN74" i="2"/>
  <c r="AO74" i="2" s="1"/>
  <c r="AJ74" i="2"/>
  <c r="AK74" i="2" s="1"/>
  <c r="AG74" i="2"/>
  <c r="AF74" i="2"/>
  <c r="AB74" i="2"/>
  <c r="AC74" i="2" s="1"/>
  <c r="Y74" i="2"/>
  <c r="X74" i="2"/>
  <c r="S74" i="2"/>
  <c r="F74" i="2"/>
  <c r="BR73" i="2"/>
  <c r="BO73" i="2"/>
  <c r="BL73" i="2"/>
  <c r="BH73" i="2"/>
  <c r="BI73" i="2" s="1"/>
  <c r="BD73" i="2"/>
  <c r="BE73" i="2" s="1"/>
  <c r="AZ73" i="2"/>
  <c r="BA73" i="2" s="1"/>
  <c r="AV73" i="2"/>
  <c r="AW73" i="2" s="1"/>
  <c r="AR73" i="2"/>
  <c r="AS73" i="2" s="1"/>
  <c r="AN73" i="2"/>
  <c r="AO73" i="2" s="1"/>
  <c r="AJ73" i="2"/>
  <c r="AK73" i="2" s="1"/>
  <c r="AF73" i="2"/>
  <c r="AG73" i="2" s="1"/>
  <c r="AB73" i="2"/>
  <c r="AC73" i="2" s="1"/>
  <c r="X73" i="2"/>
  <c r="Y73" i="2" s="1"/>
  <c r="S73" i="2"/>
  <c r="F73" i="2"/>
  <c r="BQ71" i="2"/>
  <c r="BP71" i="2"/>
  <c r="BN71" i="2"/>
  <c r="BM71" i="2"/>
  <c r="BG71" i="2"/>
  <c r="BF71" i="2"/>
  <c r="BC71" i="2"/>
  <c r="BB71" i="2"/>
  <c r="AY71" i="2"/>
  <c r="AX71" i="2"/>
  <c r="AU71" i="2"/>
  <c r="AT71" i="2"/>
  <c r="AQ71" i="2"/>
  <c r="AP71" i="2"/>
  <c r="AM71" i="2"/>
  <c r="AL71" i="2"/>
  <c r="AI71" i="2"/>
  <c r="AH71" i="2"/>
  <c r="AE71" i="2"/>
  <c r="AD71" i="2"/>
  <c r="AA71" i="2"/>
  <c r="Z71" i="2"/>
  <c r="W71" i="2"/>
  <c r="V71" i="2"/>
  <c r="U71" i="2"/>
  <c r="T71" i="2"/>
  <c r="R71" i="2"/>
  <c r="M71" i="2"/>
  <c r="L71" i="2"/>
  <c r="K71" i="2"/>
  <c r="J71" i="2"/>
  <c r="F71" i="2"/>
  <c r="BR70" i="2"/>
  <c r="BR69" i="2" s="1"/>
  <c r="BR71" i="2" s="1"/>
  <c r="BO70" i="2"/>
  <c r="BL70" i="2"/>
  <c r="BH70" i="2"/>
  <c r="BI70" i="2" s="1"/>
  <c r="BD70" i="2"/>
  <c r="BA70" i="2"/>
  <c r="AZ70" i="2"/>
  <c r="AZ69" i="2" s="1"/>
  <c r="BA69" i="2" s="1"/>
  <c r="AV70" i="2"/>
  <c r="AR70" i="2"/>
  <c r="AS70" i="2" s="1"/>
  <c r="AN70" i="2"/>
  <c r="AJ70" i="2"/>
  <c r="AJ69" i="2" s="1"/>
  <c r="AF70" i="2"/>
  <c r="AF69" i="2" s="1"/>
  <c r="AG69" i="2" s="1"/>
  <c r="AB70" i="2"/>
  <c r="AB69" i="2" s="1"/>
  <c r="X70" i="2"/>
  <c r="Y70" i="2" s="1"/>
  <c r="S70" i="2"/>
  <c r="S71" i="2" s="1"/>
  <c r="F70" i="2"/>
  <c r="BO69" i="2"/>
  <c r="BO71" i="2" s="1"/>
  <c r="BL69" i="2"/>
  <c r="BL71" i="2" s="1"/>
  <c r="BH69" i="2"/>
  <c r="BI69" i="2" s="1"/>
  <c r="AR69" i="2"/>
  <c r="AS69" i="2" s="1"/>
  <c r="X69" i="2"/>
  <c r="Y69" i="2" s="1"/>
  <c r="F69" i="2"/>
  <c r="BQ68" i="2"/>
  <c r="BP68" i="2"/>
  <c r="BN68" i="2"/>
  <c r="BM68" i="2"/>
  <c r="BG68" i="2"/>
  <c r="BF68" i="2"/>
  <c r="BC68" i="2"/>
  <c r="BB68" i="2"/>
  <c r="AY68" i="2"/>
  <c r="AX68" i="2"/>
  <c r="AU68" i="2"/>
  <c r="AT68" i="2"/>
  <c r="AQ68" i="2"/>
  <c r="AP68" i="2"/>
  <c r="AM68" i="2"/>
  <c r="AL68" i="2"/>
  <c r="AI68" i="2"/>
  <c r="AH68" i="2"/>
  <c r="AE68" i="2"/>
  <c r="AD68" i="2"/>
  <c r="AA68" i="2"/>
  <c r="Z68" i="2"/>
  <c r="W68" i="2"/>
  <c r="V68" i="2"/>
  <c r="U68" i="2"/>
  <c r="T68" i="2"/>
  <c r="R68" i="2"/>
  <c r="S69" i="2" s="1"/>
  <c r="M68" i="2"/>
  <c r="L68" i="2"/>
  <c r="K68" i="2"/>
  <c r="J68" i="2"/>
  <c r="F68" i="2"/>
  <c r="BR67" i="2"/>
  <c r="BO67" i="2"/>
  <c r="BL67" i="2"/>
  <c r="BH67" i="2"/>
  <c r="BI67" i="2" s="1"/>
  <c r="BD67" i="2"/>
  <c r="BE67" i="2" s="1"/>
  <c r="AZ67" i="2"/>
  <c r="BA67" i="2" s="1"/>
  <c r="AW67" i="2"/>
  <c r="AV67" i="2"/>
  <c r="AR67" i="2"/>
  <c r="AS67" i="2" s="1"/>
  <c r="AN67" i="2"/>
  <c r="AJ67" i="2"/>
  <c r="AK67" i="2" s="1"/>
  <c r="AF67" i="2"/>
  <c r="AG67" i="2" s="1"/>
  <c r="AB67" i="2"/>
  <c r="AC67" i="2" s="1"/>
  <c r="X67" i="2"/>
  <c r="Y67" i="2" s="1"/>
  <c r="S67" i="2"/>
  <c r="S68" i="2" s="1"/>
  <c r="F67" i="2"/>
  <c r="BR66" i="2"/>
  <c r="BR68" i="2" s="1"/>
  <c r="BO66" i="2"/>
  <c r="BO68" i="2" s="1"/>
  <c r="BL66" i="2"/>
  <c r="BL68" i="2" s="1"/>
  <c r="BH66" i="2"/>
  <c r="BD66" i="2"/>
  <c r="BE66" i="2" s="1"/>
  <c r="AZ66" i="2"/>
  <c r="AV66" i="2"/>
  <c r="AW66" i="2" s="1"/>
  <c r="AR66" i="2"/>
  <c r="AR68" i="2" s="1"/>
  <c r="AN66" i="2"/>
  <c r="AO66" i="2" s="1"/>
  <c r="AJ66" i="2"/>
  <c r="AK66" i="2" s="1"/>
  <c r="AF66" i="2"/>
  <c r="AB66" i="2"/>
  <c r="X66" i="2"/>
  <c r="Y66" i="2" s="1"/>
  <c r="S66" i="2"/>
  <c r="F66" i="2"/>
  <c r="BR65" i="2"/>
  <c r="BO65" i="2"/>
  <c r="BL65" i="2"/>
  <c r="BH65" i="2"/>
  <c r="BI65" i="2" s="1"/>
  <c r="BD65" i="2"/>
  <c r="BE65" i="2" s="1"/>
  <c r="AZ65" i="2"/>
  <c r="BA65" i="2" s="1"/>
  <c r="AV65" i="2"/>
  <c r="AW65" i="2" s="1"/>
  <c r="AR65" i="2"/>
  <c r="AS65" i="2" s="1"/>
  <c r="AN65" i="2"/>
  <c r="AO65" i="2" s="1"/>
  <c r="AJ65" i="2"/>
  <c r="AK65" i="2" s="1"/>
  <c r="AF65" i="2"/>
  <c r="AG65" i="2" s="1"/>
  <c r="AB65" i="2"/>
  <c r="AC65" i="2" s="1"/>
  <c r="Y65" i="2"/>
  <c r="X65" i="2"/>
  <c r="F65" i="2"/>
  <c r="BQ64" i="2"/>
  <c r="BP64" i="2"/>
  <c r="BN64" i="2"/>
  <c r="BM64" i="2"/>
  <c r="BG64" i="2"/>
  <c r="BF64" i="2"/>
  <c r="BC64" i="2"/>
  <c r="BB64" i="2"/>
  <c r="AY64" i="2"/>
  <c r="AX64" i="2"/>
  <c r="AU64" i="2"/>
  <c r="AT64" i="2"/>
  <c r="AQ64" i="2"/>
  <c r="AP64" i="2"/>
  <c r="AM64" i="2"/>
  <c r="AL64" i="2"/>
  <c r="AI64" i="2"/>
  <c r="AH64" i="2"/>
  <c r="AE64" i="2"/>
  <c r="AD64" i="2"/>
  <c r="AA64" i="2"/>
  <c r="Z64" i="2"/>
  <c r="W64" i="2"/>
  <c r="V64" i="2"/>
  <c r="U64" i="2"/>
  <c r="T64" i="2"/>
  <c r="R64" i="2"/>
  <c r="S65" i="2" s="1"/>
  <c r="M64" i="2"/>
  <c r="L64" i="2"/>
  <c r="K64" i="2"/>
  <c r="J64" i="2"/>
  <c r="F64" i="2"/>
  <c r="BR63" i="2"/>
  <c r="BO63" i="2"/>
  <c r="BL63" i="2"/>
  <c r="BH63" i="2"/>
  <c r="BI63" i="2" s="1"/>
  <c r="BD63" i="2"/>
  <c r="BE63" i="2" s="1"/>
  <c r="AZ63" i="2"/>
  <c r="BA63" i="2" s="1"/>
  <c r="AV63" i="2"/>
  <c r="AW63" i="2" s="1"/>
  <c r="AR63" i="2"/>
  <c r="AS63" i="2" s="1"/>
  <c r="AN63" i="2"/>
  <c r="AN64" i="2" s="1"/>
  <c r="AO64" i="2" s="1"/>
  <c r="AJ63" i="2"/>
  <c r="AJ64" i="2" s="1"/>
  <c r="AK64" i="2" s="1"/>
  <c r="AG63" i="2"/>
  <c r="AF63" i="2"/>
  <c r="AB63" i="2"/>
  <c r="Y63" i="2"/>
  <c r="X63" i="2"/>
  <c r="S63" i="2"/>
  <c r="S64" i="2" s="1"/>
  <c r="F63" i="2"/>
  <c r="A63" i="2"/>
  <c r="A64" i="2" s="1"/>
  <c r="A65" i="2" s="1"/>
  <c r="A66" i="2" s="1"/>
  <c r="A67" i="2" s="1"/>
  <c r="A68" i="2" s="1"/>
  <c r="A69" i="2" s="1"/>
  <c r="A70" i="2" s="1"/>
  <c r="A71" i="2" s="1"/>
  <c r="BR62" i="2"/>
  <c r="BR64" i="2" s="1"/>
  <c r="BO62" i="2"/>
  <c r="BO64" i="2" s="1"/>
  <c r="BL62" i="2"/>
  <c r="BH62" i="2"/>
  <c r="BI62" i="2" s="1"/>
  <c r="BD62" i="2"/>
  <c r="BD64" i="2" s="1"/>
  <c r="AZ62" i="2"/>
  <c r="AV62" i="2"/>
  <c r="AR62" i="2"/>
  <c r="AS62" i="2" s="1"/>
  <c r="AN62" i="2"/>
  <c r="AO62" i="2" s="1"/>
  <c r="AJ62" i="2"/>
  <c r="AK62" i="2" s="1"/>
  <c r="AF62" i="2"/>
  <c r="AG62" i="2" s="1"/>
  <c r="AB62" i="2"/>
  <c r="AC62" i="2" s="1"/>
  <c r="X62" i="2"/>
  <c r="Y62" i="2" s="1"/>
  <c r="S62" i="2"/>
  <c r="F62" i="2"/>
  <c r="BR60" i="2"/>
  <c r="BO60" i="2"/>
  <c r="BL60" i="2"/>
  <c r="BH60" i="2"/>
  <c r="BI60" i="2" s="1"/>
  <c r="BD60" i="2"/>
  <c r="BE60" i="2" s="1"/>
  <c r="AZ60" i="2"/>
  <c r="BA60" i="2" s="1"/>
  <c r="AV60" i="2"/>
  <c r="AW60" i="2" s="1"/>
  <c r="AR60" i="2"/>
  <c r="AS60" i="2" s="1"/>
  <c r="AO60" i="2"/>
  <c r="AN60" i="2"/>
  <c r="AJ60" i="2"/>
  <c r="AK60" i="2" s="1"/>
  <c r="AF60" i="2"/>
  <c r="AG60" i="2" s="1"/>
  <c r="AB60" i="2"/>
  <c r="AC60" i="2" s="1"/>
  <c r="X60" i="2"/>
  <c r="Y60" i="2" s="1"/>
  <c r="F60" i="2"/>
  <c r="BP59" i="2"/>
  <c r="BM59" i="2"/>
  <c r="BG59" i="2"/>
  <c r="BF59" i="2"/>
  <c r="BB59" i="2"/>
  <c r="AX59" i="2"/>
  <c r="AT59" i="2"/>
  <c r="AQ59" i="2"/>
  <c r="AP59" i="2"/>
  <c r="AL59" i="2"/>
  <c r="AI59" i="2"/>
  <c r="AH59" i="2"/>
  <c r="AD59" i="2"/>
  <c r="AA59" i="2"/>
  <c r="Z59" i="2"/>
  <c r="V59" i="2"/>
  <c r="T59" i="2"/>
  <c r="F59" i="2"/>
  <c r="BQ58" i="2"/>
  <c r="BQ59" i="2" s="1"/>
  <c r="BP58" i="2"/>
  <c r="BN58" i="2"/>
  <c r="BN59" i="2" s="1"/>
  <c r="BM58" i="2"/>
  <c r="BG58" i="2"/>
  <c r="BF58" i="2"/>
  <c r="BC58" i="2"/>
  <c r="BC59" i="2" s="1"/>
  <c r="BB58" i="2"/>
  <c r="AZ58" i="2"/>
  <c r="AZ59" i="2" s="1"/>
  <c r="AY58" i="2"/>
  <c r="AY59" i="2" s="1"/>
  <c r="AX58" i="2"/>
  <c r="AU58" i="2"/>
  <c r="AU59" i="2" s="1"/>
  <c r="AT58" i="2"/>
  <c r="AQ58" i="2"/>
  <c r="AP58" i="2"/>
  <c r="AM58" i="2"/>
  <c r="AM59" i="2" s="1"/>
  <c r="AL58" i="2"/>
  <c r="AI58" i="2"/>
  <c r="AH58" i="2"/>
  <c r="AE58" i="2"/>
  <c r="AE59" i="2" s="1"/>
  <c r="AD58" i="2"/>
  <c r="AA58" i="2"/>
  <c r="Z58" i="2"/>
  <c r="W58" i="2"/>
  <c r="W59" i="2" s="1"/>
  <c r="V58" i="2"/>
  <c r="U58" i="2"/>
  <c r="U59" i="2" s="1"/>
  <c r="T58" i="2"/>
  <c r="R58" i="2"/>
  <c r="R59" i="2" s="1"/>
  <c r="S60" i="2" s="1"/>
  <c r="M58" i="2"/>
  <c r="M59" i="2" s="1"/>
  <c r="L58" i="2"/>
  <c r="L59" i="2" s="1"/>
  <c r="K58" i="2"/>
  <c r="K59" i="2" s="1"/>
  <c r="J58" i="2"/>
  <c r="J59" i="2" s="1"/>
  <c r="F58" i="2"/>
  <c r="BR57" i="2"/>
  <c r="BO57" i="2"/>
  <c r="BL57" i="2"/>
  <c r="BH57" i="2"/>
  <c r="BH58" i="2" s="1"/>
  <c r="BI58" i="2" s="1"/>
  <c r="BD57" i="2"/>
  <c r="BE57" i="2" s="1"/>
  <c r="AZ57" i="2"/>
  <c r="BA57" i="2" s="1"/>
  <c r="AV57" i="2"/>
  <c r="AW57" i="2" s="1"/>
  <c r="AR57" i="2"/>
  <c r="AS57" i="2" s="1"/>
  <c r="AN57" i="2"/>
  <c r="AJ57" i="2"/>
  <c r="AK57" i="2" s="1"/>
  <c r="AF57" i="2"/>
  <c r="AB57" i="2"/>
  <c r="AC57" i="2" s="1"/>
  <c r="X57" i="2"/>
  <c r="Y57" i="2" s="1"/>
  <c r="S57" i="2"/>
  <c r="S58" i="2" s="1"/>
  <c r="S59" i="2" s="1"/>
  <c r="F57" i="2"/>
  <c r="BR56" i="2"/>
  <c r="BO56" i="2"/>
  <c r="BL56" i="2"/>
  <c r="BH56" i="2"/>
  <c r="BI56" i="2" s="1"/>
  <c r="BD56" i="2"/>
  <c r="BE56" i="2" s="1"/>
  <c r="AZ56" i="2"/>
  <c r="BA56" i="2" s="1"/>
  <c r="AV56" i="2"/>
  <c r="AW56" i="2" s="1"/>
  <c r="AR56" i="2"/>
  <c r="AS56" i="2" s="1"/>
  <c r="AN56" i="2"/>
  <c r="AN58" i="2" s="1"/>
  <c r="AO58" i="2" s="1"/>
  <c r="AJ56" i="2"/>
  <c r="AF56" i="2"/>
  <c r="AG56" i="2" s="1"/>
  <c r="AB56" i="2"/>
  <c r="X56" i="2"/>
  <c r="X58" i="2" s="1"/>
  <c r="S56" i="2"/>
  <c r="F56" i="2"/>
  <c r="BR55" i="2"/>
  <c r="BO55" i="2"/>
  <c r="BL55" i="2"/>
  <c r="BH55" i="2"/>
  <c r="BI55" i="2" s="1"/>
  <c r="BD55" i="2"/>
  <c r="BE55" i="2" s="1"/>
  <c r="AZ55" i="2"/>
  <c r="BA55" i="2" s="1"/>
  <c r="AV55" i="2"/>
  <c r="AW55" i="2" s="1"/>
  <c r="AR55" i="2"/>
  <c r="AS55" i="2" s="1"/>
  <c r="AN55" i="2"/>
  <c r="AO55" i="2" s="1"/>
  <c r="AJ55" i="2"/>
  <c r="AK55" i="2" s="1"/>
  <c r="AF55" i="2"/>
  <c r="AG55" i="2" s="1"/>
  <c r="AB55" i="2"/>
  <c r="AC55" i="2" s="1"/>
  <c r="X55" i="2"/>
  <c r="Y55" i="2" s="1"/>
  <c r="S55" i="2"/>
  <c r="F55" i="2"/>
  <c r="BR54" i="2"/>
  <c r="BO54" i="2"/>
  <c r="BL54" i="2"/>
  <c r="BH54" i="2"/>
  <c r="BI54" i="2" s="1"/>
  <c r="BD54" i="2"/>
  <c r="BE54" i="2" s="1"/>
  <c r="AZ54" i="2"/>
  <c r="BA54" i="2" s="1"/>
  <c r="AW54" i="2"/>
  <c r="AV54" i="2"/>
  <c r="AR54" i="2"/>
  <c r="AS54" i="2" s="1"/>
  <c r="AN54" i="2"/>
  <c r="AO54" i="2" s="1"/>
  <c r="AJ54" i="2"/>
  <c r="AK54" i="2" s="1"/>
  <c r="AG54" i="2"/>
  <c r="AF54" i="2"/>
  <c r="AB54" i="2"/>
  <c r="AC54" i="2" s="1"/>
  <c r="X54" i="2"/>
  <c r="Y54" i="2" s="1"/>
  <c r="S54" i="2"/>
  <c r="F54" i="2"/>
  <c r="BR53" i="2"/>
  <c r="BO53" i="2"/>
  <c r="BL53" i="2"/>
  <c r="BH53" i="2"/>
  <c r="BI53" i="2" s="1"/>
  <c r="BD53" i="2"/>
  <c r="BE53" i="2" s="1"/>
  <c r="AZ53" i="2"/>
  <c r="BA53" i="2" s="1"/>
  <c r="AV53" i="2"/>
  <c r="AW53" i="2" s="1"/>
  <c r="AR53" i="2"/>
  <c r="AS53" i="2" s="1"/>
  <c r="AN53" i="2"/>
  <c r="AO53" i="2" s="1"/>
  <c r="AJ53" i="2"/>
  <c r="AK53" i="2" s="1"/>
  <c r="AF53" i="2"/>
  <c r="AG53" i="2" s="1"/>
  <c r="AB53" i="2"/>
  <c r="AC53" i="2" s="1"/>
  <c r="X53" i="2"/>
  <c r="Y53" i="2" s="1"/>
  <c r="S53" i="2"/>
  <c r="F53" i="2"/>
  <c r="BR52" i="2"/>
  <c r="BO52" i="2"/>
  <c r="BL52" i="2"/>
  <c r="BH52" i="2"/>
  <c r="BI52" i="2" s="1"/>
  <c r="BE52" i="2"/>
  <c r="BD52" i="2"/>
  <c r="AZ52" i="2"/>
  <c r="BA52" i="2" s="1"/>
  <c r="AV52" i="2"/>
  <c r="AW52" i="2" s="1"/>
  <c r="AR52" i="2"/>
  <c r="AS52" i="2" s="1"/>
  <c r="AN52" i="2"/>
  <c r="AO52" i="2" s="1"/>
  <c r="AJ52" i="2"/>
  <c r="AK52" i="2" s="1"/>
  <c r="AF52" i="2"/>
  <c r="AG52" i="2" s="1"/>
  <c r="AB52" i="2"/>
  <c r="AC52" i="2" s="1"/>
  <c r="X52" i="2"/>
  <c r="Y52" i="2" s="1"/>
  <c r="S52" i="2"/>
  <c r="F52" i="2"/>
  <c r="BR51" i="2"/>
  <c r="BO51" i="2"/>
  <c r="BL51" i="2"/>
  <c r="BH51" i="2"/>
  <c r="BI51" i="2" s="1"/>
  <c r="BD51" i="2"/>
  <c r="BE51" i="2" s="1"/>
  <c r="AZ51" i="2"/>
  <c r="BA51" i="2" s="1"/>
  <c r="AV51" i="2"/>
  <c r="AW51" i="2" s="1"/>
  <c r="AR51" i="2"/>
  <c r="AS51" i="2" s="1"/>
  <c r="AN51" i="2"/>
  <c r="AO51" i="2" s="1"/>
  <c r="AK51" i="2"/>
  <c r="AJ51" i="2"/>
  <c r="AF51" i="2"/>
  <c r="AG51" i="2" s="1"/>
  <c r="AB51" i="2"/>
  <c r="AC51" i="2" s="1"/>
  <c r="X51" i="2"/>
  <c r="Y51" i="2" s="1"/>
  <c r="S51" i="2"/>
  <c r="F51" i="2"/>
  <c r="BR50" i="2"/>
  <c r="BO50" i="2"/>
  <c r="BL50" i="2"/>
  <c r="BH50" i="2"/>
  <c r="BI50" i="2" s="1"/>
  <c r="BD50" i="2"/>
  <c r="BE50" i="2" s="1"/>
  <c r="AZ50" i="2"/>
  <c r="BA50" i="2" s="1"/>
  <c r="AV50" i="2"/>
  <c r="AW50" i="2" s="1"/>
  <c r="AR50" i="2"/>
  <c r="AS50" i="2" s="1"/>
  <c r="AN50" i="2"/>
  <c r="AO50" i="2" s="1"/>
  <c r="AJ50" i="2"/>
  <c r="AK50" i="2" s="1"/>
  <c r="AG50" i="2"/>
  <c r="AF50" i="2"/>
  <c r="AB50" i="2"/>
  <c r="AC50" i="2" s="1"/>
  <c r="Y50" i="2"/>
  <c r="X50" i="2"/>
  <c r="F50" i="2"/>
  <c r="BQ49" i="2"/>
  <c r="BP49" i="2"/>
  <c r="BN49" i="2"/>
  <c r="BM49" i="2"/>
  <c r="BL49" i="2"/>
  <c r="BG49" i="2"/>
  <c r="BF49" i="2"/>
  <c r="BC49" i="2"/>
  <c r="BB49" i="2"/>
  <c r="AY49" i="2"/>
  <c r="AX49" i="2"/>
  <c r="AU49" i="2"/>
  <c r="AT49" i="2"/>
  <c r="AQ49" i="2"/>
  <c r="AP49" i="2"/>
  <c r="AM49" i="2"/>
  <c r="AL49" i="2"/>
  <c r="AI49" i="2"/>
  <c r="AH49" i="2"/>
  <c r="AE49" i="2"/>
  <c r="AD49" i="2"/>
  <c r="AA49" i="2"/>
  <c r="Z49" i="2"/>
  <c r="W49" i="2"/>
  <c r="V49" i="2"/>
  <c r="U49" i="2"/>
  <c r="T49" i="2"/>
  <c r="R49" i="2"/>
  <c r="S50" i="2" s="1"/>
  <c r="M49" i="2"/>
  <c r="L49" i="2"/>
  <c r="K49" i="2"/>
  <c r="J49" i="2"/>
  <c r="F49" i="2"/>
  <c r="BR48" i="2"/>
  <c r="BO48" i="2"/>
  <c r="BO47" i="2" s="1"/>
  <c r="BO49" i="2" s="1"/>
  <c r="BL48" i="2"/>
  <c r="BL47" i="2" s="1"/>
  <c r="BH48" i="2"/>
  <c r="BD48" i="2"/>
  <c r="BD47" i="2" s="1"/>
  <c r="AZ48" i="2"/>
  <c r="AZ47" i="2" s="1"/>
  <c r="AV48" i="2"/>
  <c r="AV47" i="2" s="1"/>
  <c r="AR48" i="2"/>
  <c r="AS48" i="2" s="1"/>
  <c r="AN48" i="2"/>
  <c r="AO48" i="2" s="1"/>
  <c r="AK48" i="2"/>
  <c r="AJ48" i="2"/>
  <c r="AJ47" i="2" s="1"/>
  <c r="AF48" i="2"/>
  <c r="AC48" i="2"/>
  <c r="AB48" i="2"/>
  <c r="AB47" i="2" s="1"/>
  <c r="AC47" i="2" s="1"/>
  <c r="Y48" i="2"/>
  <c r="X48" i="2"/>
  <c r="X47" i="2" s="1"/>
  <c r="S48" i="2"/>
  <c r="S49" i="2" s="1"/>
  <c r="F48" i="2"/>
  <c r="BR47" i="2"/>
  <c r="BR49" i="2" s="1"/>
  <c r="F47" i="2"/>
  <c r="BQ46" i="2"/>
  <c r="BP46" i="2"/>
  <c r="BN46" i="2"/>
  <c r="BM46" i="2"/>
  <c r="BG46" i="2"/>
  <c r="BF46" i="2"/>
  <c r="BC46" i="2"/>
  <c r="BB46" i="2"/>
  <c r="AY46" i="2"/>
  <c r="AX46" i="2"/>
  <c r="AU46" i="2"/>
  <c r="AT46" i="2"/>
  <c r="AR46" i="2"/>
  <c r="AS46" i="2" s="1"/>
  <c r="AQ46" i="2"/>
  <c r="AP46" i="2"/>
  <c r="AM46" i="2"/>
  <c r="AL46" i="2"/>
  <c r="AI46" i="2"/>
  <c r="AH46" i="2"/>
  <c r="AE46" i="2"/>
  <c r="AD46" i="2"/>
  <c r="AA46" i="2"/>
  <c r="Z46" i="2"/>
  <c r="W46" i="2"/>
  <c r="V46" i="2"/>
  <c r="U46" i="2"/>
  <c r="T46" i="2"/>
  <c r="R46" i="2"/>
  <c r="S47" i="2" s="1"/>
  <c r="M46" i="2"/>
  <c r="L46" i="2"/>
  <c r="K46" i="2"/>
  <c r="J46" i="2"/>
  <c r="F46" i="2"/>
  <c r="BR45" i="2"/>
  <c r="BO45" i="2"/>
  <c r="BO46" i="2" s="1"/>
  <c r="BL45" i="2"/>
  <c r="BH45" i="2"/>
  <c r="BH46" i="2" s="1"/>
  <c r="BI46" i="2" s="1"/>
  <c r="BE45" i="2"/>
  <c r="BD45" i="2"/>
  <c r="AZ45" i="2"/>
  <c r="BA45" i="2" s="1"/>
  <c r="AV45" i="2"/>
  <c r="AW45" i="2" s="1"/>
  <c r="AR45" i="2"/>
  <c r="AS45" i="2" s="1"/>
  <c r="AN45" i="2"/>
  <c r="AO45" i="2" s="1"/>
  <c r="AJ45" i="2"/>
  <c r="AK45" i="2" s="1"/>
  <c r="AF45" i="2"/>
  <c r="AG45" i="2" s="1"/>
  <c r="AB45" i="2"/>
  <c r="AC45" i="2" s="1"/>
  <c r="X45" i="2"/>
  <c r="Y45" i="2" s="1"/>
  <c r="S45" i="2"/>
  <c r="S46" i="2" s="1"/>
  <c r="F45" i="2"/>
  <c r="BR44" i="2"/>
  <c r="BO44" i="2"/>
  <c r="BL44" i="2"/>
  <c r="BL46" i="2" s="1"/>
  <c r="BH44" i="2"/>
  <c r="BI44" i="2" s="1"/>
  <c r="BD44" i="2"/>
  <c r="AZ44" i="2"/>
  <c r="AV44" i="2"/>
  <c r="AW44" i="2" s="1"/>
  <c r="AR44" i="2"/>
  <c r="AS44" i="2" s="1"/>
  <c r="AN44" i="2"/>
  <c r="AJ44" i="2"/>
  <c r="AJ46" i="2" s="1"/>
  <c r="AK46" i="2" s="1"/>
  <c r="AF44" i="2"/>
  <c r="AF46" i="2" s="1"/>
  <c r="AG46" i="2" s="1"/>
  <c r="AC44" i="2"/>
  <c r="AB44" i="2"/>
  <c r="AB46" i="2" s="1"/>
  <c r="AC46" i="2" s="1"/>
  <c r="X44" i="2"/>
  <c r="Y44" i="2" s="1"/>
  <c r="S44" i="2"/>
  <c r="F44" i="2"/>
  <c r="BR43" i="2"/>
  <c r="BO43" i="2"/>
  <c r="BL43" i="2"/>
  <c r="BH43" i="2"/>
  <c r="BI43" i="2" s="1"/>
  <c r="BD43" i="2"/>
  <c r="BE43" i="2" s="1"/>
  <c r="AZ43" i="2"/>
  <c r="BA43" i="2" s="1"/>
  <c r="AV43" i="2"/>
  <c r="AW43" i="2" s="1"/>
  <c r="AR43" i="2"/>
  <c r="AS43" i="2" s="1"/>
  <c r="AO43" i="2"/>
  <c r="AN43" i="2"/>
  <c r="AJ43" i="2"/>
  <c r="AK43" i="2" s="1"/>
  <c r="AF43" i="2"/>
  <c r="AG43" i="2" s="1"/>
  <c r="AB43" i="2"/>
  <c r="AC43" i="2" s="1"/>
  <c r="X43" i="2"/>
  <c r="Y43" i="2" s="1"/>
  <c r="F43" i="2"/>
  <c r="BQ42" i="2"/>
  <c r="BP42" i="2"/>
  <c r="BN42" i="2"/>
  <c r="BM42" i="2"/>
  <c r="BG42" i="2"/>
  <c r="BF42" i="2"/>
  <c r="BC42" i="2"/>
  <c r="BB42" i="2"/>
  <c r="AY42" i="2"/>
  <c r="AX42" i="2"/>
  <c r="AU42" i="2"/>
  <c r="AT42" i="2"/>
  <c r="AQ42" i="2"/>
  <c r="AP42" i="2"/>
  <c r="AN42" i="2"/>
  <c r="AO42" i="2" s="1"/>
  <c r="AM42" i="2"/>
  <c r="AL42" i="2"/>
  <c r="AI42" i="2"/>
  <c r="AH42" i="2"/>
  <c r="AE42" i="2"/>
  <c r="AD42" i="2"/>
  <c r="AA42" i="2"/>
  <c r="Z42" i="2"/>
  <c r="W42" i="2"/>
  <c r="V42" i="2"/>
  <c r="U42" i="2"/>
  <c r="T42" i="2"/>
  <c r="R42" i="2"/>
  <c r="M42" i="2"/>
  <c r="L42" i="2"/>
  <c r="K42" i="2"/>
  <c r="J42" i="2"/>
  <c r="F42" i="2"/>
  <c r="A42" i="2"/>
  <c r="A43" i="2" s="1"/>
  <c r="A44" i="2" s="1"/>
  <c r="A45" i="2" s="1"/>
  <c r="A46" i="2" s="1"/>
  <c r="A47" i="2" s="1"/>
  <c r="A48" i="2" s="1"/>
  <c r="A49" i="2" s="1"/>
  <c r="BR41" i="2"/>
  <c r="BO41" i="2"/>
  <c r="BL41" i="2"/>
  <c r="BH41" i="2"/>
  <c r="BI41" i="2" s="1"/>
  <c r="BD41" i="2"/>
  <c r="AZ41" i="2"/>
  <c r="BA41" i="2" s="1"/>
  <c r="AV41" i="2"/>
  <c r="AW41" i="2" s="1"/>
  <c r="AS41" i="2"/>
  <c r="AR41" i="2"/>
  <c r="AN41" i="2"/>
  <c r="AO41" i="2" s="1"/>
  <c r="AJ41" i="2"/>
  <c r="AK41" i="2" s="1"/>
  <c r="AG41" i="2"/>
  <c r="AF41" i="2"/>
  <c r="AC41" i="2"/>
  <c r="AB41" i="2"/>
  <c r="X41" i="2"/>
  <c r="S41" i="2"/>
  <c r="S42" i="2" s="1"/>
  <c r="F41" i="2"/>
  <c r="A41" i="2"/>
  <c r="BR40" i="2"/>
  <c r="BO40" i="2"/>
  <c r="BL40" i="2"/>
  <c r="BH40" i="2"/>
  <c r="BH42" i="2" s="1"/>
  <c r="BI42" i="2" s="1"/>
  <c r="BD40" i="2"/>
  <c r="BE40" i="2" s="1"/>
  <c r="AZ40" i="2"/>
  <c r="BA40" i="2" s="1"/>
  <c r="AV40" i="2"/>
  <c r="AV42" i="2" s="1"/>
  <c r="AW42" i="2" s="1"/>
  <c r="AS40" i="2"/>
  <c r="AR40" i="2"/>
  <c r="AR42" i="2" s="1"/>
  <c r="AO40" i="2"/>
  <c r="AN40" i="2"/>
  <c r="AJ40" i="2"/>
  <c r="AF40" i="2"/>
  <c r="AF42" i="2" s="1"/>
  <c r="AC40" i="2"/>
  <c r="AB40" i="2"/>
  <c r="AB42" i="2" s="1"/>
  <c r="X40" i="2"/>
  <c r="Y40" i="2" s="1"/>
  <c r="S40" i="2"/>
  <c r="F40" i="2"/>
  <c r="BR38" i="2"/>
  <c r="BO38" i="2"/>
  <c r="BL38" i="2"/>
  <c r="BH38" i="2"/>
  <c r="BI38" i="2" s="1"/>
  <c r="BD38" i="2"/>
  <c r="BE38" i="2" s="1"/>
  <c r="AZ38" i="2"/>
  <c r="BA38" i="2" s="1"/>
  <c r="AV38" i="2"/>
  <c r="AW38" i="2" s="1"/>
  <c r="AR38" i="2"/>
  <c r="AS38" i="2" s="1"/>
  <c r="AN38" i="2"/>
  <c r="AO38" i="2" s="1"/>
  <c r="AJ38" i="2"/>
  <c r="AK38" i="2" s="1"/>
  <c r="AF38" i="2"/>
  <c r="AG38" i="2" s="1"/>
  <c r="AB38" i="2"/>
  <c r="AC38" i="2" s="1"/>
  <c r="Y38" i="2"/>
  <c r="X38" i="2"/>
  <c r="S38" i="2"/>
  <c r="F38" i="2"/>
  <c r="BR37" i="2"/>
  <c r="BO37" i="2"/>
  <c r="BL37" i="2"/>
  <c r="BI37" i="2"/>
  <c r="BH37" i="2"/>
  <c r="BD37" i="2"/>
  <c r="BE37" i="2" s="1"/>
  <c r="AZ37" i="2"/>
  <c r="BA37" i="2" s="1"/>
  <c r="AV37" i="2"/>
  <c r="AW37" i="2" s="1"/>
  <c r="AS37" i="2"/>
  <c r="AR37" i="2"/>
  <c r="AN37" i="2"/>
  <c r="AO37" i="2" s="1"/>
  <c r="AJ37" i="2"/>
  <c r="AK37" i="2" s="1"/>
  <c r="AF37" i="2"/>
  <c r="AG37" i="2" s="1"/>
  <c r="AB37" i="2"/>
  <c r="AC37" i="2" s="1"/>
  <c r="X37" i="2"/>
  <c r="Y37" i="2" s="1"/>
  <c r="S37" i="2"/>
  <c r="F37" i="2"/>
  <c r="BR36" i="2"/>
  <c r="BO36" i="2"/>
  <c r="BL36" i="2"/>
  <c r="BH36" i="2"/>
  <c r="BI36" i="2" s="1"/>
  <c r="BD36" i="2"/>
  <c r="BE36" i="2" s="1"/>
  <c r="AZ36" i="2"/>
  <c r="BA36" i="2" s="1"/>
  <c r="AV36" i="2"/>
  <c r="AW36" i="2" s="1"/>
  <c r="AR36" i="2"/>
  <c r="AS36" i="2" s="1"/>
  <c r="AN36" i="2"/>
  <c r="AO36" i="2" s="1"/>
  <c r="AJ36" i="2"/>
  <c r="AK36" i="2" s="1"/>
  <c r="AF36" i="2"/>
  <c r="AG36" i="2" s="1"/>
  <c r="AB36" i="2"/>
  <c r="AC36" i="2" s="1"/>
  <c r="Y36" i="2"/>
  <c r="X36" i="2"/>
  <c r="S36" i="2"/>
  <c r="F36" i="2"/>
  <c r="BR35" i="2"/>
  <c r="BO35" i="2"/>
  <c r="BL35" i="2"/>
  <c r="BI35" i="2"/>
  <c r="BH35" i="2"/>
  <c r="BD35" i="2"/>
  <c r="BE35" i="2" s="1"/>
  <c r="AZ35" i="2"/>
  <c r="BA35" i="2" s="1"/>
  <c r="AV35" i="2"/>
  <c r="AW35" i="2" s="1"/>
  <c r="AR35" i="2"/>
  <c r="AS35" i="2" s="1"/>
  <c r="AN35" i="2"/>
  <c r="AO35" i="2" s="1"/>
  <c r="AJ35" i="2"/>
  <c r="AK35" i="2" s="1"/>
  <c r="AF35" i="2"/>
  <c r="AG35" i="2" s="1"/>
  <c r="AB35" i="2"/>
  <c r="AC35" i="2" s="1"/>
  <c r="X35" i="2"/>
  <c r="Y35" i="2" s="1"/>
  <c r="S35" i="2"/>
  <c r="F35" i="2"/>
  <c r="BR34" i="2"/>
  <c r="BO34" i="2"/>
  <c r="BL34" i="2"/>
  <c r="BH34" i="2"/>
  <c r="BI34" i="2" s="1"/>
  <c r="BD34" i="2"/>
  <c r="BE34" i="2" s="1"/>
  <c r="AZ34" i="2"/>
  <c r="BA34" i="2" s="1"/>
  <c r="AV34" i="2"/>
  <c r="AW34" i="2" s="1"/>
  <c r="AR34" i="2"/>
  <c r="AS34" i="2" s="1"/>
  <c r="AN34" i="2"/>
  <c r="AO34" i="2" s="1"/>
  <c r="AJ34" i="2"/>
  <c r="AK34" i="2" s="1"/>
  <c r="AG34" i="2"/>
  <c r="AF34" i="2"/>
  <c r="AC34" i="2"/>
  <c r="AB34" i="2"/>
  <c r="X34" i="2"/>
  <c r="Y34" i="2" s="1"/>
  <c r="S34" i="2"/>
  <c r="F34" i="2"/>
  <c r="BR33" i="2"/>
  <c r="BO33" i="2"/>
  <c r="BL33" i="2"/>
  <c r="BH33" i="2"/>
  <c r="BI33" i="2" s="1"/>
  <c r="BD33" i="2"/>
  <c r="BE33" i="2" s="1"/>
  <c r="AZ33" i="2"/>
  <c r="BA33" i="2" s="1"/>
  <c r="AW33" i="2"/>
  <c r="AV33" i="2"/>
  <c r="AR33" i="2"/>
  <c r="AS33" i="2" s="1"/>
  <c r="AO33" i="2"/>
  <c r="AN33" i="2"/>
  <c r="AK33" i="2"/>
  <c r="AJ33" i="2"/>
  <c r="AF33" i="2"/>
  <c r="AG33" i="2" s="1"/>
  <c r="AB33" i="2"/>
  <c r="AC33" i="2" s="1"/>
  <c r="Y33" i="2"/>
  <c r="X33" i="2"/>
  <c r="S33" i="2"/>
  <c r="F33" i="2"/>
  <c r="BR32" i="2"/>
  <c r="BO32" i="2"/>
  <c r="BL32" i="2"/>
  <c r="BH32" i="2"/>
  <c r="BI32" i="2" s="1"/>
  <c r="BD32" i="2"/>
  <c r="BE32" i="2" s="1"/>
  <c r="AZ32" i="2"/>
  <c r="BA32" i="2" s="1"/>
  <c r="AV32" i="2"/>
  <c r="AW32" i="2" s="1"/>
  <c r="AR32" i="2"/>
  <c r="AS32" i="2" s="1"/>
  <c r="AN32" i="2"/>
  <c r="AO32" i="2" s="1"/>
  <c r="AJ32" i="2"/>
  <c r="AK32" i="2" s="1"/>
  <c r="AF32" i="2"/>
  <c r="AG32" i="2" s="1"/>
  <c r="AB32" i="2"/>
  <c r="AC32" i="2" s="1"/>
  <c r="Y32" i="2"/>
  <c r="X32" i="2"/>
  <c r="S32" i="2"/>
  <c r="F32" i="2"/>
  <c r="BR31" i="2"/>
  <c r="BO31" i="2"/>
  <c r="BL31" i="2"/>
  <c r="BH31" i="2"/>
  <c r="BI31" i="2" s="1"/>
  <c r="BD31" i="2"/>
  <c r="BE31" i="2" s="1"/>
  <c r="BA31" i="2"/>
  <c r="AZ31" i="2"/>
  <c r="AV31" i="2"/>
  <c r="AW31" i="2" s="1"/>
  <c r="AR31" i="2"/>
  <c r="AS31" i="2" s="1"/>
  <c r="AN31" i="2"/>
  <c r="AO31" i="2" s="1"/>
  <c r="AJ31" i="2"/>
  <c r="AK31" i="2" s="1"/>
  <c r="AF31" i="2"/>
  <c r="AG31" i="2" s="1"/>
  <c r="AB31" i="2"/>
  <c r="AC31" i="2" s="1"/>
  <c r="X31" i="2"/>
  <c r="Y31" i="2" s="1"/>
  <c r="S31" i="2"/>
  <c r="F31" i="2"/>
  <c r="BR30" i="2"/>
  <c r="BO30" i="2"/>
  <c r="BL30" i="2"/>
  <c r="BH30" i="2"/>
  <c r="BI30" i="2" s="1"/>
  <c r="BD30" i="2"/>
  <c r="BE30" i="2" s="1"/>
  <c r="AZ30" i="2"/>
  <c r="BA30" i="2" s="1"/>
  <c r="AW30" i="2"/>
  <c r="AV30" i="2"/>
  <c r="AR30" i="2"/>
  <c r="AS30" i="2" s="1"/>
  <c r="AN30" i="2"/>
  <c r="AO30" i="2" s="1"/>
  <c r="AJ30" i="2"/>
  <c r="AK30" i="2" s="1"/>
  <c r="AF30" i="2"/>
  <c r="AG30" i="2" s="1"/>
  <c r="AB30" i="2"/>
  <c r="AC30" i="2" s="1"/>
  <c r="X30" i="2"/>
  <c r="Y30" i="2" s="1"/>
  <c r="S30" i="2"/>
  <c r="F30" i="2"/>
  <c r="BR29" i="2"/>
  <c r="BO29" i="2"/>
  <c r="BL29" i="2"/>
  <c r="BH29" i="2"/>
  <c r="BI29" i="2" s="1"/>
  <c r="BD29" i="2"/>
  <c r="BE29" i="2" s="1"/>
  <c r="AZ29" i="2"/>
  <c r="BA29" i="2" s="1"/>
  <c r="AV29" i="2"/>
  <c r="AW29" i="2" s="1"/>
  <c r="AR29" i="2"/>
  <c r="AS29" i="2" s="1"/>
  <c r="AN29" i="2"/>
  <c r="AO29" i="2" s="1"/>
  <c r="AJ29" i="2"/>
  <c r="AK29" i="2" s="1"/>
  <c r="AF29" i="2"/>
  <c r="AG29" i="2" s="1"/>
  <c r="AB29" i="2"/>
  <c r="AC29" i="2" s="1"/>
  <c r="X29" i="2"/>
  <c r="Y29" i="2" s="1"/>
  <c r="S29" i="2"/>
  <c r="F29" i="2"/>
  <c r="BR28" i="2"/>
  <c r="BO28" i="2"/>
  <c r="BL28" i="2"/>
  <c r="BH28" i="2"/>
  <c r="BI28" i="2" s="1"/>
  <c r="BD28" i="2"/>
  <c r="BE28" i="2" s="1"/>
  <c r="AZ28" i="2"/>
  <c r="BA28" i="2" s="1"/>
  <c r="AW28" i="2"/>
  <c r="AV28" i="2"/>
  <c r="AR28" i="2"/>
  <c r="AS28" i="2" s="1"/>
  <c r="AN28" i="2"/>
  <c r="AO28" i="2" s="1"/>
  <c r="AJ28" i="2"/>
  <c r="AK28" i="2" s="1"/>
  <c r="AF28" i="2"/>
  <c r="AG28" i="2" s="1"/>
  <c r="AB28" i="2"/>
  <c r="AC28" i="2" s="1"/>
  <c r="X28" i="2"/>
  <c r="Y28" i="2" s="1"/>
  <c r="S28" i="2"/>
  <c r="F28" i="2"/>
  <c r="BR27" i="2"/>
  <c r="BO27" i="2"/>
  <c r="BL27" i="2"/>
  <c r="BH27" i="2"/>
  <c r="BI27" i="2" s="1"/>
  <c r="BD27" i="2"/>
  <c r="BE27" i="2" s="1"/>
  <c r="AZ27" i="2"/>
  <c r="BA27" i="2" s="1"/>
  <c r="AV27" i="2"/>
  <c r="AW27" i="2" s="1"/>
  <c r="AR27" i="2"/>
  <c r="AS27" i="2" s="1"/>
  <c r="AO27" i="2"/>
  <c r="AN27" i="2"/>
  <c r="AJ27" i="2"/>
  <c r="AK27" i="2" s="1"/>
  <c r="AF27" i="2"/>
  <c r="AG27" i="2" s="1"/>
  <c r="AC27" i="2"/>
  <c r="AB27" i="2"/>
  <c r="X27" i="2"/>
  <c r="Y27" i="2" s="1"/>
  <c r="S27" i="2"/>
  <c r="F27" i="2"/>
  <c r="BR25" i="2"/>
  <c r="BO25" i="2"/>
  <c r="BL25" i="2"/>
  <c r="BH25" i="2"/>
  <c r="BI25" i="2" s="1"/>
  <c r="BD25" i="2"/>
  <c r="BE25" i="2" s="1"/>
  <c r="AZ25" i="2"/>
  <c r="BA25" i="2" s="1"/>
  <c r="AV25" i="2"/>
  <c r="AW25" i="2" s="1"/>
  <c r="AR25" i="2"/>
  <c r="AS25" i="2" s="1"/>
  <c r="AN25" i="2"/>
  <c r="AO25" i="2" s="1"/>
  <c r="AJ25" i="2"/>
  <c r="AK25" i="2" s="1"/>
  <c r="AF25" i="2"/>
  <c r="AG25" i="2" s="1"/>
  <c r="AB25" i="2"/>
  <c r="AC25" i="2" s="1"/>
  <c r="X25" i="2"/>
  <c r="Y25" i="2" s="1"/>
  <c r="S25" i="2"/>
  <c r="F25" i="2"/>
  <c r="BR24" i="2"/>
  <c r="BO24" i="2"/>
  <c r="BL24" i="2"/>
  <c r="BH24" i="2"/>
  <c r="BI24" i="2" s="1"/>
  <c r="BE24" i="2"/>
  <c r="BD24" i="2"/>
  <c r="AZ24" i="2"/>
  <c r="BA24" i="2" s="1"/>
  <c r="AV24" i="2"/>
  <c r="AW24" i="2" s="1"/>
  <c r="AR24" i="2"/>
  <c r="AS24" i="2" s="1"/>
  <c r="AN24" i="2"/>
  <c r="AO24" i="2" s="1"/>
  <c r="AJ24" i="2"/>
  <c r="AK24" i="2" s="1"/>
  <c r="AF24" i="2"/>
  <c r="AG24" i="2" s="1"/>
  <c r="AB24" i="2"/>
  <c r="AC24" i="2" s="1"/>
  <c r="X24" i="2"/>
  <c r="Y24" i="2" s="1"/>
  <c r="S24" i="2"/>
  <c r="F24" i="2"/>
  <c r="BR23" i="2"/>
  <c r="BO23" i="2"/>
  <c r="BL23" i="2"/>
  <c r="BH23" i="2"/>
  <c r="BI23" i="2" s="1"/>
  <c r="BD23" i="2"/>
  <c r="BE23" i="2" s="1"/>
  <c r="BA23" i="2"/>
  <c r="AZ23" i="2"/>
  <c r="AV23" i="2"/>
  <c r="AW23" i="2" s="1"/>
  <c r="AR23" i="2"/>
  <c r="AS23" i="2" s="1"/>
  <c r="AN23" i="2"/>
  <c r="AO23" i="2" s="1"/>
  <c r="AJ23" i="2"/>
  <c r="AK23" i="2" s="1"/>
  <c r="AG23" i="2"/>
  <c r="AF23" i="2"/>
  <c r="AB23" i="2"/>
  <c r="AC23" i="2" s="1"/>
  <c r="X23" i="2"/>
  <c r="Y23" i="2" s="1"/>
  <c r="F23" i="2"/>
  <c r="BQ22" i="2"/>
  <c r="BP22" i="2"/>
  <c r="BN22" i="2"/>
  <c r="BM22" i="2"/>
  <c r="BG22" i="2"/>
  <c r="BF22" i="2"/>
  <c r="BC22" i="2"/>
  <c r="BB22" i="2"/>
  <c r="AY22" i="2"/>
  <c r="AX22" i="2"/>
  <c r="AU22" i="2"/>
  <c r="AT22" i="2"/>
  <c r="AQ22" i="2"/>
  <c r="AP22" i="2"/>
  <c r="AM22" i="2"/>
  <c r="AL22" i="2"/>
  <c r="AI22" i="2"/>
  <c r="AH22" i="2"/>
  <c r="AF22" i="2"/>
  <c r="AG22" i="2" s="1"/>
  <c r="AE22" i="2"/>
  <c r="AD22" i="2"/>
  <c r="AA22" i="2"/>
  <c r="Z22" i="2"/>
  <c r="W22" i="2"/>
  <c r="V22" i="2"/>
  <c r="U22" i="2"/>
  <c r="T22" i="2"/>
  <c r="R22" i="2"/>
  <c r="S23" i="2" s="1"/>
  <c r="M22" i="2"/>
  <c r="L22" i="2"/>
  <c r="K22" i="2"/>
  <c r="J22" i="2"/>
  <c r="F22" i="2"/>
  <c r="BR21" i="2"/>
  <c r="BR20" i="2" s="1"/>
  <c r="BR22" i="2" s="1"/>
  <c r="BO21" i="2"/>
  <c r="BO20" i="2" s="1"/>
  <c r="BO22" i="2" s="1"/>
  <c r="BL21" i="2"/>
  <c r="BL20" i="2" s="1"/>
  <c r="BL22" i="2" s="1"/>
  <c r="BH21" i="2"/>
  <c r="BE21" i="2"/>
  <c r="BD21" i="2"/>
  <c r="BD20" i="2" s="1"/>
  <c r="BE20" i="2" s="1"/>
  <c r="AZ21" i="2"/>
  <c r="AZ20" i="2" s="1"/>
  <c r="AZ22" i="2" s="1"/>
  <c r="AW21" i="2"/>
  <c r="AV21" i="2"/>
  <c r="AR21" i="2"/>
  <c r="AS21" i="2" s="1"/>
  <c r="AN21" i="2"/>
  <c r="AO21" i="2" s="1"/>
  <c r="AJ21" i="2"/>
  <c r="AJ20" i="2" s="1"/>
  <c r="AK20" i="2" s="1"/>
  <c r="AG21" i="2"/>
  <c r="AF21" i="2"/>
  <c r="AB21" i="2"/>
  <c r="AC21" i="2" s="1"/>
  <c r="Y21" i="2"/>
  <c r="X21" i="2"/>
  <c r="S21" i="2"/>
  <c r="S22" i="2" s="1"/>
  <c r="F21" i="2"/>
  <c r="AV20" i="2"/>
  <c r="AR20" i="2"/>
  <c r="AS20" i="2" s="1"/>
  <c r="AF20" i="2"/>
  <c r="AG20" i="2" s="1"/>
  <c r="AB20" i="2"/>
  <c r="AC20" i="2" s="1"/>
  <c r="X20" i="2"/>
  <c r="Y20" i="2" s="1"/>
  <c r="F20" i="2"/>
  <c r="BQ19" i="2"/>
  <c r="BP19" i="2"/>
  <c r="BN19" i="2"/>
  <c r="BM19" i="2"/>
  <c r="BG19" i="2"/>
  <c r="BF19" i="2"/>
  <c r="BC19" i="2"/>
  <c r="BB19" i="2"/>
  <c r="AY19" i="2"/>
  <c r="AX19" i="2"/>
  <c r="AU19" i="2"/>
  <c r="AT19" i="2"/>
  <c r="AQ19" i="2"/>
  <c r="AP19" i="2"/>
  <c r="AM19" i="2"/>
  <c r="AL19" i="2"/>
  <c r="AI19" i="2"/>
  <c r="AH19" i="2"/>
  <c r="AE19" i="2"/>
  <c r="AD19" i="2"/>
  <c r="AA19" i="2"/>
  <c r="Z19" i="2"/>
  <c r="W19" i="2"/>
  <c r="V19" i="2"/>
  <c r="U19" i="2"/>
  <c r="T19" i="2"/>
  <c r="R19" i="2"/>
  <c r="S20" i="2" s="1"/>
  <c r="M19" i="2"/>
  <c r="L19" i="2"/>
  <c r="K19" i="2"/>
  <c r="J19" i="2"/>
  <c r="F19" i="2"/>
  <c r="BR18" i="2"/>
  <c r="BO18" i="2"/>
  <c r="BL18" i="2"/>
  <c r="BH18" i="2"/>
  <c r="BI18" i="2" s="1"/>
  <c r="BD18" i="2"/>
  <c r="BE18" i="2" s="1"/>
  <c r="AZ18" i="2"/>
  <c r="AV18" i="2"/>
  <c r="AW18" i="2" s="1"/>
  <c r="AR18" i="2"/>
  <c r="AS18" i="2" s="1"/>
  <c r="AN18" i="2"/>
  <c r="AO18" i="2" s="1"/>
  <c r="AK18" i="2"/>
  <c r="AJ18" i="2"/>
  <c r="AF18" i="2"/>
  <c r="AG18" i="2" s="1"/>
  <c r="AB18" i="2"/>
  <c r="AC18" i="2" s="1"/>
  <c r="X18" i="2"/>
  <c r="Y18" i="2" s="1"/>
  <c r="S18" i="2"/>
  <c r="S19" i="2" s="1"/>
  <c r="F18" i="2"/>
  <c r="BR17" i="2"/>
  <c r="BO17" i="2"/>
  <c r="BL17" i="2"/>
  <c r="BL19" i="2" s="1"/>
  <c r="BH17" i="2"/>
  <c r="BH19" i="2" s="1"/>
  <c r="BI19" i="2" s="1"/>
  <c r="BD17" i="2"/>
  <c r="BE17" i="2" s="1"/>
  <c r="AZ17" i="2"/>
  <c r="BA17" i="2" s="1"/>
  <c r="AV17" i="2"/>
  <c r="AW17" i="2" s="1"/>
  <c r="AR17" i="2"/>
  <c r="AN17" i="2"/>
  <c r="AO17" i="2" s="1"/>
  <c r="AJ17" i="2"/>
  <c r="AJ19" i="2" s="1"/>
  <c r="AG17" i="2"/>
  <c r="AF17" i="2"/>
  <c r="AF19" i="2" s="1"/>
  <c r="AG19" i="2" s="1"/>
  <c r="AB17" i="2"/>
  <c r="X17" i="2"/>
  <c r="S17" i="2"/>
  <c r="F17" i="2"/>
  <c r="BR16" i="2"/>
  <c r="BO16" i="2"/>
  <c r="BL16" i="2"/>
  <c r="BH16" i="2"/>
  <c r="BI16" i="2" s="1"/>
  <c r="BD16" i="2"/>
  <c r="BE16" i="2" s="1"/>
  <c r="AZ16" i="2"/>
  <c r="BA16" i="2" s="1"/>
  <c r="AV16" i="2"/>
  <c r="AW16" i="2" s="1"/>
  <c r="AR16" i="2"/>
  <c r="AS16" i="2" s="1"/>
  <c r="AN16" i="2"/>
  <c r="AO16" i="2" s="1"/>
  <c r="AJ16" i="2"/>
  <c r="AK16" i="2" s="1"/>
  <c r="AF16" i="2"/>
  <c r="AG16" i="2" s="1"/>
  <c r="AB16" i="2"/>
  <c r="AC16" i="2" s="1"/>
  <c r="X16" i="2"/>
  <c r="Y16" i="2" s="1"/>
  <c r="S16" i="2"/>
  <c r="F16" i="2"/>
  <c r="BQ15" i="2"/>
  <c r="BP15" i="2"/>
  <c r="BN15" i="2"/>
  <c r="BM15" i="2"/>
  <c r="BG15" i="2"/>
  <c r="BF15" i="2"/>
  <c r="BC15" i="2"/>
  <c r="BB15" i="2"/>
  <c r="AY15" i="2"/>
  <c r="AX15" i="2"/>
  <c r="AU15" i="2"/>
  <c r="AT15" i="2"/>
  <c r="AQ15" i="2"/>
  <c r="AP15" i="2"/>
  <c r="AM15" i="2"/>
  <c r="AL15" i="2"/>
  <c r="AI15" i="2"/>
  <c r="AH15" i="2"/>
  <c r="AE15" i="2"/>
  <c r="AD15" i="2"/>
  <c r="AA15" i="2"/>
  <c r="Z15" i="2"/>
  <c r="W15" i="2"/>
  <c r="V15" i="2"/>
  <c r="U15" i="2"/>
  <c r="T15" i="2"/>
  <c r="R15" i="2"/>
  <c r="M15" i="2"/>
  <c r="L15" i="2"/>
  <c r="K15" i="2"/>
  <c r="J15" i="2"/>
  <c r="F15" i="2"/>
  <c r="BR14" i="2"/>
  <c r="BO14" i="2"/>
  <c r="BL14" i="2"/>
  <c r="BH14" i="2"/>
  <c r="BI14" i="2" s="1"/>
  <c r="BD14" i="2"/>
  <c r="BE14" i="2" s="1"/>
  <c r="AZ14" i="2"/>
  <c r="BA14" i="2" s="1"/>
  <c r="AW14" i="2"/>
  <c r="AV14" i="2"/>
  <c r="AR14" i="2"/>
  <c r="AS14" i="2" s="1"/>
  <c r="AN14" i="2"/>
  <c r="AO14" i="2" s="1"/>
  <c r="AJ14" i="2"/>
  <c r="AK14" i="2" s="1"/>
  <c r="AF14" i="2"/>
  <c r="AG14" i="2" s="1"/>
  <c r="AB14" i="2"/>
  <c r="AC14" i="2" s="1"/>
  <c r="X14" i="2"/>
  <c r="Y14" i="2" s="1"/>
  <c r="S14" i="2"/>
  <c r="S15" i="2" s="1"/>
  <c r="F14" i="2"/>
  <c r="BR13" i="2"/>
  <c r="BO13" i="2"/>
  <c r="BL13" i="2"/>
  <c r="BL15" i="2" s="1"/>
  <c r="BH13" i="2"/>
  <c r="BI13" i="2" s="1"/>
  <c r="BD13" i="2"/>
  <c r="AZ13" i="2"/>
  <c r="BA13" i="2" s="1"/>
  <c r="AV13" i="2"/>
  <c r="AV15" i="2" s="1"/>
  <c r="AW15" i="2" s="1"/>
  <c r="AS13" i="2"/>
  <c r="AR13" i="2"/>
  <c r="AN13" i="2"/>
  <c r="AN15" i="2" s="1"/>
  <c r="AO15" i="2" s="1"/>
  <c r="AK13" i="2"/>
  <c r="AJ13" i="2"/>
  <c r="AF13" i="2"/>
  <c r="AB13" i="2"/>
  <c r="AC13" i="2" s="1"/>
  <c r="X13" i="2"/>
  <c r="Y13" i="2" s="1"/>
  <c r="S13" i="2"/>
  <c r="F13" i="2"/>
  <c r="BR12" i="2"/>
  <c r="BO12" i="2"/>
  <c r="BL12" i="2"/>
  <c r="BH12" i="2"/>
  <c r="BI12" i="2" s="1"/>
  <c r="BD12" i="2"/>
  <c r="BE12" i="2" s="1"/>
  <c r="AZ12" i="2"/>
  <c r="BA12" i="2" s="1"/>
  <c r="AV12" i="2"/>
  <c r="AW12" i="2" s="1"/>
  <c r="AR12" i="2"/>
  <c r="AS12" i="2" s="1"/>
  <c r="AN12" i="2"/>
  <c r="AO12" i="2" s="1"/>
  <c r="AK12" i="2"/>
  <c r="AJ12" i="2"/>
  <c r="AF12" i="2"/>
  <c r="AG12" i="2" s="1"/>
  <c r="AB12" i="2"/>
  <c r="AC12" i="2" s="1"/>
  <c r="X12" i="2"/>
  <c r="Y12" i="2" s="1"/>
  <c r="S12" i="2"/>
  <c r="F12" i="2"/>
  <c r="BR11" i="2"/>
  <c r="BO11" i="2"/>
  <c r="BL11" i="2"/>
  <c r="BH11" i="2"/>
  <c r="BI11" i="2" s="1"/>
  <c r="BD11" i="2"/>
  <c r="BE11" i="2" s="1"/>
  <c r="AZ11" i="2"/>
  <c r="BA11" i="2" s="1"/>
  <c r="AV11" i="2"/>
  <c r="AW11" i="2" s="1"/>
  <c r="AR11" i="2"/>
  <c r="AS11" i="2" s="1"/>
  <c r="AN11" i="2"/>
  <c r="AO11" i="2" s="1"/>
  <c r="AJ11" i="2"/>
  <c r="AK11" i="2" s="1"/>
  <c r="AF11" i="2"/>
  <c r="AG11" i="2" s="1"/>
  <c r="AB11" i="2"/>
  <c r="AC11" i="2" s="1"/>
  <c r="Y11" i="2"/>
  <c r="X11" i="2"/>
  <c r="S11" i="2"/>
  <c r="F11" i="2"/>
  <c r="BR10" i="2"/>
  <c r="BO10" i="2"/>
  <c r="BL10" i="2"/>
  <c r="BH10" i="2"/>
  <c r="BI10" i="2" s="1"/>
  <c r="BD10" i="2"/>
  <c r="BE10" i="2" s="1"/>
  <c r="AZ10" i="2"/>
  <c r="BA10" i="2" s="1"/>
  <c r="AV10" i="2"/>
  <c r="AW10" i="2" s="1"/>
  <c r="AR10" i="2"/>
  <c r="AS10" i="2" s="1"/>
  <c r="AN10" i="2"/>
  <c r="AO10" i="2" s="1"/>
  <c r="AJ10" i="2"/>
  <c r="AK10" i="2" s="1"/>
  <c r="AF10" i="2"/>
  <c r="AG10" i="2" s="1"/>
  <c r="AB10" i="2"/>
  <c r="AC10" i="2" s="1"/>
  <c r="X10" i="2"/>
  <c r="Y10" i="2" s="1"/>
  <c r="S10" i="2"/>
  <c r="F10" i="2"/>
  <c r="BR9" i="2"/>
  <c r="BO9" i="2"/>
  <c r="BL9" i="2"/>
  <c r="BH9" i="2"/>
  <c r="BI9" i="2" s="1"/>
  <c r="BD9" i="2"/>
  <c r="BE9" i="2" s="1"/>
  <c r="AZ9" i="2"/>
  <c r="BA9" i="2" s="1"/>
  <c r="AV9" i="2"/>
  <c r="AW9" i="2" s="1"/>
  <c r="AR9" i="2"/>
  <c r="AS9" i="2" s="1"/>
  <c r="AN9" i="2"/>
  <c r="AO9" i="2" s="1"/>
  <c r="AJ9" i="2"/>
  <c r="AK9" i="2" s="1"/>
  <c r="AF9" i="2"/>
  <c r="AG9" i="2" s="1"/>
  <c r="AC9" i="2"/>
  <c r="AB9" i="2"/>
  <c r="X9" i="2"/>
  <c r="Y9" i="2" s="1"/>
  <c r="S9" i="2"/>
  <c r="F9" i="2"/>
  <c r="AL3" i="2"/>
  <c r="B3" i="2"/>
  <c r="B2" i="2"/>
  <c r="AB109" i="2" l="1"/>
  <c r="AC109" i="2" s="1"/>
  <c r="AC107" i="2"/>
  <c r="BE107" i="2"/>
  <c r="BD109" i="2"/>
  <c r="BE109" i="2" s="1"/>
  <c r="AF215" i="2"/>
  <c r="AG215" i="2" s="1"/>
  <c r="AG216" i="2"/>
  <c r="AK47" i="2"/>
  <c r="AJ49" i="2"/>
  <c r="AK49" i="2" s="1"/>
  <c r="BI162" i="2"/>
  <c r="BH164" i="2"/>
  <c r="BI164" i="2" s="1"/>
  <c r="Y83" i="2"/>
  <c r="X85" i="2"/>
  <c r="Y85" i="2" s="1"/>
  <c r="AK102" i="2"/>
  <c r="BH157" i="2"/>
  <c r="BI157" i="2" s="1"/>
  <c r="AF102" i="2"/>
  <c r="AG102" i="2" s="1"/>
  <c r="BR58" i="2"/>
  <c r="BR59" i="2" s="1"/>
  <c r="BD82" i="2"/>
  <c r="BE82" i="2" s="1"/>
  <c r="BH59" i="2"/>
  <c r="BI59" i="2" s="1"/>
  <c r="Y126" i="2"/>
  <c r="AR64" i="2"/>
  <c r="AS64" i="2" s="1"/>
  <c r="Y84" i="2"/>
  <c r="AV64" i="2"/>
  <c r="AW64" i="2" s="1"/>
  <c r="AK85" i="2"/>
  <c r="BH92" i="2"/>
  <c r="BH96" i="2"/>
  <c r="BI96" i="2" s="1"/>
  <c r="BL130" i="2"/>
  <c r="AR133" i="2"/>
  <c r="AS133" i="2" s="1"/>
  <c r="X22" i="2"/>
  <c r="Y22" i="2" s="1"/>
  <c r="AZ64" i="2"/>
  <c r="BA64" i="2" s="1"/>
  <c r="AK88" i="2"/>
  <c r="BI95" i="2"/>
  <c r="AV96" i="2"/>
  <c r="AW96" i="2" s="1"/>
  <c r="BD58" i="2"/>
  <c r="Y112" i="2"/>
  <c r="BE162" i="2"/>
  <c r="BE64" i="2"/>
  <c r="AN160" i="2"/>
  <c r="AO160" i="2" s="1"/>
  <c r="AJ78" i="2"/>
  <c r="AK78" i="2" s="1"/>
  <c r="BE101" i="2"/>
  <c r="BL168" i="2"/>
  <c r="AO13" i="2"/>
  <c r="AZ15" i="2"/>
  <c r="BA15" i="2" s="1"/>
  <c r="AB22" i="2"/>
  <c r="AC22" i="2" s="1"/>
  <c r="X78" i="2"/>
  <c r="Y78" i="2" s="1"/>
  <c r="AZ96" i="2"/>
  <c r="BA96" i="2" s="1"/>
  <c r="AS102" i="2"/>
  <c r="X120" i="2"/>
  <c r="Y120" i="2" s="1"/>
  <c r="AV142" i="2"/>
  <c r="AW142" i="2" s="1"/>
  <c r="BL160" i="2"/>
  <c r="BI45" i="2"/>
  <c r="BR42" i="2"/>
  <c r="BR46" i="2"/>
  <c r="AW113" i="2"/>
  <c r="BH168" i="2"/>
  <c r="BI168" i="2" s="1"/>
  <c r="AN19" i="2"/>
  <c r="AO19" i="2" s="1"/>
  <c r="BE62" i="2"/>
  <c r="X68" i="2"/>
  <c r="BE108" i="2"/>
  <c r="AW112" i="2"/>
  <c r="AW114" i="2"/>
  <c r="AJ120" i="2"/>
  <c r="AK120" i="2" s="1"/>
  <c r="AR15" i="2"/>
  <c r="AS15" i="2" s="1"/>
  <c r="AB19" i="2"/>
  <c r="AC19" i="2" s="1"/>
  <c r="AF58" i="2"/>
  <c r="AG58" i="2" s="1"/>
  <c r="AB68" i="2"/>
  <c r="AC68" i="2" s="1"/>
  <c r="Y76" i="2"/>
  <c r="BL82" i="2"/>
  <c r="BL102" i="2"/>
  <c r="Y107" i="2"/>
  <c r="Y118" i="2"/>
  <c r="AG131" i="2"/>
  <c r="AZ142" i="2"/>
  <c r="BA142" i="2" s="1"/>
  <c r="BO160" i="2"/>
  <c r="AB171" i="2"/>
  <c r="AC171" i="2" s="1"/>
  <c r="BR106" i="2"/>
  <c r="AN47" i="2"/>
  <c r="AN49" i="2" s="1"/>
  <c r="AO49" i="2" s="1"/>
  <c r="BD68" i="2"/>
  <c r="AR71" i="2"/>
  <c r="AR85" i="2"/>
  <c r="AS85" i="2" s="1"/>
  <c r="AJ131" i="2"/>
  <c r="AZ133" i="2"/>
  <c r="BA133" i="2" s="1"/>
  <c r="BD142" i="2"/>
  <c r="BE142" i="2" s="1"/>
  <c r="AJ157" i="2"/>
  <c r="AK157" i="2" s="1"/>
  <c r="AG118" i="2"/>
  <c r="X92" i="2"/>
  <c r="Y92" i="2" s="1"/>
  <c r="AG120" i="2"/>
  <c r="AW100" i="2"/>
  <c r="AG107" i="2"/>
  <c r="AO126" i="2"/>
  <c r="BO96" i="2"/>
  <c r="AF106" i="2"/>
  <c r="AG106" i="2" s="1"/>
  <c r="BL120" i="2"/>
  <c r="AO124" i="2"/>
  <c r="AJ130" i="2"/>
  <c r="AK130" i="2" s="1"/>
  <c r="AB82" i="2"/>
  <c r="AC82" i="2" s="1"/>
  <c r="AC85" i="2"/>
  <c r="AJ171" i="2"/>
  <c r="AK171" i="2" s="1"/>
  <c r="AK19" i="2"/>
  <c r="AG42" i="2"/>
  <c r="BR19" i="2"/>
  <c r="AR58" i="2"/>
  <c r="AB92" i="2"/>
  <c r="AC92" i="2" s="1"/>
  <c r="BO120" i="2"/>
  <c r="BD19" i="2"/>
  <c r="BE19" i="2" s="1"/>
  <c r="BA22" i="2"/>
  <c r="AS42" i="2"/>
  <c r="X64" i="2"/>
  <c r="Y64" i="2" s="1"/>
  <c r="AC83" i="2"/>
  <c r="AZ85" i="2"/>
  <c r="BA85" i="2" s="1"/>
  <c r="AC91" i="2"/>
  <c r="BI102" i="2"/>
  <c r="AC111" i="2"/>
  <c r="BD126" i="2"/>
  <c r="BE126" i="2" s="1"/>
  <c r="AW40" i="2"/>
  <c r="BI57" i="2"/>
  <c r="BH71" i="2"/>
  <c r="BI71" i="2" s="1"/>
  <c r="AW85" i="2"/>
  <c r="BD85" i="2"/>
  <c r="BE85" i="2" s="1"/>
  <c r="Y95" i="2"/>
  <c r="BA129" i="2"/>
  <c r="BI163" i="2"/>
  <c r="AO167" i="2"/>
  <c r="BH78" i="2"/>
  <c r="BI78" i="2" s="1"/>
  <c r="AN157" i="2"/>
  <c r="AO157" i="2" s="1"/>
  <c r="AJ168" i="2"/>
  <c r="AK168" i="2" s="1"/>
  <c r="BA59" i="2"/>
  <c r="AK63" i="2"/>
  <c r="BE87" i="2"/>
  <c r="AO115" i="2"/>
  <c r="AB133" i="2"/>
  <c r="AC133" i="2" s="1"/>
  <c r="X160" i="2"/>
  <c r="Y160" i="2" s="1"/>
  <c r="AS71" i="2"/>
  <c r="X102" i="2"/>
  <c r="Y102" i="2" s="1"/>
  <c r="BA81" i="2"/>
  <c r="BA155" i="2"/>
  <c r="AB160" i="2"/>
  <c r="AC160" i="2" s="1"/>
  <c r="BI216" i="2"/>
  <c r="AW48" i="2"/>
  <c r="AG108" i="2"/>
  <c r="BD157" i="2"/>
  <c r="BE157" i="2" s="1"/>
  <c r="AS216" i="2"/>
  <c r="AJ92" i="2"/>
  <c r="AK92" i="2" s="1"/>
  <c r="AZ46" i="2"/>
  <c r="BA46" i="2" s="1"/>
  <c r="AC126" i="2"/>
  <c r="AF160" i="2"/>
  <c r="AG160" i="2" s="1"/>
  <c r="AS214" i="2"/>
  <c r="BO157" i="2"/>
  <c r="X216" i="2"/>
  <c r="X215" i="2" s="1"/>
  <c r="Y215" i="2" s="1"/>
  <c r="BO171" i="2"/>
  <c r="BA20" i="2"/>
  <c r="BD46" i="2"/>
  <c r="BE46" i="2" s="1"/>
  <c r="BL58" i="2"/>
  <c r="BL59" i="2" s="1"/>
  <c r="AF89" i="2"/>
  <c r="AG89" i="2" s="1"/>
  <c r="AS108" i="2"/>
  <c r="AB120" i="2"/>
  <c r="AC120" i="2" s="1"/>
  <c r="AV168" i="2"/>
  <c r="AW168" i="2" s="1"/>
  <c r="BR171" i="2"/>
  <c r="AW214" i="2"/>
  <c r="BD22" i="2"/>
  <c r="BE22" i="2" s="1"/>
  <c r="BO42" i="2"/>
  <c r="AO132" i="2"/>
  <c r="BA44" i="2"/>
  <c r="AN68" i="2"/>
  <c r="BD92" i="2"/>
  <c r="BE92" i="2" s="1"/>
  <c r="AJ116" i="2"/>
  <c r="AK116" i="2" s="1"/>
  <c r="AF142" i="2"/>
  <c r="BO58" i="2"/>
  <c r="BO59" i="2" s="1"/>
  <c r="AC70" i="2"/>
  <c r="BH130" i="2"/>
  <c r="BI130" i="2" s="1"/>
  <c r="BR143" i="2"/>
  <c r="X59" i="2"/>
  <c r="Y59" i="2" s="1"/>
  <c r="Y58" i="2"/>
  <c r="AV49" i="2"/>
  <c r="AW49" i="2" s="1"/>
  <c r="AW47" i="2"/>
  <c r="BA47" i="2"/>
  <c r="AZ49" i="2"/>
  <c r="BA49" i="2" s="1"/>
  <c r="AO83" i="2"/>
  <c r="BE58" i="2"/>
  <c r="BD59" i="2"/>
  <c r="BE59" i="2" s="1"/>
  <c r="BA48" i="2"/>
  <c r="BI84" i="2"/>
  <c r="BH64" i="2"/>
  <c r="BI64" i="2" s="1"/>
  <c r="AR160" i="2"/>
  <c r="AS160" i="2" s="1"/>
  <c r="AS158" i="2"/>
  <c r="AZ143" i="2"/>
  <c r="BA143" i="2" s="1"/>
  <c r="AF157" i="2"/>
  <c r="AG157" i="2" s="1"/>
  <c r="AG155" i="2"/>
  <c r="AO76" i="2"/>
  <c r="AN78" i="2"/>
  <c r="AO78" i="2" s="1"/>
  <c r="Y104" i="2"/>
  <c r="AR111" i="2"/>
  <c r="AS112" i="2"/>
  <c r="AJ162" i="2"/>
  <c r="AK163" i="2"/>
  <c r="AZ168" i="2"/>
  <c r="BA168" i="2" s="1"/>
  <c r="BA166" i="2"/>
  <c r="AN46" i="2"/>
  <c r="AO46" i="2" s="1"/>
  <c r="AO44" i="2"/>
  <c r="Y56" i="2"/>
  <c r="AC66" i="2"/>
  <c r="AK114" i="2"/>
  <c r="BD168" i="2"/>
  <c r="BE168" i="2" s="1"/>
  <c r="BE166" i="2"/>
  <c r="AZ42" i="2"/>
  <c r="BA42" i="2" s="1"/>
  <c r="X49" i="2"/>
  <c r="Y49" i="2" s="1"/>
  <c r="Y47" i="2"/>
  <c r="BI40" i="2"/>
  <c r="BR15" i="2"/>
  <c r="AG114" i="2"/>
  <c r="AF116" i="2"/>
  <c r="AG116" i="2" s="1"/>
  <c r="BH142" i="2"/>
  <c r="BI142" i="2" s="1"/>
  <c r="BH143" i="2"/>
  <c r="BI143" i="2" s="1"/>
  <c r="S172" i="2"/>
  <c r="AG171" i="2"/>
  <c r="BI21" i="2"/>
  <c r="BH20" i="2"/>
  <c r="AK44" i="2"/>
  <c r="AC56" i="2"/>
  <c r="AB58" i="2"/>
  <c r="AF68" i="2"/>
  <c r="AG68" i="2" s="1"/>
  <c r="AR78" i="2"/>
  <c r="AS78" i="2" s="1"/>
  <c r="X15" i="2"/>
  <c r="Y15" i="2" s="1"/>
  <c r="AR22" i="2"/>
  <c r="AS22" i="2" s="1"/>
  <c r="AG66" i="2"/>
  <c r="BH89" i="2"/>
  <c r="BI89" i="2" s="1"/>
  <c r="AB130" i="2"/>
  <c r="AC130" i="2" s="1"/>
  <c r="BE47" i="2"/>
  <c r="BD49" i="2"/>
  <c r="BE49" i="2" s="1"/>
  <c r="Y68" i="2"/>
  <c r="AW13" i="2"/>
  <c r="AR47" i="2"/>
  <c r="AN20" i="2"/>
  <c r="AF64" i="2"/>
  <c r="AG64" i="2" s="1"/>
  <c r="AB71" i="2"/>
  <c r="AC71" i="2" s="1"/>
  <c r="AC69" i="2"/>
  <c r="X71" i="2"/>
  <c r="Y71" i="2" s="1"/>
  <c r="AK104" i="2"/>
  <c r="AJ106" i="2"/>
  <c r="AK106" i="2" s="1"/>
  <c r="AJ58" i="2"/>
  <c r="AK56" i="2"/>
  <c r="BH160" i="2"/>
  <c r="BI160" i="2" s="1"/>
  <c r="AZ19" i="2"/>
  <c r="BA19" i="2" s="1"/>
  <c r="BA18" i="2"/>
  <c r="AG70" i="2"/>
  <c r="BA140" i="2"/>
  <c r="AK17" i="2"/>
  <c r="AF47" i="2"/>
  <c r="AG48" i="2"/>
  <c r="AW20" i="2"/>
  <c r="AV22" i="2"/>
  <c r="AW22" i="2" s="1"/>
  <c r="BE44" i="2"/>
  <c r="AJ71" i="2"/>
  <c r="AK71" i="2" s="1"/>
  <c r="AK69" i="2"/>
  <c r="Y125" i="2"/>
  <c r="AB49" i="2"/>
  <c r="AC49" i="2" s="1"/>
  <c r="BE68" i="2"/>
  <c r="AK70" i="2"/>
  <c r="AC81" i="2"/>
  <c r="X82" i="2"/>
  <c r="Y82" i="2" s="1"/>
  <c r="Y111" i="2"/>
  <c r="BE140" i="2"/>
  <c r="AC162" i="2"/>
  <c r="BE41" i="2"/>
  <c r="BD42" i="2"/>
  <c r="BE42" i="2" s="1"/>
  <c r="AO70" i="2"/>
  <c r="AN69" i="2"/>
  <c r="AF71" i="2"/>
  <c r="AG71" i="2" s="1"/>
  <c r="Y88" i="2"/>
  <c r="X87" i="2"/>
  <c r="BA101" i="2"/>
  <c r="AZ102" i="2"/>
  <c r="BA102" i="2" s="1"/>
  <c r="AC125" i="2"/>
  <c r="AV19" i="2"/>
  <c r="AW19" i="2" s="1"/>
  <c r="AW62" i="2"/>
  <c r="AB87" i="2"/>
  <c r="AC88" i="2"/>
  <c r="BD96" i="2"/>
  <c r="BE96" i="2" s="1"/>
  <c r="BD106" i="2"/>
  <c r="BE106" i="2" s="1"/>
  <c r="AG111" i="2"/>
  <c r="AF113" i="2"/>
  <c r="AG113" i="2" s="1"/>
  <c r="AG162" i="2"/>
  <c r="BA119" i="2"/>
  <c r="AZ120" i="2"/>
  <c r="BA120" i="2" s="1"/>
  <c r="BA62" i="2"/>
  <c r="AW70" i="2"/>
  <c r="AV69" i="2"/>
  <c r="AN82" i="2"/>
  <c r="AO82" i="2" s="1"/>
  <c r="AO81" i="2"/>
  <c r="AN164" i="2"/>
  <c r="AO164" i="2" s="1"/>
  <c r="AO162" i="2"/>
  <c r="AN133" i="2"/>
  <c r="AO133" i="2" s="1"/>
  <c r="AO131" i="2"/>
  <c r="AO88" i="2"/>
  <c r="AN87" i="2"/>
  <c r="AK108" i="2"/>
  <c r="AJ107" i="2"/>
  <c r="AO108" i="2"/>
  <c r="AN107" i="2"/>
  <c r="AS88" i="2"/>
  <c r="AS107" i="2"/>
  <c r="AR109" i="2"/>
  <c r="AS109" i="2" s="1"/>
  <c r="BI128" i="2"/>
  <c r="AS87" i="2"/>
  <c r="AR89" i="2"/>
  <c r="AS89" i="2" s="1"/>
  <c r="BI17" i="2"/>
  <c r="AK21" i="2"/>
  <c r="BE48" i="2"/>
  <c r="AB78" i="2"/>
  <c r="AC78" i="2" s="1"/>
  <c r="AW108" i="2"/>
  <c r="AV107" i="2"/>
  <c r="BL42" i="2"/>
  <c r="BH47" i="2"/>
  <c r="BI48" i="2"/>
  <c r="BD131" i="2"/>
  <c r="BE132" i="2"/>
  <c r="AW169" i="2"/>
  <c r="AV171" i="2"/>
  <c r="AW171" i="2" s="1"/>
  <c r="AW83" i="2"/>
  <c r="AW118" i="2"/>
  <c r="AV120" i="2"/>
  <c r="AW120" i="2" s="1"/>
  <c r="AZ171" i="2"/>
  <c r="BA171" i="2" s="1"/>
  <c r="BA169" i="2"/>
  <c r="BD15" i="2"/>
  <c r="BE15" i="2" s="1"/>
  <c r="BE13" i="2"/>
  <c r="S43" i="2"/>
  <c r="AC42" i="2"/>
  <c r="BA58" i="2"/>
  <c r="AW88" i="2"/>
  <c r="AV87" i="2"/>
  <c r="BI83" i="2"/>
  <c r="BH85" i="2"/>
  <c r="BI85" i="2" s="1"/>
  <c r="AS169" i="2"/>
  <c r="AG57" i="2"/>
  <c r="AO68" i="2"/>
  <c r="BA21" i="2"/>
  <c r="AJ22" i="2"/>
  <c r="AK22" i="2" s="1"/>
  <c r="AO67" i="2"/>
  <c r="AF78" i="2"/>
  <c r="AG78" i="2" s="1"/>
  <c r="AG76" i="2"/>
  <c r="BI92" i="2"/>
  <c r="AJ111" i="2"/>
  <c r="AK112" i="2"/>
  <c r="BA124" i="2"/>
  <c r="AZ126" i="2"/>
  <c r="BA126" i="2" s="1"/>
  <c r="BO15" i="2"/>
  <c r="Y41" i="2"/>
  <c r="X42" i="2"/>
  <c r="Y42" i="2" s="1"/>
  <c r="AG44" i="2"/>
  <c r="AJ68" i="2"/>
  <c r="AK68" i="2" s="1"/>
  <c r="AO155" i="2"/>
  <c r="BA91" i="2"/>
  <c r="AZ92" i="2"/>
  <c r="BA92" i="2" s="1"/>
  <c r="AJ96" i="2"/>
  <c r="AK96" i="2" s="1"/>
  <c r="BI131" i="2"/>
  <c r="BH133" i="2"/>
  <c r="BI133" i="2" s="1"/>
  <c r="AZ68" i="2"/>
  <c r="BA68" i="2" s="1"/>
  <c r="X46" i="2"/>
  <c r="Y46" i="2" s="1"/>
  <c r="BA66" i="2"/>
  <c r="AK90" i="2"/>
  <c r="AN96" i="2"/>
  <c r="AO96" i="2" s="1"/>
  <c r="AK124" i="2"/>
  <c r="AJ126" i="2"/>
  <c r="AK126" i="2" s="1"/>
  <c r="AS128" i="2"/>
  <c r="X19" i="2"/>
  <c r="Y19" i="2" s="1"/>
  <c r="AG40" i="2"/>
  <c r="AV68" i="2"/>
  <c r="AW68" i="2" s="1"/>
  <c r="BD78" i="2"/>
  <c r="BE78" i="2" s="1"/>
  <c r="AZ87" i="2"/>
  <c r="BI114" i="2"/>
  <c r="BE155" i="2"/>
  <c r="AG128" i="2"/>
  <c r="AF130" i="2"/>
  <c r="AG130" i="2" s="1"/>
  <c r="BA76" i="2"/>
  <c r="AS84" i="2"/>
  <c r="AF83" i="2"/>
  <c r="BL116" i="2"/>
  <c r="S134" i="2"/>
  <c r="AG133" i="2"/>
  <c r="AJ15" i="2"/>
  <c r="AK15" i="2" s="1"/>
  <c r="AC17" i="2"/>
  <c r="AW80" i="2"/>
  <c r="AV82" i="2"/>
  <c r="AW82" i="2" s="1"/>
  <c r="BE89" i="2"/>
  <c r="AV106" i="2"/>
  <c r="AW106" i="2" s="1"/>
  <c r="AC112" i="2"/>
  <c r="BO116" i="2"/>
  <c r="AR126" i="2"/>
  <c r="AS126" i="2" s="1"/>
  <c r="AS124" i="2"/>
  <c r="AG140" i="2"/>
  <c r="AS141" i="2"/>
  <c r="BI155" i="2"/>
  <c r="AR168" i="2"/>
  <c r="AS168" i="2" s="1"/>
  <c r="BH82" i="2"/>
  <c r="BI82" i="2" s="1"/>
  <c r="BI81" i="2"/>
  <c r="BI104" i="2"/>
  <c r="BH106" i="2"/>
  <c r="BI106" i="2" s="1"/>
  <c r="AN92" i="2"/>
  <c r="AO92" i="2" s="1"/>
  <c r="BI109" i="2"/>
  <c r="BR116" i="2"/>
  <c r="AW141" i="2"/>
  <c r="BL157" i="2"/>
  <c r="AO169" i="2"/>
  <c r="AN171" i="2"/>
  <c r="AO171" i="2" s="1"/>
  <c r="BE170" i="2"/>
  <c r="BD171" i="2"/>
  <c r="BE171" i="2" s="1"/>
  <c r="BL143" i="2"/>
  <c r="AW163" i="2"/>
  <c r="AV162" i="2"/>
  <c r="AR19" i="2"/>
  <c r="AS19" i="2" s="1"/>
  <c r="Y109" i="2"/>
  <c r="AS120" i="2"/>
  <c r="BA162" i="2"/>
  <c r="AZ164" i="2"/>
  <c r="BA164" i="2" s="1"/>
  <c r="BH15" i="2"/>
  <c r="BI15" i="2" s="1"/>
  <c r="AS17" i="2"/>
  <c r="AO63" i="2"/>
  <c r="AZ71" i="2"/>
  <c r="BA71" i="2" s="1"/>
  <c r="Y108" i="2"/>
  <c r="AS119" i="2"/>
  <c r="AW140" i="2"/>
  <c r="Y162" i="2"/>
  <c r="BA163" i="2"/>
  <c r="BI166" i="2"/>
  <c r="BH171" i="2"/>
  <c r="BI171" i="2" s="1"/>
  <c r="BD215" i="2"/>
  <c r="BE215" i="2" s="1"/>
  <c r="BE216" i="2"/>
  <c r="AB15" i="2"/>
  <c r="AC15" i="2" s="1"/>
  <c r="AS104" i="2"/>
  <c r="BE118" i="2"/>
  <c r="Y141" i="2"/>
  <c r="BE164" i="2"/>
  <c r="S165" i="2"/>
  <c r="AB168" i="2"/>
  <c r="AC168" i="2" s="1"/>
  <c r="AZ113" i="2"/>
  <c r="BA113" i="2" s="1"/>
  <c r="BA111" i="2"/>
  <c r="AS68" i="2"/>
  <c r="AS92" i="2"/>
  <c r="BH120" i="2"/>
  <c r="BI120" i="2" s="1"/>
  <c r="BI118" i="2"/>
  <c r="AB142" i="2"/>
  <c r="AC142" i="2" s="1"/>
  <c r="AB143" i="2"/>
  <c r="AC143" i="2" s="1"/>
  <c r="AZ160" i="2"/>
  <c r="BA160" i="2" s="1"/>
  <c r="AF15" i="2"/>
  <c r="AG15" i="2" s="1"/>
  <c r="BL64" i="2"/>
  <c r="AS66" i="2"/>
  <c r="BD69" i="2"/>
  <c r="BE70" i="2"/>
  <c r="AF92" i="2"/>
  <c r="AG92" i="2" s="1"/>
  <c r="BA114" i="2"/>
  <c r="AZ116" i="2"/>
  <c r="BA116" i="2" s="1"/>
  <c r="AO56" i="2"/>
  <c r="AV78" i="2"/>
  <c r="AW78" i="2" s="1"/>
  <c r="AG80" i="2"/>
  <c r="AS91" i="2"/>
  <c r="AF96" i="2"/>
  <c r="AG96" i="2" s="1"/>
  <c r="AC141" i="2"/>
  <c r="BA158" i="2"/>
  <c r="AZ216" i="2"/>
  <c r="BA214" i="2"/>
  <c r="AG13" i="2"/>
  <c r="AW76" i="2"/>
  <c r="AG90" i="2"/>
  <c r="AG94" i="2"/>
  <c r="AZ106" i="2"/>
  <c r="BA106" i="2" s="1"/>
  <c r="BD116" i="2"/>
  <c r="BE116" i="2" s="1"/>
  <c r="BE158" i="2"/>
  <c r="BD160" i="2"/>
  <c r="BE160" i="2" s="1"/>
  <c r="BR157" i="2"/>
  <c r="BO19" i="2"/>
  <c r="AN59" i="2"/>
  <c r="AO59" i="2" s="1"/>
  <c r="AB64" i="2"/>
  <c r="AC64" i="2" s="1"/>
  <c r="AC63" i="2"/>
  <c r="BH68" i="2"/>
  <c r="BI68" i="2" s="1"/>
  <c r="AK84" i="2"/>
  <c r="BA109" i="2"/>
  <c r="AO111" i="2"/>
  <c r="BE112" i="2"/>
  <c r="X133" i="2"/>
  <c r="Y133" i="2" s="1"/>
  <c r="AJ216" i="2"/>
  <c r="AO57" i="2"/>
  <c r="BI66" i="2"/>
  <c r="AO94" i="2"/>
  <c r="AK101" i="2"/>
  <c r="BA107" i="2"/>
  <c r="BH111" i="2"/>
  <c r="BI112" i="2"/>
  <c r="AV46" i="2"/>
  <c r="AW46" i="2" s="1"/>
  <c r="AS94" i="2"/>
  <c r="AR96" i="2"/>
  <c r="AS96" i="2" s="1"/>
  <c r="AB102" i="2"/>
  <c r="AC102" i="2" s="1"/>
  <c r="X157" i="2"/>
  <c r="Y157" i="2" s="1"/>
  <c r="Y156" i="2"/>
  <c r="AJ42" i="2"/>
  <c r="AK42" i="2" s="1"/>
  <c r="AV126" i="2"/>
  <c r="AW126" i="2" s="1"/>
  <c r="AW132" i="2"/>
  <c r="BD143" i="2"/>
  <c r="BE143" i="2" s="1"/>
  <c r="AS164" i="2"/>
  <c r="Y17" i="2"/>
  <c r="AK40" i="2"/>
  <c r="AV58" i="2"/>
  <c r="AW58" i="2" s="1"/>
  <c r="AC104" i="2"/>
  <c r="AW124" i="2"/>
  <c r="AR142" i="2"/>
  <c r="AS142" i="2" s="1"/>
  <c r="BE141" i="2"/>
  <c r="AS163" i="2"/>
  <c r="X171" i="2"/>
  <c r="Y171" i="2" s="1"/>
  <c r="Y169" i="2"/>
  <c r="AN216" i="2"/>
  <c r="AO214" i="2"/>
  <c r="AB216" i="2"/>
  <c r="X116" i="2"/>
  <c r="Y116" i="2" s="1"/>
  <c r="Y114" i="2"/>
  <c r="AN130" i="2"/>
  <c r="AO130" i="2" s="1"/>
  <c r="AC132" i="2"/>
  <c r="AN102" i="2"/>
  <c r="AO102" i="2" s="1"/>
  <c r="AB116" i="2"/>
  <c r="AC116" i="2" s="1"/>
  <c r="AC155" i="2"/>
  <c r="AB157" i="2"/>
  <c r="AC157" i="2" s="1"/>
  <c r="X142" i="2"/>
  <c r="Y142" i="2" s="1"/>
  <c r="Y140" i="2"/>
  <c r="AJ143" i="2"/>
  <c r="AK143" i="2" s="1"/>
  <c r="AK141" i="2"/>
  <c r="BR130" i="2"/>
  <c r="Y128" i="2"/>
  <c r="X130" i="2"/>
  <c r="Y130" i="2" s="1"/>
  <c r="AN142" i="2"/>
  <c r="AO142" i="2" s="1"/>
  <c r="AV130" i="2"/>
  <c r="AW130" i="2" s="1"/>
  <c r="AV157" i="2"/>
  <c r="AW157" i="2" s="1"/>
  <c r="Y216" i="2" l="1"/>
  <c r="AF59" i="2"/>
  <c r="AG59" i="2" s="1"/>
  <c r="AG142" i="2"/>
  <c r="AF143" i="2"/>
  <c r="AG143" i="2" s="1"/>
  <c r="AN143" i="2"/>
  <c r="AO143" i="2" s="1"/>
  <c r="AO47" i="2"/>
  <c r="AK131" i="2"/>
  <c r="AJ133" i="2"/>
  <c r="AK133" i="2" s="1"/>
  <c r="AV59" i="2"/>
  <c r="AW59" i="2" s="1"/>
  <c r="AR143" i="2"/>
  <c r="AS143" i="2" s="1"/>
  <c r="AV143" i="2"/>
  <c r="AW143" i="2" s="1"/>
  <c r="AR59" i="2"/>
  <c r="AS59" i="2" s="1"/>
  <c r="AS58" i="2"/>
  <c r="BI111" i="2"/>
  <c r="BH113" i="2"/>
  <c r="BI113" i="2" s="1"/>
  <c r="AC58" i="2"/>
  <c r="AB59" i="2"/>
  <c r="AC59" i="2" s="1"/>
  <c r="AO216" i="2"/>
  <c r="AN215" i="2"/>
  <c r="AO215" i="2" s="1"/>
  <c r="AJ164" i="2"/>
  <c r="AK164" i="2" s="1"/>
  <c r="AK162" i="2"/>
  <c r="AK107" i="2"/>
  <c r="AJ109" i="2"/>
  <c r="AK109" i="2" s="1"/>
  <c r="BH22" i="2"/>
  <c r="BI22" i="2" s="1"/>
  <c r="BI20" i="2"/>
  <c r="AS111" i="2"/>
  <c r="AR113" i="2"/>
  <c r="AS113" i="2" s="1"/>
  <c r="AJ113" i="2"/>
  <c r="AK113" i="2" s="1"/>
  <c r="AK111" i="2"/>
  <c r="AO20" i="2"/>
  <c r="AN22" i="2"/>
  <c r="AO22" i="2" s="1"/>
  <c r="BA87" i="2"/>
  <c r="AZ89" i="2"/>
  <c r="BA89" i="2" s="1"/>
  <c r="BA216" i="2"/>
  <c r="AZ215" i="2"/>
  <c r="BA215" i="2" s="1"/>
  <c r="Y87" i="2"/>
  <c r="X89" i="2"/>
  <c r="Y89" i="2" s="1"/>
  <c r="AR49" i="2"/>
  <c r="AS49" i="2" s="1"/>
  <c r="AS47" i="2"/>
  <c r="AW69" i="2"/>
  <c r="AV71" i="2"/>
  <c r="AW71" i="2" s="1"/>
  <c r="AG47" i="2"/>
  <c r="AF49" i="2"/>
  <c r="AG49" i="2" s="1"/>
  <c r="AO107" i="2"/>
  <c r="AN109" i="2"/>
  <c r="AO109" i="2" s="1"/>
  <c r="AO69" i="2"/>
  <c r="AN71" i="2"/>
  <c r="AO71" i="2" s="1"/>
  <c r="AV89" i="2"/>
  <c r="AW89" i="2" s="1"/>
  <c r="AW87" i="2"/>
  <c r="AO87" i="2"/>
  <c r="AN89" i="2"/>
  <c r="AO89" i="2" s="1"/>
  <c r="BD133" i="2"/>
  <c r="BE133" i="2" s="1"/>
  <c r="BE131" i="2"/>
  <c r="AF85" i="2"/>
  <c r="AG85" i="2" s="1"/>
  <c r="AG83" i="2"/>
  <c r="BI47" i="2"/>
  <c r="BH49" i="2"/>
  <c r="BI49" i="2" s="1"/>
  <c r="AW162" i="2"/>
  <c r="AV164" i="2"/>
  <c r="AW164" i="2" s="1"/>
  <c r="X143" i="2"/>
  <c r="Y143" i="2" s="1"/>
  <c r="AK58" i="2"/>
  <c r="AJ59" i="2"/>
  <c r="AK59" i="2" s="1"/>
  <c r="AK216" i="2"/>
  <c r="AJ215" i="2"/>
  <c r="AK215" i="2" s="1"/>
  <c r="AB215" i="2"/>
  <c r="AC215" i="2" s="1"/>
  <c r="AC216" i="2"/>
  <c r="BE69" i="2"/>
  <c r="BD71" i="2"/>
  <c r="BE71" i="2" s="1"/>
  <c r="AV109" i="2"/>
  <c r="AW109" i="2" s="1"/>
  <c r="AW107" i="2"/>
  <c r="AB89" i="2"/>
  <c r="AC89" i="2" s="1"/>
  <c r="AC87" i="2"/>
</calcChain>
</file>

<file path=xl/sharedStrings.xml><?xml version="1.0" encoding="utf-8"?>
<sst xmlns="http://schemas.openxmlformats.org/spreadsheetml/2006/main" count="1406" uniqueCount="334">
  <si>
    <t>Vehicle</t>
  </si>
  <si>
    <t>Location</t>
  </si>
  <si>
    <t>Test purpose</t>
  </si>
  <si>
    <t>x</t>
  </si>
  <si>
    <t>Regen charge limit</t>
  </si>
  <si>
    <t>APRF 4WD - 371</t>
  </si>
  <si>
    <t>← Hand Calc'd Cell</t>
  </si>
  <si>
    <t>DCDC in (estimate)</t>
  </si>
  <si>
    <t xml:space="preserve">A/C Compressor - Heat Pump </t>
  </si>
  <si>
    <t>PTC Heater</t>
  </si>
  <si>
    <t>Electric consumption [Wh/mi]</t>
  </si>
  <si>
    <t>SOC</t>
  </si>
  <si>
    <t>Charge Data</t>
  </si>
  <si>
    <t>Test ID [#]</t>
  </si>
  <si>
    <t>Cycle</t>
  </si>
  <si>
    <t>Phase Number</t>
  </si>
  <si>
    <t>Cycle Filename (use to determine cycle)</t>
  </si>
  <si>
    <t>Test Time</t>
  </si>
  <si>
    <t>Date</t>
  </si>
  <si>
    <t>Start Comments</t>
  </si>
  <si>
    <t>End Comments</t>
  </si>
  <si>
    <t>SPECIAL COMMENTS</t>
  </si>
  <si>
    <t>Test Cell Temp [C]</t>
  </si>
  <si>
    <t>Test Cell RH [%]</t>
  </si>
  <si>
    <t>Test Cell Baro [in/Hg]</t>
  </si>
  <si>
    <t>Mean Front Tire Temperature [C]</t>
  </si>
  <si>
    <t>Test weight [lb]</t>
  </si>
  <si>
    <t>Dyno Target A:</t>
  </si>
  <si>
    <t>Dyno Target B:</t>
  </si>
  <si>
    <t>Dyno Target C:</t>
  </si>
  <si>
    <t>Cycle Distance [mi]</t>
  </si>
  <si>
    <t>Cumulative Miles</t>
  </si>
  <si>
    <t>Start SOC</t>
  </si>
  <si>
    <t>End SOC</t>
  </si>
  <si>
    <t xml:space="preserve">HV Batt (500A)
Start 
WP1 [Wh]
</t>
  </si>
  <si>
    <t>HV Batt (500A) End
WP1 [Wh]</t>
  </si>
  <si>
    <t>HV Batt (500A) WP1
Δ [Wh]</t>
  </si>
  <si>
    <t>HV Batt (500A) Energy consumption ΔWP1
[Wh/mi]</t>
  </si>
  <si>
    <t>DCDC_In (20A) 
 Start WP2 [Wh]</t>
  </si>
  <si>
    <t>DCDC_In (20A) 
 End WP2 [Wh]</t>
  </si>
  <si>
    <t>DCDC_In (20A) WP2
Δ [Wh]</t>
  </si>
  <si>
    <t>DCDC_In (20A) WP2 Energy consumption ΔWP2
[Wh/mi]</t>
  </si>
  <si>
    <t>DCDC out (200A) 
 Start WP3 [Wh]</t>
  </si>
  <si>
    <t>DCDC out (200A) 
 End WP3 [Wh]</t>
  </si>
  <si>
    <t>DCDC_In (20A) WP3
Δ [Wh]</t>
  </si>
  <si>
    <t>DCDC_In (20A) WP3 Energy consumption ΔWP3
[Wh/mi]</t>
  </si>
  <si>
    <t>12V batt (200A) 
Start WP4 [Wh]</t>
  </si>
  <si>
    <t>12V batt (200A) 
End WP4 [Wh]</t>
  </si>
  <si>
    <t>12V Batt (200A)
Δ WP4 [Wh]</t>
  </si>
  <si>
    <t>12V Batt (200A) Δ WP4 [Wh/mi]</t>
  </si>
  <si>
    <t>AC Comp Start (40A) WP5 [Wh]</t>
  </si>
  <si>
    <t>AC Comp End (40A) WP5 [Wh]</t>
  </si>
  <si>
    <t>AC Comp (40A)
Δ WP5 [Wh]</t>
  </si>
  <si>
    <t>AC Comp (40A) Δ WP5 [Wh/mi]</t>
  </si>
  <si>
    <t>Coolant Heater (40A) Start WP6 [Wh]</t>
  </si>
  <si>
    <t>Coolant Heater (40A) End WP6 [Wh]</t>
  </si>
  <si>
    <t>Coolant Heater (40A)
Δ WP6 [Wh]</t>
  </si>
  <si>
    <t>Coolant Heater (40A) Δ WP6  [Wh/mi]</t>
  </si>
  <si>
    <t>Batt Heater (40A) Start WP7 [Wh]</t>
  </si>
  <si>
    <t>Batt Heater (40A) End WP7 [Wh]</t>
  </si>
  <si>
    <t>Batt Heater (40A)
Δ WP7 [Wh]</t>
  </si>
  <si>
    <t>Batt Heater (40A) Δ WP7  [Wh/mi]</t>
  </si>
  <si>
    <t>HV_Batt_Charge Start (200A) WP8 [Wh]</t>
  </si>
  <si>
    <t>HV_Batt_Charge (200A) End WP8 [Wh]</t>
  </si>
  <si>
    <t>HV_Batt_Charge (200A)
Δ WP8 [Wh]</t>
  </si>
  <si>
    <t>HV_Batt_Charge (200A) Δ WP8  [Wh/mi]</t>
  </si>
  <si>
    <t>(Post) EVSE-240V Charge (40A) Start WP9 [Wh]</t>
  </si>
  <si>
    <t>(Post) EVSE-240V Charge (40A) End WP9 [Wh]</t>
  </si>
  <si>
    <t>(Post) EVSE-240V (40A) Charge 
Δ WP9 [Wh]</t>
  </si>
  <si>
    <t>(Post) EVSE-240V Charge (40A)  Δ WP9  [Wh/mi]</t>
  </si>
  <si>
    <t>(Pre) EVSE-240V Charge (40A) Start WP10 [Wh]</t>
  </si>
  <si>
    <t>(Pre) EVSE-240V Charge (40A) End WP10 [Wh]</t>
  </si>
  <si>
    <t>(Pre) EVSE-240V Charge (40A)
Δ WP10 [Wh]</t>
  </si>
  <si>
    <t>(Pre) EVSE-240V Charge (40A) Δ WP10  [Wh/mi]</t>
  </si>
  <si>
    <t>Delta SOC</t>
  </si>
  <si>
    <t>240VAC Charge-Pre EVSE (40A) Start WP10 [Wh]</t>
  </si>
  <si>
    <t>240VAC Charge-Pre EVSE (40A) End WP10 [Wh]</t>
  </si>
  <si>
    <t>240V AC Charge- Pre EVSE (80A)
Δ [Wh]</t>
  </si>
  <si>
    <t>240VAC Charge-Post EVSE (40A) Start WP9 [Wh]</t>
  </si>
  <si>
    <t>240VAC Charge-Post EVSE (40A) End WP9 [Wh]</t>
  </si>
  <si>
    <t>240V AC Charge- Post EVSE (80A)
Δ [Wh]</t>
  </si>
  <si>
    <t>Recharge Allocation Factor</t>
  </si>
  <si>
    <t>Charge Efficiency</t>
  </si>
  <si>
    <t>Test Driver</t>
  </si>
  <si>
    <t>APCtime</t>
  </si>
  <si>
    <t>ASCR</t>
  </si>
  <si>
    <t>ASC_d</t>
  </si>
  <si>
    <t>ASC_t</t>
  </si>
  <si>
    <t>CE_d</t>
  </si>
  <si>
    <t>CE_t</t>
  </si>
  <si>
    <t>DR</t>
  </si>
  <si>
    <t>D_d</t>
  </si>
  <si>
    <t>D_t</t>
  </si>
  <si>
    <t>EER</t>
  </si>
  <si>
    <t>ER</t>
  </si>
  <si>
    <t>IWR</t>
  </si>
  <si>
    <t>Day 0 Coastdowns, Channel Check and Prep</t>
  </si>
  <si>
    <t>HWYx3 + coastdowns</t>
  </si>
  <si>
    <t>1p</t>
  </si>
  <si>
    <t>Z:\All Daq\Drive Cycles\Drive Cycle Archive\HWY CYCLES\HWYx3 3bag w_coastdown time 3600 .txt</t>
  </si>
  <si>
    <t>09/09/20, 09:30:03 AM</t>
  </si>
  <si>
    <t>hWYx3, 3 BAG WITH COASTDOWNTIME TO ESTABLISH VEHICLE LOSSES IN 4wd MODE</t>
  </si>
  <si>
    <t>ok, accepted new dyno sets and ran 3 vehicle on coastdowns which all came in OK</t>
  </si>
  <si>
    <t>Robot1</t>
  </si>
  <si>
    <t>2p</t>
  </si>
  <si>
    <t>3p</t>
  </si>
  <si>
    <t>Blank Bag</t>
  </si>
  <si>
    <t>Z:\All Daq\Drive Cycles\Blank Bags\Blank 1Bag 1800.txt</t>
  </si>
  <si>
    <t>09/09/20, 12:02:37 PM</t>
  </si>
  <si>
    <t>Blank bag log of HVAC swings to verify data</t>
  </si>
  <si>
    <t>ok</t>
  </si>
  <si>
    <t>xx</t>
  </si>
  <si>
    <t>NaN</t>
  </si>
  <si>
    <t>UDDS 1 , 505</t>
  </si>
  <si>
    <t>Z:\All Daq\Drive Cycles\J1634 Combined\UDDS-Split HWY UDDS-Split US06-Split ELECTRIC 7 Bag 4820.txt</t>
  </si>
  <si>
    <t>09/09/20, 12:59:21 PM</t>
  </si>
  <si>
    <t xml:space="preserve">J1634 MCT first 4 cycles, data and Vspy merge checkout. </t>
  </si>
  <si>
    <t xml:space="preserve">UDDS 1 </t>
  </si>
  <si>
    <t>UDDS 1 , Combined</t>
  </si>
  <si>
    <t>c1+2p</t>
  </si>
  <si>
    <t>HWY 1</t>
  </si>
  <si>
    <t>UDDS 2, 505</t>
  </si>
  <si>
    <t>4p</t>
  </si>
  <si>
    <t>UDDS 2</t>
  </si>
  <si>
    <t>5p</t>
  </si>
  <si>
    <t>UDDS 2, combined</t>
  </si>
  <si>
    <t>c4+5p</t>
  </si>
  <si>
    <t>US06 1, city</t>
  </si>
  <si>
    <t>s6p</t>
  </si>
  <si>
    <t>US06 1, hwy</t>
  </si>
  <si>
    <t>7p</t>
  </si>
  <si>
    <t>US06 1, combined</t>
  </si>
  <si>
    <t>c6+7p</t>
  </si>
  <si>
    <t>SS 65 MPH 3600 seconds</t>
  </si>
  <si>
    <t>Z:\All Daq\Drive Cycles\J1634 Combined\SSS 65mph 3600.txt</t>
  </si>
  <si>
    <t>09/09/20, 02:30:08 PM</t>
  </si>
  <si>
    <t xml:space="preserve">SSS 65MPH 3600 seconds, 65MPH SSS baseline </t>
  </si>
  <si>
    <t>SS 65 MPH 3600 seconds (until deplete)</t>
  </si>
  <si>
    <t>Z:\All Daq\Drive Cycles\J1634 Combined\65mph 1634 Capacity 3 hour 10800.txt</t>
  </si>
  <si>
    <t>09/10/20, 12:43:23 PM</t>
  </si>
  <si>
    <t>65MPH SSS until deplete</t>
  </si>
  <si>
    <t>Charge L2 23C</t>
  </si>
  <si>
    <t>Z:\All Daq\Drive Cycles\Blank Bags\Blank 1 Bag 50400 (14 hours).txt</t>
  </si>
  <si>
    <t>09/10/20, 01:49:02 PM</t>
  </si>
  <si>
    <t>Blank 1 bag charge log</t>
  </si>
  <si>
    <t xml:space="preserve">##DATA(Exhaust_Bag, =1, HVBatt_SOC_CAN4__per)TEST CHANNEL NOT FOUND TEST CHANNEL NOT FOUND TEST CHANNEL NOT FOUND DATA CHANNEL NOT FOUND DATA CHANNEL NOT FOUND DATA CHANNEL NOT FOUND DATA CHANNEL NOT FOUND DATA CHANNEL NOT FOUND DATA CHANNEL NOT FOUND DATA CHANNEL NOT FOUND DATA CHANNEL NOT FOUND TEST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t>
  </si>
  <si>
    <t xml:space="preserve">##DATA(Exhaust_Bag, =1-,HVBatt_SOC_CAN4__per)TEST CHANNEL NOT FOUND TEST CHANNEL NOT FOUND TEST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t>
  </si>
  <si>
    <t xml:space="preserve">##DATA(Exhaust_Bag, =1, HVBatt_SOC_CAN4__per)DATA CHANNEL NOT FOUND TEST CHANNEL NOT FOUND TEST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t>
  </si>
  <si>
    <t xml:space="preserve">##DATA(Exhaust_Bag, =1-, HVBatt_SOC_CAN4__per)DATA CHANNEL NOT FOUND TEST CHANNEL NOT FOUND TEST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t>
  </si>
  <si>
    <t>XX</t>
  </si>
  <si>
    <t>72°F - Performance Testing</t>
  </si>
  <si>
    <t>Z:\All Daq\Drive Cycles\Blank Bags\Blank 1Bag 3600.txt</t>
  </si>
  <si>
    <t>09/11/20, 08:53:53 AM</t>
  </si>
  <si>
    <t>Blank 1 bag regenerative charge limit, motor vehicle in drive until battery no longer accepts regenerative energy</t>
  </si>
  <si>
    <t>Inf</t>
  </si>
  <si>
    <t>Stairs up down, 0%, 3%, 6% grade</t>
  </si>
  <si>
    <t>Z:\All Daq\Drive Cycles\SS_Stairs and Tip-ins\stairs_up_down_80mph_60sec_ramp_3_bag x3 w_0_3_6pct grade_w55MPH_warmup_3652.txt</t>
  </si>
  <si>
    <t>09/11/20, 09:58:55 AM</t>
  </si>
  <si>
    <t xml:space="preserve">SSS 0-80-0 @ 0%, 3% &amp; 6% grade, 1 minute hold with 10 minute warmup at 55MPH, PRNDL in D </t>
  </si>
  <si>
    <t xml:space="preserve">Tip Ins 35-55, 55-65, 35-70, 55-80 x 3 </t>
  </si>
  <si>
    <t>Z:\All Daq\Drive Cycles\SS_Stairs and Tip-ins\TipIns 35-55 55-65 35-70 55-80 X3 w_55mph warmup 4bags 1162.txt</t>
  </si>
  <si>
    <t>09/11/20, 01:28:32 PM</t>
  </si>
  <si>
    <t xml:space="preserve">Tip-Ins (passing manuevers) at 0%, 3% &amp; 6% grade with 10 minute warmup at 55MPH, PRNDL in L </t>
  </si>
  <si>
    <t>Power Cycle Ramps8-Opt5-Filtered</t>
  </si>
  <si>
    <t>Z:\All Daq\Drive Cycles\RampCycles\NewRamps8-0pt5-Filtered2s.txt</t>
  </si>
  <si>
    <t>09/11/20, 02:01:49 PM</t>
  </si>
  <si>
    <t xml:space="preserve">Power cycle mapping, PRNDL in L </t>
  </si>
  <si>
    <t>WOT x 10</t>
  </si>
  <si>
    <t>09/11/20, 02:20:12 PM</t>
  </si>
  <si>
    <t>WOTs X 10, blank 1 bag</t>
  </si>
  <si>
    <t>25% grade test</t>
  </si>
  <si>
    <t>09/11/20, 02:40:36 PM</t>
  </si>
  <si>
    <t>25% grade until stabilized or derate</t>
  </si>
  <si>
    <t>72°F, J1634 MCT Combo Shortcut Test, WLTPx2</t>
  </si>
  <si>
    <t>09/14/20, 12:23:31 PM</t>
  </si>
  <si>
    <t>J1634MCT UDDS-HWY-UDDS-US06, cold start from full charge, headlights-OFF</t>
  </si>
  <si>
    <t>ok, Vspy file split into 2 file, will need to remerge</t>
  </si>
  <si>
    <t xml:space="preserve">WLTPx2 </t>
  </si>
  <si>
    <t>Z:\All Daq\Drive Cycles\Drive Cycle Archive\WLTP\WLTPv4x2 8bag 10 minute soak 4200.txt</t>
  </si>
  <si>
    <t>09/14/20, 02:02:22 PM</t>
  </si>
  <si>
    <t>WLTP headlights-OFF</t>
  </si>
  <si>
    <t>WLTPx2</t>
  </si>
  <si>
    <t>6p</t>
  </si>
  <si>
    <t>8p</t>
  </si>
  <si>
    <t>c1+2+3+4p</t>
  </si>
  <si>
    <t>c5+6+7+8p</t>
  </si>
  <si>
    <t>Z:\All Daq\Drive Cycles\Blank Bags\Blank 1 Bag 21600 (6 hours).txt</t>
  </si>
  <si>
    <t>09/14/20, 03:21:05 PM</t>
  </si>
  <si>
    <t>Blank 1 bag, 6 hours charge test</t>
  </si>
  <si>
    <t xml:space="preserve">##DATA(Exhaust_Bag, =1, HVBatt_SOC_CAN4__per)DATA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t>
  </si>
  <si>
    <t xml:space="preserve">##DATA(Exhaust_Bag, =1-,HVBatt_SOC_CAN4__per)DATA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t>
  </si>
  <si>
    <t xml:space="preserve">##DATA(Exhaust_Bag, =1-, HVBatt_SOC_CAN4__per)DATA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t>
  </si>
  <si>
    <t>MK</t>
  </si>
  <si>
    <t>72°F, J1634 MCT Combo Shortcut Test</t>
  </si>
  <si>
    <t>09/15/20, 08:25:59 AM</t>
  </si>
  <si>
    <t>J1634 MCT, UDDS-HWY-UDDS-US06, in L Mode, Headlights -OFF</t>
  </si>
  <si>
    <t xml:space="preserve">72°F, HWYx2 + Coastowns. Vehicle losses changed 3-5% (tires suspect at 1k breakin). Redo coastdowns. Use data above carefully as vehicle losses reduced. </t>
  </si>
  <si>
    <t>HWYx2 + coastdowns</t>
  </si>
  <si>
    <t>Z:\All Daq\Drive Cycles\Drive Cycle Archive\HWY CYCLES\HWYx2 2bag w_coastdown time 3600 .txt</t>
  </si>
  <si>
    <t>09/15/20, 01:16:15 PM</t>
  </si>
  <si>
    <t>Hwyx2, 2 bag with coastdowntime to check vehicle losses</t>
  </si>
  <si>
    <t>ok, saved new dyno sets as vehicle has changed since initial coastdown</t>
  </si>
  <si>
    <t>72°F - J1634 MCT Combo Shortcut Test</t>
  </si>
  <si>
    <t>09/16/20, 08:31:33 AM</t>
  </si>
  <si>
    <t>J1634 MCT, UDDS-HWY-UDDS-US06, in L mode, Headlights -OFF</t>
  </si>
  <si>
    <t>SSS 65mph depletion</t>
  </si>
  <si>
    <t>Z:\All Daq\Drive Cycles\J1634 Combined\65mph 1634 Capacity 10000 seconds.txt</t>
  </si>
  <si>
    <t>09/16/20, 09:59:30 AM</t>
  </si>
  <si>
    <t>65mph SSS until deplete</t>
  </si>
  <si>
    <t>KS</t>
  </si>
  <si>
    <t>US06 2, city</t>
  </si>
  <si>
    <t>s1p</t>
  </si>
  <si>
    <t>Z:\All Daq\Drive Cycles\J1634 Combined\US06-Split UDDS-Split HWY UDDS-Split ELECTRIC 7 Bag 5328.txt</t>
  </si>
  <si>
    <t>09/16/20, 12:55:00 PM</t>
  </si>
  <si>
    <t>J1634 MCT, US06-UDDS-HWY-UDDS, in L-mode, Headlights -OFF</t>
  </si>
  <si>
    <t>FJ</t>
  </si>
  <si>
    <t>US06 2, hwy</t>
  </si>
  <si>
    <t>US06 2, combined</t>
  </si>
  <si>
    <t>UDDS 3, 505</t>
  </si>
  <si>
    <t>UDDS 3</t>
  </si>
  <si>
    <t>UDDS 3, combined</t>
  </si>
  <si>
    <t>c3+4p</t>
  </si>
  <si>
    <t>HWY</t>
  </si>
  <si>
    <t>UDDS 4, 505</t>
  </si>
  <si>
    <t>UDDS 4</t>
  </si>
  <si>
    <t>UDDS 4, combined</t>
  </si>
  <si>
    <t>09/16/20, 02:33:58 PM</t>
  </si>
  <si>
    <t>65mph SSS until full depletion</t>
  </si>
  <si>
    <t>Z:\All Daq\Drive Cycles\Blank Bags\Blank 1 Bag 46800 (13 hours).txt</t>
  </si>
  <si>
    <t>09/16/20, 03:04:22 PM</t>
  </si>
  <si>
    <t>J1634 MCT, charge to full using L2 charger after full MCT deplete, 46800 seconds (13 hours)</t>
  </si>
  <si>
    <t xml:space="preserve">##DATA(Exhaust_Bag, =1, HVBatt_SOC_CAN4__per)DATA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t>
  </si>
  <si>
    <t xml:space="preserve">##DATA(Exhaust_Bag, =1-,HVBatt_SOC_CAN4__per)DATA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t>
  </si>
  <si>
    <t xml:space="preserve">##DATA(Exhaust_Bag, =1, HVBatt_SOC_CAN4__per)DATA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t>
  </si>
  <si>
    <t xml:space="preserve">##DATA(Exhaust_Bag, =1-, HVBatt_SOC_CAN4__per)DATA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t>
  </si>
  <si>
    <t>72°F - J1634 MCT Combo Shortcut Test, Repeat 1</t>
  </si>
  <si>
    <t>09/17/20, 07:46:23 AM</t>
  </si>
  <si>
    <t>J1634 MCT, start from full charge, UDDS-HWY-UDDS-US06, in L mode, Headlights -OFF</t>
  </si>
  <si>
    <t>09/17/20, 09:30:55 AM</t>
  </si>
  <si>
    <t xml:space="preserve">J1634 MCT 65mph SSS depletion, 10000 sec. </t>
  </si>
  <si>
    <t>09/17/20, 12:25:35 PM</t>
  </si>
  <si>
    <t xml:space="preserve">J1634 MCT, US06-UDDS-HWY-UDDS, in L-mode, Headlights-OFF. </t>
  </si>
  <si>
    <t>09/17/20, 02:00:19 PM</t>
  </si>
  <si>
    <t>J1634 MCT, 65mph SSS unitl full depletion</t>
  </si>
  <si>
    <t>09/17/20, 02:27:48 PM</t>
  </si>
  <si>
    <t xml:space="preserve">##DATA(Exhaust_Bag, =1, HVBatt_SOC_CAN4__per)DATA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t>
  </si>
  <si>
    <t xml:space="preserve">##DATA(Exhaust_Bag, =1-,HVBatt_SOC_CAN4__per)DATA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t>
  </si>
  <si>
    <t xml:space="preserve">##DATA(Exhaust_Bag, =1-, HVBatt_SOC_CAN4__per)DATA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t>
  </si>
  <si>
    <t>72°F - J1634 MCT 4 cycle Shortcut Test, WLTP2x, US06x10 (thermal stability)</t>
  </si>
  <si>
    <t>09/18/20, 07:38:37 AM</t>
  </si>
  <si>
    <t>J1634 MCT, start from full charge, UDDS-HWY-UDDS-US06, In L-mode, Headlights -OFF</t>
  </si>
  <si>
    <t>Z:\All Daq\Drive Cycles\Drive Cycle Archive\WLTP\WLTPv4x2 8bag no soak 3615.txt</t>
  </si>
  <si>
    <t>09/18/20, 09:05:08 AM</t>
  </si>
  <si>
    <t>WLTPx2 8bag, in L-mode, Headlights -OFF</t>
  </si>
  <si>
    <t>US06x10</t>
  </si>
  <si>
    <t>Z:\All Daq\Drive Cycles\J1634 Combined\USO6x10 10 bag NoSoak 6001.txt</t>
  </si>
  <si>
    <t>09/18/20, 10:10:05 AM</t>
  </si>
  <si>
    <t>US06x10, 10bag, in L-mode, Headlights -OFF</t>
  </si>
  <si>
    <t>9p</t>
  </si>
  <si>
    <t>10p</t>
  </si>
  <si>
    <t>72°F - MCT Testing / J1634- Balloted new version</t>
  </si>
  <si>
    <t>Z:\All Daq\Drive Cycles\J1634 Combined\SMCT\SMCT-UDDS - UDDS - HWY -US06 - HWY- UDDS - UDDS NOSOAK 12 Bag 7676.txt</t>
  </si>
  <si>
    <t>09/21/20, 07:27:26 AM</t>
  </si>
  <si>
    <t>J1634 SMCT Balloted New Version, UDDS-UDDS-HWY-US06-HWY-UDDS-UDDS, 12 bag, no-soak</t>
  </si>
  <si>
    <t xml:space="preserve">##INFO(TINVALID COMMAND  INVALID COMMAND  INVALID COMMAND  INVALID COMMAND  INVALID COMMAND  INVALID COMMAND  INVALID COMMAND  INVALID COMMAND  INVALID COMMAND  INVALID COMMAND  INVALID COMMAND  INVALID COMMAND  INVALID COMMAND  INVALID COMMAND  INVALID COMMAND  INVALID COMMAND  INVALID COMMAND  </t>
  </si>
  <si>
    <t>HWY 2</t>
  </si>
  <si>
    <t>c9+10p</t>
  </si>
  <si>
    <t>11p</t>
  </si>
  <si>
    <t>12p</t>
  </si>
  <si>
    <t>c11+12p</t>
  </si>
  <si>
    <t>SSS Depletion</t>
  </si>
  <si>
    <t>Z:\All Daq\Drive Cycles\J1634 Combined\65mph 1634 Capacity 4 hour 14400.txt</t>
  </si>
  <si>
    <t>09/21/20, 09:41:34 AM</t>
  </si>
  <si>
    <t>J1634 SMCT Balloted New Version, SSS 65mph until deplete</t>
  </si>
  <si>
    <t>09/21/20, 01:20:19 PM</t>
  </si>
  <si>
    <t>Blank 1 bag 13 hour charge log test</t>
  </si>
  <si>
    <t xml:space="preserve">##DATA(Exhaust_Bag, =1, HVBatt_SOC_CAN4__per)DATA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t>
  </si>
  <si>
    <t xml:space="preserve">##DATA(Exhaust_Bag, =1-,HVBatt_SOC_CAN4__per)DATA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t>
  </si>
  <si>
    <t xml:space="preserve">##DATA(Exhaust_Bag, =1, HVBatt_SOC_CAN4__per)DATA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t>
  </si>
  <si>
    <t xml:space="preserve">##DATA(Exhaust_Bag, =1-, HVBatt_SOC_CAN4__per)DATA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DATA CHANNEL NOT FOUND </t>
  </si>
  <si>
    <t>##INFO(Test Cycle File Name)</t>
  </si>
  <si>
    <t>##INFO(Test Start Time)</t>
  </si>
  <si>
    <t>##INFO(Test Start Comments)</t>
  </si>
  <si>
    <t>##INFO(Test End Comments)</t>
  </si>
  <si>
    <t>##INFO(Dyno Test Weight [lb])</t>
  </si>
  <si>
    <t>##INFO(Dyno Target A)</t>
  </si>
  <si>
    <t>##INFO(Dyno Target B)</t>
  </si>
  <si>
    <t>##INFO(Dyno Target C)</t>
  </si>
  <si>
    <t>##INFO(Test Driver)</t>
  </si>
  <si>
    <t xml:space="preserve">       Do Not Delete Below This Line       </t>
  </si>
  <si>
    <t>Standard</t>
  </si>
  <si>
    <t>##DATAMEAN(Exhaust_Bag, =$$,Cell_Temp[C],)</t>
  </si>
  <si>
    <t>##DATAMEAN(Exhaust_Bag, =$$,Cell_RH[%],)</t>
  </si>
  <si>
    <t>##DATAMEAN(Exhaust_Bag, =$$,Cell_Press[inHg],)</t>
  </si>
  <si>
    <t>##DATAMEAN(Exhaust_Bag, =$$,Tire_Front_Temp[C],)</t>
  </si>
  <si>
    <t>##PHASE($$, Phase Distance [mi])</t>
  </si>
  <si>
    <t>##DATA(Exhaust_Bag, =$$, HVBatt_SOC_CAN4__per)</t>
  </si>
  <si>
    <t>##DATA(Exhaust_Bag, =$$-,HVBatt_SOC_CAN4__per)</t>
  </si>
  <si>
    <t>##DATA(Exhaust_Bag, =$$, WP1)</t>
  </si>
  <si>
    <t>##DATA(Exhaust_Bag, =$$-, WP1)</t>
  </si>
  <si>
    <t>##DATA(Exhaust_Bag, =$$, WP2)</t>
  </si>
  <si>
    <t>##DATA(Exhaust_Bag, =$$-, WP2)</t>
  </si>
  <si>
    <t>##DATA(Exhaust_Bag, =$$, WP3)</t>
  </si>
  <si>
    <t>##DATA(Exhaust_Bag, =$$-, WP3)</t>
  </si>
  <si>
    <t>##DATA(Exhaust_Bag, =$$, WP4)</t>
  </si>
  <si>
    <t>##DATA(Exhaust_Bag, =$$-, WP4)</t>
  </si>
  <si>
    <t>##DATA(Exhaust_Bag, =$$, WP5)</t>
  </si>
  <si>
    <t>##DATA(Exhaust_Bag, =$$-, WP5)</t>
  </si>
  <si>
    <t>##DATA(Exhaust_Bag, =$$, WP6)</t>
  </si>
  <si>
    <t>##DATA(Exhaust_Bag, =$$-, WP6)</t>
  </si>
  <si>
    <t>##DATA(Exhaust_Bag, =$$, WP7)</t>
  </si>
  <si>
    <t>##DATA(Exhaust_Bag, =$$-, WP7)</t>
  </si>
  <si>
    <t>##DATA(Exhaust_Bag, =$$, WP8)</t>
  </si>
  <si>
    <t>##DATA(Exhaust_Bag, =$$-, WP8)</t>
  </si>
  <si>
    <t>##DATA(Exhaust_Bag, =$$, WP9)</t>
  </si>
  <si>
    <t>##DATA(Exhaust_Bag, =$$-, WP9)</t>
  </si>
  <si>
    <t>##DATA(Exhaust_Bag, =$$, WP10)</t>
  </si>
  <si>
    <t>##DATA(Exhaust_Bag, =$$-, WP10)</t>
  </si>
  <si>
    <t>##DATA(Exhaust_Bag, =$$-, HVBatt_SOC_CAN4__per)</t>
  </si>
  <si>
    <t>##PHASE($$,J2951 APCtime,)</t>
  </si>
  <si>
    <t>##PHASE($$,J2951 ASCR,)</t>
  </si>
  <si>
    <t>##PHASE($$,J2951 ASC_d,)</t>
  </si>
  <si>
    <t>##PHASE($$,J2951 ASC_t,)</t>
  </si>
  <si>
    <t>##PHASE($$,J2951 CE_d,)</t>
  </si>
  <si>
    <t>##PHASE($$,J2951 CE_t,)</t>
  </si>
  <si>
    <t>##PHASE($$,J2951 DR,)</t>
  </si>
  <si>
    <t>##PHASE($$,J2951 D_d,)</t>
  </si>
  <si>
    <t>##PHASE($$,J2951 D_t,)</t>
  </si>
  <si>
    <t>##PHASE($$,J2951 EER,)</t>
  </si>
  <si>
    <t>##PHASE($$,J2951 ER,)</t>
  </si>
  <si>
    <t>##PHASE($$,J2951 IWR,)</t>
  </si>
  <si>
    <t>Split Phase Calculation</t>
  </si>
  <si>
    <t>##DATA(Exhaust_Bag, =$$,HVBatt_SOC_CAN4__per)</t>
  </si>
  <si>
    <t>Combined Calculation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</si>
</sst>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5" formatCode="0.0"/>
    <numFmt numFmtId="166" formatCode="0.00000"/>
    <numFmt numFmtId="167" formatCode="0.000000"/>
    <numFmt numFmtId="168" formatCode="0.000"/>
  </numFmts>
  <fonts count="8" x14ac:knownFonts="1">
    <font>
      <sz val="11"/>
      <color theme="1"/>
      <name val="Aptos Narrow"/>
      <family val="2"/>
      <scheme val="minor"/>
    </font>
    <font>
      <sz val="8"/>
      <color theme="1"/>
      <name val="Arial"/>
      <family val="2"/>
    </font>
    <font>
      <b/>
      <sz val="8"/>
      <color theme="1"/>
      <name val="Arial"/>
      <family val="2"/>
    </font>
    <font>
      <sz val="8"/>
      <color rgb="FFFF0000"/>
      <name val="Arial"/>
      <family val="2"/>
    </font>
    <font>
      <sz val="8"/>
      <name val="Arial"/>
      <family val="2"/>
    </font>
    <font>
      <b/>
      <sz val="8"/>
      <color rgb="FFFF0000"/>
      <name val="Arial"/>
      <family val="2"/>
    </font>
    <font>
      <sz val="10"/>
      <name val="Arial"/>
      <family val="2"/>
    </font>
    <font>
      <b/>
      <sz val="8"/>
      <name val="Arial"/>
      <family val="2"/>
    </font>
  </fonts>
  <fills count="16">
    <fill>
      <patternFill patternType="none"/>
    </fill>
    <fill>
      <patternFill patternType="gray125"/>
    </fill>
    <fill>
      <patternFill patternType="solid">
        <fgColor theme="2" tint="-0.249977111117893"/>
        <bgColor indexed="64"/>
      </patternFill>
    </fill>
    <fill>
      <patternFill patternType="solid">
        <fgColor theme="8" tint="0.79998168889431442"/>
        <bgColor indexed="64"/>
      </patternFill>
    </fill>
    <fill>
      <patternFill patternType="solid">
        <fgColor rgb="FFF6FC04"/>
        <bgColor indexed="64"/>
      </patternFill>
    </fill>
    <fill>
      <patternFill patternType="solid">
        <fgColor theme="6" tint="-0.249977111117893"/>
        <bgColor indexed="64"/>
      </patternFill>
    </fill>
    <fill>
      <patternFill patternType="solid">
        <fgColor rgb="FFFABF8F"/>
        <bgColor indexed="64"/>
      </patternFill>
    </fill>
    <fill>
      <patternFill patternType="solid">
        <fgColor theme="6" tint="0.39997558519241921"/>
        <bgColor indexed="64"/>
      </patternFill>
    </fill>
    <fill>
      <patternFill patternType="solid">
        <fgColor rgb="FF8BE1FF"/>
        <bgColor indexed="64"/>
      </patternFill>
    </fill>
    <fill>
      <patternFill patternType="solid">
        <fgColor theme="4" tint="0.39997558519241921"/>
        <bgColor indexed="64"/>
      </patternFill>
    </fill>
    <fill>
      <patternFill patternType="solid">
        <fgColor theme="0"/>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FF00"/>
        <bgColor indexed="64"/>
      </patternFill>
    </fill>
    <fill>
      <patternFill patternType="solid">
        <fgColor rgb="FFFF0000"/>
        <bgColor indexed="64"/>
      </patternFill>
    </fill>
  </fills>
  <borders count="16">
    <border>
      <left/>
      <right/>
      <top/>
      <bottom/>
      <diagonal/>
    </border>
    <border>
      <left/>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thick">
        <color indexed="64"/>
      </right>
      <top/>
      <bottom/>
      <diagonal/>
    </border>
    <border>
      <left/>
      <right/>
      <top style="thin">
        <color indexed="64"/>
      </top>
      <bottom/>
      <diagonal/>
    </border>
  </borders>
  <cellStyleXfs count="2">
    <xf numFmtId="0" fontId="0" fillId="0" borderId="0"/>
    <xf numFmtId="0" fontId="6" fillId="0" borderId="0"/>
  </cellStyleXfs>
  <cellXfs count="108">
    <xf numFmtId="0" fontId="0" fillId="0" borderId="0" xfId="0"/>
    <xf numFmtId="0" fontId="1" fillId="0" borderId="0" xfId="0" applyFont="1" applyAlignment="1">
      <alignment horizontal="center" vertical="top"/>
    </xf>
    <xf numFmtId="0" fontId="1" fillId="0" borderId="0" xfId="0" applyFont="1" applyAlignment="1">
      <alignment horizontal="center"/>
    </xf>
    <xf numFmtId="0" fontId="2" fillId="0" borderId="0" xfId="0" applyFont="1" applyAlignment="1">
      <alignment horizontal="left" vertical="top"/>
    </xf>
    <xf numFmtId="0" fontId="2" fillId="0" borderId="0" xfId="0" applyFont="1" applyAlignment="1">
      <alignment horizontal="center"/>
    </xf>
    <xf numFmtId="0" fontId="1" fillId="0" borderId="0" xfId="0" applyFont="1"/>
    <xf numFmtId="0" fontId="2" fillId="0" borderId="0" xfId="0" applyFont="1" applyAlignment="1">
      <alignment wrapText="1"/>
    </xf>
    <xf numFmtId="0" fontId="2" fillId="0" borderId="0" xfId="0" applyFont="1" applyAlignment="1">
      <alignment horizontal="left"/>
    </xf>
    <xf numFmtId="0" fontId="2" fillId="0" borderId="0" xfId="0" applyFont="1"/>
    <xf numFmtId="165" fontId="1" fillId="0" borderId="0" xfId="0" applyNumberFormat="1" applyFont="1"/>
    <xf numFmtId="0" fontId="3" fillId="0" borderId="0" xfId="0" applyFont="1"/>
    <xf numFmtId="165" fontId="3" fillId="0" borderId="0" xfId="0" applyNumberFormat="1" applyFont="1"/>
    <xf numFmtId="0" fontId="1" fillId="0" borderId="0" xfId="0" applyFont="1" applyAlignment="1">
      <alignment wrapText="1"/>
    </xf>
    <xf numFmtId="0" fontId="1" fillId="0" borderId="0" xfId="0" applyFont="1" applyAlignment="1">
      <alignment horizontal="left"/>
    </xf>
    <xf numFmtId="14" fontId="4" fillId="0" borderId="0" xfId="0" applyNumberFormat="1" applyFont="1" applyAlignment="1">
      <alignment horizontal="left" vertical="center"/>
    </xf>
    <xf numFmtId="165" fontId="1" fillId="4" borderId="3" xfId="0" applyNumberFormat="1" applyFont="1" applyFill="1" applyBorder="1"/>
    <xf numFmtId="0" fontId="1" fillId="0" borderId="4" xfId="0" applyFont="1" applyBorder="1" applyAlignment="1">
      <alignment horizontal="center"/>
    </xf>
    <xf numFmtId="0" fontId="1" fillId="0" borderId="0" xfId="0" applyFont="1" applyAlignment="1">
      <alignment horizontal="center"/>
    </xf>
    <xf numFmtId="0" fontId="3" fillId="0" borderId="0" xfId="0" applyFont="1" applyAlignment="1">
      <alignment horizontal="center"/>
    </xf>
    <xf numFmtId="0" fontId="1" fillId="0" borderId="0" xfId="0" applyFont="1" applyAlignment="1">
      <alignment horizontal="left" vertical="top"/>
    </xf>
    <xf numFmtId="0" fontId="1" fillId="0" borderId="5" xfId="0" applyFont="1" applyBorder="1" applyAlignment="1">
      <alignment horizontal="left" vertical="top"/>
    </xf>
    <xf numFmtId="0" fontId="1" fillId="0" borderId="5" xfId="0" applyFont="1" applyBorder="1" applyAlignment="1">
      <alignment horizontal="center"/>
    </xf>
    <xf numFmtId="0" fontId="1" fillId="0" borderId="5" xfId="0" applyFont="1" applyBorder="1"/>
    <xf numFmtId="0" fontId="1" fillId="0" borderId="5" xfId="0" applyFont="1" applyBorder="1" applyAlignment="1">
      <alignment wrapText="1"/>
    </xf>
    <xf numFmtId="165" fontId="2" fillId="5" borderId="5" xfId="0" applyNumberFormat="1" applyFont="1" applyFill="1" applyBorder="1" applyAlignment="1">
      <alignment horizontal="centerContinuous"/>
    </xf>
    <xf numFmtId="2" fontId="5" fillId="5" borderId="5" xfId="0" applyNumberFormat="1" applyFont="1" applyFill="1" applyBorder="1" applyAlignment="1">
      <alignment horizontal="centerContinuous"/>
    </xf>
    <xf numFmtId="165" fontId="5" fillId="5" borderId="5" xfId="0" applyNumberFormat="1" applyFont="1" applyFill="1" applyBorder="1" applyAlignment="1">
      <alignment horizontal="centerContinuous"/>
    </xf>
    <xf numFmtId="2" fontId="2" fillId="5" borderId="5" xfId="0" applyNumberFormat="1" applyFont="1" applyFill="1" applyBorder="1" applyAlignment="1">
      <alignment horizontal="centerContinuous"/>
    </xf>
    <xf numFmtId="0" fontId="4" fillId="6" borderId="5" xfId="1" applyFont="1" applyFill="1" applyBorder="1" applyAlignment="1">
      <alignment horizontal="center" vertical="center"/>
    </xf>
    <xf numFmtId="0" fontId="2" fillId="7" borderId="5" xfId="0" applyFont="1" applyFill="1" applyBorder="1"/>
    <xf numFmtId="0" fontId="4" fillId="6" borderId="5" xfId="1" applyFont="1" applyFill="1" applyBorder="1" applyAlignment="1">
      <alignment horizontal="center"/>
    </xf>
    <xf numFmtId="0" fontId="4" fillId="0" borderId="6" xfId="0" applyFont="1" applyBorder="1" applyAlignment="1">
      <alignment horizontal="center" vertical="top" wrapText="1"/>
    </xf>
    <xf numFmtId="0" fontId="4" fillId="0" borderId="7" xfId="0" applyFont="1" applyBorder="1" applyAlignment="1">
      <alignment horizontal="center" vertical="top" wrapText="1"/>
    </xf>
    <xf numFmtId="0" fontId="4" fillId="0" borderId="7" xfId="0" applyFont="1" applyBorder="1" applyAlignment="1">
      <alignment horizontal="right" vertical="top" wrapText="1"/>
    </xf>
    <xf numFmtId="0" fontId="4" fillId="8" borderId="7" xfId="0" applyFont="1" applyFill="1" applyBorder="1" applyAlignment="1">
      <alignment horizontal="center" vertical="top" wrapText="1"/>
    </xf>
    <xf numFmtId="0" fontId="4" fillId="9" borderId="7" xfId="0" applyFont="1" applyFill="1" applyBorder="1" applyAlignment="1">
      <alignment horizontal="center" vertical="top" wrapText="1"/>
    </xf>
    <xf numFmtId="0" fontId="4" fillId="3" borderId="7" xfId="0" applyFont="1" applyFill="1" applyBorder="1" applyAlignment="1">
      <alignment horizontal="center" vertical="top" wrapText="1"/>
    </xf>
    <xf numFmtId="0" fontId="4" fillId="2" borderId="7" xfId="0" applyFont="1" applyFill="1" applyBorder="1" applyAlignment="1">
      <alignment horizontal="center" vertical="top" wrapText="1"/>
    </xf>
    <xf numFmtId="0" fontId="4" fillId="10" borderId="7" xfId="0" applyFont="1" applyFill="1" applyBorder="1" applyAlignment="1">
      <alignment horizontal="center" vertical="top" wrapText="1"/>
    </xf>
    <xf numFmtId="0" fontId="2" fillId="5" borderId="7" xfId="0" applyFont="1" applyFill="1" applyBorder="1" applyAlignment="1">
      <alignment horizontal="center" vertical="top" wrapText="1"/>
    </xf>
    <xf numFmtId="0" fontId="1" fillId="5" borderId="7" xfId="0" applyFont="1" applyFill="1" applyBorder="1" applyAlignment="1">
      <alignment horizontal="center" vertical="top" wrapText="1"/>
    </xf>
    <xf numFmtId="0" fontId="4" fillId="5" borderId="7" xfId="0" applyFont="1" applyFill="1" applyBorder="1" applyAlignment="1">
      <alignment horizontal="center" vertical="top" wrapText="1"/>
    </xf>
    <xf numFmtId="0" fontId="7" fillId="5" borderId="7" xfId="0" applyFont="1" applyFill="1" applyBorder="1" applyAlignment="1">
      <alignment horizontal="center" vertical="top" wrapText="1"/>
    </xf>
    <xf numFmtId="0" fontId="4" fillId="11" borderId="0" xfId="0" applyFont="1" applyFill="1" applyAlignment="1">
      <alignment horizontal="center" vertical="top" wrapText="1"/>
    </xf>
    <xf numFmtId="0" fontId="4" fillId="11" borderId="8" xfId="0" applyFont="1" applyFill="1" applyBorder="1" applyAlignment="1">
      <alignment horizontal="center" vertical="top" wrapText="1"/>
    </xf>
    <xf numFmtId="0" fontId="1" fillId="7" borderId="7" xfId="0" applyFont="1" applyFill="1" applyBorder="1" applyAlignment="1">
      <alignment horizontal="center" vertical="top" wrapText="1"/>
    </xf>
    <xf numFmtId="0" fontId="4" fillId="7" borderId="7" xfId="0" applyFont="1" applyFill="1" applyBorder="1" applyAlignment="1">
      <alignment horizontal="center" vertical="top" wrapText="1"/>
    </xf>
    <xf numFmtId="0" fontId="4" fillId="11" borderId="7" xfId="0" applyFont="1" applyFill="1" applyBorder="1" applyAlignment="1">
      <alignment horizontal="center" vertical="top" wrapText="1"/>
    </xf>
    <xf numFmtId="0" fontId="1" fillId="0" borderId="9" xfId="0" applyFont="1" applyBorder="1" applyAlignment="1">
      <alignment horizontal="center" vertical="top" wrapText="1"/>
    </xf>
    <xf numFmtId="0" fontId="1" fillId="0" borderId="10" xfId="0" applyFont="1" applyBorder="1" applyAlignment="1">
      <alignment horizontal="center" vertical="top" wrapText="1"/>
    </xf>
    <xf numFmtId="0" fontId="1" fillId="0" borderId="0" xfId="0" applyFont="1" applyAlignment="1">
      <alignment horizontal="center" vertical="top" wrapText="1"/>
    </xf>
    <xf numFmtId="0" fontId="7" fillId="12" borderId="11" xfId="0" applyFont="1" applyFill="1" applyBorder="1" applyAlignment="1">
      <alignment horizontal="left" vertical="top"/>
    </xf>
    <xf numFmtId="0" fontId="4" fillId="12" borderId="1" xfId="0" applyFont="1" applyFill="1" applyBorder="1" applyAlignment="1">
      <alignment horizontal="center" vertical="top"/>
    </xf>
    <xf numFmtId="0" fontId="4" fillId="12" borderId="1" xfId="0" applyFont="1" applyFill="1" applyBorder="1" applyAlignment="1">
      <alignment horizontal="left" vertical="top"/>
    </xf>
    <xf numFmtId="166" fontId="4" fillId="12" borderId="1" xfId="0" applyNumberFormat="1" applyFont="1" applyFill="1" applyBorder="1" applyAlignment="1">
      <alignment horizontal="left" vertical="top"/>
    </xf>
    <xf numFmtId="167" fontId="4" fillId="12" borderId="1" xfId="0" applyNumberFormat="1" applyFont="1" applyFill="1" applyBorder="1" applyAlignment="1">
      <alignment horizontal="left" vertical="top"/>
    </xf>
    <xf numFmtId="0" fontId="3" fillId="12" borderId="1" xfId="0" applyFont="1" applyFill="1" applyBorder="1" applyAlignment="1">
      <alignment horizontal="center" vertical="top"/>
    </xf>
    <xf numFmtId="0" fontId="4" fillId="12" borderId="12" xfId="0" applyFont="1" applyFill="1" applyBorder="1" applyAlignment="1">
      <alignment horizontal="center" vertical="top"/>
    </xf>
    <xf numFmtId="0" fontId="4" fillId="0" borderId="2" xfId="0" applyFont="1" applyBorder="1" applyAlignment="1">
      <alignment horizontal="center" vertical="center"/>
    </xf>
    <xf numFmtId="0" fontId="4" fillId="0" borderId="2" xfId="0" applyFont="1" applyBorder="1" applyAlignment="1">
      <alignment horizontal="left" vertical="center"/>
    </xf>
    <xf numFmtId="14" fontId="4" fillId="0" borderId="2" xfId="0" applyNumberFormat="1" applyFont="1" applyBorder="1" applyAlignment="1">
      <alignment horizontal="left" vertical="center"/>
    </xf>
    <xf numFmtId="14" fontId="4" fillId="0" borderId="2" xfId="0" applyNumberFormat="1" applyFont="1" applyBorder="1" applyAlignment="1">
      <alignment horizontal="center" vertical="center"/>
    </xf>
    <xf numFmtId="0" fontId="4" fillId="0" borderId="2" xfId="0" applyFont="1" applyBorder="1" applyAlignment="1">
      <alignment horizontal="left" vertical="center" wrapText="1"/>
    </xf>
    <xf numFmtId="0" fontId="4" fillId="8" borderId="2" xfId="0" applyFont="1" applyFill="1" applyBorder="1" applyAlignment="1">
      <alignment horizontal="center" vertical="center"/>
    </xf>
    <xf numFmtId="1" fontId="4" fillId="9" borderId="2" xfId="0" applyNumberFormat="1" applyFont="1" applyFill="1" applyBorder="1" applyAlignment="1">
      <alignment horizontal="center"/>
    </xf>
    <xf numFmtId="0" fontId="4" fillId="3" borderId="2" xfId="0" applyFont="1" applyFill="1" applyBorder="1" applyAlignment="1">
      <alignment horizontal="left" vertical="center"/>
    </xf>
    <xf numFmtId="2" fontId="4" fillId="2" borderId="2" xfId="0" applyNumberFormat="1" applyFont="1" applyFill="1" applyBorder="1" applyAlignment="1">
      <alignment horizontal="center" vertical="center"/>
    </xf>
    <xf numFmtId="2" fontId="4" fillId="0" borderId="2" xfId="0" applyNumberFormat="1" applyFont="1" applyBorder="1" applyAlignment="1">
      <alignment horizontal="center" vertical="center"/>
    </xf>
    <xf numFmtId="168" fontId="4" fillId="5" borderId="2" xfId="0" applyNumberFormat="1" applyFont="1" applyFill="1" applyBorder="1" applyAlignment="1">
      <alignment horizontal="center" vertical="center"/>
    </xf>
    <xf numFmtId="168" fontId="4" fillId="5" borderId="13" xfId="0" applyNumberFormat="1" applyFont="1" applyFill="1" applyBorder="1" applyAlignment="1">
      <alignment horizontal="center" vertical="center"/>
    </xf>
    <xf numFmtId="168" fontId="4" fillId="5" borderId="14" xfId="0" applyNumberFormat="1" applyFont="1" applyFill="1" applyBorder="1" applyAlignment="1">
      <alignment horizontal="center" vertical="center"/>
    </xf>
    <xf numFmtId="168" fontId="4" fillId="11" borderId="2" xfId="0" applyNumberFormat="1" applyFont="1" applyFill="1" applyBorder="1" applyAlignment="1">
      <alignment horizontal="center" vertical="center"/>
    </xf>
    <xf numFmtId="168" fontId="4" fillId="7" borderId="13" xfId="0" applyNumberFormat="1" applyFont="1" applyFill="1" applyBorder="1" applyAlignment="1">
      <alignment horizontal="center" vertical="center"/>
    </xf>
    <xf numFmtId="168" fontId="4" fillId="7" borderId="2" xfId="0" applyNumberFormat="1" applyFont="1" applyFill="1" applyBorder="1" applyAlignment="1">
      <alignment horizontal="center" vertical="center"/>
    </xf>
    <xf numFmtId="1" fontId="7" fillId="9" borderId="2" xfId="0" applyNumberFormat="1" applyFont="1" applyFill="1" applyBorder="1" applyAlignment="1">
      <alignment horizontal="center"/>
    </xf>
    <xf numFmtId="0" fontId="7" fillId="3" borderId="2" xfId="0" applyFont="1" applyFill="1" applyBorder="1" applyAlignment="1">
      <alignment horizontal="left" vertical="center"/>
    </xf>
    <xf numFmtId="166" fontId="4" fillId="3" borderId="2" xfId="0" applyNumberFormat="1" applyFont="1" applyFill="1" applyBorder="1" applyAlignment="1">
      <alignment horizontal="left" vertical="center"/>
    </xf>
    <xf numFmtId="167" fontId="4" fillId="3" borderId="2" xfId="0" applyNumberFormat="1" applyFont="1" applyFill="1" applyBorder="1" applyAlignment="1">
      <alignment horizontal="left" vertical="center"/>
    </xf>
    <xf numFmtId="2" fontId="7" fillId="2" borderId="2" xfId="0" applyNumberFormat="1" applyFont="1" applyFill="1" applyBorder="1" applyAlignment="1">
      <alignment horizontal="center" vertical="center"/>
    </xf>
    <xf numFmtId="2" fontId="7" fillId="0" borderId="2" xfId="0" applyNumberFormat="1" applyFont="1" applyBorder="1" applyAlignment="1">
      <alignment horizontal="center" vertical="center"/>
    </xf>
    <xf numFmtId="168" fontId="7" fillId="5" borderId="2" xfId="0" applyNumberFormat="1" applyFont="1" applyFill="1" applyBorder="1" applyAlignment="1">
      <alignment horizontal="center" vertical="center"/>
    </xf>
    <xf numFmtId="165" fontId="7" fillId="5" borderId="2" xfId="0" applyNumberFormat="1" applyFont="1" applyFill="1" applyBorder="1" applyAlignment="1">
      <alignment horizontal="center" vertical="center"/>
    </xf>
    <xf numFmtId="168" fontId="7" fillId="11" borderId="2" xfId="0" applyNumberFormat="1" applyFont="1" applyFill="1" applyBorder="1" applyAlignment="1">
      <alignment horizontal="center" vertical="center"/>
    </xf>
    <xf numFmtId="168" fontId="7" fillId="7" borderId="2" xfId="0" applyNumberFormat="1" applyFont="1" applyFill="1" applyBorder="1" applyAlignment="1">
      <alignment horizontal="center" vertical="center"/>
    </xf>
    <xf numFmtId="0" fontId="4" fillId="13" borderId="2" xfId="0" applyFont="1" applyFill="1" applyBorder="1" applyAlignment="1">
      <alignment horizontal="center" vertical="center"/>
    </xf>
    <xf numFmtId="0" fontId="1" fillId="0" borderId="2" xfId="0" applyFont="1" applyBorder="1" applyAlignment="1">
      <alignment horizontal="center"/>
    </xf>
    <xf numFmtId="0" fontId="4" fillId="12" borderId="15" xfId="0" applyFont="1" applyFill="1" applyBorder="1" applyAlignment="1">
      <alignment horizontal="left" vertical="top"/>
    </xf>
    <xf numFmtId="0" fontId="4" fillId="12" borderId="15" xfId="0" applyFont="1" applyFill="1" applyBorder="1" applyAlignment="1">
      <alignment horizontal="center" vertical="top"/>
    </xf>
    <xf numFmtId="0" fontId="7" fillId="14" borderId="11" xfId="0" applyFont="1" applyFill="1" applyBorder="1" applyAlignment="1">
      <alignment horizontal="left" vertical="top"/>
    </xf>
    <xf numFmtId="0" fontId="4" fillId="14" borderId="1" xfId="0" applyFont="1" applyFill="1" applyBorder="1" applyAlignment="1">
      <alignment horizontal="center" vertical="top"/>
    </xf>
    <xf numFmtId="0" fontId="4" fillId="14" borderId="1" xfId="0" applyFont="1" applyFill="1" applyBorder="1" applyAlignment="1">
      <alignment horizontal="left" vertical="top"/>
    </xf>
    <xf numFmtId="166" fontId="4" fillId="14" borderId="1" xfId="0" applyNumberFormat="1" applyFont="1" applyFill="1" applyBorder="1" applyAlignment="1">
      <alignment horizontal="left" vertical="top"/>
    </xf>
    <xf numFmtId="167" fontId="4" fillId="14" borderId="1" xfId="0" applyNumberFormat="1" applyFont="1" applyFill="1" applyBorder="1" applyAlignment="1">
      <alignment horizontal="left" vertical="top"/>
    </xf>
    <xf numFmtId="0" fontId="3" fillId="14" borderId="1" xfId="0" applyFont="1" applyFill="1" applyBorder="1" applyAlignment="1">
      <alignment horizontal="center" vertical="top"/>
    </xf>
    <xf numFmtId="0" fontId="4" fillId="14" borderId="12" xfId="0" applyFont="1" applyFill="1" applyBorder="1" applyAlignment="1">
      <alignment horizontal="center" vertical="top"/>
    </xf>
    <xf numFmtId="0" fontId="1" fillId="14" borderId="1" xfId="0" applyFont="1" applyFill="1" applyBorder="1"/>
    <xf numFmtId="166" fontId="4" fillId="12" borderId="1" xfId="0" applyNumberFormat="1" applyFont="1" applyFill="1" applyBorder="1" applyAlignment="1">
      <alignment horizontal="center" vertical="top"/>
    </xf>
    <xf numFmtId="167" fontId="4" fillId="12" borderId="1" xfId="0" applyNumberFormat="1" applyFont="1" applyFill="1" applyBorder="1" applyAlignment="1">
      <alignment horizontal="center" vertical="top"/>
    </xf>
    <xf numFmtId="0" fontId="4" fillId="12" borderId="11" xfId="0" applyFont="1" applyFill="1" applyBorder="1" applyAlignment="1">
      <alignment horizontal="center" vertical="top"/>
    </xf>
    <xf numFmtId="0" fontId="4" fillId="0" borderId="0" xfId="0" applyFont="1" applyAlignment="1">
      <alignment horizontal="center" vertical="center"/>
    </xf>
    <xf numFmtId="0" fontId="1" fillId="15" borderId="0" xfId="0" applyFont="1" applyFill="1" applyAlignment="1">
      <alignment horizontal="center"/>
    </xf>
    <xf numFmtId="0" fontId="1" fillId="15" borderId="0" xfId="0" applyFont="1" applyFill="1" applyAlignment="1">
      <alignment horizontal="center"/>
    </xf>
    <xf numFmtId="0" fontId="1" fillId="15" borderId="0" xfId="0" applyFont="1" applyFill="1" applyAlignment="1">
      <alignment horizontal="left" vertical="top"/>
    </xf>
    <xf numFmtId="0" fontId="1" fillId="15" borderId="0" xfId="0" applyFont="1" applyFill="1"/>
    <xf numFmtId="0" fontId="1" fillId="15" borderId="0" xfId="0" applyFont="1" applyFill="1" applyAlignment="1">
      <alignment wrapText="1"/>
    </xf>
    <xf numFmtId="0" fontId="3" fillId="15" borderId="0" xfId="0" applyFont="1" applyFill="1"/>
    <xf numFmtId="0" fontId="4" fillId="15" borderId="0" xfId="0" applyFont="1" applyFill="1"/>
    <xf numFmtId="0" fontId="4" fillId="0" borderId="13" xfId="0" applyFont="1" applyBorder="1" applyAlignment="1">
      <alignment horizontal="center" vertical="center"/>
    </xf>
  </cellXfs>
  <cellStyles count="2">
    <cellStyle name="Normal" xfId="0" builtinId="0"/>
    <cellStyle name="Normal 2" xfId="1" xr:uid="{05A83A41-9DEC-46A0-9B9F-D01A66761E0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wales\APTF%20Docs\Users\kstutenberg\AppData\Local\Microsoft\Windows\INetCache\Content.Outlook\ZUJC1O24\Lightweight\FEvsMass_Leafonlypowermodel.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ddas\Box\Debashis-ANL\Paper\Uncertainity-Paper\data-processing\2020_Chevrolet_Bolt_TestPlanInstru_MasterSummary_201005.xlsm" TargetMode="External"/><Relationship Id="rId1" Type="http://schemas.openxmlformats.org/officeDocument/2006/relationships/externalLinkPath" Target="2020_Chevrolet_Bolt_TestPlanInstru_MasterSummary_20100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LABC"/>
      <sheetName val="INLcoef"/>
      <sheetName val="THEOcoef"/>
      <sheetName val="LEAFTheoreticalRL"/>
      <sheetName val="FusionConvTheoreticalRL"/>
      <sheetName val="SpdtoABCcalcFocus"/>
    </sheetNames>
    <sheetDataSet>
      <sheetData sheetId="0" refreshError="1"/>
      <sheetData sheetId="1" refreshError="1"/>
      <sheetData sheetId="2" refreshError="1"/>
      <sheetData sheetId="3">
        <row r="2">
          <cell r="H2">
            <v>0</v>
          </cell>
        </row>
      </sheetData>
      <sheetData sheetId="4" refreshError="1"/>
      <sheetData sheetId="5">
        <row r="2">
          <cell r="P2">
            <v>3125</v>
          </cell>
          <cell r="Q2">
            <v>30.85</v>
          </cell>
          <cell r="R2">
            <v>0.50800000000000001</v>
          </cell>
          <cell r="S2">
            <v>1.6490000000000001E-2</v>
          </cell>
        </row>
        <row r="3">
          <cell r="Q3">
            <v>34.296999999999997</v>
          </cell>
          <cell r="R3">
            <v>0.56420000000000003</v>
          </cell>
          <cell r="S3">
            <v>1.84E-2</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estPlan"/>
      <sheetName val="TestSummary"/>
      <sheetName val="TestSummary (2)"/>
      <sheetName val="J1634 Calcs"/>
      <sheetName val="J1634 Calcs  no precondition"/>
      <sheetName val="J1634ShortcutWorksheet"/>
      <sheetName val="AVTEReporting"/>
      <sheetName val="TestInfoInstru"/>
      <sheetName val="EPA Test Data"/>
      <sheetName val="Vehicle Distance"/>
      <sheetName val="Accessory Load"/>
      <sheetName val="Charge Summary"/>
    </sheetNames>
    <sheetDataSet>
      <sheetData sheetId="0">
        <row r="1">
          <cell r="B1" t="str">
            <v>2020 Chevrolet Bolt</v>
          </cell>
        </row>
        <row r="2">
          <cell r="B2" t="str">
            <v>NHTSA 2020 Vehicle Technology Assessment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EEE1E-6CF8-4FCA-B585-915A61EA8475}">
  <sheetPr codeName="Sheet3"/>
  <dimension ref="A1:CJ216"/>
  <sheetViews>
    <sheetView tabSelected="1" zoomScaleNormal="100" workbookViewId="0">
      <pane xSplit="2" ySplit="7" topLeftCell="E8" activePane="bottomRight" state="frozen"/>
      <selection pane="topRight" activeCell="C1" sqref="C1"/>
      <selection pane="bottomLeft" activeCell="A8" sqref="A8"/>
      <selection pane="bottomRight" activeCell="A26" sqref="A26"/>
    </sheetView>
  </sheetViews>
  <sheetFormatPr defaultColWidth="9.140625" defaultRowHeight="15" customHeight="1" x14ac:dyDescent="0.2"/>
  <cols>
    <col min="1" max="1" width="16" style="2" customWidth="1"/>
    <col min="2" max="2" width="50.140625" style="2" customWidth="1"/>
    <col min="3" max="3" width="14.42578125" style="2" customWidth="1"/>
    <col min="4" max="4" width="64.5703125" style="5" customWidth="1"/>
    <col min="5" max="5" width="16.42578125" style="2" customWidth="1"/>
    <col min="6" max="6" width="8.42578125" style="12" bestFit="1" customWidth="1"/>
    <col min="7" max="7" width="118" style="2" customWidth="1"/>
    <col min="8" max="8" width="59" style="5" customWidth="1"/>
    <col min="9" max="12" width="10" style="5" customWidth="1"/>
    <col min="13" max="13" width="10.85546875" style="5" customWidth="1"/>
    <col min="14" max="14" width="5.42578125" style="5" customWidth="1"/>
    <col min="15" max="15" width="6" style="5" customWidth="1"/>
    <col min="16" max="16" width="5.5703125" style="5" customWidth="1"/>
    <col min="17" max="17" width="8.5703125" style="5" customWidth="1"/>
    <col min="18" max="18" width="9" style="5" customWidth="1"/>
    <col min="19" max="19" width="9.5703125" style="9" customWidth="1"/>
    <col min="20" max="20" width="10" style="9" customWidth="1"/>
    <col min="21" max="21" width="11.42578125" style="9" bestFit="1" customWidth="1"/>
    <col min="22" max="23" width="10.7109375" style="10" customWidth="1"/>
    <col min="24" max="30" width="10.7109375" style="9" customWidth="1"/>
    <col min="31" max="33" width="10.7109375" style="11" customWidth="1"/>
    <col min="34" max="35" width="10.7109375" style="10" customWidth="1"/>
    <col min="36" max="41" width="10.7109375" style="5" customWidth="1"/>
    <col min="42" max="43" width="10.7109375" style="10" customWidth="1"/>
    <col min="44" max="45" width="10.7109375" style="5" customWidth="1"/>
    <col min="46" max="47" width="10.7109375" style="10" customWidth="1"/>
    <col min="48" max="49" width="10.7109375" style="5" customWidth="1"/>
    <col min="50" max="51" width="10.7109375" style="10" customWidth="1"/>
    <col min="52" max="53" width="10.7109375" style="5" customWidth="1"/>
    <col min="54" max="55" width="10.7109375" style="10" customWidth="1"/>
    <col min="56" max="57" width="10.7109375" style="5" customWidth="1"/>
    <col min="58" max="59" width="10.7109375" style="10" customWidth="1"/>
    <col min="60" max="70" width="10.7109375" style="5" customWidth="1"/>
    <col min="71" max="71" width="14.5703125" style="5" customWidth="1"/>
    <col min="72" max="72" width="12.42578125" style="5" customWidth="1"/>
    <col min="73" max="16384" width="9.140625" style="5"/>
  </cols>
  <sheetData>
    <row r="1" spans="1:87" s="2" customFormat="1" ht="11.25" x14ac:dyDescent="0.2">
      <c r="A1" s="1">
        <v>1</v>
      </c>
      <c r="B1" s="2">
        <v>2</v>
      </c>
      <c r="C1" s="2">
        <v>3</v>
      </c>
      <c r="D1" s="2">
        <v>4</v>
      </c>
      <c r="E1" s="2">
        <v>5</v>
      </c>
      <c r="F1" s="2">
        <v>6</v>
      </c>
      <c r="G1" s="2">
        <v>7</v>
      </c>
      <c r="H1" s="2">
        <v>8</v>
      </c>
      <c r="I1" s="2">
        <v>9</v>
      </c>
      <c r="J1" s="2">
        <v>10</v>
      </c>
      <c r="K1" s="2">
        <v>11</v>
      </c>
      <c r="L1" s="2">
        <v>12</v>
      </c>
      <c r="M1" s="2">
        <v>13</v>
      </c>
      <c r="N1" s="2">
        <v>14</v>
      </c>
      <c r="O1" s="2">
        <v>15</v>
      </c>
      <c r="P1" s="2">
        <v>16</v>
      </c>
      <c r="Q1" s="2">
        <v>17</v>
      </c>
      <c r="R1" s="2">
        <v>18</v>
      </c>
      <c r="S1" s="2">
        <v>19</v>
      </c>
      <c r="T1" s="2">
        <v>20</v>
      </c>
      <c r="U1" s="2">
        <v>21</v>
      </c>
      <c r="V1" s="2">
        <v>22</v>
      </c>
      <c r="W1" s="2">
        <v>23</v>
      </c>
      <c r="X1" s="2">
        <v>24</v>
      </c>
      <c r="Y1" s="2">
        <v>25</v>
      </c>
      <c r="Z1" s="2">
        <v>26</v>
      </c>
      <c r="AA1" s="2">
        <v>27</v>
      </c>
      <c r="AB1" s="2">
        <v>28</v>
      </c>
      <c r="AC1" s="2">
        <v>29</v>
      </c>
      <c r="AD1" s="2">
        <v>30</v>
      </c>
      <c r="AE1" s="2">
        <v>31</v>
      </c>
      <c r="AF1" s="2">
        <v>32</v>
      </c>
      <c r="AG1" s="2">
        <v>33</v>
      </c>
      <c r="AH1" s="2">
        <v>34</v>
      </c>
      <c r="AI1" s="2">
        <v>35</v>
      </c>
      <c r="AJ1" s="2">
        <v>36</v>
      </c>
      <c r="AK1" s="2">
        <v>37</v>
      </c>
      <c r="AL1" s="2">
        <v>38</v>
      </c>
      <c r="AM1" s="2">
        <v>39</v>
      </c>
      <c r="AN1" s="2">
        <v>40</v>
      </c>
      <c r="AO1" s="2">
        <v>41</v>
      </c>
      <c r="AP1" s="2">
        <v>42</v>
      </c>
      <c r="AQ1" s="2">
        <v>43</v>
      </c>
      <c r="AR1" s="2">
        <v>44</v>
      </c>
      <c r="AS1" s="2">
        <v>45</v>
      </c>
      <c r="AT1" s="2">
        <v>46</v>
      </c>
      <c r="AU1" s="2">
        <v>47</v>
      </c>
      <c r="AV1" s="2">
        <v>48</v>
      </c>
      <c r="AW1" s="2">
        <v>49</v>
      </c>
      <c r="AX1" s="2">
        <v>50</v>
      </c>
      <c r="AY1" s="2">
        <v>51</v>
      </c>
      <c r="AZ1" s="2">
        <v>52</v>
      </c>
      <c r="BA1" s="2">
        <v>53</v>
      </c>
      <c r="BB1" s="2">
        <v>54</v>
      </c>
      <c r="BC1" s="2">
        <v>55</v>
      </c>
      <c r="BD1" s="2">
        <v>56</v>
      </c>
      <c r="BE1" s="2">
        <v>57</v>
      </c>
      <c r="BF1" s="2">
        <v>58</v>
      </c>
      <c r="BG1" s="2">
        <v>59</v>
      </c>
      <c r="BH1" s="2">
        <v>60</v>
      </c>
      <c r="BI1" s="2">
        <v>61</v>
      </c>
      <c r="BJ1" s="2">
        <v>62</v>
      </c>
      <c r="BK1" s="2">
        <v>63</v>
      </c>
      <c r="BL1" s="2">
        <v>64</v>
      </c>
      <c r="BM1" s="2">
        <v>65</v>
      </c>
      <c r="BN1" s="2">
        <v>66</v>
      </c>
      <c r="BO1" s="2">
        <v>67</v>
      </c>
      <c r="BP1" s="2">
        <v>68</v>
      </c>
      <c r="BQ1" s="2">
        <v>69</v>
      </c>
      <c r="BR1" s="2">
        <v>70</v>
      </c>
      <c r="BS1" s="2">
        <v>71</v>
      </c>
      <c r="BT1" s="2">
        <v>72</v>
      </c>
      <c r="BU1" s="2">
        <v>73</v>
      </c>
      <c r="BV1" s="2">
        <v>74</v>
      </c>
      <c r="BW1" s="2">
        <v>75</v>
      </c>
      <c r="BX1" s="2">
        <v>76</v>
      </c>
      <c r="BY1" s="2">
        <v>77</v>
      </c>
      <c r="BZ1" s="2">
        <v>78</v>
      </c>
      <c r="CA1" s="2">
        <v>79</v>
      </c>
      <c r="CB1" s="2">
        <v>80</v>
      </c>
      <c r="CC1" s="2">
        <v>81</v>
      </c>
      <c r="CD1" s="2">
        <v>82</v>
      </c>
      <c r="CE1" s="2">
        <v>83</v>
      </c>
      <c r="CF1" s="2">
        <v>84</v>
      </c>
      <c r="CG1" s="2">
        <v>85</v>
      </c>
      <c r="CH1" s="2">
        <v>86</v>
      </c>
      <c r="CI1" s="2">
        <v>87</v>
      </c>
    </row>
    <row r="2" spans="1:87" ht="12" thickBot="1" x14ac:dyDescent="0.25">
      <c r="A2" s="3" t="s">
        <v>0</v>
      </c>
      <c r="B2" s="4" t="str">
        <f>[2]TestPlan!B1</f>
        <v>2020 Chevrolet Bolt</v>
      </c>
      <c r="C2" s="4"/>
      <c r="F2" s="6" t="s">
        <v>1</v>
      </c>
      <c r="G2" s="7" t="s">
        <v>5</v>
      </c>
      <c r="H2" s="7"/>
      <c r="I2" s="7"/>
      <c r="J2" s="7"/>
      <c r="K2" s="7"/>
      <c r="L2" s="7"/>
      <c r="N2" s="8"/>
      <c r="O2" s="8"/>
      <c r="P2" s="8"/>
    </row>
    <row r="3" spans="1:87" ht="12" thickBot="1" x14ac:dyDescent="0.25">
      <c r="A3" s="3" t="s">
        <v>2</v>
      </c>
      <c r="B3" s="4" t="str">
        <f>[2]TestPlan!B2</f>
        <v>NHTSA 2020 Vehicle Technology Assessment</v>
      </c>
      <c r="C3" s="4"/>
      <c r="H3" s="13"/>
      <c r="I3" s="13"/>
      <c r="J3" s="13"/>
      <c r="K3" s="13"/>
      <c r="L3" s="13"/>
      <c r="N3" s="14"/>
      <c r="O3" s="14"/>
      <c r="P3" s="14"/>
      <c r="S3" s="15"/>
      <c r="T3" s="16" t="s">
        <v>6</v>
      </c>
      <c r="U3" s="17"/>
      <c r="X3" s="15"/>
      <c r="Y3" s="16" t="s">
        <v>6</v>
      </c>
      <c r="Z3" s="17"/>
      <c r="AA3" s="17"/>
      <c r="AB3" s="17"/>
      <c r="AC3" s="17"/>
      <c r="AD3" s="17"/>
      <c r="AE3" s="17"/>
      <c r="AF3" s="2"/>
      <c r="AG3" s="2"/>
      <c r="AI3" s="18" t="s">
        <v>7</v>
      </c>
      <c r="AJ3" s="2" t="s">
        <v>8</v>
      </c>
      <c r="AK3" s="2" t="s">
        <v>9</v>
      </c>
      <c r="AL3" s="5" t="e">
        <f>#REF!/#REF!</f>
        <v>#REF!</v>
      </c>
      <c r="AO3" s="2"/>
      <c r="AP3" s="18"/>
      <c r="AQ3" s="18"/>
      <c r="AT3" s="18"/>
      <c r="AU3" s="18"/>
      <c r="AX3" s="18"/>
      <c r="AY3" s="18"/>
      <c r="BB3" s="18"/>
      <c r="BC3" s="18"/>
      <c r="BF3" s="18"/>
      <c r="BG3" s="18"/>
    </row>
    <row r="4" spans="1:87" ht="11.25" x14ac:dyDescent="0.2">
      <c r="A4" s="19" t="s">
        <v>3</v>
      </c>
    </row>
    <row r="5" spans="1:87" ht="11.25" x14ac:dyDescent="0.2">
      <c r="A5" s="19" t="s">
        <v>3</v>
      </c>
    </row>
    <row r="6" spans="1:87" s="22" customFormat="1" ht="15" customHeight="1" thickBot="1" x14ac:dyDescent="0.25">
      <c r="A6" s="20" t="s">
        <v>3</v>
      </c>
      <c r="B6" s="21"/>
      <c r="C6" s="21"/>
      <c r="E6" s="21"/>
      <c r="F6" s="23"/>
      <c r="G6" s="21"/>
      <c r="S6" s="24" t="s">
        <v>10</v>
      </c>
      <c r="T6" s="24"/>
      <c r="U6" s="24"/>
      <c r="V6" s="25"/>
      <c r="W6" s="25"/>
      <c r="X6" s="24" t="s">
        <v>10</v>
      </c>
      <c r="Y6" s="24"/>
      <c r="Z6" s="24"/>
      <c r="AA6" s="24"/>
      <c r="AB6" s="24"/>
      <c r="AC6" s="24"/>
      <c r="AD6" s="24"/>
      <c r="AE6" s="26"/>
      <c r="AF6" s="26"/>
      <c r="AG6" s="26"/>
      <c r="AH6" s="25"/>
      <c r="AI6" s="25"/>
      <c r="AJ6" s="27"/>
      <c r="AK6" s="27"/>
      <c r="AL6" s="27"/>
      <c r="AM6" s="27"/>
      <c r="AN6" s="27"/>
      <c r="AO6" s="27"/>
      <c r="AP6" s="25"/>
      <c r="AQ6" s="25"/>
      <c r="AR6" s="27"/>
      <c r="AS6" s="27"/>
      <c r="AT6" s="25"/>
      <c r="AU6" s="25"/>
      <c r="AV6" s="27"/>
      <c r="AW6" s="27"/>
      <c r="AX6" s="25"/>
      <c r="AY6" s="25"/>
      <c r="AZ6" s="27"/>
      <c r="BA6" s="27"/>
      <c r="BB6" s="25"/>
      <c r="BC6" s="25"/>
      <c r="BD6" s="27"/>
      <c r="BE6" s="27"/>
      <c r="BF6" s="25"/>
      <c r="BG6" s="25"/>
      <c r="BH6" s="27"/>
      <c r="BI6" s="27"/>
      <c r="BJ6" s="28" t="s">
        <v>11</v>
      </c>
      <c r="BK6" s="28"/>
      <c r="BL6" s="28"/>
      <c r="BM6" s="29" t="s">
        <v>12</v>
      </c>
      <c r="BN6" s="29"/>
      <c r="BO6" s="29"/>
      <c r="BP6" s="29" t="s">
        <v>12</v>
      </c>
      <c r="BQ6" s="29"/>
      <c r="BR6" s="29"/>
      <c r="BS6" s="30" t="s">
        <v>12</v>
      </c>
      <c r="BT6" s="30"/>
      <c r="BU6" s="30"/>
      <c r="BV6" s="30"/>
    </row>
    <row r="7" spans="1:87" s="50" customFormat="1" ht="67.5" x14ac:dyDescent="0.25">
      <c r="A7" s="31" t="s">
        <v>13</v>
      </c>
      <c r="B7" s="32" t="s">
        <v>14</v>
      </c>
      <c r="C7" s="32" t="s">
        <v>15</v>
      </c>
      <c r="D7" s="33" t="s">
        <v>16</v>
      </c>
      <c r="E7" s="32" t="s">
        <v>17</v>
      </c>
      <c r="F7" s="32" t="s">
        <v>18</v>
      </c>
      <c r="G7" s="32" t="s">
        <v>19</v>
      </c>
      <c r="H7" s="32" t="s">
        <v>20</v>
      </c>
      <c r="I7" s="34" t="s">
        <v>21</v>
      </c>
      <c r="J7" s="35" t="s">
        <v>22</v>
      </c>
      <c r="K7" s="35" t="s">
        <v>23</v>
      </c>
      <c r="L7" s="35" t="s">
        <v>24</v>
      </c>
      <c r="M7" s="35" t="s">
        <v>25</v>
      </c>
      <c r="N7" s="36" t="s">
        <v>26</v>
      </c>
      <c r="O7" s="36" t="s">
        <v>27</v>
      </c>
      <c r="P7" s="36" t="s">
        <v>28</v>
      </c>
      <c r="Q7" s="36" t="s">
        <v>29</v>
      </c>
      <c r="R7" s="37" t="s">
        <v>30</v>
      </c>
      <c r="S7" s="37" t="s">
        <v>31</v>
      </c>
      <c r="T7" s="38" t="s">
        <v>32</v>
      </c>
      <c r="U7" s="38" t="s">
        <v>33</v>
      </c>
      <c r="V7" s="39" t="s">
        <v>34</v>
      </c>
      <c r="W7" s="39" t="s">
        <v>35</v>
      </c>
      <c r="X7" s="40" t="s">
        <v>36</v>
      </c>
      <c r="Y7" s="40" t="s">
        <v>37</v>
      </c>
      <c r="Z7" s="39" t="s">
        <v>38</v>
      </c>
      <c r="AA7" s="39" t="s">
        <v>39</v>
      </c>
      <c r="AB7" s="40" t="s">
        <v>40</v>
      </c>
      <c r="AC7" s="40" t="s">
        <v>41</v>
      </c>
      <c r="AD7" s="39" t="s">
        <v>42</v>
      </c>
      <c r="AE7" s="39" t="s">
        <v>43</v>
      </c>
      <c r="AF7" s="40" t="s">
        <v>44</v>
      </c>
      <c r="AG7" s="40" t="s">
        <v>45</v>
      </c>
      <c r="AH7" s="39" t="s">
        <v>46</v>
      </c>
      <c r="AI7" s="39" t="s">
        <v>47</v>
      </c>
      <c r="AJ7" s="41" t="s">
        <v>48</v>
      </c>
      <c r="AK7" s="41" t="s">
        <v>49</v>
      </c>
      <c r="AL7" s="42" t="s">
        <v>50</v>
      </c>
      <c r="AM7" s="42" t="s">
        <v>51</v>
      </c>
      <c r="AN7" s="41" t="s">
        <v>52</v>
      </c>
      <c r="AO7" s="41" t="s">
        <v>53</v>
      </c>
      <c r="AP7" s="42" t="s">
        <v>54</v>
      </c>
      <c r="AQ7" s="42" t="s">
        <v>55</v>
      </c>
      <c r="AR7" s="41" t="s">
        <v>56</v>
      </c>
      <c r="AS7" s="41" t="s">
        <v>57</v>
      </c>
      <c r="AT7" s="42" t="s">
        <v>58</v>
      </c>
      <c r="AU7" s="42" t="s">
        <v>59</v>
      </c>
      <c r="AV7" s="41" t="s">
        <v>60</v>
      </c>
      <c r="AW7" s="41" t="s">
        <v>61</v>
      </c>
      <c r="AX7" s="42" t="s">
        <v>62</v>
      </c>
      <c r="AY7" s="42" t="s">
        <v>63</v>
      </c>
      <c r="AZ7" s="41" t="s">
        <v>64</v>
      </c>
      <c r="BA7" s="41" t="s">
        <v>65</v>
      </c>
      <c r="BB7" s="42" t="s">
        <v>66</v>
      </c>
      <c r="BC7" s="42" t="s">
        <v>67</v>
      </c>
      <c r="BD7" s="41" t="s">
        <v>68</v>
      </c>
      <c r="BE7" s="41" t="s">
        <v>69</v>
      </c>
      <c r="BF7" s="42" t="s">
        <v>70</v>
      </c>
      <c r="BG7" s="42" t="s">
        <v>71</v>
      </c>
      <c r="BH7" s="41" t="s">
        <v>72</v>
      </c>
      <c r="BI7" s="41" t="s">
        <v>73</v>
      </c>
      <c r="BJ7" s="43" t="s">
        <v>32</v>
      </c>
      <c r="BK7" s="44" t="s">
        <v>33</v>
      </c>
      <c r="BL7" s="43" t="s">
        <v>74</v>
      </c>
      <c r="BM7" s="45" t="s">
        <v>75</v>
      </c>
      <c r="BN7" s="45" t="s">
        <v>76</v>
      </c>
      <c r="BO7" s="46" t="s">
        <v>77</v>
      </c>
      <c r="BP7" s="45" t="s">
        <v>78</v>
      </c>
      <c r="BQ7" s="45" t="s">
        <v>79</v>
      </c>
      <c r="BR7" s="46" t="s">
        <v>80</v>
      </c>
      <c r="BS7" s="47" t="s">
        <v>81</v>
      </c>
      <c r="BT7" s="47" t="s">
        <v>82</v>
      </c>
      <c r="BU7" s="47"/>
      <c r="BV7" s="47"/>
      <c r="BW7" s="48" t="s">
        <v>83</v>
      </c>
      <c r="BX7" s="48" t="s">
        <v>84</v>
      </c>
      <c r="BY7" s="48" t="s">
        <v>85</v>
      </c>
      <c r="BZ7" s="48" t="s">
        <v>86</v>
      </c>
      <c r="CA7" s="48" t="s">
        <v>87</v>
      </c>
      <c r="CB7" s="48" t="s">
        <v>88</v>
      </c>
      <c r="CC7" s="48" t="s">
        <v>89</v>
      </c>
      <c r="CD7" s="48" t="s">
        <v>90</v>
      </c>
      <c r="CE7" s="48" t="s">
        <v>91</v>
      </c>
      <c r="CF7" s="48" t="s">
        <v>92</v>
      </c>
      <c r="CG7" s="48" t="s">
        <v>93</v>
      </c>
      <c r="CH7" s="48" t="s">
        <v>94</v>
      </c>
      <c r="CI7" s="49" t="s">
        <v>95</v>
      </c>
    </row>
    <row r="8" spans="1:87" ht="15" customHeight="1" x14ac:dyDescent="0.2">
      <c r="A8" s="51" t="s">
        <v>96</v>
      </c>
      <c r="B8" s="52"/>
      <c r="C8" s="52"/>
      <c r="D8" s="53"/>
      <c r="E8" s="52"/>
      <c r="F8" s="52"/>
      <c r="G8" s="53"/>
      <c r="H8" s="53"/>
      <c r="I8" s="53"/>
      <c r="J8" s="53"/>
      <c r="K8" s="53"/>
      <c r="L8" s="53"/>
      <c r="M8" s="53"/>
      <c r="N8" s="53"/>
      <c r="O8" s="53"/>
      <c r="P8" s="54"/>
      <c r="Q8" s="55"/>
      <c r="R8" s="52"/>
      <c r="S8" s="52"/>
      <c r="T8" s="52"/>
      <c r="U8" s="52"/>
      <c r="V8" s="56"/>
      <c r="W8" s="56"/>
      <c r="X8" s="52"/>
      <c r="Y8" s="52"/>
      <c r="Z8" s="52"/>
      <c r="AA8" s="52"/>
      <c r="AB8" s="52"/>
      <c r="AC8" s="52"/>
      <c r="AD8" s="52"/>
      <c r="AE8" s="56"/>
      <c r="AF8" s="56"/>
      <c r="AG8" s="56"/>
      <c r="AH8" s="56"/>
      <c r="AI8" s="56"/>
      <c r="AJ8" s="52"/>
      <c r="AK8" s="52"/>
      <c r="AL8" s="52"/>
      <c r="AM8" s="52"/>
      <c r="AN8" s="52"/>
      <c r="AO8" s="52"/>
      <c r="AP8" s="56"/>
      <c r="AQ8" s="56"/>
      <c r="AR8" s="52"/>
      <c r="AS8" s="52"/>
      <c r="AT8" s="56"/>
      <c r="AU8" s="56"/>
      <c r="AV8" s="52"/>
      <c r="AW8" s="52"/>
      <c r="AX8" s="56"/>
      <c r="AY8" s="56"/>
      <c r="AZ8" s="52"/>
      <c r="BA8" s="52"/>
      <c r="BB8" s="56"/>
      <c r="BC8" s="56"/>
      <c r="BD8" s="52"/>
      <c r="BE8" s="52"/>
      <c r="BF8" s="56"/>
      <c r="BG8" s="56"/>
      <c r="BH8" s="52"/>
      <c r="BI8" s="52"/>
      <c r="BJ8" s="52"/>
      <c r="BK8" s="52"/>
      <c r="BL8" s="52"/>
      <c r="BM8" s="52"/>
      <c r="BN8" s="52"/>
      <c r="BO8" s="52"/>
      <c r="BP8" s="52"/>
      <c r="BQ8" s="52"/>
      <c r="BR8" s="52"/>
      <c r="BS8" s="52"/>
      <c r="BT8" s="52"/>
      <c r="BU8" s="52"/>
      <c r="BV8" s="52"/>
      <c r="BW8" s="52"/>
      <c r="BX8" s="52"/>
      <c r="BY8" s="52"/>
      <c r="BZ8" s="52"/>
      <c r="CA8" s="52"/>
      <c r="CB8" s="52"/>
      <c r="CC8" s="52"/>
      <c r="CD8" s="52"/>
      <c r="CE8" s="52"/>
      <c r="CF8" s="52"/>
      <c r="CG8" s="52"/>
      <c r="CH8" s="52"/>
      <c r="CI8" s="57"/>
    </row>
    <row r="9" spans="1:87" ht="15" customHeight="1" x14ac:dyDescent="0.2">
      <c r="A9" s="58">
        <v>62009001</v>
      </c>
      <c r="B9" s="58" t="s">
        <v>97</v>
      </c>
      <c r="C9" s="58" t="s">
        <v>98</v>
      </c>
      <c r="D9" s="59" t="s">
        <v>99</v>
      </c>
      <c r="E9" s="60" t="s">
        <v>100</v>
      </c>
      <c r="F9" s="61" t="str">
        <f>LEFT(E9,8)</f>
        <v>09/09/20</v>
      </c>
      <c r="G9" s="62" t="s">
        <v>101</v>
      </c>
      <c r="H9" s="62" t="s">
        <v>102</v>
      </c>
      <c r="I9" s="63"/>
      <c r="J9" s="64">
        <v>25.171451000000001</v>
      </c>
      <c r="K9" s="64">
        <v>38.440716999999999</v>
      </c>
      <c r="L9" s="64">
        <v>29.510863000000001</v>
      </c>
      <c r="M9" s="64">
        <v>27.081344000000001</v>
      </c>
      <c r="N9" s="65">
        <v>3875</v>
      </c>
      <c r="O9" s="65">
        <v>28.39</v>
      </c>
      <c r="P9" s="65">
        <v>0.20169999999999999</v>
      </c>
      <c r="Q9" s="65">
        <v>1.932E-2</v>
      </c>
      <c r="R9" s="66">
        <v>10.31377618</v>
      </c>
      <c r="S9" s="66">
        <f t="shared" ref="S9:S14" si="0">R9+R8</f>
        <v>10.31377618</v>
      </c>
      <c r="T9" s="67">
        <v>77.779701000000003</v>
      </c>
      <c r="U9" s="67">
        <v>74.311329999999998</v>
      </c>
      <c r="V9" s="68">
        <v>9</v>
      </c>
      <c r="W9" s="68">
        <v>2491</v>
      </c>
      <c r="X9" s="68">
        <f t="shared" ref="X9:X14" si="1">W9-V9</f>
        <v>2482</v>
      </c>
      <c r="Y9" s="68">
        <f t="shared" ref="Y9:Y25" si="2">X9/$R9</f>
        <v>240.64900737452305</v>
      </c>
      <c r="Z9" s="69">
        <v>6.5</v>
      </c>
      <c r="AA9" s="68">
        <v>35.700000000000003</v>
      </c>
      <c r="AB9" s="68">
        <f t="shared" ref="AB9:AB14" si="3">AA9-Z9</f>
        <v>29.200000000000003</v>
      </c>
      <c r="AC9" s="68">
        <f t="shared" ref="AC9:AC25" si="4">AB9/$R9</f>
        <v>2.8311647926414478</v>
      </c>
      <c r="AD9" s="69">
        <v>5.7923220000000004</v>
      </c>
      <c r="AE9" s="68">
        <v>31.38</v>
      </c>
      <c r="AF9" s="68">
        <f t="shared" ref="AF9:AF14" si="5">AE9-AD9</f>
        <v>25.587677999999997</v>
      </c>
      <c r="AG9" s="68">
        <f t="shared" ref="AG9:AG25" si="6">AF9/$R9</f>
        <v>2.4809223657207577</v>
      </c>
      <c r="AH9" s="69">
        <v>0.91</v>
      </c>
      <c r="AI9" s="68">
        <v>5.85</v>
      </c>
      <c r="AJ9" s="68">
        <f t="shared" ref="AJ9:AJ14" si="7">AI9-AH9</f>
        <v>4.9399999999999995</v>
      </c>
      <c r="AK9" s="70">
        <f t="shared" ref="AK9:AK25" si="8">AJ9/$R9</f>
        <v>0.47897102998797086</v>
      </c>
      <c r="AL9" s="69">
        <v>0</v>
      </c>
      <c r="AM9" s="68">
        <v>0</v>
      </c>
      <c r="AN9" s="68">
        <f t="shared" ref="AN9:AN14" si="9">AM9-AL9</f>
        <v>0</v>
      </c>
      <c r="AO9" s="70">
        <f t="shared" ref="AO9:AO25" si="10">AN9/$R9</f>
        <v>0</v>
      </c>
      <c r="AP9" s="69">
        <v>0.2</v>
      </c>
      <c r="AQ9" s="68">
        <v>0.1</v>
      </c>
      <c r="AR9" s="68">
        <f t="shared" ref="AR9:AR14" si="11">AQ9-AP9</f>
        <v>-0.1</v>
      </c>
      <c r="AS9" s="70">
        <f t="shared" ref="AS9:AS25" si="12">AR9/$R9</f>
        <v>-9.6957698378131764E-3</v>
      </c>
      <c r="AT9" s="69">
        <v>0</v>
      </c>
      <c r="AU9" s="68">
        <v>-0.1</v>
      </c>
      <c r="AV9" s="68">
        <f t="shared" ref="AV9:AV14" si="13">AU9-AT9</f>
        <v>-0.1</v>
      </c>
      <c r="AW9" s="70">
        <f t="shared" ref="AW9:AW25" si="14">AV9/$R9</f>
        <v>-9.6957698378131764E-3</v>
      </c>
      <c r="AX9" s="69">
        <v>9</v>
      </c>
      <c r="AY9" s="68">
        <v>2492</v>
      </c>
      <c r="AZ9" s="68">
        <f t="shared" ref="AZ9:AZ14" si="15">AY9-AX9</f>
        <v>2483</v>
      </c>
      <c r="BA9" s="70">
        <f t="shared" ref="BA9:BA25" si="16">AZ9/$R9</f>
        <v>240.74596507290119</v>
      </c>
      <c r="BB9" s="69">
        <v>1.2</v>
      </c>
      <c r="BC9" s="68">
        <v>2.2999999999999998</v>
      </c>
      <c r="BD9" s="68">
        <f t="shared" ref="BD9:BD14" si="17">BC9-BB9</f>
        <v>1.0999999999999999</v>
      </c>
      <c r="BE9" s="70">
        <f t="shared" ref="BE9:BE25" si="18">BD9/$R9</f>
        <v>0.10665346821594493</v>
      </c>
      <c r="BF9" s="69">
        <v>0</v>
      </c>
      <c r="BG9" s="68">
        <v>0</v>
      </c>
      <c r="BH9" s="68">
        <f t="shared" ref="BH9:BH14" si="19">BG9-BF9</f>
        <v>0</v>
      </c>
      <c r="BI9" s="70">
        <f t="shared" ref="BI9:BI25" si="20">BH9/$R9</f>
        <v>0</v>
      </c>
      <c r="BJ9" s="71">
        <v>77.779701000000003</v>
      </c>
      <c r="BK9" s="71">
        <v>74.311329999999998</v>
      </c>
      <c r="BL9" s="71">
        <f t="shared" ref="BL9:BL14" si="21">BK9-BJ9</f>
        <v>-3.4683710000000048</v>
      </c>
      <c r="BM9" s="72">
        <v>0</v>
      </c>
      <c r="BN9" s="73">
        <v>0</v>
      </c>
      <c r="BO9" s="73">
        <f t="shared" ref="BO9:BO14" si="22">BN9-BM9</f>
        <v>0</v>
      </c>
      <c r="BP9" s="72">
        <v>1.2</v>
      </c>
      <c r="BQ9" s="73">
        <v>2.2999999999999998</v>
      </c>
      <c r="BR9" s="73">
        <f t="shared" ref="BR9:BR14" si="23">BQ9-BP9</f>
        <v>1.0999999999999999</v>
      </c>
      <c r="BS9" s="71"/>
      <c r="BT9" s="71"/>
      <c r="BU9" s="71"/>
      <c r="BV9" s="71"/>
      <c r="BW9" s="62" t="s">
        <v>103</v>
      </c>
      <c r="BX9" s="5">
        <v>1771.20459783</v>
      </c>
      <c r="BY9" s="5">
        <v>1.37651743</v>
      </c>
      <c r="BZ9" s="5">
        <v>1324.74153821</v>
      </c>
      <c r="CA9" s="5">
        <v>1306.75384375</v>
      </c>
      <c r="CB9" s="5">
        <v>7.3929508300000002</v>
      </c>
      <c r="CC9" s="5">
        <v>7.3154705499999997</v>
      </c>
      <c r="CD9" s="5">
        <v>0.55726134999999999</v>
      </c>
      <c r="CE9" s="5">
        <v>10.31383703</v>
      </c>
      <c r="CF9" s="5">
        <v>10.256680510000001</v>
      </c>
      <c r="CG9" s="5">
        <v>0.49660812999999998</v>
      </c>
      <c r="CH9" s="5">
        <v>1.0591292000000001</v>
      </c>
      <c r="CI9" s="5">
        <v>0.28265558000000002</v>
      </c>
    </row>
    <row r="10" spans="1:87" ht="15" customHeight="1" x14ac:dyDescent="0.2">
      <c r="A10" s="58">
        <v>62009001</v>
      </c>
      <c r="B10" s="58" t="s">
        <v>97</v>
      </c>
      <c r="C10" s="58" t="s">
        <v>104</v>
      </c>
      <c r="D10" s="59" t="s">
        <v>99</v>
      </c>
      <c r="E10" s="60" t="s">
        <v>100</v>
      </c>
      <c r="F10" s="61" t="str">
        <f t="shared" ref="F10:F25" si="24">LEFT(E10,8)</f>
        <v>09/09/20</v>
      </c>
      <c r="G10" s="62" t="s">
        <v>101</v>
      </c>
      <c r="H10" s="62" t="s">
        <v>102</v>
      </c>
      <c r="I10" s="63"/>
      <c r="J10" s="64">
        <v>24.787082000000002</v>
      </c>
      <c r="K10" s="64">
        <v>39.125779000000001</v>
      </c>
      <c r="L10" s="64">
        <v>29.507401000000002</v>
      </c>
      <c r="M10" s="64">
        <v>28.917781000000002</v>
      </c>
      <c r="N10" s="65">
        <v>3875</v>
      </c>
      <c r="O10" s="65">
        <v>28.39</v>
      </c>
      <c r="P10" s="65">
        <v>0.20169999999999999</v>
      </c>
      <c r="Q10" s="65">
        <v>1.932E-2</v>
      </c>
      <c r="R10" s="66">
        <v>10.31298778</v>
      </c>
      <c r="S10" s="66">
        <f t="shared" si="0"/>
        <v>20.626763959999998</v>
      </c>
      <c r="T10" s="67">
        <v>74.309804</v>
      </c>
      <c r="U10" s="67">
        <v>70.850588999999999</v>
      </c>
      <c r="V10" s="68">
        <v>2492</v>
      </c>
      <c r="W10" s="68">
        <v>4916</v>
      </c>
      <c r="X10" s="68">
        <f t="shared" si="1"/>
        <v>2424</v>
      </c>
      <c r="Y10" s="68">
        <f t="shared" si="2"/>
        <v>235.04342792889452</v>
      </c>
      <c r="Z10" s="69">
        <v>36.299999999999997</v>
      </c>
      <c r="AA10" s="68">
        <v>68.016084000000006</v>
      </c>
      <c r="AB10" s="68">
        <f t="shared" si="3"/>
        <v>31.716084000000009</v>
      </c>
      <c r="AC10" s="68">
        <f t="shared" si="4"/>
        <v>3.0753535906933855</v>
      </c>
      <c r="AD10" s="69">
        <v>31.89</v>
      </c>
      <c r="AE10" s="68">
        <v>59.89</v>
      </c>
      <c r="AF10" s="68">
        <f t="shared" si="5"/>
        <v>28</v>
      </c>
      <c r="AG10" s="68">
        <f t="shared" si="6"/>
        <v>2.7150230948882204</v>
      </c>
      <c r="AH10" s="69">
        <v>5.92</v>
      </c>
      <c r="AI10" s="68">
        <v>8.84</v>
      </c>
      <c r="AJ10" s="68">
        <f t="shared" si="7"/>
        <v>2.92</v>
      </c>
      <c r="AK10" s="70">
        <f t="shared" si="8"/>
        <v>0.28313812275262873</v>
      </c>
      <c r="AL10" s="69">
        <v>0</v>
      </c>
      <c r="AM10" s="68">
        <v>0</v>
      </c>
      <c r="AN10" s="68">
        <f t="shared" si="9"/>
        <v>0</v>
      </c>
      <c r="AO10" s="70">
        <f t="shared" si="10"/>
        <v>0</v>
      </c>
      <c r="AP10" s="69">
        <v>0.1</v>
      </c>
      <c r="AQ10" s="68">
        <v>0.1</v>
      </c>
      <c r="AR10" s="68">
        <f t="shared" si="11"/>
        <v>0</v>
      </c>
      <c r="AS10" s="70">
        <f t="shared" si="12"/>
        <v>0</v>
      </c>
      <c r="AT10" s="69">
        <v>-0.1</v>
      </c>
      <c r="AU10" s="68">
        <v>-0.1</v>
      </c>
      <c r="AV10" s="68">
        <f t="shared" si="13"/>
        <v>0</v>
      </c>
      <c r="AW10" s="70">
        <f t="shared" si="14"/>
        <v>0</v>
      </c>
      <c r="AX10" s="69">
        <v>2493</v>
      </c>
      <c r="AY10" s="68">
        <v>4919</v>
      </c>
      <c r="AZ10" s="68">
        <f t="shared" si="15"/>
        <v>2426</v>
      </c>
      <c r="BA10" s="70">
        <f t="shared" si="16"/>
        <v>235.23735814995797</v>
      </c>
      <c r="BB10" s="69">
        <v>2.2999999999999998</v>
      </c>
      <c r="BC10" s="68">
        <v>3.4</v>
      </c>
      <c r="BD10" s="68">
        <f t="shared" si="17"/>
        <v>1.1000000000000001</v>
      </c>
      <c r="BE10" s="70">
        <f t="shared" si="18"/>
        <v>0.10666162158489439</v>
      </c>
      <c r="BF10" s="69">
        <v>0</v>
      </c>
      <c r="BG10" s="68">
        <v>0</v>
      </c>
      <c r="BH10" s="68">
        <f t="shared" si="19"/>
        <v>0</v>
      </c>
      <c r="BI10" s="70">
        <f t="shared" si="20"/>
        <v>0</v>
      </c>
      <c r="BJ10" s="71">
        <v>74.309804</v>
      </c>
      <c r="BK10" s="71">
        <v>70.850588999999999</v>
      </c>
      <c r="BL10" s="71">
        <f t="shared" si="21"/>
        <v>-3.4592150000000004</v>
      </c>
      <c r="BM10" s="72">
        <v>0</v>
      </c>
      <c r="BN10" s="73">
        <v>0</v>
      </c>
      <c r="BO10" s="73">
        <f t="shared" si="22"/>
        <v>0</v>
      </c>
      <c r="BP10" s="72">
        <v>2.2999999999999998</v>
      </c>
      <c r="BQ10" s="73">
        <v>3.4</v>
      </c>
      <c r="BR10" s="73">
        <f t="shared" si="23"/>
        <v>1.1000000000000001</v>
      </c>
      <c r="BS10" s="71"/>
      <c r="BT10" s="71"/>
      <c r="BU10" s="71"/>
      <c r="BV10" s="71"/>
      <c r="BW10" s="62" t="s">
        <v>103</v>
      </c>
      <c r="BX10" s="5">
        <v>1769.09033292</v>
      </c>
      <c r="BY10" s="5">
        <v>1.34720101</v>
      </c>
      <c r="BZ10" s="5">
        <v>1324.32833435</v>
      </c>
      <c r="CA10" s="5">
        <v>1306.72413357</v>
      </c>
      <c r="CB10" s="5">
        <v>7.3957523800000002</v>
      </c>
      <c r="CC10" s="5">
        <v>7.3154053599999997</v>
      </c>
      <c r="CD10" s="5">
        <v>0.54980647000000005</v>
      </c>
      <c r="CE10" s="5">
        <v>10.31307232</v>
      </c>
      <c r="CF10" s="5">
        <v>10.256680429999999</v>
      </c>
      <c r="CG10" s="5">
        <v>0.54256070999999995</v>
      </c>
      <c r="CH10" s="5">
        <v>1.09832627</v>
      </c>
      <c r="CI10" s="5">
        <v>0.28265072000000002</v>
      </c>
    </row>
    <row r="11" spans="1:87" ht="15" customHeight="1" x14ac:dyDescent="0.2">
      <c r="A11" s="58">
        <v>62009001</v>
      </c>
      <c r="B11" s="58" t="s">
        <v>97</v>
      </c>
      <c r="C11" s="58" t="s">
        <v>105</v>
      </c>
      <c r="D11" s="59" t="s">
        <v>99</v>
      </c>
      <c r="E11" s="60" t="s">
        <v>100</v>
      </c>
      <c r="F11" s="61" t="str">
        <f t="shared" si="24"/>
        <v>09/09/20</v>
      </c>
      <c r="G11" s="62" t="s">
        <v>101</v>
      </c>
      <c r="H11" s="62" t="s">
        <v>102</v>
      </c>
      <c r="I11" s="63"/>
      <c r="J11" s="64">
        <v>24.46527</v>
      </c>
      <c r="K11" s="64">
        <v>39.881335999999997</v>
      </c>
      <c r="L11" s="64">
        <v>29.511058999999999</v>
      </c>
      <c r="M11" s="64">
        <v>28.869471999999998</v>
      </c>
      <c r="N11" s="65">
        <v>3875</v>
      </c>
      <c r="O11" s="65">
        <v>28.39</v>
      </c>
      <c r="P11" s="65">
        <v>0.20169999999999999</v>
      </c>
      <c r="Q11" s="65">
        <v>1.932E-2</v>
      </c>
      <c r="R11" s="66">
        <v>10.32498331</v>
      </c>
      <c r="S11" s="66">
        <f t="shared" si="0"/>
        <v>20.637971090000001</v>
      </c>
      <c r="T11" s="67">
        <v>70.849063000000001</v>
      </c>
      <c r="U11" s="67">
        <v>67.363906999999998</v>
      </c>
      <c r="V11" s="68">
        <v>4917</v>
      </c>
      <c r="W11" s="68">
        <v>7332</v>
      </c>
      <c r="X11" s="68">
        <f t="shared" si="1"/>
        <v>2415</v>
      </c>
      <c r="Y11" s="68">
        <f t="shared" si="2"/>
        <v>233.89868317375516</v>
      </c>
      <c r="Z11" s="69">
        <v>68.7</v>
      </c>
      <c r="AA11" s="68">
        <v>101.8</v>
      </c>
      <c r="AB11" s="68">
        <f t="shared" si="3"/>
        <v>33.099999999999994</v>
      </c>
      <c r="AC11" s="68">
        <f t="shared" si="4"/>
        <v>3.2058163201040557</v>
      </c>
      <c r="AD11" s="69">
        <v>60.421545999999999</v>
      </c>
      <c r="AE11" s="68">
        <v>89.66</v>
      </c>
      <c r="AF11" s="68">
        <f t="shared" si="5"/>
        <v>29.238453999999997</v>
      </c>
      <c r="AG11" s="68">
        <f t="shared" si="6"/>
        <v>2.8318161029550368</v>
      </c>
      <c r="AH11" s="69">
        <v>8.8800000000000008</v>
      </c>
      <c r="AI11" s="68">
        <v>10.75</v>
      </c>
      <c r="AJ11" s="68">
        <f t="shared" si="7"/>
        <v>1.8699999999999992</v>
      </c>
      <c r="AK11" s="70">
        <f t="shared" si="8"/>
        <v>0.181114094217359</v>
      </c>
      <c r="AL11" s="69">
        <v>0.1</v>
      </c>
      <c r="AM11" s="68">
        <v>0.1</v>
      </c>
      <c r="AN11" s="68">
        <f t="shared" si="9"/>
        <v>0</v>
      </c>
      <c r="AO11" s="70">
        <f t="shared" si="10"/>
        <v>0</v>
      </c>
      <c r="AP11" s="69">
        <v>0.1</v>
      </c>
      <c r="AQ11" s="68">
        <v>0</v>
      </c>
      <c r="AR11" s="68">
        <f t="shared" si="11"/>
        <v>-0.1</v>
      </c>
      <c r="AS11" s="70">
        <f t="shared" si="12"/>
        <v>-9.685245680072679E-3</v>
      </c>
      <c r="AT11" s="69">
        <v>-0.1</v>
      </c>
      <c r="AU11" s="68">
        <v>-0.1</v>
      </c>
      <c r="AV11" s="68">
        <f t="shared" si="13"/>
        <v>0</v>
      </c>
      <c r="AW11" s="70">
        <f t="shared" si="14"/>
        <v>0</v>
      </c>
      <c r="AX11" s="69">
        <v>4919</v>
      </c>
      <c r="AY11" s="68">
        <v>7335</v>
      </c>
      <c r="AZ11" s="68">
        <f t="shared" si="15"/>
        <v>2416</v>
      </c>
      <c r="BA11" s="70">
        <f t="shared" si="16"/>
        <v>233.99553563055591</v>
      </c>
      <c r="BB11" s="69">
        <v>3.4</v>
      </c>
      <c r="BC11" s="68">
        <v>4.4000000000000004</v>
      </c>
      <c r="BD11" s="68">
        <f t="shared" si="17"/>
        <v>1.0000000000000004</v>
      </c>
      <c r="BE11" s="70">
        <f t="shared" si="18"/>
        <v>9.6852456800726822E-2</v>
      </c>
      <c r="BF11" s="69">
        <v>0</v>
      </c>
      <c r="BG11" s="68">
        <v>0</v>
      </c>
      <c r="BH11" s="68">
        <f t="shared" si="19"/>
        <v>0</v>
      </c>
      <c r="BI11" s="70">
        <f t="shared" si="20"/>
        <v>0</v>
      </c>
      <c r="BJ11" s="71">
        <v>70.849063000000001</v>
      </c>
      <c r="BK11" s="71">
        <v>67.363906999999998</v>
      </c>
      <c r="BL11" s="71">
        <f t="shared" si="21"/>
        <v>-3.4851560000000035</v>
      </c>
      <c r="BM11" s="72">
        <v>0</v>
      </c>
      <c r="BN11" s="73">
        <v>0</v>
      </c>
      <c r="BO11" s="73">
        <f t="shared" si="22"/>
        <v>0</v>
      </c>
      <c r="BP11" s="72">
        <v>3.4</v>
      </c>
      <c r="BQ11" s="73">
        <v>4.4000000000000004</v>
      </c>
      <c r="BR11" s="73">
        <f t="shared" si="23"/>
        <v>1.0000000000000004</v>
      </c>
      <c r="BS11" s="71"/>
      <c r="BT11" s="71"/>
      <c r="BU11" s="71"/>
      <c r="BV11" s="71"/>
      <c r="BW11" s="62" t="s">
        <v>103</v>
      </c>
      <c r="BX11" s="5">
        <v>1800.6681957599999</v>
      </c>
      <c r="BY11" s="5">
        <v>1.71081273</v>
      </c>
      <c r="BZ11" s="5">
        <v>1329.0624375100001</v>
      </c>
      <c r="CA11" s="5">
        <v>1306.7071256900001</v>
      </c>
      <c r="CB11" s="5">
        <v>7.4008007400000002</v>
      </c>
      <c r="CC11" s="5">
        <v>7.31870318</v>
      </c>
      <c r="CD11" s="5">
        <v>0.55760264000000004</v>
      </c>
      <c r="CE11" s="5">
        <v>10.325064340000001</v>
      </c>
      <c r="CF11" s="5">
        <v>10.26781076</v>
      </c>
      <c r="CG11" s="5">
        <v>0.55788930000000003</v>
      </c>
      <c r="CH11" s="5">
        <v>1.1217500600000001</v>
      </c>
      <c r="CI11" s="5">
        <v>0.28251928999999998</v>
      </c>
    </row>
    <row r="12" spans="1:87" ht="15" customHeight="1" x14ac:dyDescent="0.2">
      <c r="A12" s="58">
        <v>62009002</v>
      </c>
      <c r="B12" s="58" t="s">
        <v>106</v>
      </c>
      <c r="C12" s="58" t="s">
        <v>98</v>
      </c>
      <c r="D12" s="59" t="s">
        <v>107</v>
      </c>
      <c r="E12" s="60" t="s">
        <v>108</v>
      </c>
      <c r="F12" s="61" t="str">
        <f t="shared" si="24"/>
        <v>09/09/20</v>
      </c>
      <c r="G12" s="62" t="s">
        <v>109</v>
      </c>
      <c r="H12" s="62" t="s">
        <v>110</v>
      </c>
      <c r="I12" s="63"/>
      <c r="J12" s="64">
        <v>21.197175999999999</v>
      </c>
      <c r="K12" s="64">
        <v>48.638801999999998</v>
      </c>
      <c r="L12" s="64">
        <v>29.510646000000001</v>
      </c>
      <c r="M12" s="64">
        <v>21.428045999999998</v>
      </c>
      <c r="N12" s="65">
        <v>3875</v>
      </c>
      <c r="O12" s="65">
        <v>28.39</v>
      </c>
      <c r="P12" s="65">
        <v>0.20169999999999999</v>
      </c>
      <c r="Q12" s="65">
        <v>1.932E-2</v>
      </c>
      <c r="R12" s="66">
        <v>5.5475000000000001E-4</v>
      </c>
      <c r="S12" s="66">
        <f t="shared" si="0"/>
        <v>10.32553806</v>
      </c>
      <c r="T12" s="67">
        <v>67.194531999999995</v>
      </c>
      <c r="U12" s="67">
        <v>66.414796999999993</v>
      </c>
      <c r="V12" s="68">
        <v>7445</v>
      </c>
      <c r="W12" s="68">
        <v>7992</v>
      </c>
      <c r="X12" s="68">
        <f t="shared" si="1"/>
        <v>547</v>
      </c>
      <c r="Y12" s="68">
        <f t="shared" si="2"/>
        <v>986029.74312753486</v>
      </c>
      <c r="Z12" s="69">
        <v>166.28023999999999</v>
      </c>
      <c r="AA12" s="68">
        <v>275</v>
      </c>
      <c r="AB12" s="68">
        <f t="shared" si="3"/>
        <v>108.71976000000001</v>
      </c>
      <c r="AC12" s="68">
        <f t="shared" si="4"/>
        <v>195979.73862100046</v>
      </c>
      <c r="AD12" s="69">
        <v>146.87802400000001</v>
      </c>
      <c r="AE12" s="68">
        <v>245.79</v>
      </c>
      <c r="AF12" s="68">
        <f t="shared" si="5"/>
        <v>98.911975999999981</v>
      </c>
      <c r="AG12" s="68">
        <f t="shared" si="6"/>
        <v>178300.09193330325</v>
      </c>
      <c r="AH12" s="69">
        <v>35.659999999999997</v>
      </c>
      <c r="AI12" s="68">
        <v>7.74</v>
      </c>
      <c r="AJ12" s="68">
        <f t="shared" si="7"/>
        <v>-27.919999999999995</v>
      </c>
      <c r="AK12" s="70">
        <f t="shared" si="8"/>
        <v>-50328.977016674165</v>
      </c>
      <c r="AL12" s="69">
        <v>0</v>
      </c>
      <c r="AM12" s="68">
        <v>127.6</v>
      </c>
      <c r="AN12" s="68">
        <f t="shared" si="9"/>
        <v>127.6</v>
      </c>
      <c r="AO12" s="70">
        <f t="shared" si="10"/>
        <v>230013.51960342494</v>
      </c>
      <c r="AP12" s="69">
        <v>0.2</v>
      </c>
      <c r="AQ12" s="68">
        <v>309.2</v>
      </c>
      <c r="AR12" s="68">
        <f t="shared" si="11"/>
        <v>309</v>
      </c>
      <c r="AS12" s="70">
        <f t="shared" si="12"/>
        <v>557007.66110860743</v>
      </c>
      <c r="AT12" s="69">
        <v>0</v>
      </c>
      <c r="AU12" s="68">
        <v>0</v>
      </c>
      <c r="AV12" s="68">
        <f t="shared" si="13"/>
        <v>0</v>
      </c>
      <c r="AW12" s="70">
        <f t="shared" si="14"/>
        <v>0</v>
      </c>
      <c r="AX12" s="69">
        <v>7450</v>
      </c>
      <c r="AY12" s="68">
        <v>7997</v>
      </c>
      <c r="AZ12" s="68">
        <f t="shared" si="15"/>
        <v>547</v>
      </c>
      <c r="BA12" s="70">
        <f t="shared" si="16"/>
        <v>986029.74312753486</v>
      </c>
      <c r="BB12" s="69">
        <v>13.7</v>
      </c>
      <c r="BC12" s="68">
        <v>14.5</v>
      </c>
      <c r="BD12" s="68">
        <f t="shared" si="17"/>
        <v>0.80000000000000071</v>
      </c>
      <c r="BE12" s="70">
        <f t="shared" si="18"/>
        <v>1442.0910319963959</v>
      </c>
      <c r="BF12" s="69">
        <v>0</v>
      </c>
      <c r="BG12" s="68">
        <v>0</v>
      </c>
      <c r="BH12" s="68">
        <f t="shared" si="19"/>
        <v>0</v>
      </c>
      <c r="BI12" s="70">
        <f t="shared" si="20"/>
        <v>0</v>
      </c>
      <c r="BJ12" s="71">
        <v>67.194531999999995</v>
      </c>
      <c r="BK12" s="71">
        <v>66.414796999999993</v>
      </c>
      <c r="BL12" s="71">
        <f t="shared" si="21"/>
        <v>-0.77973500000000229</v>
      </c>
      <c r="BM12" s="72">
        <v>0</v>
      </c>
      <c r="BN12" s="73">
        <v>0</v>
      </c>
      <c r="BO12" s="73">
        <f t="shared" si="22"/>
        <v>0</v>
      </c>
      <c r="BP12" s="72">
        <v>13.7</v>
      </c>
      <c r="BQ12" s="73">
        <v>14.5</v>
      </c>
      <c r="BR12" s="73">
        <f t="shared" si="23"/>
        <v>0.80000000000000071</v>
      </c>
      <c r="BS12" s="71"/>
      <c r="BT12" s="71"/>
      <c r="BU12" s="71"/>
      <c r="BV12" s="71"/>
      <c r="BW12" s="62" t="s">
        <v>111</v>
      </c>
      <c r="BX12" s="5">
        <v>0</v>
      </c>
      <c r="BY12" s="5" t="s">
        <v>112</v>
      </c>
      <c r="BZ12" s="5">
        <v>0</v>
      </c>
      <c r="CA12" s="5">
        <v>0</v>
      </c>
      <c r="CB12" s="5">
        <v>0</v>
      </c>
      <c r="CC12" s="5">
        <v>0</v>
      </c>
      <c r="CD12" s="5" t="s">
        <v>112</v>
      </c>
      <c r="CE12" s="5">
        <v>0</v>
      </c>
      <c r="CF12" s="5">
        <v>0</v>
      </c>
      <c r="CG12" s="5" t="s">
        <v>112</v>
      </c>
      <c r="CH12" s="5" t="s">
        <v>112</v>
      </c>
      <c r="CI12" s="5" t="s">
        <v>112</v>
      </c>
    </row>
    <row r="13" spans="1:87" ht="15" customHeight="1" x14ac:dyDescent="0.2">
      <c r="A13" s="58">
        <v>62009003</v>
      </c>
      <c r="B13" s="58" t="s">
        <v>113</v>
      </c>
      <c r="C13" s="58" t="s">
        <v>98</v>
      </c>
      <c r="D13" s="59" t="s">
        <v>114</v>
      </c>
      <c r="E13" s="60" t="s">
        <v>115</v>
      </c>
      <c r="F13" s="61" t="str">
        <f t="shared" si="24"/>
        <v>09/09/20</v>
      </c>
      <c r="G13" s="62" t="s">
        <v>116</v>
      </c>
      <c r="H13" s="62" t="s">
        <v>110</v>
      </c>
      <c r="I13" s="63"/>
      <c r="J13" s="64">
        <v>22.829782999999999</v>
      </c>
      <c r="K13" s="64">
        <v>44.525191999999997</v>
      </c>
      <c r="L13" s="64">
        <v>29.510238999999999</v>
      </c>
      <c r="M13" s="64">
        <v>25.61619</v>
      </c>
      <c r="N13" s="65">
        <v>3875</v>
      </c>
      <c r="O13" s="65">
        <v>28.39</v>
      </c>
      <c r="P13" s="65">
        <v>0.20169999999999999</v>
      </c>
      <c r="Q13" s="65">
        <v>1.932E-2</v>
      </c>
      <c r="R13" s="66">
        <v>3.61094369</v>
      </c>
      <c r="S13" s="66">
        <f t="shared" si="0"/>
        <v>3.6114984400000001</v>
      </c>
      <c r="T13" s="67">
        <v>66.402590000000004</v>
      </c>
      <c r="U13" s="67">
        <v>65.418385000000001</v>
      </c>
      <c r="V13" s="68">
        <v>8001</v>
      </c>
      <c r="W13" s="68">
        <v>8677</v>
      </c>
      <c r="X13" s="68">
        <f t="shared" si="1"/>
        <v>676</v>
      </c>
      <c r="Y13" s="68">
        <f t="shared" si="2"/>
        <v>187.20867951280624</v>
      </c>
      <c r="Z13" s="69">
        <v>280.10000000000002</v>
      </c>
      <c r="AA13" s="68">
        <v>300.39999999999998</v>
      </c>
      <c r="AB13" s="68">
        <f t="shared" si="3"/>
        <v>20.299999999999955</v>
      </c>
      <c r="AC13" s="68">
        <f t="shared" si="4"/>
        <v>5.6217991037129558</v>
      </c>
      <c r="AD13" s="69">
        <v>250.42</v>
      </c>
      <c r="AE13" s="68">
        <v>268.28626000000003</v>
      </c>
      <c r="AF13" s="68">
        <f t="shared" si="5"/>
        <v>17.86626000000004</v>
      </c>
      <c r="AG13" s="68">
        <f t="shared" si="6"/>
        <v>4.9478090864385758</v>
      </c>
      <c r="AH13" s="69">
        <v>12.66</v>
      </c>
      <c r="AI13" s="68">
        <v>14.72</v>
      </c>
      <c r="AJ13" s="68">
        <f t="shared" si="7"/>
        <v>2.0600000000000005</v>
      </c>
      <c r="AK13" s="70">
        <f t="shared" si="8"/>
        <v>0.57048798786446886</v>
      </c>
      <c r="AL13" s="69">
        <v>127.6</v>
      </c>
      <c r="AM13" s="68">
        <v>127.6</v>
      </c>
      <c r="AN13" s="68">
        <f t="shared" si="9"/>
        <v>0</v>
      </c>
      <c r="AO13" s="70">
        <f t="shared" si="10"/>
        <v>0</v>
      </c>
      <c r="AP13" s="69">
        <v>309.39999999999998</v>
      </c>
      <c r="AQ13" s="68">
        <v>309.39999999999998</v>
      </c>
      <c r="AR13" s="68">
        <f t="shared" si="11"/>
        <v>0</v>
      </c>
      <c r="AS13" s="70">
        <f t="shared" si="12"/>
        <v>0</v>
      </c>
      <c r="AT13" s="69">
        <v>0</v>
      </c>
      <c r="AU13" s="68">
        <v>0.1</v>
      </c>
      <c r="AV13" s="68">
        <f t="shared" si="13"/>
        <v>0.1</v>
      </c>
      <c r="AW13" s="70">
        <f t="shared" si="14"/>
        <v>2.7693591643906251E-2</v>
      </c>
      <c r="AX13" s="69">
        <v>8006</v>
      </c>
      <c r="AY13" s="68">
        <v>8683</v>
      </c>
      <c r="AZ13" s="68">
        <f t="shared" si="15"/>
        <v>677</v>
      </c>
      <c r="BA13" s="70">
        <f t="shared" si="16"/>
        <v>187.48561542924531</v>
      </c>
      <c r="BB13" s="69">
        <v>18.3</v>
      </c>
      <c r="BC13" s="68">
        <v>19</v>
      </c>
      <c r="BD13" s="68">
        <f t="shared" si="17"/>
        <v>0.69999999999999929</v>
      </c>
      <c r="BE13" s="70">
        <f t="shared" si="18"/>
        <v>0.19385514150734354</v>
      </c>
      <c r="BF13" s="69">
        <v>0</v>
      </c>
      <c r="BG13" s="68">
        <v>0</v>
      </c>
      <c r="BH13" s="68">
        <f t="shared" si="19"/>
        <v>0</v>
      </c>
      <c r="BI13" s="70">
        <f t="shared" si="20"/>
        <v>0</v>
      </c>
      <c r="BJ13" s="71">
        <v>66.402590000000004</v>
      </c>
      <c r="BK13" s="71">
        <v>65.418385000000001</v>
      </c>
      <c r="BL13" s="71">
        <f t="shared" si="21"/>
        <v>-0.98420500000000288</v>
      </c>
      <c r="BM13" s="72">
        <v>0</v>
      </c>
      <c r="BN13" s="73">
        <v>0</v>
      </c>
      <c r="BO13" s="73">
        <f t="shared" si="22"/>
        <v>0</v>
      </c>
      <c r="BP13" s="72">
        <v>18.3</v>
      </c>
      <c r="BQ13" s="73">
        <v>19</v>
      </c>
      <c r="BR13" s="73">
        <f t="shared" si="23"/>
        <v>0.69999999999999929</v>
      </c>
      <c r="BS13" s="71"/>
      <c r="BT13" s="71"/>
      <c r="BU13" s="71"/>
      <c r="BV13" s="71"/>
      <c r="BW13" s="62" t="s">
        <v>103</v>
      </c>
      <c r="BX13" s="5">
        <v>2202.9881278500002</v>
      </c>
      <c r="BY13" s="5">
        <v>-0.83984437000000001</v>
      </c>
      <c r="BZ13" s="5">
        <v>2031.6025713399999</v>
      </c>
      <c r="CA13" s="5">
        <v>2048.8093816400001</v>
      </c>
      <c r="CB13" s="5">
        <v>2.96618768</v>
      </c>
      <c r="CC13" s="5">
        <v>2.9658655299999999</v>
      </c>
      <c r="CD13" s="5">
        <v>0.55406849000000002</v>
      </c>
      <c r="CE13" s="5">
        <v>3.6108770300000002</v>
      </c>
      <c r="CF13" s="5">
        <v>3.5909805399999999</v>
      </c>
      <c r="CG13" s="5">
        <v>-0.54314779999999996</v>
      </c>
      <c r="CH13" s="5">
        <v>1.08617E-2</v>
      </c>
      <c r="CI13" s="5">
        <v>0.59140932000000002</v>
      </c>
    </row>
    <row r="14" spans="1:87" ht="15" customHeight="1" x14ac:dyDescent="0.2">
      <c r="A14" s="58">
        <v>62009003</v>
      </c>
      <c r="B14" s="58" t="s">
        <v>117</v>
      </c>
      <c r="C14" s="58" t="s">
        <v>104</v>
      </c>
      <c r="D14" s="59" t="s">
        <v>114</v>
      </c>
      <c r="E14" s="60" t="s">
        <v>115</v>
      </c>
      <c r="F14" s="61" t="str">
        <f t="shared" si="24"/>
        <v>09/09/20</v>
      </c>
      <c r="G14" s="62" t="s">
        <v>116</v>
      </c>
      <c r="H14" s="62" t="s">
        <v>110</v>
      </c>
      <c r="I14" s="63"/>
      <c r="J14" s="64">
        <v>20.807516</v>
      </c>
      <c r="K14" s="64">
        <v>50.062151999999998</v>
      </c>
      <c r="L14" s="64">
        <v>29.509243000000001</v>
      </c>
      <c r="M14" s="64">
        <v>26.990438999999999</v>
      </c>
      <c r="N14" s="65">
        <v>3875</v>
      </c>
      <c r="O14" s="65">
        <v>28.39</v>
      </c>
      <c r="P14" s="65">
        <v>0.20169999999999999</v>
      </c>
      <c r="Q14" s="65">
        <v>1.932E-2</v>
      </c>
      <c r="R14" s="66">
        <v>3.8850716699999999</v>
      </c>
      <c r="S14" s="66">
        <f t="shared" si="0"/>
        <v>7.4960153599999995</v>
      </c>
      <c r="T14" s="67">
        <v>65.418385000000001</v>
      </c>
      <c r="U14" s="67">
        <v>64.600502000000006</v>
      </c>
      <c r="V14" s="68">
        <v>8677</v>
      </c>
      <c r="W14" s="68">
        <v>9239</v>
      </c>
      <c r="X14" s="68">
        <f t="shared" si="1"/>
        <v>562</v>
      </c>
      <c r="Y14" s="68">
        <f t="shared" si="2"/>
        <v>144.65627605783655</v>
      </c>
      <c r="Z14" s="69">
        <v>300.39999999999998</v>
      </c>
      <c r="AA14" s="68">
        <v>336.1</v>
      </c>
      <c r="AB14" s="68">
        <f t="shared" si="3"/>
        <v>35.700000000000045</v>
      </c>
      <c r="AC14" s="68">
        <f t="shared" si="4"/>
        <v>9.1890196712896284</v>
      </c>
      <c r="AD14" s="69">
        <v>268.29000000000002</v>
      </c>
      <c r="AE14" s="68">
        <v>299.77999999999997</v>
      </c>
      <c r="AF14" s="68">
        <f t="shared" si="5"/>
        <v>31.489999999999952</v>
      </c>
      <c r="AG14" s="68">
        <f t="shared" si="6"/>
        <v>8.1053845784008285</v>
      </c>
      <c r="AH14" s="69">
        <v>14.72</v>
      </c>
      <c r="AI14" s="68">
        <v>16.579999999999998</v>
      </c>
      <c r="AJ14" s="68">
        <f t="shared" si="7"/>
        <v>1.8599999999999977</v>
      </c>
      <c r="AK14" s="70">
        <f t="shared" si="8"/>
        <v>0.47875564673945842</v>
      </c>
      <c r="AL14" s="69">
        <v>127.6</v>
      </c>
      <c r="AM14" s="68">
        <v>127.6</v>
      </c>
      <c r="AN14" s="68">
        <f t="shared" si="9"/>
        <v>0</v>
      </c>
      <c r="AO14" s="70">
        <f t="shared" si="10"/>
        <v>0</v>
      </c>
      <c r="AP14" s="69">
        <v>309.39999999999998</v>
      </c>
      <c r="AQ14" s="68">
        <v>309.3</v>
      </c>
      <c r="AR14" s="68">
        <f t="shared" si="11"/>
        <v>-9.9999999999965894E-2</v>
      </c>
      <c r="AS14" s="70">
        <f t="shared" si="12"/>
        <v>-2.5739550899962136E-2</v>
      </c>
      <c r="AT14" s="69">
        <v>0.1</v>
      </c>
      <c r="AU14" s="68">
        <v>0.1</v>
      </c>
      <c r="AV14" s="68">
        <f t="shared" si="13"/>
        <v>0</v>
      </c>
      <c r="AW14" s="70">
        <f t="shared" si="14"/>
        <v>0</v>
      </c>
      <c r="AX14" s="69">
        <v>8683</v>
      </c>
      <c r="AY14" s="68">
        <v>9245</v>
      </c>
      <c r="AZ14" s="68">
        <f t="shared" si="15"/>
        <v>562</v>
      </c>
      <c r="BA14" s="70">
        <f t="shared" si="16"/>
        <v>144.65627605783655</v>
      </c>
      <c r="BB14" s="69">
        <v>19</v>
      </c>
      <c r="BC14" s="68">
        <v>20.2</v>
      </c>
      <c r="BD14" s="68">
        <f t="shared" si="17"/>
        <v>1.1999999999999993</v>
      </c>
      <c r="BE14" s="70">
        <f t="shared" si="18"/>
        <v>0.30887461079965078</v>
      </c>
      <c r="BF14" s="69">
        <v>0</v>
      </c>
      <c r="BG14" s="68">
        <v>0</v>
      </c>
      <c r="BH14" s="68">
        <f t="shared" si="19"/>
        <v>0</v>
      </c>
      <c r="BI14" s="70">
        <f t="shared" si="20"/>
        <v>0</v>
      </c>
      <c r="BJ14" s="71">
        <v>65.418385000000001</v>
      </c>
      <c r="BK14" s="71">
        <v>64.600502000000006</v>
      </c>
      <c r="BL14" s="71">
        <f t="shared" si="21"/>
        <v>-0.81788299999999481</v>
      </c>
      <c r="BM14" s="72">
        <v>0</v>
      </c>
      <c r="BN14" s="73">
        <v>0</v>
      </c>
      <c r="BO14" s="73">
        <f t="shared" si="22"/>
        <v>0</v>
      </c>
      <c r="BP14" s="72">
        <v>19</v>
      </c>
      <c r="BQ14" s="73">
        <v>20.2</v>
      </c>
      <c r="BR14" s="73">
        <f t="shared" si="23"/>
        <v>1.1999999999999993</v>
      </c>
      <c r="BS14" s="71"/>
      <c r="BT14" s="71"/>
      <c r="BU14" s="71"/>
      <c r="BV14" s="71"/>
      <c r="BW14" s="62" t="s">
        <v>103</v>
      </c>
      <c r="BX14" s="5">
        <v>1349.06133931</v>
      </c>
      <c r="BY14" s="5">
        <v>-0.78013341000000003</v>
      </c>
      <c r="BZ14" s="5">
        <v>3389.47345253</v>
      </c>
      <c r="CA14" s="5">
        <v>3416.1237752900001</v>
      </c>
      <c r="CB14" s="5">
        <v>2.7381725800000001</v>
      </c>
      <c r="CC14" s="5">
        <v>2.7416710499999999</v>
      </c>
      <c r="CD14" s="5">
        <v>0.65169779999999999</v>
      </c>
      <c r="CE14" s="5">
        <v>3.8849844899999999</v>
      </c>
      <c r="CF14" s="5">
        <v>3.8598300600000002</v>
      </c>
      <c r="CG14" s="5">
        <v>-0.78029713000000001</v>
      </c>
      <c r="CH14" s="5">
        <v>-0.12760363999999999</v>
      </c>
      <c r="CI14" s="5">
        <v>0.71727030000000003</v>
      </c>
    </row>
    <row r="15" spans="1:87" ht="15" customHeight="1" x14ac:dyDescent="0.2">
      <c r="A15" s="58">
        <v>62009003</v>
      </c>
      <c r="B15" s="58" t="s">
        <v>118</v>
      </c>
      <c r="C15" s="58" t="s">
        <v>119</v>
      </c>
      <c r="D15" s="59" t="s">
        <v>114</v>
      </c>
      <c r="E15" s="60" t="s">
        <v>115</v>
      </c>
      <c r="F15" s="61" t="str">
        <f t="shared" si="24"/>
        <v>09/09/20</v>
      </c>
      <c r="G15" s="62" t="s">
        <v>116</v>
      </c>
      <c r="H15" s="62" t="s">
        <v>110</v>
      </c>
      <c r="I15" s="63"/>
      <c r="J15" s="74">
        <f>AVERAGE(J13:J14)</f>
        <v>21.818649499999999</v>
      </c>
      <c r="K15" s="74">
        <f>AVERAGE(K13:K14)</f>
        <v>47.293672000000001</v>
      </c>
      <c r="L15" s="74">
        <f>AVERAGE(L13:L14)</f>
        <v>29.509740999999998</v>
      </c>
      <c r="M15" s="74">
        <f>AVERAGE(M13:M14)</f>
        <v>26.303314499999999</v>
      </c>
      <c r="N15" s="75"/>
      <c r="O15" s="65"/>
      <c r="P15" s="76"/>
      <c r="Q15" s="77"/>
      <c r="R15" s="78">
        <f>R14+R13</f>
        <v>7.4960153599999995</v>
      </c>
      <c r="S15" s="78">
        <f>S14</f>
        <v>7.4960153599999995</v>
      </c>
      <c r="T15" s="79">
        <f>T13</f>
        <v>66.402590000000004</v>
      </c>
      <c r="U15" s="79">
        <f>U14</f>
        <v>64.600502000000006</v>
      </c>
      <c r="V15" s="80">
        <f>V13</f>
        <v>8001</v>
      </c>
      <c r="W15" s="80">
        <f>W14</f>
        <v>9239</v>
      </c>
      <c r="X15" s="80">
        <f>SUM(X13:X14)</f>
        <v>1238</v>
      </c>
      <c r="Y15" s="80">
        <f t="shared" si="2"/>
        <v>165.1544107828509</v>
      </c>
      <c r="Z15" s="80">
        <f>Z13</f>
        <v>280.10000000000002</v>
      </c>
      <c r="AA15" s="80">
        <f>AA14</f>
        <v>336.1</v>
      </c>
      <c r="AB15" s="80">
        <f>SUM(AB13:AB14)</f>
        <v>56</v>
      </c>
      <c r="AC15" s="80">
        <f t="shared" si="4"/>
        <v>7.4706357058478607</v>
      </c>
      <c r="AD15" s="80">
        <f>AD13</f>
        <v>250.42</v>
      </c>
      <c r="AE15" s="80">
        <f>AE14</f>
        <v>299.77999999999997</v>
      </c>
      <c r="AF15" s="80">
        <f>SUM(AF13:AF14)</f>
        <v>49.356259999999992</v>
      </c>
      <c r="AG15" s="80">
        <f t="shared" si="6"/>
        <v>6.5843328261269729</v>
      </c>
      <c r="AH15" s="80">
        <f>AH13</f>
        <v>12.66</v>
      </c>
      <c r="AI15" s="80">
        <f>AI14</f>
        <v>16.579999999999998</v>
      </c>
      <c r="AJ15" s="80">
        <f>SUM(AJ13:AJ14)</f>
        <v>3.9199999999999982</v>
      </c>
      <c r="AK15" s="81">
        <f t="shared" si="8"/>
        <v>0.52294449940934995</v>
      </c>
      <c r="AL15" s="80">
        <f>AL13</f>
        <v>127.6</v>
      </c>
      <c r="AM15" s="80">
        <f>AM14</f>
        <v>127.6</v>
      </c>
      <c r="AN15" s="80">
        <f>SUM(AN13:AN14)</f>
        <v>0</v>
      </c>
      <c r="AO15" s="81">
        <f t="shared" si="10"/>
        <v>0</v>
      </c>
      <c r="AP15" s="80">
        <f>AP13</f>
        <v>309.39999999999998</v>
      </c>
      <c r="AQ15" s="80">
        <f>AQ14</f>
        <v>309.3</v>
      </c>
      <c r="AR15" s="80">
        <f>SUM(AR13:AR14)</f>
        <v>-9.9999999999965894E-2</v>
      </c>
      <c r="AS15" s="81">
        <f t="shared" si="12"/>
        <v>-1.3340420903295201E-2</v>
      </c>
      <c r="AT15" s="80">
        <f>AT13</f>
        <v>0</v>
      </c>
      <c r="AU15" s="80">
        <f>AU14</f>
        <v>0.1</v>
      </c>
      <c r="AV15" s="80">
        <f>SUM(AV13:AV14)</f>
        <v>0.1</v>
      </c>
      <c r="AW15" s="81">
        <f t="shared" si="14"/>
        <v>1.3340420903299751E-2</v>
      </c>
      <c r="AX15" s="80">
        <f>AX13</f>
        <v>8006</v>
      </c>
      <c r="AY15" s="80">
        <f>AY14</f>
        <v>9245</v>
      </c>
      <c r="AZ15" s="80">
        <f>SUM(AZ13:AZ14)</f>
        <v>1239</v>
      </c>
      <c r="BA15" s="81">
        <f t="shared" si="16"/>
        <v>165.28781499188392</v>
      </c>
      <c r="BB15" s="80">
        <f>BB13</f>
        <v>18.3</v>
      </c>
      <c r="BC15" s="80">
        <f>BC14</f>
        <v>20.2</v>
      </c>
      <c r="BD15" s="80">
        <f>SUM(BD13:BD14)</f>
        <v>1.8999999999999986</v>
      </c>
      <c r="BE15" s="81">
        <f t="shared" si="18"/>
        <v>0.25346799716269508</v>
      </c>
      <c r="BF15" s="80">
        <f>BF13</f>
        <v>0</v>
      </c>
      <c r="BG15" s="80">
        <f>BG14</f>
        <v>0</v>
      </c>
      <c r="BH15" s="80">
        <f>SUM(BH13:BH14)</f>
        <v>0</v>
      </c>
      <c r="BI15" s="81">
        <f t="shared" si="20"/>
        <v>0</v>
      </c>
      <c r="BJ15" s="82"/>
      <c r="BK15" s="82"/>
      <c r="BL15" s="82">
        <f>SUM(BL13:BL14)</f>
        <v>-1.8020879999999977</v>
      </c>
      <c r="BM15" s="83">
        <f>BM13</f>
        <v>0</v>
      </c>
      <c r="BN15" s="83">
        <f>BN14</f>
        <v>0</v>
      </c>
      <c r="BO15" s="83">
        <f>SUM(BO13:BO14)</f>
        <v>0</v>
      </c>
      <c r="BP15" s="83">
        <f>BP13</f>
        <v>18.3</v>
      </c>
      <c r="BQ15" s="83">
        <f>BQ14</f>
        <v>20.2</v>
      </c>
      <c r="BR15" s="83">
        <f>SUM(BR13:BR14)</f>
        <v>1.8999999999999986</v>
      </c>
      <c r="BS15" s="82"/>
      <c r="BT15" s="82"/>
      <c r="BU15" s="82"/>
      <c r="BV15" s="82"/>
      <c r="BW15" s="62" t="s">
        <v>103</v>
      </c>
    </row>
    <row r="16" spans="1:87" ht="15" customHeight="1" x14ac:dyDescent="0.2">
      <c r="A16" s="58">
        <v>62009003</v>
      </c>
      <c r="B16" s="58" t="s">
        <v>120</v>
      </c>
      <c r="C16" s="58" t="s">
        <v>105</v>
      </c>
      <c r="D16" s="59" t="s">
        <v>114</v>
      </c>
      <c r="E16" s="60" t="s">
        <v>115</v>
      </c>
      <c r="F16" s="61" t="str">
        <f t="shared" si="24"/>
        <v>09/09/20</v>
      </c>
      <c r="G16" s="62" t="s">
        <v>116</v>
      </c>
      <c r="H16" s="62" t="s">
        <v>110</v>
      </c>
      <c r="I16" s="63"/>
      <c r="J16" s="64">
        <v>25.139011</v>
      </c>
      <c r="K16" s="64">
        <v>38.991883999999999</v>
      </c>
      <c r="L16" s="64">
        <v>29.511351000000001</v>
      </c>
      <c r="M16" s="64">
        <v>28.598151000000001</v>
      </c>
      <c r="N16" s="65">
        <v>3875</v>
      </c>
      <c r="O16" s="65">
        <v>28.39</v>
      </c>
      <c r="P16" s="65">
        <v>0.20169999999999999</v>
      </c>
      <c r="Q16" s="65">
        <v>1.932E-2</v>
      </c>
      <c r="R16" s="66">
        <v>10.31371628</v>
      </c>
      <c r="S16" s="66">
        <f>R16+R15</f>
        <v>17.809731639999999</v>
      </c>
      <c r="T16" s="67">
        <v>64.598975999999993</v>
      </c>
      <c r="U16" s="67">
        <v>61.609738</v>
      </c>
      <c r="V16" s="68">
        <v>9240</v>
      </c>
      <c r="W16" s="68">
        <v>11281</v>
      </c>
      <c r="X16" s="68">
        <f>W16-V16</f>
        <v>2041</v>
      </c>
      <c r="Y16" s="68">
        <f t="shared" si="2"/>
        <v>197.89181169912888</v>
      </c>
      <c r="Z16" s="69">
        <v>336.8</v>
      </c>
      <c r="AA16" s="68">
        <v>370.2</v>
      </c>
      <c r="AB16" s="68">
        <f>AA16-Z16</f>
        <v>33.399999999999977</v>
      </c>
      <c r="AC16" s="68">
        <f t="shared" si="4"/>
        <v>3.2384059337339051</v>
      </c>
      <c r="AD16" s="69">
        <v>300.42</v>
      </c>
      <c r="AE16" s="68">
        <v>329.95522499999998</v>
      </c>
      <c r="AF16" s="68">
        <f>AE16-AD16</f>
        <v>29.535224999999969</v>
      </c>
      <c r="AG16" s="68">
        <f t="shared" si="6"/>
        <v>2.8636840686876033</v>
      </c>
      <c r="AH16" s="69">
        <v>16.600000000000001</v>
      </c>
      <c r="AI16" s="68">
        <v>17.73</v>
      </c>
      <c r="AJ16" s="68">
        <f>AI16-AH16</f>
        <v>1.129999999999999</v>
      </c>
      <c r="AK16" s="70">
        <f t="shared" si="8"/>
        <v>0.10956283548261414</v>
      </c>
      <c r="AL16" s="69">
        <v>127.6</v>
      </c>
      <c r="AM16" s="68">
        <v>127.5</v>
      </c>
      <c r="AN16" s="68">
        <f>AM16-AL16</f>
        <v>-9.9999999999994316E-2</v>
      </c>
      <c r="AO16" s="70">
        <f t="shared" si="10"/>
        <v>-9.695826148903363E-3</v>
      </c>
      <c r="AP16" s="69">
        <v>309.3</v>
      </c>
      <c r="AQ16" s="68">
        <v>309.3</v>
      </c>
      <c r="AR16" s="68">
        <f>AQ16-AP16</f>
        <v>0</v>
      </c>
      <c r="AS16" s="70">
        <f t="shared" si="12"/>
        <v>0</v>
      </c>
      <c r="AT16" s="69">
        <v>0.1</v>
      </c>
      <c r="AU16" s="68">
        <v>0</v>
      </c>
      <c r="AV16" s="68">
        <f>AU16-AT16</f>
        <v>-0.1</v>
      </c>
      <c r="AW16" s="70">
        <f t="shared" si="14"/>
        <v>-9.6958261489039146E-3</v>
      </c>
      <c r="AX16" s="69">
        <v>9245</v>
      </c>
      <c r="AY16" s="68">
        <v>11288</v>
      </c>
      <c r="AZ16" s="68">
        <f>AY16-AX16</f>
        <v>2043</v>
      </c>
      <c r="BA16" s="70">
        <f t="shared" si="16"/>
        <v>198.08572822210698</v>
      </c>
      <c r="BB16" s="69">
        <v>20.2</v>
      </c>
      <c r="BC16" s="68">
        <v>21.3</v>
      </c>
      <c r="BD16" s="68">
        <f>BC16-BB16</f>
        <v>1.1000000000000014</v>
      </c>
      <c r="BE16" s="70">
        <f t="shared" si="18"/>
        <v>0.10665408763794319</v>
      </c>
      <c r="BF16" s="69">
        <v>0</v>
      </c>
      <c r="BG16" s="68">
        <v>0</v>
      </c>
      <c r="BH16" s="68">
        <f>BG16-BF16</f>
        <v>0</v>
      </c>
      <c r="BI16" s="70">
        <f t="shared" si="20"/>
        <v>0</v>
      </c>
      <c r="BJ16" s="71">
        <v>64.598975999999993</v>
      </c>
      <c r="BK16" s="71">
        <v>61.609738</v>
      </c>
      <c r="BL16" s="71">
        <f>BK16-BJ16</f>
        <v>-2.9892379999999932</v>
      </c>
      <c r="BM16" s="72">
        <v>0</v>
      </c>
      <c r="BN16" s="73">
        <v>0</v>
      </c>
      <c r="BO16" s="73">
        <f>BN16-BM16</f>
        <v>0</v>
      </c>
      <c r="BP16" s="72">
        <v>20.2</v>
      </c>
      <c r="BQ16" s="73">
        <v>21.3</v>
      </c>
      <c r="BR16" s="73">
        <f>BQ16-BP16</f>
        <v>1.1000000000000014</v>
      </c>
      <c r="BS16" s="71"/>
      <c r="BT16" s="71"/>
      <c r="BU16" s="71"/>
      <c r="BV16" s="71"/>
      <c r="BW16" s="62" t="s">
        <v>103</v>
      </c>
      <c r="BX16" s="5">
        <v>1772.9531508299999</v>
      </c>
      <c r="BY16" s="5">
        <v>1.9799438</v>
      </c>
      <c r="BZ16" s="5">
        <v>1332.5873895499999</v>
      </c>
      <c r="CA16" s="5">
        <v>1306.7151636599999</v>
      </c>
      <c r="CB16" s="5">
        <v>7.3982251899999998</v>
      </c>
      <c r="CC16" s="5">
        <v>7.3153866299999999</v>
      </c>
      <c r="CD16" s="5">
        <v>0.55679659999999997</v>
      </c>
      <c r="CE16" s="5">
        <v>10.3137892</v>
      </c>
      <c r="CF16" s="5">
        <v>10.25668035</v>
      </c>
      <c r="CG16" s="5">
        <v>0.56914642000000004</v>
      </c>
      <c r="CH16" s="5">
        <v>1.13238796</v>
      </c>
      <c r="CI16" s="5">
        <v>0.28264929999999999</v>
      </c>
    </row>
    <row r="17" spans="1:87" ht="15" customHeight="1" x14ac:dyDescent="0.2">
      <c r="A17" s="58">
        <v>62009003</v>
      </c>
      <c r="B17" s="58" t="s">
        <v>121</v>
      </c>
      <c r="C17" s="58" t="s">
        <v>122</v>
      </c>
      <c r="D17" s="59" t="s">
        <v>114</v>
      </c>
      <c r="E17" s="60" t="s">
        <v>115</v>
      </c>
      <c r="F17" s="61" t="str">
        <f t="shared" si="24"/>
        <v>09/09/20</v>
      </c>
      <c r="G17" s="62" t="s">
        <v>116</v>
      </c>
      <c r="H17" s="62" t="s">
        <v>110</v>
      </c>
      <c r="I17" s="63"/>
      <c r="J17" s="64">
        <v>20.648167000000001</v>
      </c>
      <c r="K17" s="64">
        <v>50.928899999999999</v>
      </c>
      <c r="L17" s="64">
        <v>29.497665999999999</v>
      </c>
      <c r="M17" s="64">
        <v>28.179908000000001</v>
      </c>
      <c r="N17" s="65">
        <v>3875</v>
      </c>
      <c r="O17" s="65">
        <v>28.39</v>
      </c>
      <c r="P17" s="65">
        <v>0.20169999999999999</v>
      </c>
      <c r="Q17" s="65">
        <v>1.932E-2</v>
      </c>
      <c r="R17" s="66">
        <v>3.6115552000000002</v>
      </c>
      <c r="S17" s="66">
        <f>R17+R16</f>
        <v>13.925271479999999</v>
      </c>
      <c r="T17" s="67">
        <v>61.602108999999999</v>
      </c>
      <c r="U17" s="67">
        <v>60.584333999999998</v>
      </c>
      <c r="V17" s="68">
        <v>11287</v>
      </c>
      <c r="W17" s="68">
        <v>11972</v>
      </c>
      <c r="X17" s="68">
        <f>W17-V17</f>
        <v>685</v>
      </c>
      <c r="Y17" s="68">
        <f t="shared" si="2"/>
        <v>189.66898249263917</v>
      </c>
      <c r="Z17" s="69">
        <v>375.7</v>
      </c>
      <c r="AA17" s="68">
        <v>436.8</v>
      </c>
      <c r="AB17" s="68">
        <f>AA17-Z17</f>
        <v>61.100000000000023</v>
      </c>
      <c r="AC17" s="68">
        <f t="shared" si="4"/>
        <v>16.917919460292346</v>
      </c>
      <c r="AD17" s="69">
        <v>334.88488100000001</v>
      </c>
      <c r="AE17" s="68">
        <v>390.51</v>
      </c>
      <c r="AF17" s="68">
        <f>AE17-AD17</f>
        <v>55.625118999999984</v>
      </c>
      <c r="AG17" s="68">
        <f t="shared" si="6"/>
        <v>15.401984995272946</v>
      </c>
      <c r="AH17" s="69">
        <v>20.255119000000001</v>
      </c>
      <c r="AI17" s="68">
        <v>1.81</v>
      </c>
      <c r="AJ17" s="68">
        <f>AI17-AH17</f>
        <v>-18.445119000000002</v>
      </c>
      <c r="AK17" s="70">
        <f t="shared" si="8"/>
        <v>-5.1072510258184618</v>
      </c>
      <c r="AL17" s="69">
        <v>127.5</v>
      </c>
      <c r="AM17" s="68">
        <v>127.5</v>
      </c>
      <c r="AN17" s="68">
        <f>AM17-AL17</f>
        <v>0</v>
      </c>
      <c r="AO17" s="70">
        <f t="shared" si="10"/>
        <v>0</v>
      </c>
      <c r="AP17" s="69">
        <v>309.5</v>
      </c>
      <c r="AQ17" s="68">
        <v>309.5</v>
      </c>
      <c r="AR17" s="68">
        <f>AQ17-AP17</f>
        <v>0</v>
      </c>
      <c r="AS17" s="70">
        <f t="shared" si="12"/>
        <v>0</v>
      </c>
      <c r="AT17" s="69">
        <v>0.1</v>
      </c>
      <c r="AU17" s="68">
        <v>0.1</v>
      </c>
      <c r="AV17" s="68">
        <f>AU17-AT17</f>
        <v>0</v>
      </c>
      <c r="AW17" s="70">
        <f t="shared" si="14"/>
        <v>0</v>
      </c>
      <c r="AX17" s="69">
        <v>11294</v>
      </c>
      <c r="AY17" s="68">
        <v>11978</v>
      </c>
      <c r="AZ17" s="68">
        <f>AY17-AX17</f>
        <v>684</v>
      </c>
      <c r="BA17" s="70">
        <f t="shared" si="16"/>
        <v>189.39209346710248</v>
      </c>
      <c r="BB17" s="69">
        <v>22.1</v>
      </c>
      <c r="BC17" s="68">
        <v>22.8</v>
      </c>
      <c r="BD17" s="68">
        <f>BC17-BB17</f>
        <v>0.69999999999999929</v>
      </c>
      <c r="BE17" s="70">
        <f t="shared" si="18"/>
        <v>0.19382231787568946</v>
      </c>
      <c r="BF17" s="69">
        <v>0</v>
      </c>
      <c r="BG17" s="68">
        <v>0</v>
      </c>
      <c r="BH17" s="68">
        <f>BG17-BF17</f>
        <v>0</v>
      </c>
      <c r="BI17" s="70">
        <f t="shared" si="20"/>
        <v>0</v>
      </c>
      <c r="BJ17" s="71">
        <v>61.602108999999999</v>
      </c>
      <c r="BK17" s="71">
        <v>60.584333999999998</v>
      </c>
      <c r="BL17" s="71">
        <f>BK17-BJ17</f>
        <v>-1.0177750000000003</v>
      </c>
      <c r="BM17" s="72">
        <v>0</v>
      </c>
      <c r="BN17" s="73">
        <v>0</v>
      </c>
      <c r="BO17" s="73">
        <f>BN17-BM17</f>
        <v>0</v>
      </c>
      <c r="BP17" s="72">
        <v>22.1</v>
      </c>
      <c r="BQ17" s="73">
        <v>22.8</v>
      </c>
      <c r="BR17" s="73">
        <f>BQ17-BP17</f>
        <v>0.69999999999999929</v>
      </c>
      <c r="BS17" s="71"/>
      <c r="BT17" s="71"/>
      <c r="BU17" s="71"/>
      <c r="BV17" s="71"/>
      <c r="BW17" s="62" t="s">
        <v>103</v>
      </c>
      <c r="BX17" s="5">
        <v>2196.1828887299998</v>
      </c>
      <c r="BY17" s="5">
        <v>-0.67067012000000004</v>
      </c>
      <c r="BZ17" s="5">
        <v>2034.90878344</v>
      </c>
      <c r="CA17" s="5">
        <v>2048.6484564500001</v>
      </c>
      <c r="CB17" s="5">
        <v>2.9679521599999998</v>
      </c>
      <c r="CC17" s="5">
        <v>2.9656571899999999</v>
      </c>
      <c r="CD17" s="5">
        <v>0.57178777999999997</v>
      </c>
      <c r="CE17" s="5">
        <v>3.6115125899999998</v>
      </c>
      <c r="CF17" s="5">
        <v>3.5909798099999999</v>
      </c>
      <c r="CG17" s="5">
        <v>-0.49402028999999997</v>
      </c>
      <c r="CH17" s="5">
        <v>7.7385200000000001E-2</v>
      </c>
      <c r="CI17" s="5">
        <v>0.59138133999999998</v>
      </c>
    </row>
    <row r="18" spans="1:87" ht="15" customHeight="1" x14ac:dyDescent="0.2">
      <c r="A18" s="58">
        <v>62009003</v>
      </c>
      <c r="B18" s="58" t="s">
        <v>123</v>
      </c>
      <c r="C18" s="58" t="s">
        <v>124</v>
      </c>
      <c r="D18" s="59" t="s">
        <v>114</v>
      </c>
      <c r="E18" s="60" t="s">
        <v>115</v>
      </c>
      <c r="F18" s="61" t="str">
        <f t="shared" si="24"/>
        <v>09/09/20</v>
      </c>
      <c r="G18" s="62" t="s">
        <v>116</v>
      </c>
      <c r="H18" s="62" t="s">
        <v>110</v>
      </c>
      <c r="I18" s="63"/>
      <c r="J18" s="64">
        <v>19.556645</v>
      </c>
      <c r="K18" s="64">
        <v>54.396419000000002</v>
      </c>
      <c r="L18" s="64">
        <v>29.498249999999999</v>
      </c>
      <c r="M18" s="64">
        <v>27.452849000000001</v>
      </c>
      <c r="N18" s="65">
        <v>3875</v>
      </c>
      <c r="O18" s="65">
        <v>28.39</v>
      </c>
      <c r="P18" s="65">
        <v>0.20169999999999999</v>
      </c>
      <c r="Q18" s="65">
        <v>1.932E-2</v>
      </c>
      <c r="R18" s="66">
        <v>3.8848195599999999</v>
      </c>
      <c r="S18" s="66">
        <f>R18+R17</f>
        <v>7.4963747600000001</v>
      </c>
      <c r="T18" s="67">
        <v>60.584333999999998</v>
      </c>
      <c r="U18" s="67">
        <v>59.690156000000002</v>
      </c>
      <c r="V18" s="68">
        <v>11972</v>
      </c>
      <c r="W18" s="68">
        <v>12570</v>
      </c>
      <c r="X18" s="68">
        <f>W18-V18</f>
        <v>598</v>
      </c>
      <c r="Y18" s="68">
        <f t="shared" si="2"/>
        <v>153.93250336702897</v>
      </c>
      <c r="Z18" s="69">
        <v>436.84804000000003</v>
      </c>
      <c r="AA18" s="68">
        <v>519.79999999999995</v>
      </c>
      <c r="AB18" s="68">
        <f>AA18-Z18</f>
        <v>82.951959999999929</v>
      </c>
      <c r="AC18" s="68">
        <f t="shared" si="4"/>
        <v>21.352847595320473</v>
      </c>
      <c r="AD18" s="69">
        <v>390.52441199999998</v>
      </c>
      <c r="AE18" s="68">
        <v>465.91409299999998</v>
      </c>
      <c r="AF18" s="68">
        <f>AE18-AD18</f>
        <v>75.389680999999996</v>
      </c>
      <c r="AG18" s="68">
        <f t="shared" si="6"/>
        <v>19.406224622695216</v>
      </c>
      <c r="AH18" s="69">
        <v>1.805196</v>
      </c>
      <c r="AI18" s="68">
        <v>-11.3</v>
      </c>
      <c r="AJ18" s="68">
        <f>AI18-AH18</f>
        <v>-13.105196000000001</v>
      </c>
      <c r="AK18" s="70">
        <f t="shared" si="8"/>
        <v>-3.3734375040059779</v>
      </c>
      <c r="AL18" s="69">
        <v>127.5</v>
      </c>
      <c r="AM18" s="68">
        <v>127.5</v>
      </c>
      <c r="AN18" s="68">
        <f>AM18-AL18</f>
        <v>0</v>
      </c>
      <c r="AO18" s="70">
        <f t="shared" si="10"/>
        <v>0</v>
      </c>
      <c r="AP18" s="69">
        <v>309.5</v>
      </c>
      <c r="AQ18" s="68">
        <v>309.5</v>
      </c>
      <c r="AR18" s="68">
        <f>AQ18-AP18</f>
        <v>0</v>
      </c>
      <c r="AS18" s="70">
        <f t="shared" si="12"/>
        <v>0</v>
      </c>
      <c r="AT18" s="69">
        <v>0.1</v>
      </c>
      <c r="AU18" s="68">
        <v>0.1</v>
      </c>
      <c r="AV18" s="68">
        <f>AU18-AT18</f>
        <v>0</v>
      </c>
      <c r="AW18" s="70">
        <f t="shared" si="14"/>
        <v>0</v>
      </c>
      <c r="AX18" s="69">
        <v>11978</v>
      </c>
      <c r="AY18" s="68">
        <v>12577</v>
      </c>
      <c r="AZ18" s="68">
        <f>AY18-AX18</f>
        <v>599</v>
      </c>
      <c r="BA18" s="70">
        <f t="shared" si="16"/>
        <v>154.18991558001733</v>
      </c>
      <c r="BB18" s="69">
        <v>22.8</v>
      </c>
      <c r="BC18" s="68">
        <v>24</v>
      </c>
      <c r="BD18" s="68">
        <f>BC18-BB18</f>
        <v>1.1999999999999993</v>
      </c>
      <c r="BE18" s="70">
        <f t="shared" si="18"/>
        <v>0.30889465558601115</v>
      </c>
      <c r="BF18" s="69">
        <v>0</v>
      </c>
      <c r="BG18" s="68">
        <v>0</v>
      </c>
      <c r="BH18" s="68">
        <f>BG18-BF18</f>
        <v>0</v>
      </c>
      <c r="BI18" s="70">
        <f t="shared" si="20"/>
        <v>0</v>
      </c>
      <c r="BJ18" s="71">
        <v>60.584333999999998</v>
      </c>
      <c r="BK18" s="71">
        <v>59.690156000000002</v>
      </c>
      <c r="BL18" s="71">
        <f>BK18-BJ18</f>
        <v>-0.89417799999999659</v>
      </c>
      <c r="BM18" s="72">
        <v>0</v>
      </c>
      <c r="BN18" s="73">
        <v>0</v>
      </c>
      <c r="BO18" s="73">
        <f>BN18-BM18</f>
        <v>0</v>
      </c>
      <c r="BP18" s="72">
        <v>22.8</v>
      </c>
      <c r="BQ18" s="73">
        <v>24</v>
      </c>
      <c r="BR18" s="73">
        <f>BQ18-BP18</f>
        <v>1.1999999999999993</v>
      </c>
      <c r="BS18" s="71"/>
      <c r="BT18" s="71"/>
      <c r="BU18" s="71"/>
      <c r="BV18" s="71"/>
      <c r="BW18" s="62" t="s">
        <v>103</v>
      </c>
      <c r="BX18" s="5">
        <v>1348.21905455</v>
      </c>
      <c r="BY18" s="5">
        <v>-0.68417623000000005</v>
      </c>
      <c r="BZ18" s="5">
        <v>3392.62240019</v>
      </c>
      <c r="CA18" s="5">
        <v>3415.9938180099998</v>
      </c>
      <c r="CB18" s="5">
        <v>2.74128762</v>
      </c>
      <c r="CC18" s="5">
        <v>2.7414875400000001</v>
      </c>
      <c r="CD18" s="5">
        <v>0.64382444000000005</v>
      </c>
      <c r="CE18" s="5">
        <v>3.8846800500000001</v>
      </c>
      <c r="CF18" s="5">
        <v>3.8598295299999998</v>
      </c>
      <c r="CG18" s="5">
        <v>-0.65116408000000003</v>
      </c>
      <c r="CH18" s="5">
        <v>-7.2921499999999998E-3</v>
      </c>
      <c r="CI18" s="5">
        <v>0.71728046999999995</v>
      </c>
    </row>
    <row r="19" spans="1:87" ht="15" customHeight="1" x14ac:dyDescent="0.2">
      <c r="A19" s="58">
        <v>62009003</v>
      </c>
      <c r="B19" s="58" t="s">
        <v>125</v>
      </c>
      <c r="C19" s="58" t="s">
        <v>126</v>
      </c>
      <c r="D19" s="59" t="s">
        <v>114</v>
      </c>
      <c r="E19" s="60" t="s">
        <v>115</v>
      </c>
      <c r="F19" s="61" t="str">
        <f t="shared" si="24"/>
        <v>09/09/20</v>
      </c>
      <c r="G19" s="62" t="s">
        <v>116</v>
      </c>
      <c r="H19" s="62" t="s">
        <v>110</v>
      </c>
      <c r="I19" s="63"/>
      <c r="J19" s="74">
        <f>AVERAGE(J17:J18)</f>
        <v>20.102406000000002</v>
      </c>
      <c r="K19" s="74">
        <f>AVERAGE(K17:K18)</f>
        <v>52.662659500000004</v>
      </c>
      <c r="L19" s="74">
        <f>AVERAGE(L17:L18)</f>
        <v>29.497957999999997</v>
      </c>
      <c r="M19" s="74">
        <f>AVERAGE(M17:M18)</f>
        <v>27.816378499999999</v>
      </c>
      <c r="N19" s="75"/>
      <c r="O19" s="65"/>
      <c r="P19" s="76"/>
      <c r="Q19" s="77"/>
      <c r="R19" s="78">
        <f>R18+R17</f>
        <v>7.4963747600000001</v>
      </c>
      <c r="S19" s="78">
        <f>S18</f>
        <v>7.4963747600000001</v>
      </c>
      <c r="T19" s="79">
        <f>T17</f>
        <v>61.602108999999999</v>
      </c>
      <c r="U19" s="79">
        <f>U18</f>
        <v>59.690156000000002</v>
      </c>
      <c r="V19" s="80">
        <f>V17</f>
        <v>11287</v>
      </c>
      <c r="W19" s="80">
        <f>W18</f>
        <v>12570</v>
      </c>
      <c r="X19" s="80">
        <f>SUM(X17:X18)</f>
        <v>1283</v>
      </c>
      <c r="Y19" s="80">
        <f t="shared" si="2"/>
        <v>171.14939435071679</v>
      </c>
      <c r="Z19" s="80">
        <f>Z17</f>
        <v>375.7</v>
      </c>
      <c r="AA19" s="80">
        <f>AA18</f>
        <v>519.79999999999995</v>
      </c>
      <c r="AB19" s="80">
        <f>SUM(AB17:AB18)</f>
        <v>144.05195999999995</v>
      </c>
      <c r="AC19" s="80">
        <f t="shared" si="4"/>
        <v>19.216216452871141</v>
      </c>
      <c r="AD19" s="80">
        <f>AD17</f>
        <v>334.88488100000001</v>
      </c>
      <c r="AE19" s="80">
        <f>AE18</f>
        <v>465.91409299999998</v>
      </c>
      <c r="AF19" s="80">
        <f>SUM(AF17:AF18)</f>
        <v>131.01479999999998</v>
      </c>
      <c r="AG19" s="80">
        <f t="shared" si="6"/>
        <v>17.477087818379022</v>
      </c>
      <c r="AH19" s="80">
        <f>AH17</f>
        <v>20.255119000000001</v>
      </c>
      <c r="AI19" s="80">
        <f>AI18</f>
        <v>-11.3</v>
      </c>
      <c r="AJ19" s="80">
        <f>SUM(AJ17:AJ18)</f>
        <v>-31.550315000000005</v>
      </c>
      <c r="AK19" s="81">
        <f t="shared" si="8"/>
        <v>-4.2087430271428961</v>
      </c>
      <c r="AL19" s="80">
        <f>AL17</f>
        <v>127.5</v>
      </c>
      <c r="AM19" s="80">
        <f>AM18</f>
        <v>127.5</v>
      </c>
      <c r="AN19" s="80">
        <f>SUM(AN17:AN18)</f>
        <v>0</v>
      </c>
      <c r="AO19" s="81">
        <f t="shared" si="10"/>
        <v>0</v>
      </c>
      <c r="AP19" s="80">
        <f>AP17</f>
        <v>309.5</v>
      </c>
      <c r="AQ19" s="80">
        <f>AQ18</f>
        <v>309.5</v>
      </c>
      <c r="AR19" s="80">
        <f>SUM(AR17:AR18)</f>
        <v>0</v>
      </c>
      <c r="AS19" s="81">
        <f t="shared" si="12"/>
        <v>0</v>
      </c>
      <c r="AT19" s="80">
        <f>AT17</f>
        <v>0.1</v>
      </c>
      <c r="AU19" s="80">
        <f>AU18</f>
        <v>0.1</v>
      </c>
      <c r="AV19" s="80">
        <f>SUM(AV17:AV18)</f>
        <v>0</v>
      </c>
      <c r="AW19" s="81">
        <f t="shared" si="14"/>
        <v>0</v>
      </c>
      <c r="AX19" s="80">
        <f>AX17</f>
        <v>11294</v>
      </c>
      <c r="AY19" s="80">
        <f>AY18</f>
        <v>12577</v>
      </c>
      <c r="AZ19" s="80">
        <f>SUM(AZ17:AZ18)</f>
        <v>1283</v>
      </c>
      <c r="BA19" s="81">
        <f t="shared" si="16"/>
        <v>171.14939435071679</v>
      </c>
      <c r="BB19" s="80">
        <f>BB17</f>
        <v>22.1</v>
      </c>
      <c r="BC19" s="80">
        <f>BC18</f>
        <v>24</v>
      </c>
      <c r="BD19" s="80">
        <f>SUM(BD17:BD18)</f>
        <v>1.8999999999999986</v>
      </c>
      <c r="BE19" s="81">
        <f t="shared" si="18"/>
        <v>0.25345584510238633</v>
      </c>
      <c r="BF19" s="80">
        <f>BF17</f>
        <v>0</v>
      </c>
      <c r="BG19" s="80">
        <f>BG18</f>
        <v>0</v>
      </c>
      <c r="BH19" s="80">
        <f>SUM(BH17:BH18)</f>
        <v>0</v>
      </c>
      <c r="BI19" s="81">
        <f t="shared" si="20"/>
        <v>0</v>
      </c>
      <c r="BJ19" s="82"/>
      <c r="BK19" s="82"/>
      <c r="BL19" s="82">
        <f>SUM(BL17:BL18)</f>
        <v>-1.9119529999999969</v>
      </c>
      <c r="BM19" s="83">
        <f>BM17</f>
        <v>0</v>
      </c>
      <c r="BN19" s="83">
        <f>BN18</f>
        <v>0</v>
      </c>
      <c r="BO19" s="83">
        <f>SUM(BO17:BO18)</f>
        <v>0</v>
      </c>
      <c r="BP19" s="83">
        <f>BP17</f>
        <v>22.1</v>
      </c>
      <c r="BQ19" s="83">
        <f>BQ18</f>
        <v>24</v>
      </c>
      <c r="BR19" s="83">
        <f>SUM(BR17:BR18)</f>
        <v>1.8999999999999986</v>
      </c>
      <c r="BS19" s="82"/>
      <c r="BT19" s="82"/>
      <c r="BU19" s="82"/>
      <c r="BV19" s="82"/>
      <c r="BW19" s="62" t="s">
        <v>103</v>
      </c>
    </row>
    <row r="20" spans="1:87" ht="15" customHeight="1" x14ac:dyDescent="0.2">
      <c r="A20" s="58">
        <v>62009003</v>
      </c>
      <c r="B20" s="58" t="s">
        <v>127</v>
      </c>
      <c r="C20" s="58" t="s">
        <v>128</v>
      </c>
      <c r="D20" s="59" t="s">
        <v>114</v>
      </c>
      <c r="E20" s="60" t="s">
        <v>115</v>
      </c>
      <c r="F20" s="61" t="str">
        <f t="shared" si="24"/>
        <v>09/09/20</v>
      </c>
      <c r="G20" s="62" t="s">
        <v>116</v>
      </c>
      <c r="H20" s="62" t="s">
        <v>110</v>
      </c>
      <c r="I20" s="63"/>
      <c r="J20" s="64">
        <v>22.959333000000001</v>
      </c>
      <c r="K20" s="64">
        <v>44.149405000000002</v>
      </c>
      <c r="L20" s="64">
        <v>29.498956</v>
      </c>
      <c r="M20" s="64">
        <v>29.720614999999999</v>
      </c>
      <c r="N20" s="65">
        <v>3875</v>
      </c>
      <c r="O20" s="65">
        <v>28.39</v>
      </c>
      <c r="P20" s="65">
        <v>0.20169999999999999</v>
      </c>
      <c r="Q20" s="65">
        <v>1.932E-2</v>
      </c>
      <c r="R20" s="66">
        <v>1.7783290899999999</v>
      </c>
      <c r="S20" s="66">
        <f>R20+R19</f>
        <v>9.2747038499999999</v>
      </c>
      <c r="T20" s="67">
        <v>59.676423</v>
      </c>
      <c r="U20" s="67">
        <v>56.328598</v>
      </c>
      <c r="V20" s="68">
        <v>12579</v>
      </c>
      <c r="W20" s="68">
        <v>14803</v>
      </c>
      <c r="X20" s="68">
        <f>W20-V20-X21</f>
        <v>485</v>
      </c>
      <c r="Y20" s="68">
        <f t="shared" si="2"/>
        <v>272.72792349137131</v>
      </c>
      <c r="Z20" s="69">
        <v>528.29999999999995</v>
      </c>
      <c r="AA20" s="68">
        <v>582.29999999999995</v>
      </c>
      <c r="AB20" s="68">
        <f>AA20-Z20-AB21</f>
        <v>21</v>
      </c>
      <c r="AC20" s="68">
        <f t="shared" si="4"/>
        <v>11.808837924368657</v>
      </c>
      <c r="AD20" s="69">
        <v>473.67272000000003</v>
      </c>
      <c r="AE20" s="68">
        <v>522.80368299999998</v>
      </c>
      <c r="AF20" s="68">
        <f>AE20-AD20-AF21</f>
        <v>19.151206000000002</v>
      </c>
      <c r="AG20" s="68">
        <f t="shared" si="6"/>
        <v>10.769213700485551</v>
      </c>
      <c r="AH20" s="69">
        <v>-12.21</v>
      </c>
      <c r="AI20" s="68">
        <v>-17.14</v>
      </c>
      <c r="AJ20" s="68">
        <f>AI20-AH20-AJ21</f>
        <v>-1.9600000000000009</v>
      </c>
      <c r="AK20" s="70">
        <f t="shared" si="8"/>
        <v>-1.1021582062744084</v>
      </c>
      <c r="AL20" s="69">
        <v>127.5</v>
      </c>
      <c r="AM20" s="68">
        <v>127.4</v>
      </c>
      <c r="AN20" s="68">
        <f>AM20-AL20-AN21</f>
        <v>-9.9999999999994316E-2</v>
      </c>
      <c r="AO20" s="70">
        <f t="shared" si="10"/>
        <v>-5.6232561544609448E-2</v>
      </c>
      <c r="AP20" s="69">
        <v>309.5</v>
      </c>
      <c r="AQ20" s="68">
        <v>309.5</v>
      </c>
      <c r="AR20" s="68">
        <f>AQ20-AP20-AR21</f>
        <v>0</v>
      </c>
      <c r="AS20" s="70">
        <f t="shared" si="12"/>
        <v>0</v>
      </c>
      <c r="AT20" s="69">
        <v>0.1</v>
      </c>
      <c r="AU20" s="68">
        <v>0.1</v>
      </c>
      <c r="AV20" s="68">
        <f>AU20-AT20-AV21</f>
        <v>0</v>
      </c>
      <c r="AW20" s="70">
        <f t="shared" si="14"/>
        <v>0</v>
      </c>
      <c r="AX20" s="69">
        <v>12586</v>
      </c>
      <c r="AY20" s="68">
        <v>14812</v>
      </c>
      <c r="AZ20" s="68">
        <f>AY20-AX20-AZ21</f>
        <v>486</v>
      </c>
      <c r="BA20" s="70">
        <f t="shared" si="16"/>
        <v>273.29024910681744</v>
      </c>
      <c r="BB20" s="69">
        <v>24.1</v>
      </c>
      <c r="BC20" s="68">
        <v>24.9</v>
      </c>
      <c r="BD20" s="68">
        <f>BC20-BB20-BD21</f>
        <v>0.29999999999999716</v>
      </c>
      <c r="BE20" s="70">
        <f t="shared" si="18"/>
        <v>0.16869768463383633</v>
      </c>
      <c r="BF20" s="69">
        <v>0</v>
      </c>
      <c r="BG20" s="68">
        <v>0</v>
      </c>
      <c r="BH20" s="68">
        <f>BG20-BF20-BH21</f>
        <v>0</v>
      </c>
      <c r="BI20" s="70">
        <f t="shared" si="20"/>
        <v>0</v>
      </c>
      <c r="BJ20" s="71">
        <v>59.676423</v>
      </c>
      <c r="BK20" s="71">
        <v>56.328598</v>
      </c>
      <c r="BL20" s="71">
        <f>BK20-BJ20-BL21</f>
        <v>-0.74463900000000649</v>
      </c>
      <c r="BM20" s="72">
        <v>0</v>
      </c>
      <c r="BN20" s="73">
        <v>0</v>
      </c>
      <c r="BO20" s="73">
        <f>BN20-BM20-BO21</f>
        <v>0</v>
      </c>
      <c r="BP20" s="72">
        <v>24.1</v>
      </c>
      <c r="BQ20" s="73">
        <v>24.9</v>
      </c>
      <c r="BR20" s="73">
        <f>BQ20-BP20-BR21</f>
        <v>0.29999999999999716</v>
      </c>
      <c r="BS20" s="71"/>
      <c r="BT20" s="71"/>
      <c r="BU20" s="71"/>
      <c r="BV20" s="71"/>
      <c r="BW20" s="62" t="s">
        <v>103</v>
      </c>
      <c r="BX20" s="5">
        <v>5069.2220005199997</v>
      </c>
      <c r="BY20" s="5">
        <v>-2.5145608899999998</v>
      </c>
      <c r="BZ20" s="5">
        <v>2397.4452387000001</v>
      </c>
      <c r="CA20" s="5">
        <v>2459.2854693899999</v>
      </c>
      <c r="CB20" s="5">
        <v>2.8909802899999999</v>
      </c>
      <c r="CC20" s="5">
        <v>2.9252128900000001</v>
      </c>
      <c r="CD20" s="5">
        <v>0.35010986999999999</v>
      </c>
      <c r="CE20" s="5">
        <v>1.7783086400000001</v>
      </c>
      <c r="CF20" s="5">
        <v>1.77210432</v>
      </c>
      <c r="CG20" s="5">
        <v>-1.5383731300000001</v>
      </c>
      <c r="CH20" s="5">
        <v>-1.1702602900000001</v>
      </c>
      <c r="CI20" s="5">
        <v>0.81463571000000001</v>
      </c>
    </row>
    <row r="21" spans="1:87" ht="15" customHeight="1" x14ac:dyDescent="0.2">
      <c r="A21" s="58">
        <v>62009003</v>
      </c>
      <c r="B21" s="58" t="s">
        <v>129</v>
      </c>
      <c r="C21" s="58" t="s">
        <v>130</v>
      </c>
      <c r="D21" s="59" t="s">
        <v>114</v>
      </c>
      <c r="E21" s="60" t="s">
        <v>115</v>
      </c>
      <c r="F21" s="61" t="str">
        <f t="shared" si="24"/>
        <v>09/09/20</v>
      </c>
      <c r="G21" s="62" t="s">
        <v>116</v>
      </c>
      <c r="H21" s="62" t="s">
        <v>110</v>
      </c>
      <c r="I21" s="63"/>
      <c r="J21" s="64">
        <v>26.913636</v>
      </c>
      <c r="K21" s="64">
        <v>35.359532000000002</v>
      </c>
      <c r="L21" s="64">
        <v>29.524996000000002</v>
      </c>
      <c r="M21" s="64">
        <v>30.000025000000001</v>
      </c>
      <c r="N21" s="65">
        <v>3875</v>
      </c>
      <c r="O21" s="65">
        <v>28.39</v>
      </c>
      <c r="P21" s="65">
        <v>0.20169999999999999</v>
      </c>
      <c r="Q21" s="65">
        <v>1.932E-2</v>
      </c>
      <c r="R21" s="66">
        <v>6.2636495800000001</v>
      </c>
      <c r="S21" s="66">
        <f>R21+R20</f>
        <v>8.0419786700000007</v>
      </c>
      <c r="T21" s="67">
        <v>59.162194999999997</v>
      </c>
      <c r="U21" s="67">
        <v>56.559009000000003</v>
      </c>
      <c r="V21" s="68">
        <v>12918</v>
      </c>
      <c r="W21" s="68">
        <v>14657</v>
      </c>
      <c r="X21" s="68">
        <f>W21-V21</f>
        <v>1739</v>
      </c>
      <c r="Y21" s="68">
        <f t="shared" si="2"/>
        <v>277.63366672884661</v>
      </c>
      <c r="Z21" s="69">
        <v>540.1</v>
      </c>
      <c r="AA21" s="68">
        <v>573.1</v>
      </c>
      <c r="AB21" s="68">
        <f>AA21-Z21</f>
        <v>33</v>
      </c>
      <c r="AC21" s="68">
        <f t="shared" si="4"/>
        <v>5.2684939632271064</v>
      </c>
      <c r="AD21" s="69">
        <v>484.40408100000002</v>
      </c>
      <c r="AE21" s="68">
        <v>514.38383799999997</v>
      </c>
      <c r="AF21" s="68">
        <f>AE21-AD21</f>
        <v>29.97975699999995</v>
      </c>
      <c r="AG21" s="68">
        <f t="shared" si="6"/>
        <v>4.7863081446519793</v>
      </c>
      <c r="AH21" s="69">
        <v>-13.41</v>
      </c>
      <c r="AI21" s="68">
        <v>-16.38</v>
      </c>
      <c r="AJ21" s="68">
        <f>AI21-AH21</f>
        <v>-2.9699999999999989</v>
      </c>
      <c r="AK21" s="70">
        <f t="shared" si="8"/>
        <v>-0.47416445669043938</v>
      </c>
      <c r="AL21" s="69">
        <v>127.5</v>
      </c>
      <c r="AM21" s="68">
        <v>127.5</v>
      </c>
      <c r="AN21" s="68">
        <f>AM21-AL21</f>
        <v>0</v>
      </c>
      <c r="AO21" s="70">
        <f t="shared" si="10"/>
        <v>0</v>
      </c>
      <c r="AP21" s="69">
        <v>309.5</v>
      </c>
      <c r="AQ21" s="68">
        <v>309.5</v>
      </c>
      <c r="AR21" s="68">
        <f>AQ21-AP21</f>
        <v>0</v>
      </c>
      <c r="AS21" s="70">
        <f t="shared" si="12"/>
        <v>0</v>
      </c>
      <c r="AT21" s="69">
        <v>0.1</v>
      </c>
      <c r="AU21" s="68">
        <v>0.1</v>
      </c>
      <c r="AV21" s="68">
        <f>AU21-AT21</f>
        <v>0</v>
      </c>
      <c r="AW21" s="70">
        <f t="shared" si="14"/>
        <v>0</v>
      </c>
      <c r="AX21" s="69">
        <v>12925</v>
      </c>
      <c r="AY21" s="68">
        <v>14665</v>
      </c>
      <c r="AZ21" s="68">
        <f>AY21-AX21</f>
        <v>1740</v>
      </c>
      <c r="BA21" s="70">
        <f t="shared" si="16"/>
        <v>277.79331806106558</v>
      </c>
      <c r="BB21" s="69">
        <v>24.3</v>
      </c>
      <c r="BC21" s="68">
        <v>24.8</v>
      </c>
      <c r="BD21" s="68">
        <f>BC21-BB21</f>
        <v>0.5</v>
      </c>
      <c r="BE21" s="70">
        <f t="shared" si="18"/>
        <v>7.9825666109501606E-2</v>
      </c>
      <c r="BF21" s="69">
        <v>0</v>
      </c>
      <c r="BG21" s="68">
        <v>0</v>
      </c>
      <c r="BH21" s="68">
        <f>BG21-BF21</f>
        <v>0</v>
      </c>
      <c r="BI21" s="70">
        <f t="shared" si="20"/>
        <v>0</v>
      </c>
      <c r="BJ21" s="71">
        <v>59.162194999999997</v>
      </c>
      <c r="BK21" s="71">
        <v>56.559009000000003</v>
      </c>
      <c r="BL21" s="71">
        <f>BK21-BJ21</f>
        <v>-2.6031859999999938</v>
      </c>
      <c r="BM21" s="72">
        <v>0</v>
      </c>
      <c r="BN21" s="73">
        <v>0</v>
      </c>
      <c r="BO21" s="73">
        <f>BN21-BM21</f>
        <v>0</v>
      </c>
      <c r="BP21" s="72">
        <v>24.3</v>
      </c>
      <c r="BQ21" s="73">
        <v>24.8</v>
      </c>
      <c r="BR21" s="73">
        <f>BQ21-BP21</f>
        <v>0.5</v>
      </c>
      <c r="BS21" s="71"/>
      <c r="BT21" s="71"/>
      <c r="BU21" s="71"/>
      <c r="BV21" s="71"/>
      <c r="BW21" s="62" t="s">
        <v>103</v>
      </c>
      <c r="BX21" s="5">
        <v>10790.45557097</v>
      </c>
      <c r="BY21" s="5">
        <v>-7.1808163800000004</v>
      </c>
      <c r="BZ21" s="5">
        <v>1056.5770635700001</v>
      </c>
      <c r="CA21" s="5">
        <v>1138.3175571199999</v>
      </c>
      <c r="CB21" s="5">
        <v>6.4648682900000001</v>
      </c>
      <c r="CC21" s="5">
        <v>6.5095373500000004</v>
      </c>
      <c r="CD21" s="5">
        <v>0.46222896000000002</v>
      </c>
      <c r="CE21" s="5">
        <v>6.2636775099999999</v>
      </c>
      <c r="CF21" s="5">
        <v>6.2348581899999997</v>
      </c>
      <c r="CG21" s="5">
        <v>-1.1563736200000001</v>
      </c>
      <c r="CH21" s="5">
        <v>-0.68620950999999997</v>
      </c>
      <c r="CI21" s="5">
        <v>0.34622444000000002</v>
      </c>
    </row>
    <row r="22" spans="1:87" ht="15" customHeight="1" x14ac:dyDescent="0.2">
      <c r="A22" s="58">
        <v>62009003</v>
      </c>
      <c r="B22" s="58" t="s">
        <v>131</v>
      </c>
      <c r="C22" s="58" t="s">
        <v>132</v>
      </c>
      <c r="D22" s="59" t="s">
        <v>114</v>
      </c>
      <c r="E22" s="60" t="s">
        <v>115</v>
      </c>
      <c r="F22" s="61" t="str">
        <f t="shared" si="24"/>
        <v>09/09/20</v>
      </c>
      <c r="G22" s="62" t="s">
        <v>116</v>
      </c>
      <c r="H22" s="62" t="s">
        <v>110</v>
      </c>
      <c r="I22" s="63"/>
      <c r="J22" s="74">
        <f>AVERAGE(J20:J21)</f>
        <v>24.936484499999999</v>
      </c>
      <c r="K22" s="74">
        <f>AVERAGE(K20:K21)</f>
        <v>39.754468500000002</v>
      </c>
      <c r="L22" s="74">
        <f>AVERAGE(L20:L21)</f>
        <v>29.511976000000001</v>
      </c>
      <c r="M22" s="74">
        <f>AVERAGE(M20:M21)</f>
        <v>29.860320000000002</v>
      </c>
      <c r="N22" s="75"/>
      <c r="O22" s="65"/>
      <c r="P22" s="76"/>
      <c r="Q22" s="77"/>
      <c r="R22" s="78">
        <f>R21+R20</f>
        <v>8.0419786700000007</v>
      </c>
      <c r="S22" s="78">
        <f>S21</f>
        <v>8.0419786700000007</v>
      </c>
      <c r="T22" s="79">
        <f>T20</f>
        <v>59.676423</v>
      </c>
      <c r="U22" s="79">
        <f>U21</f>
        <v>56.559009000000003</v>
      </c>
      <c r="V22" s="80">
        <f>V20</f>
        <v>12579</v>
      </c>
      <c r="W22" s="80">
        <f>W21</f>
        <v>14657</v>
      </c>
      <c r="X22" s="80">
        <f>SUM(X20:X21)</f>
        <v>2224</v>
      </c>
      <c r="Y22" s="80">
        <f t="shared" si="2"/>
        <v>276.54885585514739</v>
      </c>
      <c r="Z22" s="80">
        <f>Z20</f>
        <v>528.29999999999995</v>
      </c>
      <c r="AA22" s="80">
        <f>AA21</f>
        <v>573.1</v>
      </c>
      <c r="AB22" s="80">
        <f>SUM(AB20:AB21)</f>
        <v>54</v>
      </c>
      <c r="AC22" s="80">
        <f t="shared" si="4"/>
        <v>6.7147653849721038</v>
      </c>
      <c r="AD22" s="80">
        <f>AD20</f>
        <v>473.67272000000003</v>
      </c>
      <c r="AE22" s="80">
        <f>AE21</f>
        <v>514.38383799999997</v>
      </c>
      <c r="AF22" s="80">
        <f>SUM(AF20:AF21)</f>
        <v>49.130962999999952</v>
      </c>
      <c r="AG22" s="80">
        <f t="shared" si="6"/>
        <v>6.1093127719026823</v>
      </c>
      <c r="AH22" s="80">
        <f>AH20</f>
        <v>-12.21</v>
      </c>
      <c r="AI22" s="80">
        <f>AI21</f>
        <v>-16.38</v>
      </c>
      <c r="AJ22" s="80">
        <f>SUM(AJ20:AJ21)</f>
        <v>-4.93</v>
      </c>
      <c r="AK22" s="81">
        <f t="shared" si="8"/>
        <v>-0.61303321014652723</v>
      </c>
      <c r="AL22" s="80">
        <f>AL20</f>
        <v>127.5</v>
      </c>
      <c r="AM22" s="80">
        <f>AM21</f>
        <v>127.5</v>
      </c>
      <c r="AN22" s="80">
        <f>SUM(AN20:AN21)</f>
        <v>-9.9999999999994316E-2</v>
      </c>
      <c r="AO22" s="81">
        <f t="shared" si="10"/>
        <v>-1.2434750712910596E-2</v>
      </c>
      <c r="AP22" s="80">
        <f>AP20</f>
        <v>309.5</v>
      </c>
      <c r="AQ22" s="80">
        <f>AQ21</f>
        <v>309.5</v>
      </c>
      <c r="AR22" s="80">
        <f>SUM(AR20:AR21)</f>
        <v>0</v>
      </c>
      <c r="AS22" s="81">
        <f t="shared" si="12"/>
        <v>0</v>
      </c>
      <c r="AT22" s="80">
        <f>AT20</f>
        <v>0.1</v>
      </c>
      <c r="AU22" s="80">
        <f>AU21</f>
        <v>0.1</v>
      </c>
      <c r="AV22" s="80">
        <f>SUM(AV20:AV21)</f>
        <v>0</v>
      </c>
      <c r="AW22" s="81">
        <f t="shared" si="14"/>
        <v>0</v>
      </c>
      <c r="AX22" s="80">
        <f>AX20</f>
        <v>12586</v>
      </c>
      <c r="AY22" s="80">
        <f>AY21</f>
        <v>14665</v>
      </c>
      <c r="AZ22" s="80">
        <f>SUM(AZ20:AZ21)</f>
        <v>2226</v>
      </c>
      <c r="BA22" s="81">
        <f t="shared" si="16"/>
        <v>276.7975508694056</v>
      </c>
      <c r="BB22" s="80">
        <f>BB20</f>
        <v>24.1</v>
      </c>
      <c r="BC22" s="80">
        <f>BC21</f>
        <v>24.8</v>
      </c>
      <c r="BD22" s="80">
        <f>SUM(BD20:BD21)</f>
        <v>0.79999999999999716</v>
      </c>
      <c r="BE22" s="81">
        <f t="shared" si="18"/>
        <v>9.9478005703290073E-2</v>
      </c>
      <c r="BF22" s="80">
        <f>BF20</f>
        <v>0</v>
      </c>
      <c r="BG22" s="80">
        <f>BG21</f>
        <v>0</v>
      </c>
      <c r="BH22" s="80">
        <f>SUM(BH20:BH21)</f>
        <v>0</v>
      </c>
      <c r="BI22" s="81">
        <f t="shared" si="20"/>
        <v>0</v>
      </c>
      <c r="BJ22" s="82"/>
      <c r="BK22" s="82"/>
      <c r="BL22" s="82">
        <f>SUM(BL20:BL21)</f>
        <v>-3.3478250000000003</v>
      </c>
      <c r="BM22" s="83">
        <f>BM20</f>
        <v>0</v>
      </c>
      <c r="BN22" s="83">
        <f>BN21</f>
        <v>0</v>
      </c>
      <c r="BO22" s="83">
        <f>SUM(BO20:BO21)</f>
        <v>0</v>
      </c>
      <c r="BP22" s="83">
        <f>BP20</f>
        <v>24.1</v>
      </c>
      <c r="BQ22" s="83">
        <f>BQ21</f>
        <v>24.8</v>
      </c>
      <c r="BR22" s="83">
        <f>SUM(BR20:BR21)</f>
        <v>0.79999999999999716</v>
      </c>
      <c r="BS22" s="82"/>
      <c r="BT22" s="82"/>
      <c r="BU22" s="82"/>
      <c r="BV22" s="82"/>
      <c r="BW22" s="62" t="s">
        <v>103</v>
      </c>
    </row>
    <row r="23" spans="1:87" ht="15" customHeight="1" x14ac:dyDescent="0.2">
      <c r="A23" s="58">
        <v>62009004</v>
      </c>
      <c r="B23" s="58" t="s">
        <v>133</v>
      </c>
      <c r="C23" s="58" t="s">
        <v>98</v>
      </c>
      <c r="D23" s="59" t="s">
        <v>134</v>
      </c>
      <c r="E23" s="60" t="s">
        <v>135</v>
      </c>
      <c r="F23" s="61" t="str">
        <f t="shared" si="24"/>
        <v>09/09/20</v>
      </c>
      <c r="G23" s="62" t="s">
        <v>136</v>
      </c>
      <c r="H23" s="62" t="s">
        <v>110</v>
      </c>
      <c r="I23" s="63"/>
      <c r="J23" s="64">
        <v>-32.214115</v>
      </c>
      <c r="K23" s="64">
        <v>-43.644125000000003</v>
      </c>
      <c r="L23" s="64">
        <v>-35.944986999999998</v>
      </c>
      <c r="M23" s="64">
        <v>-37.636133999999998</v>
      </c>
      <c r="N23" s="65">
        <v>3875</v>
      </c>
      <c r="O23" s="65">
        <v>28.39</v>
      </c>
      <c r="P23" s="65">
        <v>0.20169999999999999</v>
      </c>
      <c r="Q23" s="65">
        <v>1.932E-2</v>
      </c>
      <c r="R23" s="66">
        <v>64.468508380000003</v>
      </c>
      <c r="S23" s="66">
        <f>R23+R22</f>
        <v>72.510487050000009</v>
      </c>
      <c r="T23" s="67">
        <v>56.319443</v>
      </c>
      <c r="U23" s="67">
        <v>30.960511</v>
      </c>
      <c r="V23" s="68">
        <v>14810</v>
      </c>
      <c r="W23" s="68">
        <v>31414</v>
      </c>
      <c r="X23" s="68">
        <f>W23-V23</f>
        <v>16604</v>
      </c>
      <c r="Y23" s="68">
        <f t="shared" si="2"/>
        <v>257.55210438762128</v>
      </c>
      <c r="Z23" s="69">
        <v>588.11284499999999</v>
      </c>
      <c r="AA23" s="68">
        <v>901.4</v>
      </c>
      <c r="AB23" s="68">
        <f>AA23-Z23</f>
        <v>313.28715499999998</v>
      </c>
      <c r="AC23" s="68">
        <f t="shared" si="4"/>
        <v>4.8595378250940069</v>
      </c>
      <c r="AD23" s="69">
        <v>528.06256900000005</v>
      </c>
      <c r="AE23" s="68">
        <v>813.53</v>
      </c>
      <c r="AF23" s="68">
        <f>AE23-AD23</f>
        <v>285.46743099999992</v>
      </c>
      <c r="AG23" s="68">
        <f t="shared" si="6"/>
        <v>4.4280135863754557</v>
      </c>
      <c r="AH23" s="69">
        <v>-14.031283999999999</v>
      </c>
      <c r="AI23" s="68">
        <v>-32.78</v>
      </c>
      <c r="AJ23" s="68">
        <f>AI23-AH23</f>
        <v>-18.748716000000002</v>
      </c>
      <c r="AK23" s="70">
        <f t="shared" si="8"/>
        <v>-0.29081975791169995</v>
      </c>
      <c r="AL23" s="69">
        <v>127.4</v>
      </c>
      <c r="AM23" s="68">
        <v>127.4</v>
      </c>
      <c r="AN23" s="68">
        <f>AM23-AL23</f>
        <v>0</v>
      </c>
      <c r="AO23" s="70">
        <f t="shared" si="10"/>
        <v>0</v>
      </c>
      <c r="AP23" s="69">
        <v>309.7</v>
      </c>
      <c r="AQ23" s="68">
        <v>310.10000000000002</v>
      </c>
      <c r="AR23" s="68">
        <f>AQ23-AP23</f>
        <v>0.40000000000003411</v>
      </c>
      <c r="AS23" s="70">
        <f t="shared" si="12"/>
        <v>6.2045797250697005E-3</v>
      </c>
      <c r="AT23" s="69">
        <v>0.1</v>
      </c>
      <c r="AU23" s="68">
        <v>0.3</v>
      </c>
      <c r="AV23" s="68">
        <f>AU23-AT23</f>
        <v>0.19999999999999998</v>
      </c>
      <c r="AW23" s="70">
        <f t="shared" si="14"/>
        <v>3.1022898625345857E-3</v>
      </c>
      <c r="AX23" s="69">
        <v>14819</v>
      </c>
      <c r="AY23" s="68">
        <v>31431</v>
      </c>
      <c r="AZ23" s="68">
        <f>AY23-AX23</f>
        <v>16612</v>
      </c>
      <c r="BA23" s="70">
        <f t="shared" si="16"/>
        <v>257.67619598212269</v>
      </c>
      <c r="BB23" s="69">
        <v>25.8</v>
      </c>
      <c r="BC23" s="68">
        <v>30.7</v>
      </c>
      <c r="BD23" s="68">
        <f>BC23-BB23</f>
        <v>4.8999999999999986</v>
      </c>
      <c r="BE23" s="70">
        <f t="shared" si="18"/>
        <v>7.6006101632097325E-2</v>
      </c>
      <c r="BF23" s="69">
        <v>0</v>
      </c>
      <c r="BG23" s="68">
        <v>0</v>
      </c>
      <c r="BH23" s="68">
        <f>BG23-BF23</f>
        <v>0</v>
      </c>
      <c r="BI23" s="70">
        <f t="shared" si="20"/>
        <v>0</v>
      </c>
      <c r="BJ23" s="71">
        <v>56.319443</v>
      </c>
      <c r="BK23" s="71">
        <v>30.960511</v>
      </c>
      <c r="BL23" s="71">
        <f>BK23-BJ23</f>
        <v>-25.358931999999999</v>
      </c>
      <c r="BM23" s="72">
        <v>0</v>
      </c>
      <c r="BN23" s="73">
        <v>0</v>
      </c>
      <c r="BO23" s="73">
        <f>BN23-BM23</f>
        <v>0</v>
      </c>
      <c r="BP23" s="72">
        <v>25.8</v>
      </c>
      <c r="BQ23" s="73">
        <v>30.7</v>
      </c>
      <c r="BR23" s="73">
        <f>BQ23-BP23</f>
        <v>4.8999999999999986</v>
      </c>
      <c r="BS23" s="71"/>
      <c r="BT23" s="71"/>
      <c r="BU23" s="71"/>
      <c r="BV23" s="71"/>
      <c r="BW23" s="62" t="s">
        <v>103</v>
      </c>
      <c r="BX23" s="5">
        <v>34.137151850000002</v>
      </c>
      <c r="BY23" s="5">
        <v>97.193748749999997</v>
      </c>
      <c r="BZ23" s="5">
        <v>1145.99541475</v>
      </c>
      <c r="CA23" s="5">
        <v>581.15200000000004</v>
      </c>
      <c r="CB23" s="5">
        <v>57.633622320000001</v>
      </c>
      <c r="CC23" s="5">
        <v>56.951788270000002</v>
      </c>
      <c r="CD23" s="5">
        <v>0.49508860999999998</v>
      </c>
      <c r="CE23" s="5">
        <v>64.469053669999994</v>
      </c>
      <c r="CF23" s="5">
        <v>64.151447160000004</v>
      </c>
      <c r="CG23" s="5">
        <v>0.69381762999999996</v>
      </c>
      <c r="CH23" s="5">
        <v>1.19721272</v>
      </c>
      <c r="CI23" s="5">
        <v>1.3224919999999999E-2</v>
      </c>
    </row>
    <row r="24" spans="1:87" ht="15" customHeight="1" x14ac:dyDescent="0.2">
      <c r="A24" s="58">
        <v>62009005</v>
      </c>
      <c r="B24" s="58" t="s">
        <v>137</v>
      </c>
      <c r="C24" s="58" t="s">
        <v>98</v>
      </c>
      <c r="D24" s="59" t="s">
        <v>138</v>
      </c>
      <c r="E24" s="60" t="s">
        <v>139</v>
      </c>
      <c r="F24" s="61" t="str">
        <f t="shared" si="24"/>
        <v>09/10/20</v>
      </c>
      <c r="G24" s="62" t="s">
        <v>140</v>
      </c>
      <c r="H24" s="62" t="s">
        <v>110</v>
      </c>
      <c r="I24" s="63"/>
      <c r="J24" s="64"/>
      <c r="K24" s="64"/>
      <c r="L24" s="64"/>
      <c r="M24" s="64"/>
      <c r="N24" s="65">
        <v>3875</v>
      </c>
      <c r="O24" s="65">
        <v>28.39</v>
      </c>
      <c r="P24" s="65">
        <v>0.20169999999999999</v>
      </c>
      <c r="Q24" s="65">
        <v>1.932E-2</v>
      </c>
      <c r="R24" s="66">
        <v>58.612516880000001</v>
      </c>
      <c r="S24" s="66">
        <f>R24+R23</f>
        <v>123.08102526</v>
      </c>
      <c r="T24" s="67">
        <v>25.085795999999998</v>
      </c>
      <c r="U24" s="67">
        <v>0.49286600000000003</v>
      </c>
      <c r="V24" s="68">
        <v>36460</v>
      </c>
      <c r="W24" s="68">
        <v>51518</v>
      </c>
      <c r="X24" s="68">
        <f>W24-V24</f>
        <v>15058</v>
      </c>
      <c r="Y24" s="68">
        <f t="shared" si="2"/>
        <v>256.90758222904691</v>
      </c>
      <c r="Z24" s="69">
        <v>1506.1</v>
      </c>
      <c r="AA24" s="68">
        <v>1788.1</v>
      </c>
      <c r="AB24" s="68">
        <f>AA24-Z24</f>
        <v>282</v>
      </c>
      <c r="AC24" s="68">
        <f t="shared" si="4"/>
        <v>4.8112590110633038</v>
      </c>
      <c r="AD24" s="69">
        <v>1365.2871090000001</v>
      </c>
      <c r="AE24" s="68">
        <v>1622.6</v>
      </c>
      <c r="AF24" s="68">
        <f>AE24-AD24</f>
        <v>257.31289099999981</v>
      </c>
      <c r="AG24" s="68">
        <f t="shared" si="6"/>
        <v>4.3900672534982226</v>
      </c>
      <c r="AH24" s="69">
        <v>-28.82</v>
      </c>
      <c r="AI24" s="68">
        <v>-43.69</v>
      </c>
      <c r="AJ24" s="68">
        <f>AI24-AH24</f>
        <v>-14.869999999999997</v>
      </c>
      <c r="AK24" s="70">
        <f t="shared" si="8"/>
        <v>-0.25370007622167134</v>
      </c>
      <c r="AL24" s="69">
        <v>966.2</v>
      </c>
      <c r="AM24" s="68">
        <v>966.1</v>
      </c>
      <c r="AN24" s="68">
        <f>AM24-AL24</f>
        <v>-0.10000000000002274</v>
      </c>
      <c r="AO24" s="70">
        <f t="shared" si="10"/>
        <v>-1.7061202166895027E-3</v>
      </c>
      <c r="AP24" s="69">
        <v>3893.3</v>
      </c>
      <c r="AQ24" s="68">
        <v>3893.4</v>
      </c>
      <c r="AR24" s="68">
        <f>AQ24-AP24</f>
        <v>9.9999999999909051E-2</v>
      </c>
      <c r="AS24" s="70">
        <f t="shared" si="12"/>
        <v>1.7061202166875631E-3</v>
      </c>
      <c r="AT24" s="69">
        <v>2.2999999999999998</v>
      </c>
      <c r="AU24" s="68">
        <v>2.8</v>
      </c>
      <c r="AV24" s="68">
        <f>AU24-AT24</f>
        <v>0.5</v>
      </c>
      <c r="AW24" s="70">
        <f t="shared" si="14"/>
        <v>8.5306010834455739E-3</v>
      </c>
      <c r="AX24" s="69">
        <v>35269</v>
      </c>
      <c r="AY24" s="68">
        <v>50333</v>
      </c>
      <c r="AZ24" s="68">
        <f>AY24-AX24</f>
        <v>15064</v>
      </c>
      <c r="BA24" s="70">
        <f t="shared" si="16"/>
        <v>257.00994944204825</v>
      </c>
      <c r="BB24" s="69">
        <v>1455</v>
      </c>
      <c r="BC24" s="68">
        <v>1459.4</v>
      </c>
      <c r="BD24" s="68">
        <f>BC24-BB24</f>
        <v>4.4000000000000909</v>
      </c>
      <c r="BE24" s="70">
        <f t="shared" si="18"/>
        <v>7.5069289534322597E-2</v>
      </c>
      <c r="BF24" s="69">
        <v>-1318.5</v>
      </c>
      <c r="BG24" s="68">
        <v>-1318.5</v>
      </c>
      <c r="BH24" s="68">
        <f>BG24-BF24</f>
        <v>0</v>
      </c>
      <c r="BI24" s="70">
        <f t="shared" si="20"/>
        <v>0</v>
      </c>
      <c r="BJ24" s="71">
        <v>25.085795999999998</v>
      </c>
      <c r="BK24" s="71">
        <v>0.49286600000000003</v>
      </c>
      <c r="BL24" s="71">
        <f>BK24-BJ24</f>
        <v>-24.592929999999999</v>
      </c>
      <c r="BM24" s="72">
        <v>-1318.5</v>
      </c>
      <c r="BN24" s="73">
        <v>-1318.5</v>
      </c>
      <c r="BO24" s="73">
        <f>BN24-BM24</f>
        <v>0</v>
      </c>
      <c r="BP24" s="72">
        <v>1455</v>
      </c>
      <c r="BQ24" s="73">
        <v>1459.4</v>
      </c>
      <c r="BR24" s="73">
        <f>BQ24-BP24</f>
        <v>4.4000000000000909</v>
      </c>
      <c r="BS24" s="71"/>
      <c r="BT24" s="71"/>
      <c r="BU24" s="71"/>
      <c r="BV24" s="71"/>
      <c r="BW24" s="62" t="s">
        <v>103</v>
      </c>
    </row>
    <row r="25" spans="1:87" ht="15" customHeight="1" x14ac:dyDescent="0.2">
      <c r="A25" s="58">
        <v>62009006</v>
      </c>
      <c r="B25" s="84" t="s">
        <v>141</v>
      </c>
      <c r="C25" s="58" t="s">
        <v>98</v>
      </c>
      <c r="D25" s="59" t="s">
        <v>142</v>
      </c>
      <c r="E25" s="60" t="s">
        <v>143</v>
      </c>
      <c r="F25" s="61" t="str">
        <f t="shared" si="24"/>
        <v>09/10/20</v>
      </c>
      <c r="G25" s="62" t="s">
        <v>144</v>
      </c>
      <c r="H25" s="62" t="s">
        <v>110</v>
      </c>
      <c r="I25" s="63"/>
      <c r="J25" s="64"/>
      <c r="K25" s="64"/>
      <c r="L25" s="64"/>
      <c r="M25" s="64"/>
      <c r="N25" s="65">
        <v>3875</v>
      </c>
      <c r="O25" s="65">
        <v>28.39</v>
      </c>
      <c r="P25" s="65">
        <v>0.20169999999999999</v>
      </c>
      <c r="Q25" s="65">
        <v>1.932E-2</v>
      </c>
      <c r="R25" s="66">
        <v>3.2018150000000002E-2</v>
      </c>
      <c r="S25" s="66">
        <f>R25+R24</f>
        <v>58.64453503</v>
      </c>
      <c r="T25" s="67" t="s">
        <v>145</v>
      </c>
      <c r="U25" s="67" t="s">
        <v>146</v>
      </c>
      <c r="V25" s="68">
        <v>51519</v>
      </c>
      <c r="W25" s="68">
        <v>51375</v>
      </c>
      <c r="X25" s="68">
        <f>W25-V25</f>
        <v>-144</v>
      </c>
      <c r="Y25" s="68">
        <f t="shared" si="2"/>
        <v>-4497.449103086843</v>
      </c>
      <c r="Z25" s="69">
        <v>1789.5</v>
      </c>
      <c r="AA25" s="68">
        <v>2286.1</v>
      </c>
      <c r="AB25" s="68">
        <f>AA25-Z25</f>
        <v>496.59999999999991</v>
      </c>
      <c r="AC25" s="68">
        <f t="shared" si="4"/>
        <v>15509.952948561984</v>
      </c>
      <c r="AD25" s="69">
        <v>1623.92</v>
      </c>
      <c r="AE25" s="68">
        <v>1996.18</v>
      </c>
      <c r="AF25" s="68">
        <f>AE25-AD25</f>
        <v>372.26</v>
      </c>
      <c r="AG25" s="68">
        <f t="shared" si="6"/>
        <v>11626.53057718825</v>
      </c>
      <c r="AH25" s="69">
        <v>-40.299999999999997</v>
      </c>
      <c r="AI25" s="68">
        <v>-72.209999999999994</v>
      </c>
      <c r="AJ25" s="68">
        <f>AI25-AH25</f>
        <v>-31.909999999999997</v>
      </c>
      <c r="AK25" s="70">
        <f t="shared" si="8"/>
        <v>-996.62222832986902</v>
      </c>
      <c r="AL25" s="69">
        <v>966.1</v>
      </c>
      <c r="AM25" s="68">
        <v>966.1</v>
      </c>
      <c r="AN25" s="68">
        <f>AM25-AL25</f>
        <v>0</v>
      </c>
      <c r="AO25" s="70">
        <f t="shared" si="10"/>
        <v>0</v>
      </c>
      <c r="AP25" s="69">
        <v>3893.4</v>
      </c>
      <c r="AQ25" s="68">
        <v>3893.4</v>
      </c>
      <c r="AR25" s="68">
        <f>AQ25-AP25</f>
        <v>0</v>
      </c>
      <c r="AS25" s="70">
        <f t="shared" si="12"/>
        <v>0</v>
      </c>
      <c r="AT25" s="69">
        <v>2.8</v>
      </c>
      <c r="AU25" s="68">
        <v>50</v>
      </c>
      <c r="AV25" s="68">
        <f>AU25-AT25</f>
        <v>47.2</v>
      </c>
      <c r="AW25" s="70">
        <f t="shared" si="14"/>
        <v>1474.1638726784652</v>
      </c>
      <c r="AX25" s="69">
        <v>50334</v>
      </c>
      <c r="AY25" s="68">
        <v>-15914</v>
      </c>
      <c r="AZ25" s="68">
        <f>AY25-AX25</f>
        <v>-66248</v>
      </c>
      <c r="BA25" s="70">
        <f t="shared" si="16"/>
        <v>-2069076.4457034525</v>
      </c>
      <c r="BB25" s="69">
        <v>1460.3</v>
      </c>
      <c r="BC25" s="68">
        <v>72599.8</v>
      </c>
      <c r="BD25" s="68">
        <f>BC25-BB25</f>
        <v>71139.5</v>
      </c>
      <c r="BE25" s="70">
        <f t="shared" si="18"/>
        <v>2221849.1699239337</v>
      </c>
      <c r="BF25" s="69">
        <v>-1318.5</v>
      </c>
      <c r="BG25" s="68">
        <v>-72346</v>
      </c>
      <c r="BH25" s="68">
        <f>BG25-BF25</f>
        <v>-71027.5</v>
      </c>
      <c r="BI25" s="70">
        <f t="shared" si="20"/>
        <v>-2218351.1539548659</v>
      </c>
      <c r="BJ25" s="71" t="s">
        <v>147</v>
      </c>
      <c r="BK25" s="71" t="s">
        <v>148</v>
      </c>
      <c r="BL25" s="71" t="e">
        <f>BK25-BJ25</f>
        <v>#VALUE!</v>
      </c>
      <c r="BM25" s="72">
        <v>-1318.5</v>
      </c>
      <c r="BN25" s="73">
        <v>-72346</v>
      </c>
      <c r="BO25" s="73">
        <f>BN25-BM25</f>
        <v>-71027.5</v>
      </c>
      <c r="BP25" s="72">
        <v>1460.3</v>
      </c>
      <c r="BQ25" s="73">
        <v>72599.8</v>
      </c>
      <c r="BR25" s="73">
        <f>BQ25-BP25</f>
        <v>71139.5</v>
      </c>
      <c r="BS25" s="71"/>
      <c r="BT25" s="71"/>
      <c r="BU25" s="71"/>
      <c r="BV25" s="71"/>
      <c r="BW25" s="62" t="s">
        <v>149</v>
      </c>
      <c r="BX25" s="5">
        <v>0</v>
      </c>
      <c r="BY25" s="5" t="s">
        <v>112</v>
      </c>
      <c r="BZ25" s="5">
        <v>0</v>
      </c>
      <c r="CA25" s="5">
        <v>0</v>
      </c>
      <c r="CB25" s="5">
        <v>0</v>
      </c>
      <c r="CC25" s="5">
        <v>0</v>
      </c>
      <c r="CD25" s="5" t="s">
        <v>112</v>
      </c>
      <c r="CE25" s="5">
        <v>0</v>
      </c>
      <c r="CF25" s="5">
        <v>0</v>
      </c>
      <c r="CG25" s="5" t="s">
        <v>112</v>
      </c>
      <c r="CH25" s="5" t="s">
        <v>112</v>
      </c>
      <c r="CI25" s="5" t="s">
        <v>112</v>
      </c>
    </row>
    <row r="26" spans="1:87" ht="15" customHeight="1" x14ac:dyDescent="0.2">
      <c r="A26" s="51" t="s">
        <v>150</v>
      </c>
      <c r="B26" s="52"/>
      <c r="C26" s="52"/>
      <c r="D26" s="53"/>
      <c r="E26" s="52"/>
      <c r="F26" s="52"/>
      <c r="G26" s="53"/>
      <c r="H26" s="53"/>
      <c r="I26" s="53"/>
      <c r="J26" s="53"/>
      <c r="K26" s="53"/>
      <c r="L26" s="53"/>
      <c r="M26" s="53"/>
      <c r="N26" s="53"/>
      <c r="O26" s="53"/>
      <c r="P26" s="54"/>
      <c r="Q26" s="55"/>
      <c r="R26" s="52"/>
      <c r="S26" s="52"/>
      <c r="T26" s="52"/>
      <c r="U26" s="52"/>
      <c r="V26" s="56"/>
      <c r="W26" s="56"/>
      <c r="X26" s="52"/>
      <c r="Y26" s="52"/>
      <c r="Z26" s="52"/>
      <c r="AA26" s="52"/>
      <c r="AB26" s="52"/>
      <c r="AC26" s="52"/>
      <c r="AD26" s="52"/>
      <c r="AE26" s="56"/>
      <c r="AF26" s="56"/>
      <c r="AG26" s="56"/>
      <c r="AH26" s="56"/>
      <c r="AI26" s="56"/>
      <c r="AJ26" s="52"/>
      <c r="AK26" s="52"/>
      <c r="AL26" s="52"/>
      <c r="AM26" s="52"/>
      <c r="AN26" s="52"/>
      <c r="AO26" s="52"/>
      <c r="AP26" s="56"/>
      <c r="AQ26" s="56"/>
      <c r="AR26" s="52"/>
      <c r="AS26" s="52"/>
      <c r="AT26" s="56"/>
      <c r="AU26" s="56"/>
      <c r="AV26" s="52"/>
      <c r="AW26" s="52"/>
      <c r="AX26" s="56"/>
      <c r="AY26" s="56"/>
      <c r="AZ26" s="52"/>
      <c r="BA26" s="52"/>
      <c r="BB26" s="56"/>
      <c r="BC26" s="56"/>
      <c r="BD26" s="52"/>
      <c r="BE26" s="52"/>
      <c r="BF26" s="56"/>
      <c r="BG26" s="56"/>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7"/>
    </row>
    <row r="27" spans="1:87" ht="15" customHeight="1" x14ac:dyDescent="0.2">
      <c r="A27" s="58">
        <v>62009007</v>
      </c>
      <c r="B27" s="58" t="s">
        <v>4</v>
      </c>
      <c r="C27" s="58" t="s">
        <v>98</v>
      </c>
      <c r="D27" s="59" t="s">
        <v>151</v>
      </c>
      <c r="E27" s="60" t="s">
        <v>152</v>
      </c>
      <c r="F27" s="61" t="str">
        <f>LEFT(E27,8)</f>
        <v>09/11/20</v>
      </c>
      <c r="G27" s="62" t="s">
        <v>153</v>
      </c>
      <c r="H27" s="62" t="s">
        <v>110</v>
      </c>
      <c r="I27" s="63"/>
      <c r="J27" s="64">
        <v>-25.949380999999999</v>
      </c>
      <c r="K27" s="64">
        <v>-54.713763</v>
      </c>
      <c r="L27" s="64">
        <v>-34.947901000000002</v>
      </c>
      <c r="M27" s="64">
        <v>-29.974933</v>
      </c>
      <c r="N27" s="65">
        <v>3875</v>
      </c>
      <c r="O27" s="65">
        <v>28.39</v>
      </c>
      <c r="P27" s="65">
        <v>0.20169999999999999</v>
      </c>
      <c r="Q27" s="65">
        <v>1.932E-2</v>
      </c>
      <c r="R27" s="66">
        <v>13.94582746</v>
      </c>
      <c r="S27" s="66">
        <f t="shared" ref="S27:S38" si="25">R27+R26</f>
        <v>13.94582746</v>
      </c>
      <c r="T27" s="67">
        <v>96.806147999999993</v>
      </c>
      <c r="U27" s="67">
        <v>98.502949000000001</v>
      </c>
      <c r="V27" s="68">
        <v>2</v>
      </c>
      <c r="W27" s="68">
        <v>-1303</v>
      </c>
      <c r="X27" s="68">
        <f t="shared" ref="X27:X38" si="26">W27-V27</f>
        <v>-1305</v>
      </c>
      <c r="Y27" s="68">
        <f t="shared" ref="Y27:Y38" si="27">X27/$R27</f>
        <v>-93.576376428222346</v>
      </c>
      <c r="Z27" s="69">
        <v>1.8</v>
      </c>
      <c r="AA27" s="68">
        <v>321.10000000000002</v>
      </c>
      <c r="AB27" s="68">
        <f t="shared" ref="AB27:AB38" si="28">AA27-Z27</f>
        <v>319.3</v>
      </c>
      <c r="AC27" s="68">
        <f t="shared" ref="AC27:AC38" si="29">AB27/$R27</f>
        <v>22.895737159794173</v>
      </c>
      <c r="AD27" s="69">
        <v>1.5873090000000001</v>
      </c>
      <c r="AE27" s="68">
        <v>289.63</v>
      </c>
      <c r="AF27" s="68">
        <f t="shared" ref="AF27:AF38" si="30">AE27-AD27</f>
        <v>288.04269099999999</v>
      </c>
      <c r="AG27" s="68">
        <f t="shared" ref="AG27:AG38" si="31">AF27/$R27</f>
        <v>20.654399448593207</v>
      </c>
      <c r="AH27" s="69">
        <v>0.84634500000000001</v>
      </c>
      <c r="AI27" s="68">
        <v>-16.440000000000001</v>
      </c>
      <c r="AJ27" s="68">
        <f t="shared" ref="AJ27:AJ38" si="32">AI27-AH27</f>
        <v>-17.286345000000001</v>
      </c>
      <c r="AK27" s="70">
        <f t="shared" ref="AK27:AK38" si="33">AJ27/$R27</f>
        <v>-1.2395352695694402</v>
      </c>
      <c r="AL27" s="69">
        <v>0</v>
      </c>
      <c r="AM27" s="68">
        <v>-0.6</v>
      </c>
      <c r="AN27" s="68">
        <f t="shared" ref="AN27:AN38" si="34">AM27-AL27</f>
        <v>-0.6</v>
      </c>
      <c r="AO27" s="70">
        <f t="shared" ref="AO27:AO38" si="35">AN27/$R27</f>
        <v>-4.3023621346309125E-2</v>
      </c>
      <c r="AP27" s="69">
        <v>0.2</v>
      </c>
      <c r="AQ27" s="68">
        <v>0.2</v>
      </c>
      <c r="AR27" s="68">
        <f t="shared" ref="AR27:AR38" si="36">AQ27-AP27</f>
        <v>0</v>
      </c>
      <c r="AS27" s="70">
        <f t="shared" ref="AS27:AS38" si="37">AR27/$R27</f>
        <v>0</v>
      </c>
      <c r="AT27" s="69">
        <v>0</v>
      </c>
      <c r="AU27" s="68">
        <v>0.7</v>
      </c>
      <c r="AV27" s="68">
        <f t="shared" ref="AV27:AV38" si="38">AU27-AT27</f>
        <v>0.7</v>
      </c>
      <c r="AW27" s="70">
        <f t="shared" ref="AW27:AW38" si="39">AV27/$R27</f>
        <v>5.0194224904027314E-2</v>
      </c>
      <c r="AX27" s="69">
        <v>2</v>
      </c>
      <c r="AY27" s="68">
        <v>-1300</v>
      </c>
      <c r="AZ27" s="68">
        <f t="shared" ref="AZ27:AZ38" si="40">AY27-AX27</f>
        <v>-1302</v>
      </c>
      <c r="BA27" s="70">
        <f t="shared" ref="BA27:BA38" si="41">AZ27/$R27</f>
        <v>-93.361258321490808</v>
      </c>
      <c r="BB27" s="69">
        <v>0.2</v>
      </c>
      <c r="BC27" s="68">
        <v>5</v>
      </c>
      <c r="BD27" s="68">
        <f t="shared" ref="BD27:BD38" si="42">BC27-BB27</f>
        <v>4.8</v>
      </c>
      <c r="BE27" s="70">
        <f t="shared" ref="BE27:BE38" si="43">BD27/$R27</f>
        <v>0.344188970770473</v>
      </c>
      <c r="BF27" s="69">
        <v>0</v>
      </c>
      <c r="BG27" s="68">
        <v>0</v>
      </c>
      <c r="BH27" s="68">
        <f t="shared" ref="BH27:BH38" si="44">BG27-BF27</f>
        <v>0</v>
      </c>
      <c r="BI27" s="70">
        <f t="shared" ref="BI27:BI38" si="45">BH27/$R27</f>
        <v>0</v>
      </c>
      <c r="BJ27" s="71">
        <v>96.806147999999993</v>
      </c>
      <c r="BK27" s="71">
        <v>98.502949000000001</v>
      </c>
      <c r="BL27" s="71">
        <f t="shared" ref="BL27:BL38" si="46">BK27-BJ27</f>
        <v>1.6968010000000078</v>
      </c>
      <c r="BM27" s="72">
        <v>0</v>
      </c>
      <c r="BN27" s="73">
        <v>0</v>
      </c>
      <c r="BO27" s="73">
        <f t="shared" ref="BO27:BO38" si="47">BN27-BM27</f>
        <v>0</v>
      </c>
      <c r="BP27" s="72">
        <v>0.2</v>
      </c>
      <c r="BQ27" s="73">
        <v>5</v>
      </c>
      <c r="BR27" s="73">
        <f t="shared" ref="BR27:BR38" si="48">BQ27-BP27</f>
        <v>4.8</v>
      </c>
      <c r="BS27" s="71"/>
      <c r="BT27" s="71"/>
      <c r="BU27" s="71"/>
      <c r="BV27" s="71"/>
      <c r="BW27" s="62" t="s">
        <v>103</v>
      </c>
      <c r="BX27" s="5">
        <v>0</v>
      </c>
      <c r="BY27" s="5" t="s">
        <v>154</v>
      </c>
      <c r="BZ27" s="5">
        <v>143.30493791000001</v>
      </c>
      <c r="CA27" s="5">
        <v>0</v>
      </c>
      <c r="CB27" s="5">
        <v>3.5988594900000002</v>
      </c>
      <c r="CC27" s="5">
        <v>0</v>
      </c>
      <c r="CD27" s="5" t="s">
        <v>154</v>
      </c>
      <c r="CE27" s="5">
        <v>13.945856879999999</v>
      </c>
      <c r="CF27" s="5">
        <v>0</v>
      </c>
      <c r="CG27" s="5" t="s">
        <v>112</v>
      </c>
      <c r="CH27" s="5" t="s">
        <v>154</v>
      </c>
      <c r="CI27" s="5" t="s">
        <v>112</v>
      </c>
    </row>
    <row r="28" spans="1:87" ht="15" customHeight="1" x14ac:dyDescent="0.2">
      <c r="A28" s="58">
        <v>62009008</v>
      </c>
      <c r="B28" s="58" t="s">
        <v>155</v>
      </c>
      <c r="C28" s="58" t="s">
        <v>98</v>
      </c>
      <c r="D28" s="59" t="s">
        <v>156</v>
      </c>
      <c r="E28" s="60" t="s">
        <v>157</v>
      </c>
      <c r="F28" s="61" t="str">
        <f>LEFT(E28,8)</f>
        <v>09/11/20</v>
      </c>
      <c r="G28" s="62" t="s">
        <v>158</v>
      </c>
      <c r="H28" s="62" t="s">
        <v>110</v>
      </c>
      <c r="I28" s="63"/>
      <c r="J28" s="64">
        <v>26.212457000000001</v>
      </c>
      <c r="K28" s="64">
        <v>36.053305999999999</v>
      </c>
      <c r="L28" s="64">
        <v>29.586095</v>
      </c>
      <c r="M28" s="64">
        <v>28.831163</v>
      </c>
      <c r="N28" s="65">
        <v>3875</v>
      </c>
      <c r="O28" s="65">
        <v>28.39</v>
      </c>
      <c r="P28" s="65">
        <v>0.20169999999999999</v>
      </c>
      <c r="Q28" s="65">
        <v>1.932E-2</v>
      </c>
      <c r="R28" s="66">
        <v>9.5863757799999991</v>
      </c>
      <c r="S28" s="66">
        <f t="shared" si="25"/>
        <v>23.532203240000001</v>
      </c>
      <c r="T28" s="67">
        <v>98.493792999999997</v>
      </c>
      <c r="U28" s="67">
        <v>95.788371999999995</v>
      </c>
      <c r="V28" s="68">
        <v>-1294</v>
      </c>
      <c r="W28" s="68">
        <v>761</v>
      </c>
      <c r="X28" s="68">
        <f t="shared" si="26"/>
        <v>2055</v>
      </c>
      <c r="Y28" s="68">
        <f t="shared" si="27"/>
        <v>214.36672702600859</v>
      </c>
      <c r="Z28" s="69">
        <v>329.3</v>
      </c>
      <c r="AA28" s="68">
        <v>390.004636</v>
      </c>
      <c r="AB28" s="68">
        <f t="shared" si="28"/>
        <v>60.704635999999994</v>
      </c>
      <c r="AC28" s="68">
        <f t="shared" si="29"/>
        <v>6.3323864402069159</v>
      </c>
      <c r="AD28" s="69">
        <v>296.98</v>
      </c>
      <c r="AE28" s="68">
        <v>351.81092699999999</v>
      </c>
      <c r="AF28" s="68">
        <f t="shared" si="30"/>
        <v>54.830926999999974</v>
      </c>
      <c r="AG28" s="68">
        <f t="shared" si="31"/>
        <v>5.7196721950326026</v>
      </c>
      <c r="AH28" s="69">
        <v>-10.931895000000001</v>
      </c>
      <c r="AI28" s="68">
        <v>-17.11</v>
      </c>
      <c r="AJ28" s="68">
        <f t="shared" si="32"/>
        <v>-6.1781049999999986</v>
      </c>
      <c r="AK28" s="70">
        <f t="shared" si="33"/>
        <v>-0.64446722533966838</v>
      </c>
      <c r="AL28" s="69">
        <v>-0.6</v>
      </c>
      <c r="AM28" s="68">
        <v>-0.7</v>
      </c>
      <c r="AN28" s="68">
        <f t="shared" si="34"/>
        <v>-9.9999999999999978E-2</v>
      </c>
      <c r="AO28" s="70">
        <f t="shared" si="35"/>
        <v>-1.0431470901508932E-2</v>
      </c>
      <c r="AP28" s="69">
        <v>0.4</v>
      </c>
      <c r="AQ28" s="68">
        <v>0.5</v>
      </c>
      <c r="AR28" s="68">
        <f t="shared" si="36"/>
        <v>9.9999999999999978E-2</v>
      </c>
      <c r="AS28" s="70">
        <f t="shared" si="37"/>
        <v>1.0431470901508932E-2</v>
      </c>
      <c r="AT28" s="69">
        <v>0.7</v>
      </c>
      <c r="AU28" s="68">
        <v>0.8</v>
      </c>
      <c r="AV28" s="68">
        <f t="shared" si="38"/>
        <v>0.10000000000000009</v>
      </c>
      <c r="AW28" s="70">
        <f t="shared" si="39"/>
        <v>1.0431470901508944E-2</v>
      </c>
      <c r="AX28" s="69">
        <v>-1291</v>
      </c>
      <c r="AY28" s="68">
        <v>763</v>
      </c>
      <c r="AZ28" s="68">
        <f t="shared" si="40"/>
        <v>2054</v>
      </c>
      <c r="BA28" s="70">
        <f t="shared" si="41"/>
        <v>214.2624123169935</v>
      </c>
      <c r="BB28" s="69">
        <v>5.5</v>
      </c>
      <c r="BC28" s="68">
        <v>6.4</v>
      </c>
      <c r="BD28" s="68">
        <f t="shared" si="42"/>
        <v>0.90000000000000036</v>
      </c>
      <c r="BE28" s="70">
        <f t="shared" si="43"/>
        <v>9.3883238113580444E-2</v>
      </c>
      <c r="BF28" s="69">
        <v>0</v>
      </c>
      <c r="BG28" s="68">
        <v>0</v>
      </c>
      <c r="BH28" s="68">
        <f t="shared" si="44"/>
        <v>0</v>
      </c>
      <c r="BI28" s="70">
        <f t="shared" si="45"/>
        <v>0</v>
      </c>
      <c r="BJ28" s="71">
        <v>98.493792999999997</v>
      </c>
      <c r="BK28" s="71">
        <v>95.788371999999995</v>
      </c>
      <c r="BL28" s="71">
        <f t="shared" si="46"/>
        <v>-2.7054210000000012</v>
      </c>
      <c r="BM28" s="72">
        <v>0</v>
      </c>
      <c r="BN28" s="73">
        <v>0</v>
      </c>
      <c r="BO28" s="73">
        <f t="shared" si="47"/>
        <v>0</v>
      </c>
      <c r="BP28" s="72">
        <v>5.5</v>
      </c>
      <c r="BQ28" s="73">
        <v>6.4</v>
      </c>
      <c r="BR28" s="73">
        <f t="shared" si="48"/>
        <v>0.90000000000000036</v>
      </c>
      <c r="BS28" s="71"/>
      <c r="BT28" s="71"/>
      <c r="BU28" s="71"/>
      <c r="BV28" s="71"/>
      <c r="BW28" s="62" t="s">
        <v>103</v>
      </c>
      <c r="BX28" s="5">
        <v>149.72856580000001</v>
      </c>
      <c r="BY28" s="5">
        <v>8.5328798799999994</v>
      </c>
      <c r="BZ28" s="5">
        <v>534.44244734999995</v>
      </c>
      <c r="CA28" s="5">
        <v>492.42445971000001</v>
      </c>
      <c r="CB28" s="5">
        <v>7.0952507200000001</v>
      </c>
      <c r="CC28" s="5">
        <v>7.0591588400000003</v>
      </c>
      <c r="CD28" s="5">
        <v>0.23614183999999999</v>
      </c>
      <c r="CE28" s="5">
        <v>9.5864863499999995</v>
      </c>
      <c r="CF28" s="5">
        <v>9.5639019699999999</v>
      </c>
      <c r="CG28" s="5">
        <v>0.27373588999999998</v>
      </c>
      <c r="CH28" s="5">
        <v>0.51127727999999995</v>
      </c>
      <c r="CI28" s="5">
        <v>7.6391810000000004E-2</v>
      </c>
    </row>
    <row r="29" spans="1:87" ht="15" customHeight="1" x14ac:dyDescent="0.2">
      <c r="A29" s="58">
        <v>62009008</v>
      </c>
      <c r="B29" s="58" t="s">
        <v>155</v>
      </c>
      <c r="C29" s="58" t="s">
        <v>104</v>
      </c>
      <c r="D29" s="59" t="s">
        <v>156</v>
      </c>
      <c r="E29" s="60" t="s">
        <v>157</v>
      </c>
      <c r="F29" s="61" t="str">
        <f>LEFT(E29,8)</f>
        <v>09/11/20</v>
      </c>
      <c r="G29" s="62" t="s">
        <v>158</v>
      </c>
      <c r="H29" s="62" t="s">
        <v>110</v>
      </c>
      <c r="I29" s="63"/>
      <c r="J29" s="64">
        <v>23.456871</v>
      </c>
      <c r="K29" s="64">
        <v>42.155014999999999</v>
      </c>
      <c r="L29" s="64">
        <v>29.564150999999999</v>
      </c>
      <c r="M29" s="64">
        <v>29.724744000000001</v>
      </c>
      <c r="N29" s="65">
        <v>3875</v>
      </c>
      <c r="O29" s="65">
        <v>28.39</v>
      </c>
      <c r="P29" s="65">
        <v>0.20169999999999999</v>
      </c>
      <c r="Q29" s="65">
        <v>1.932E-2</v>
      </c>
      <c r="R29" s="66">
        <v>11.49926988</v>
      </c>
      <c r="S29" s="66">
        <f t="shared" si="25"/>
        <v>21.085645659999997</v>
      </c>
      <c r="T29" s="67">
        <v>95.786846999999995</v>
      </c>
      <c r="U29" s="67">
        <v>92.487851000000006</v>
      </c>
      <c r="V29" s="68">
        <v>762</v>
      </c>
      <c r="W29" s="68">
        <v>3260</v>
      </c>
      <c r="X29" s="68">
        <f t="shared" si="26"/>
        <v>2498</v>
      </c>
      <c r="Y29" s="68">
        <f t="shared" si="27"/>
        <v>217.23118302881329</v>
      </c>
      <c r="Z29" s="69">
        <v>390.8</v>
      </c>
      <c r="AA29" s="68">
        <v>471.2</v>
      </c>
      <c r="AB29" s="68">
        <f t="shared" si="28"/>
        <v>80.399999999999977</v>
      </c>
      <c r="AC29" s="68">
        <f t="shared" si="29"/>
        <v>6.9917482448024755</v>
      </c>
      <c r="AD29" s="69">
        <v>352.501439</v>
      </c>
      <c r="AE29" s="68">
        <v>424.95</v>
      </c>
      <c r="AF29" s="68">
        <f t="shared" si="30"/>
        <v>72.448560999999984</v>
      </c>
      <c r="AG29" s="68">
        <f t="shared" si="31"/>
        <v>6.3002748657986958</v>
      </c>
      <c r="AH29" s="69">
        <v>-17.12</v>
      </c>
      <c r="AI29" s="68">
        <v>-18.170000000000002</v>
      </c>
      <c r="AJ29" s="68">
        <f t="shared" si="32"/>
        <v>-1.0500000000000007</v>
      </c>
      <c r="AK29" s="70">
        <f t="shared" si="33"/>
        <v>-9.1310144988092118E-2</v>
      </c>
      <c r="AL29" s="69">
        <v>-0.7</v>
      </c>
      <c r="AM29" s="68">
        <v>-0.8</v>
      </c>
      <c r="AN29" s="68">
        <f t="shared" si="34"/>
        <v>-0.10000000000000009</v>
      </c>
      <c r="AO29" s="70">
        <f t="shared" si="35"/>
        <v>-8.6962042845802039E-3</v>
      </c>
      <c r="AP29" s="69">
        <v>0.5</v>
      </c>
      <c r="AQ29" s="68">
        <v>0.5</v>
      </c>
      <c r="AR29" s="68">
        <f t="shared" si="36"/>
        <v>0</v>
      </c>
      <c r="AS29" s="70">
        <f t="shared" si="37"/>
        <v>0</v>
      </c>
      <c r="AT29" s="69">
        <v>0.8</v>
      </c>
      <c r="AU29" s="68">
        <v>1</v>
      </c>
      <c r="AV29" s="68">
        <f t="shared" si="38"/>
        <v>0.19999999999999996</v>
      </c>
      <c r="AW29" s="70">
        <f t="shared" si="39"/>
        <v>1.7392408569160391E-2</v>
      </c>
      <c r="AX29" s="69">
        <v>763</v>
      </c>
      <c r="AY29" s="68">
        <v>3262</v>
      </c>
      <c r="AZ29" s="68">
        <f t="shared" si="40"/>
        <v>2499</v>
      </c>
      <c r="BA29" s="70">
        <f t="shared" si="41"/>
        <v>217.3181450716591</v>
      </c>
      <c r="BB29" s="69">
        <v>6.4</v>
      </c>
      <c r="BC29" s="68">
        <v>7.7</v>
      </c>
      <c r="BD29" s="68">
        <f t="shared" si="42"/>
        <v>1.2999999999999998</v>
      </c>
      <c r="BE29" s="70">
        <f t="shared" si="43"/>
        <v>0.11305065569954253</v>
      </c>
      <c r="BF29" s="69">
        <v>0</v>
      </c>
      <c r="BG29" s="68">
        <v>0</v>
      </c>
      <c r="BH29" s="68">
        <f t="shared" si="44"/>
        <v>0</v>
      </c>
      <c r="BI29" s="70">
        <f t="shared" si="45"/>
        <v>0</v>
      </c>
      <c r="BJ29" s="71">
        <v>95.786846999999995</v>
      </c>
      <c r="BK29" s="71">
        <v>92.487851000000006</v>
      </c>
      <c r="BL29" s="71">
        <f t="shared" si="46"/>
        <v>-3.2989959999999883</v>
      </c>
      <c r="BM29" s="72">
        <v>0</v>
      </c>
      <c r="BN29" s="73">
        <v>0</v>
      </c>
      <c r="BO29" s="73">
        <f t="shared" si="47"/>
        <v>0</v>
      </c>
      <c r="BP29" s="72">
        <v>6.4</v>
      </c>
      <c r="BQ29" s="73">
        <v>7.7</v>
      </c>
      <c r="BR29" s="73">
        <f t="shared" si="48"/>
        <v>1.2999999999999998</v>
      </c>
      <c r="BS29" s="71"/>
      <c r="BT29" s="71"/>
      <c r="BU29" s="71"/>
      <c r="BV29" s="71"/>
      <c r="BW29" s="62" t="s">
        <v>103</v>
      </c>
      <c r="BX29" s="5">
        <v>661.65814232000002</v>
      </c>
      <c r="BY29" s="5">
        <v>21.845714560000001</v>
      </c>
      <c r="BZ29" s="5">
        <v>871.51853179</v>
      </c>
      <c r="CA29" s="5">
        <v>715.26400000000001</v>
      </c>
      <c r="CB29" s="5">
        <v>9.1165665800000006</v>
      </c>
      <c r="CC29" s="5">
        <v>9.2216153399999996</v>
      </c>
      <c r="CD29" s="5">
        <v>-0.48611302000000001</v>
      </c>
      <c r="CE29" s="5">
        <v>11.499357850000001</v>
      </c>
      <c r="CF29" s="5">
        <v>11.555530790000001</v>
      </c>
      <c r="CG29" s="5">
        <v>-0.66056983999999996</v>
      </c>
      <c r="CH29" s="5">
        <v>-1.1391579300000001</v>
      </c>
      <c r="CI29" s="5">
        <v>0.12372189</v>
      </c>
    </row>
    <row r="30" spans="1:87" ht="15" customHeight="1" x14ac:dyDescent="0.2">
      <c r="A30" s="58">
        <v>62009008</v>
      </c>
      <c r="B30" s="58" t="s">
        <v>155</v>
      </c>
      <c r="C30" s="58" t="s">
        <v>105</v>
      </c>
      <c r="D30" s="59" t="s">
        <v>156</v>
      </c>
      <c r="E30" s="60" t="s">
        <v>157</v>
      </c>
      <c r="F30" s="61" t="str">
        <f t="shared" ref="F30:F74" si="49">LEFT(E30,8)</f>
        <v>09/11/20</v>
      </c>
      <c r="G30" s="62" t="s">
        <v>158</v>
      </c>
      <c r="H30" s="62" t="s">
        <v>110</v>
      </c>
      <c r="I30" s="63"/>
      <c r="J30" s="64">
        <v>22.535126999999999</v>
      </c>
      <c r="K30" s="64">
        <v>45.137690999999997</v>
      </c>
      <c r="L30" s="64">
        <v>29.565819999999999</v>
      </c>
      <c r="M30" s="64">
        <v>29.307614999999998</v>
      </c>
      <c r="N30" s="65">
        <v>3875</v>
      </c>
      <c r="O30" s="65">
        <v>28.39</v>
      </c>
      <c r="P30" s="65">
        <v>0.20169999999999999</v>
      </c>
      <c r="Q30" s="65">
        <v>1.932E-2</v>
      </c>
      <c r="R30" s="66">
        <v>11.58613003</v>
      </c>
      <c r="S30" s="66">
        <f t="shared" si="25"/>
        <v>23.08539991</v>
      </c>
      <c r="T30" s="67">
        <v>92.484798999999995</v>
      </c>
      <c r="U30" s="67">
        <v>85.187944999999999</v>
      </c>
      <c r="V30" s="68">
        <v>3262</v>
      </c>
      <c r="W30" s="68">
        <v>8610</v>
      </c>
      <c r="X30" s="68">
        <f t="shared" si="26"/>
        <v>5348</v>
      </c>
      <c r="Y30" s="68">
        <f t="shared" si="27"/>
        <v>461.58639564310158</v>
      </c>
      <c r="Z30" s="69">
        <v>472.8</v>
      </c>
      <c r="AA30" s="68">
        <v>552.6</v>
      </c>
      <c r="AB30" s="68">
        <f t="shared" si="28"/>
        <v>79.800000000000011</v>
      </c>
      <c r="AC30" s="68">
        <f t="shared" si="29"/>
        <v>6.8875456941509929</v>
      </c>
      <c r="AD30" s="69">
        <v>426.39087599999999</v>
      </c>
      <c r="AE30" s="68">
        <v>498.38</v>
      </c>
      <c r="AF30" s="68">
        <f t="shared" si="30"/>
        <v>71.989124000000004</v>
      </c>
      <c r="AG30" s="68">
        <f t="shared" si="31"/>
        <v>6.2133882334824797</v>
      </c>
      <c r="AH30" s="69">
        <v>-18.190000000000001</v>
      </c>
      <c r="AI30" s="68">
        <v>-18.989999999999998</v>
      </c>
      <c r="AJ30" s="68">
        <f t="shared" si="32"/>
        <v>-0.79999999999999716</v>
      </c>
      <c r="AK30" s="70">
        <f t="shared" si="33"/>
        <v>-6.9048077134345534E-2</v>
      </c>
      <c r="AL30" s="69">
        <v>-0.8</v>
      </c>
      <c r="AM30" s="68">
        <v>-1</v>
      </c>
      <c r="AN30" s="68">
        <f t="shared" si="34"/>
        <v>-0.19999999999999996</v>
      </c>
      <c r="AO30" s="70">
        <f t="shared" si="35"/>
        <v>-1.7262019283586442E-2</v>
      </c>
      <c r="AP30" s="69">
        <v>0.5</v>
      </c>
      <c r="AQ30" s="68">
        <v>0.6</v>
      </c>
      <c r="AR30" s="68">
        <f t="shared" si="36"/>
        <v>9.9999999999999978E-2</v>
      </c>
      <c r="AS30" s="70">
        <f t="shared" si="37"/>
        <v>8.6310096417932212E-3</v>
      </c>
      <c r="AT30" s="69">
        <v>1</v>
      </c>
      <c r="AU30" s="68">
        <v>1.2</v>
      </c>
      <c r="AV30" s="68">
        <f t="shared" si="38"/>
        <v>0.19999999999999996</v>
      </c>
      <c r="AW30" s="70">
        <f t="shared" si="39"/>
        <v>1.7262019283586442E-2</v>
      </c>
      <c r="AX30" s="69">
        <v>3263</v>
      </c>
      <c r="AY30" s="68">
        <v>8614</v>
      </c>
      <c r="AZ30" s="68">
        <f t="shared" si="40"/>
        <v>5351</v>
      </c>
      <c r="BA30" s="70">
        <f t="shared" si="41"/>
        <v>461.84532593235537</v>
      </c>
      <c r="BB30" s="69">
        <v>7.7</v>
      </c>
      <c r="BC30" s="68">
        <v>9</v>
      </c>
      <c r="BD30" s="68">
        <f t="shared" si="42"/>
        <v>1.2999999999999998</v>
      </c>
      <c r="BE30" s="70">
        <f t="shared" si="43"/>
        <v>0.11220312534331188</v>
      </c>
      <c r="BF30" s="69">
        <v>0</v>
      </c>
      <c r="BG30" s="68">
        <v>0</v>
      </c>
      <c r="BH30" s="68">
        <f t="shared" si="44"/>
        <v>0</v>
      </c>
      <c r="BI30" s="70">
        <f t="shared" si="45"/>
        <v>0</v>
      </c>
      <c r="BJ30" s="71">
        <v>92.484798999999995</v>
      </c>
      <c r="BK30" s="71">
        <v>85.187944999999999</v>
      </c>
      <c r="BL30" s="71">
        <f t="shared" si="46"/>
        <v>-7.2968539999999962</v>
      </c>
      <c r="BM30" s="72">
        <v>0</v>
      </c>
      <c r="BN30" s="73">
        <v>0</v>
      </c>
      <c r="BO30" s="73">
        <f t="shared" si="47"/>
        <v>0</v>
      </c>
      <c r="BP30" s="72">
        <v>7.7</v>
      </c>
      <c r="BQ30" s="73">
        <v>9</v>
      </c>
      <c r="BR30" s="73">
        <f t="shared" si="48"/>
        <v>1.2999999999999998</v>
      </c>
      <c r="BS30" s="71"/>
      <c r="BT30" s="71"/>
      <c r="BU30" s="71"/>
      <c r="BV30" s="71"/>
      <c r="BW30" s="62" t="s">
        <v>103</v>
      </c>
      <c r="BX30" s="5">
        <v>661.76055498000005</v>
      </c>
      <c r="BY30" s="5">
        <v>33.042784930000003</v>
      </c>
      <c r="BZ30" s="5">
        <v>951.60714519999999</v>
      </c>
      <c r="CA30" s="5">
        <v>715.26400000000001</v>
      </c>
      <c r="CB30" s="5">
        <v>9.3331201499999992</v>
      </c>
      <c r="CC30" s="5">
        <v>9.2214536599999999</v>
      </c>
      <c r="CD30" s="5">
        <v>0.26525438000000001</v>
      </c>
      <c r="CE30" s="5">
        <v>11.586182320000001</v>
      </c>
      <c r="CF30" s="5">
        <v>11.55553076</v>
      </c>
      <c r="CG30" s="5">
        <v>0.93437334999999999</v>
      </c>
      <c r="CH30" s="5">
        <v>1.2109424499999999</v>
      </c>
      <c r="CI30" s="5">
        <v>0.12372406</v>
      </c>
    </row>
    <row r="31" spans="1:87" ht="15" customHeight="1" x14ac:dyDescent="0.2">
      <c r="A31" s="58">
        <v>62009008</v>
      </c>
      <c r="B31" s="58" t="s">
        <v>155</v>
      </c>
      <c r="C31" s="58" t="s">
        <v>122</v>
      </c>
      <c r="D31" s="59" t="s">
        <v>156</v>
      </c>
      <c r="E31" s="60" t="s">
        <v>157</v>
      </c>
      <c r="F31" s="61" t="str">
        <f t="shared" si="49"/>
        <v>09/11/20</v>
      </c>
      <c r="G31" s="62" t="s">
        <v>158</v>
      </c>
      <c r="H31" s="62" t="s">
        <v>110</v>
      </c>
      <c r="I31" s="63"/>
      <c r="J31" s="64">
        <v>22.468707999999999</v>
      </c>
      <c r="K31" s="64">
        <v>45.420738</v>
      </c>
      <c r="L31" s="64">
        <v>29.567964</v>
      </c>
      <c r="M31" s="64">
        <v>29.585695000000001</v>
      </c>
      <c r="N31" s="65">
        <v>3875</v>
      </c>
      <c r="O31" s="65">
        <v>28.39</v>
      </c>
      <c r="P31" s="65">
        <v>0.20169999999999999</v>
      </c>
      <c r="Q31" s="65">
        <v>1.932E-2</v>
      </c>
      <c r="R31" s="66">
        <v>11.589792989999999</v>
      </c>
      <c r="S31" s="66">
        <f t="shared" si="25"/>
        <v>23.175923019999999</v>
      </c>
      <c r="T31" s="67">
        <v>85.184893000000002</v>
      </c>
      <c r="U31" s="67">
        <v>73.606363999999999</v>
      </c>
      <c r="V31" s="68">
        <v>8612</v>
      </c>
      <c r="W31" s="68">
        <v>16804</v>
      </c>
      <c r="X31" s="68">
        <f t="shared" si="26"/>
        <v>8192</v>
      </c>
      <c r="Y31" s="68">
        <f t="shared" si="27"/>
        <v>706.82884561167646</v>
      </c>
      <c r="Z31" s="69">
        <v>554.20000000000005</v>
      </c>
      <c r="AA31" s="68">
        <v>633.6</v>
      </c>
      <c r="AB31" s="68">
        <f t="shared" si="28"/>
        <v>79.399999999999977</v>
      </c>
      <c r="AC31" s="68">
        <f t="shared" si="29"/>
        <v>6.8508557545858269</v>
      </c>
      <c r="AD31" s="69">
        <v>499.81031000000002</v>
      </c>
      <c r="AE31" s="68">
        <v>571.64978900000006</v>
      </c>
      <c r="AF31" s="68">
        <f t="shared" si="30"/>
        <v>71.83947900000004</v>
      </c>
      <c r="AG31" s="68">
        <f t="shared" si="31"/>
        <v>6.1985126966448121</v>
      </c>
      <c r="AH31" s="69">
        <v>-19</v>
      </c>
      <c r="AI31" s="68">
        <v>-19.57</v>
      </c>
      <c r="AJ31" s="68">
        <f t="shared" si="32"/>
        <v>-0.57000000000000028</v>
      </c>
      <c r="AK31" s="70">
        <f t="shared" si="33"/>
        <v>-4.9181206298664036E-2</v>
      </c>
      <c r="AL31" s="69">
        <v>-1</v>
      </c>
      <c r="AM31" s="68">
        <v>-1.2</v>
      </c>
      <c r="AN31" s="68">
        <f t="shared" si="34"/>
        <v>-0.19999999999999996</v>
      </c>
      <c r="AO31" s="70">
        <f t="shared" si="35"/>
        <v>-1.7256563613566318E-2</v>
      </c>
      <c r="AP31" s="69">
        <v>0.6</v>
      </c>
      <c r="AQ31" s="68">
        <v>0.7</v>
      </c>
      <c r="AR31" s="68">
        <f t="shared" si="36"/>
        <v>9.9999999999999978E-2</v>
      </c>
      <c r="AS31" s="70">
        <f t="shared" si="37"/>
        <v>8.6282818067831592E-3</v>
      </c>
      <c r="AT31" s="69">
        <v>1.2</v>
      </c>
      <c r="AU31" s="68">
        <v>1.5</v>
      </c>
      <c r="AV31" s="68">
        <f t="shared" si="38"/>
        <v>0.30000000000000004</v>
      </c>
      <c r="AW31" s="70">
        <f t="shared" si="39"/>
        <v>2.5884845420349484E-2</v>
      </c>
      <c r="AX31" s="69">
        <v>8616</v>
      </c>
      <c r="AY31" s="68">
        <v>16816</v>
      </c>
      <c r="AZ31" s="68">
        <f t="shared" si="40"/>
        <v>8200</v>
      </c>
      <c r="BA31" s="70">
        <f t="shared" si="41"/>
        <v>707.51910815621909</v>
      </c>
      <c r="BB31" s="69">
        <v>9.1</v>
      </c>
      <c r="BC31" s="68">
        <v>10.4</v>
      </c>
      <c r="BD31" s="68">
        <f t="shared" si="42"/>
        <v>1.3000000000000007</v>
      </c>
      <c r="BE31" s="70">
        <f t="shared" si="43"/>
        <v>0.11216766348818115</v>
      </c>
      <c r="BF31" s="69">
        <v>0</v>
      </c>
      <c r="BG31" s="68">
        <v>0</v>
      </c>
      <c r="BH31" s="68">
        <f t="shared" si="44"/>
        <v>0</v>
      </c>
      <c r="BI31" s="70">
        <f t="shared" si="45"/>
        <v>0</v>
      </c>
      <c r="BJ31" s="71">
        <v>85.184893000000002</v>
      </c>
      <c r="BK31" s="71">
        <v>73.606363999999999</v>
      </c>
      <c r="BL31" s="71">
        <f t="shared" si="46"/>
        <v>-11.578529000000003</v>
      </c>
      <c r="BM31" s="72">
        <v>0</v>
      </c>
      <c r="BN31" s="73">
        <v>0</v>
      </c>
      <c r="BO31" s="73">
        <f t="shared" si="47"/>
        <v>0</v>
      </c>
      <c r="BP31" s="72">
        <v>9.1</v>
      </c>
      <c r="BQ31" s="73">
        <v>10.4</v>
      </c>
      <c r="BR31" s="73">
        <f t="shared" si="48"/>
        <v>1.3000000000000007</v>
      </c>
      <c r="BS31" s="71"/>
      <c r="BT31" s="71"/>
      <c r="BU31" s="71"/>
      <c r="BV31" s="71"/>
      <c r="BW31" s="62" t="s">
        <v>103</v>
      </c>
      <c r="BX31" s="5">
        <v>661.68560682999998</v>
      </c>
      <c r="BY31" s="5">
        <v>26.841120060000002</v>
      </c>
      <c r="BZ31" s="5">
        <v>907.24886896999999</v>
      </c>
      <c r="CA31" s="5">
        <v>715.26400000000001</v>
      </c>
      <c r="CB31" s="5">
        <v>9.2633700399999999</v>
      </c>
      <c r="CC31" s="5">
        <v>9.2214018499999995</v>
      </c>
      <c r="CD31" s="5">
        <v>0.29711275999999998</v>
      </c>
      <c r="CE31" s="5">
        <v>11.58986391</v>
      </c>
      <c r="CF31" s="5">
        <v>11.55553095</v>
      </c>
      <c r="CG31" s="5">
        <v>0.1572886</v>
      </c>
      <c r="CH31" s="5">
        <v>0.45511720999999999</v>
      </c>
      <c r="CI31" s="5">
        <v>0.12372474999999999</v>
      </c>
    </row>
    <row r="32" spans="1:87" ht="15" customHeight="1" x14ac:dyDescent="0.2">
      <c r="A32" s="58">
        <v>62009009</v>
      </c>
      <c r="B32" s="58" t="s">
        <v>159</v>
      </c>
      <c r="C32" s="58" t="s">
        <v>98</v>
      </c>
      <c r="D32" s="59" t="s">
        <v>160</v>
      </c>
      <c r="E32" s="60" t="s">
        <v>161</v>
      </c>
      <c r="F32" s="61" t="str">
        <f t="shared" si="49"/>
        <v>09/11/20</v>
      </c>
      <c r="G32" s="62" t="s">
        <v>162</v>
      </c>
      <c r="H32" s="62" t="s">
        <v>110</v>
      </c>
      <c r="I32" s="63"/>
      <c r="J32" s="64">
        <v>25.344201999999999</v>
      </c>
      <c r="K32" s="64">
        <v>38.158783</v>
      </c>
      <c r="L32" s="64">
        <v>29.535696999999999</v>
      </c>
      <c r="M32" s="64">
        <v>26.640846</v>
      </c>
      <c r="N32" s="65">
        <v>3875</v>
      </c>
      <c r="O32" s="65">
        <v>28.39</v>
      </c>
      <c r="P32" s="65">
        <v>0.20169999999999999</v>
      </c>
      <c r="Q32" s="65">
        <v>1.932E-2</v>
      </c>
      <c r="R32" s="66">
        <v>5.0173268799999997</v>
      </c>
      <c r="S32" s="66">
        <f t="shared" si="25"/>
        <v>16.607119869999998</v>
      </c>
      <c r="T32" s="67">
        <v>73.685710999999998</v>
      </c>
      <c r="U32" s="67">
        <v>72.185750999999996</v>
      </c>
      <c r="V32" s="68">
        <v>16810</v>
      </c>
      <c r="W32" s="68">
        <v>17869</v>
      </c>
      <c r="X32" s="68">
        <f t="shared" si="26"/>
        <v>1059</v>
      </c>
      <c r="Y32" s="68">
        <f t="shared" si="27"/>
        <v>211.06856804992543</v>
      </c>
      <c r="Z32" s="69">
        <v>637.79999999999995</v>
      </c>
      <c r="AA32" s="68">
        <v>652.4</v>
      </c>
      <c r="AB32" s="68">
        <f t="shared" si="28"/>
        <v>14.600000000000023</v>
      </c>
      <c r="AC32" s="68">
        <f t="shared" si="29"/>
        <v>2.9099160467695149</v>
      </c>
      <c r="AD32" s="69">
        <v>575.38</v>
      </c>
      <c r="AE32" s="68">
        <v>588.22511199999997</v>
      </c>
      <c r="AF32" s="68">
        <f t="shared" si="30"/>
        <v>12.845111999999972</v>
      </c>
      <c r="AG32" s="68">
        <f t="shared" si="31"/>
        <v>2.5601505158459941</v>
      </c>
      <c r="AH32" s="69">
        <v>-16.053806999999999</v>
      </c>
      <c r="AI32" s="68">
        <v>-14.52</v>
      </c>
      <c r="AJ32" s="68">
        <f t="shared" si="32"/>
        <v>1.5338069999999995</v>
      </c>
      <c r="AK32" s="70">
        <f t="shared" si="33"/>
        <v>0.3057020275306439</v>
      </c>
      <c r="AL32" s="69">
        <v>-1.2</v>
      </c>
      <c r="AM32" s="68">
        <v>-1.3</v>
      </c>
      <c r="AN32" s="68">
        <f t="shared" si="34"/>
        <v>-0.10000000000000009</v>
      </c>
      <c r="AO32" s="70">
        <f t="shared" si="35"/>
        <v>-1.9930931827188445E-2</v>
      </c>
      <c r="AP32" s="69">
        <v>0.9</v>
      </c>
      <c r="AQ32" s="68">
        <v>0.9</v>
      </c>
      <c r="AR32" s="68">
        <f t="shared" si="36"/>
        <v>0</v>
      </c>
      <c r="AS32" s="70">
        <f t="shared" si="37"/>
        <v>0</v>
      </c>
      <c r="AT32" s="69">
        <v>1.5</v>
      </c>
      <c r="AU32" s="68">
        <v>1.5</v>
      </c>
      <c r="AV32" s="68">
        <f t="shared" si="38"/>
        <v>0</v>
      </c>
      <c r="AW32" s="70">
        <f t="shared" si="39"/>
        <v>0</v>
      </c>
      <c r="AX32" s="69">
        <v>16822</v>
      </c>
      <c r="AY32" s="68">
        <v>17880</v>
      </c>
      <c r="AZ32" s="68">
        <f t="shared" si="40"/>
        <v>1058</v>
      </c>
      <c r="BA32" s="70">
        <f t="shared" si="41"/>
        <v>210.86925873165356</v>
      </c>
      <c r="BB32" s="69">
        <v>22.9</v>
      </c>
      <c r="BC32" s="68">
        <v>23.4</v>
      </c>
      <c r="BD32" s="68">
        <f t="shared" si="42"/>
        <v>0.5</v>
      </c>
      <c r="BE32" s="70">
        <f t="shared" si="43"/>
        <v>9.9654659135942125E-2</v>
      </c>
      <c r="BF32" s="69">
        <v>0</v>
      </c>
      <c r="BG32" s="68">
        <v>0</v>
      </c>
      <c r="BH32" s="68">
        <f t="shared" si="44"/>
        <v>0</v>
      </c>
      <c r="BI32" s="70">
        <f t="shared" si="45"/>
        <v>0</v>
      </c>
      <c r="BJ32" s="71">
        <v>73.685710999999998</v>
      </c>
      <c r="BK32" s="71">
        <v>72.185750999999996</v>
      </c>
      <c r="BL32" s="71">
        <f t="shared" si="46"/>
        <v>-1.4999600000000015</v>
      </c>
      <c r="BM32" s="72">
        <v>0</v>
      </c>
      <c r="BN32" s="73">
        <v>0</v>
      </c>
      <c r="BO32" s="73">
        <f t="shared" si="47"/>
        <v>0</v>
      </c>
      <c r="BP32" s="72">
        <v>22.9</v>
      </c>
      <c r="BQ32" s="73">
        <v>23.4</v>
      </c>
      <c r="BR32" s="73">
        <f t="shared" si="48"/>
        <v>0.5</v>
      </c>
      <c r="BS32" s="71"/>
      <c r="BT32" s="71"/>
      <c r="BU32" s="71"/>
      <c r="BV32" s="71"/>
      <c r="BW32" s="62" t="s">
        <v>103</v>
      </c>
    </row>
    <row r="33" spans="1:87" ht="15" customHeight="1" x14ac:dyDescent="0.2">
      <c r="A33" s="58">
        <v>62009009</v>
      </c>
      <c r="B33" s="58" t="s">
        <v>159</v>
      </c>
      <c r="C33" s="58" t="s">
        <v>104</v>
      </c>
      <c r="D33" s="59" t="s">
        <v>160</v>
      </c>
      <c r="E33" s="60" t="s">
        <v>161</v>
      </c>
      <c r="F33" s="61" t="str">
        <f t="shared" si="49"/>
        <v>09/11/20</v>
      </c>
      <c r="G33" s="62" t="s">
        <v>162</v>
      </c>
      <c r="H33" s="62" t="s">
        <v>110</v>
      </c>
      <c r="I33" s="63"/>
      <c r="J33" s="64"/>
      <c r="K33" s="64"/>
      <c r="L33" s="64"/>
      <c r="M33" s="64"/>
      <c r="N33" s="65">
        <v>3875</v>
      </c>
      <c r="O33" s="65">
        <v>28.39</v>
      </c>
      <c r="P33" s="65">
        <v>0.20169999999999999</v>
      </c>
      <c r="Q33" s="65">
        <v>1.932E-2</v>
      </c>
      <c r="R33" s="66">
        <v>3.3875838900000002</v>
      </c>
      <c r="S33" s="66">
        <f t="shared" si="25"/>
        <v>8.4049107700000008</v>
      </c>
      <c r="T33" s="67">
        <v>72.185750999999996</v>
      </c>
      <c r="U33" s="67">
        <v>70.708680000000001</v>
      </c>
      <c r="V33" s="68">
        <v>17869</v>
      </c>
      <c r="W33" s="68">
        <v>18865</v>
      </c>
      <c r="X33" s="68">
        <f t="shared" si="26"/>
        <v>996</v>
      </c>
      <c r="Y33" s="68">
        <f t="shared" si="27"/>
        <v>294.01485906818385</v>
      </c>
      <c r="Z33" s="69">
        <v>652.4</v>
      </c>
      <c r="AA33" s="68">
        <v>662.85806600000001</v>
      </c>
      <c r="AB33" s="68">
        <f t="shared" si="28"/>
        <v>10.458066000000031</v>
      </c>
      <c r="AC33" s="68">
        <f t="shared" si="29"/>
        <v>3.0871755031282873</v>
      </c>
      <c r="AD33" s="69">
        <v>588.23</v>
      </c>
      <c r="AE33" s="68">
        <v>597.47</v>
      </c>
      <c r="AF33" s="68">
        <f t="shared" si="30"/>
        <v>9.2400000000000091</v>
      </c>
      <c r="AG33" s="68">
        <f t="shared" si="31"/>
        <v>2.7276077287048408</v>
      </c>
      <c r="AH33" s="69">
        <v>-14.514613000000001</v>
      </c>
      <c r="AI33" s="68">
        <v>-13.68</v>
      </c>
      <c r="AJ33" s="68">
        <f t="shared" si="32"/>
        <v>0.83461300000000094</v>
      </c>
      <c r="AK33" s="70">
        <f t="shared" si="33"/>
        <v>0.24637412005168111</v>
      </c>
      <c r="AL33" s="69">
        <v>-1.3</v>
      </c>
      <c r="AM33" s="68">
        <v>-1.3</v>
      </c>
      <c r="AN33" s="68">
        <f t="shared" si="34"/>
        <v>0</v>
      </c>
      <c r="AO33" s="70">
        <f t="shared" si="35"/>
        <v>0</v>
      </c>
      <c r="AP33" s="69">
        <v>0.9</v>
      </c>
      <c r="AQ33" s="68">
        <v>0.8</v>
      </c>
      <c r="AR33" s="68">
        <f t="shared" si="36"/>
        <v>-9.9999999999999978E-2</v>
      </c>
      <c r="AS33" s="70">
        <f t="shared" si="37"/>
        <v>-2.9519564163472265E-2</v>
      </c>
      <c r="AT33" s="69">
        <v>1.5</v>
      </c>
      <c r="AU33" s="68">
        <v>1.6</v>
      </c>
      <c r="AV33" s="68">
        <f t="shared" si="38"/>
        <v>0.10000000000000009</v>
      </c>
      <c r="AW33" s="70">
        <f t="shared" si="39"/>
        <v>2.95195641634723E-2</v>
      </c>
      <c r="AX33" s="69">
        <v>17880</v>
      </c>
      <c r="AY33" s="68">
        <v>18880</v>
      </c>
      <c r="AZ33" s="68">
        <f t="shared" si="40"/>
        <v>1000</v>
      </c>
      <c r="BA33" s="70">
        <f t="shared" si="41"/>
        <v>295.19564163472273</v>
      </c>
      <c r="BB33" s="69">
        <v>23.4</v>
      </c>
      <c r="BC33" s="68">
        <v>23.7</v>
      </c>
      <c r="BD33" s="68">
        <f t="shared" si="42"/>
        <v>0.30000000000000071</v>
      </c>
      <c r="BE33" s="70">
        <f t="shared" si="43"/>
        <v>8.8558692490417021E-2</v>
      </c>
      <c r="BF33" s="69">
        <v>0</v>
      </c>
      <c r="BG33" s="68">
        <v>0</v>
      </c>
      <c r="BH33" s="68">
        <f t="shared" si="44"/>
        <v>0</v>
      </c>
      <c r="BI33" s="70">
        <f t="shared" si="45"/>
        <v>0</v>
      </c>
      <c r="BJ33" s="71">
        <v>72.185750999999996</v>
      </c>
      <c r="BK33" s="71">
        <v>70.708680000000001</v>
      </c>
      <c r="BL33" s="71">
        <f t="shared" si="46"/>
        <v>-1.4770709999999951</v>
      </c>
      <c r="BM33" s="72">
        <v>0</v>
      </c>
      <c r="BN33" s="73">
        <v>0</v>
      </c>
      <c r="BO33" s="73">
        <f t="shared" si="47"/>
        <v>0</v>
      </c>
      <c r="BP33" s="72">
        <v>23.4</v>
      </c>
      <c r="BQ33" s="73">
        <v>23.7</v>
      </c>
      <c r="BR33" s="73">
        <f t="shared" si="48"/>
        <v>0.30000000000000071</v>
      </c>
      <c r="BS33" s="71"/>
      <c r="BT33" s="71"/>
      <c r="BU33" s="71"/>
      <c r="BV33" s="71"/>
      <c r="BW33" s="62" t="s">
        <v>103</v>
      </c>
      <c r="BX33" s="5">
        <v>15122.90383687</v>
      </c>
      <c r="BY33" s="5">
        <v>20.50347214</v>
      </c>
      <c r="BZ33" s="5">
        <v>1346.7468046700001</v>
      </c>
      <c r="CA33" s="5">
        <v>1117.5999999999999</v>
      </c>
      <c r="CB33" s="5">
        <v>4.6361052100000002</v>
      </c>
      <c r="CC33" s="5">
        <v>4.31703978</v>
      </c>
      <c r="CD33" s="5">
        <v>-0.90110659000000004</v>
      </c>
      <c r="CE33" s="5">
        <v>3.3875306900000002</v>
      </c>
      <c r="CF33" s="5">
        <v>3.41833352</v>
      </c>
      <c r="CG33" s="5">
        <v>7.7212778399999999</v>
      </c>
      <c r="CH33" s="5">
        <v>7.3908384199999997</v>
      </c>
      <c r="CI33" s="5">
        <v>0.46559045999999998</v>
      </c>
    </row>
    <row r="34" spans="1:87" ht="15" customHeight="1" x14ac:dyDescent="0.2">
      <c r="A34" s="58">
        <v>62009009</v>
      </c>
      <c r="B34" s="58" t="s">
        <v>159</v>
      </c>
      <c r="C34" s="58" t="s">
        <v>105</v>
      </c>
      <c r="D34" s="59" t="s">
        <v>160</v>
      </c>
      <c r="E34" s="60" t="s">
        <v>161</v>
      </c>
      <c r="F34" s="61" t="str">
        <f t="shared" si="49"/>
        <v>09/11/20</v>
      </c>
      <c r="G34" s="62" t="s">
        <v>162</v>
      </c>
      <c r="H34" s="62" t="s">
        <v>110</v>
      </c>
      <c r="I34" s="63"/>
      <c r="J34" s="64">
        <v>24.868683000000001</v>
      </c>
      <c r="K34" s="64">
        <v>38.780155000000001</v>
      </c>
      <c r="L34" s="64">
        <v>29.528015</v>
      </c>
      <c r="M34" s="64">
        <v>31.342359999999999</v>
      </c>
      <c r="N34" s="65">
        <v>3875</v>
      </c>
      <c r="O34" s="65">
        <v>28.39</v>
      </c>
      <c r="P34" s="65">
        <v>0.20169999999999999</v>
      </c>
      <c r="Q34" s="65">
        <v>1.932E-2</v>
      </c>
      <c r="R34" s="66">
        <v>3.3835460199999998</v>
      </c>
      <c r="S34" s="66">
        <f t="shared" si="25"/>
        <v>6.77112991</v>
      </c>
      <c r="T34" s="67">
        <v>70.705628000000004</v>
      </c>
      <c r="U34" s="67">
        <v>68.105495000000005</v>
      </c>
      <c r="V34" s="68">
        <v>18866</v>
      </c>
      <c r="W34" s="68">
        <v>20631</v>
      </c>
      <c r="X34" s="68">
        <f t="shared" si="26"/>
        <v>1765</v>
      </c>
      <c r="Y34" s="68">
        <f t="shared" si="27"/>
        <v>521.64208483264554</v>
      </c>
      <c r="Z34" s="69">
        <v>664.1</v>
      </c>
      <c r="AA34" s="68">
        <v>674.6</v>
      </c>
      <c r="AB34" s="68">
        <f t="shared" si="28"/>
        <v>10.5</v>
      </c>
      <c r="AC34" s="68">
        <f t="shared" si="29"/>
        <v>3.1032531958882594</v>
      </c>
      <c r="AD34" s="69">
        <v>598.58000000000004</v>
      </c>
      <c r="AE34" s="68">
        <v>607.82000000000005</v>
      </c>
      <c r="AF34" s="68">
        <f t="shared" si="30"/>
        <v>9.2400000000000091</v>
      </c>
      <c r="AG34" s="68">
        <f t="shared" si="31"/>
        <v>2.7308628123816709</v>
      </c>
      <c r="AH34" s="69">
        <v>-13.59</v>
      </c>
      <c r="AI34" s="68">
        <v>-12.85</v>
      </c>
      <c r="AJ34" s="68">
        <f t="shared" si="32"/>
        <v>0.74000000000000021</v>
      </c>
      <c r="AK34" s="70">
        <f t="shared" si="33"/>
        <v>0.21870546332926788</v>
      </c>
      <c r="AL34" s="69">
        <v>-1.3</v>
      </c>
      <c r="AM34" s="68">
        <v>-1.4</v>
      </c>
      <c r="AN34" s="68">
        <f t="shared" si="34"/>
        <v>-9.9999999999999867E-2</v>
      </c>
      <c r="AO34" s="70">
        <f t="shared" si="35"/>
        <v>-2.9554792341792906E-2</v>
      </c>
      <c r="AP34" s="69">
        <v>0.8</v>
      </c>
      <c r="AQ34" s="68">
        <v>0.8</v>
      </c>
      <c r="AR34" s="68">
        <f t="shared" si="36"/>
        <v>0</v>
      </c>
      <c r="AS34" s="70">
        <f t="shared" si="37"/>
        <v>0</v>
      </c>
      <c r="AT34" s="69">
        <v>1.6</v>
      </c>
      <c r="AU34" s="68">
        <v>1.6</v>
      </c>
      <c r="AV34" s="68">
        <f t="shared" si="38"/>
        <v>0</v>
      </c>
      <c r="AW34" s="70">
        <f t="shared" si="39"/>
        <v>0</v>
      </c>
      <c r="AX34" s="69">
        <v>18881</v>
      </c>
      <c r="AY34" s="68">
        <v>20650</v>
      </c>
      <c r="AZ34" s="68">
        <f t="shared" si="40"/>
        <v>1769</v>
      </c>
      <c r="BA34" s="70">
        <f t="shared" si="41"/>
        <v>522.82427652631725</v>
      </c>
      <c r="BB34" s="69">
        <v>23.8</v>
      </c>
      <c r="BC34" s="68">
        <v>24.1</v>
      </c>
      <c r="BD34" s="68">
        <f t="shared" si="42"/>
        <v>0.30000000000000071</v>
      </c>
      <c r="BE34" s="70">
        <f t="shared" si="43"/>
        <v>8.8664377025379049E-2</v>
      </c>
      <c r="BF34" s="69">
        <v>0</v>
      </c>
      <c r="BG34" s="68">
        <v>0</v>
      </c>
      <c r="BH34" s="68">
        <f t="shared" si="44"/>
        <v>0</v>
      </c>
      <c r="BI34" s="70">
        <f t="shared" si="45"/>
        <v>0</v>
      </c>
      <c r="BJ34" s="71">
        <v>70.705628000000004</v>
      </c>
      <c r="BK34" s="71">
        <v>68.105495000000005</v>
      </c>
      <c r="BL34" s="71">
        <f t="shared" si="46"/>
        <v>-2.6001329999999996</v>
      </c>
      <c r="BM34" s="72">
        <v>0</v>
      </c>
      <c r="BN34" s="73">
        <v>0</v>
      </c>
      <c r="BO34" s="73">
        <f t="shared" si="47"/>
        <v>0</v>
      </c>
      <c r="BP34" s="72">
        <v>23.8</v>
      </c>
      <c r="BQ34" s="73">
        <v>24.1</v>
      </c>
      <c r="BR34" s="73">
        <f t="shared" si="48"/>
        <v>0.30000000000000071</v>
      </c>
      <c r="BS34" s="71"/>
      <c r="BT34" s="71"/>
      <c r="BU34" s="71"/>
      <c r="BV34" s="71"/>
      <c r="BW34" s="62" t="s">
        <v>103</v>
      </c>
      <c r="BX34" s="5">
        <v>15079.440964089999</v>
      </c>
      <c r="BY34" s="5">
        <v>18.52372398</v>
      </c>
      <c r="BZ34" s="5">
        <v>1324.62113916</v>
      </c>
      <c r="CA34" s="5">
        <v>1117.5999999999999</v>
      </c>
      <c r="CB34" s="5">
        <v>4.5948017700000001</v>
      </c>
      <c r="CC34" s="5">
        <v>4.3169880100000002</v>
      </c>
      <c r="CD34" s="5">
        <v>-1.0176599099999999</v>
      </c>
      <c r="CE34" s="5">
        <v>3.3835456100000001</v>
      </c>
      <c r="CF34" s="5">
        <v>3.4183326100000002</v>
      </c>
      <c r="CG34" s="5">
        <v>7.0023916899999996</v>
      </c>
      <c r="CH34" s="5">
        <v>6.4353609599999997</v>
      </c>
      <c r="CI34" s="5">
        <v>0.46559603999999999</v>
      </c>
    </row>
    <row r="35" spans="1:87" ht="15" customHeight="1" x14ac:dyDescent="0.2">
      <c r="A35" s="58">
        <v>62009009</v>
      </c>
      <c r="B35" s="58" t="s">
        <v>159</v>
      </c>
      <c r="C35" s="58" t="s">
        <v>122</v>
      </c>
      <c r="D35" s="59" t="s">
        <v>160</v>
      </c>
      <c r="E35" s="60" t="s">
        <v>161</v>
      </c>
      <c r="F35" s="61" t="str">
        <f t="shared" si="49"/>
        <v>09/11/20</v>
      </c>
      <c r="G35" s="62" t="s">
        <v>162</v>
      </c>
      <c r="H35" s="62" t="s">
        <v>110</v>
      </c>
      <c r="I35" s="63"/>
      <c r="J35" s="64">
        <v>24.526447999999998</v>
      </c>
      <c r="K35" s="64">
        <v>39.669691999999998</v>
      </c>
      <c r="L35" s="64">
        <v>29.525299</v>
      </c>
      <c r="M35" s="64">
        <v>32.068316000000003</v>
      </c>
      <c r="N35" s="65">
        <v>3875</v>
      </c>
      <c r="O35" s="65">
        <v>28.39</v>
      </c>
      <c r="P35" s="65">
        <v>0.20169999999999999</v>
      </c>
      <c r="Q35" s="65">
        <v>1.932E-2</v>
      </c>
      <c r="R35" s="66">
        <v>3.3765481300000002</v>
      </c>
      <c r="S35" s="66">
        <f t="shared" si="25"/>
        <v>6.7600941500000005</v>
      </c>
      <c r="T35" s="67">
        <v>68.103969000000006</v>
      </c>
      <c r="U35" s="67">
        <v>64.734781999999996</v>
      </c>
      <c r="V35" s="68">
        <v>20633</v>
      </c>
      <c r="W35" s="68">
        <v>22888</v>
      </c>
      <c r="X35" s="68">
        <f t="shared" si="26"/>
        <v>2255</v>
      </c>
      <c r="Y35" s="68">
        <f t="shared" si="27"/>
        <v>667.84180564901351</v>
      </c>
      <c r="Z35" s="69">
        <v>675.9</v>
      </c>
      <c r="AA35" s="68">
        <v>686.6</v>
      </c>
      <c r="AB35" s="68">
        <f t="shared" si="28"/>
        <v>10.700000000000045</v>
      </c>
      <c r="AC35" s="68">
        <f t="shared" si="29"/>
        <v>3.1689167718157316</v>
      </c>
      <c r="AD35" s="69">
        <v>608.97</v>
      </c>
      <c r="AE35" s="68">
        <v>618.45000000000005</v>
      </c>
      <c r="AF35" s="68">
        <f t="shared" si="30"/>
        <v>9.4800000000000182</v>
      </c>
      <c r="AG35" s="68">
        <f t="shared" si="31"/>
        <v>2.8076010277395387</v>
      </c>
      <c r="AH35" s="69">
        <v>-12.77</v>
      </c>
      <c r="AI35" s="68">
        <v>-12.14</v>
      </c>
      <c r="AJ35" s="68">
        <f t="shared" si="32"/>
        <v>0.62999999999999901</v>
      </c>
      <c r="AK35" s="70">
        <f t="shared" si="33"/>
        <v>0.18658108095737375</v>
      </c>
      <c r="AL35" s="69">
        <v>-1.4</v>
      </c>
      <c r="AM35" s="68">
        <v>-1.4</v>
      </c>
      <c r="AN35" s="68">
        <f t="shared" si="34"/>
        <v>0</v>
      </c>
      <c r="AO35" s="70">
        <f t="shared" si="35"/>
        <v>0</v>
      </c>
      <c r="AP35" s="69">
        <v>0.8</v>
      </c>
      <c r="AQ35" s="68">
        <v>0.8</v>
      </c>
      <c r="AR35" s="68">
        <f t="shared" si="36"/>
        <v>0</v>
      </c>
      <c r="AS35" s="70">
        <f t="shared" si="37"/>
        <v>0</v>
      </c>
      <c r="AT35" s="69">
        <v>1.6</v>
      </c>
      <c r="AU35" s="68">
        <v>1.7</v>
      </c>
      <c r="AV35" s="68">
        <f t="shared" si="38"/>
        <v>9.9999999999999867E-2</v>
      </c>
      <c r="AW35" s="70">
        <f t="shared" si="39"/>
        <v>2.9616044596408542E-2</v>
      </c>
      <c r="AX35" s="69">
        <v>20652</v>
      </c>
      <c r="AY35" s="68">
        <v>22912</v>
      </c>
      <c r="AZ35" s="68">
        <f t="shared" si="40"/>
        <v>2260</v>
      </c>
      <c r="BA35" s="70">
        <f t="shared" si="41"/>
        <v>669.32260787883388</v>
      </c>
      <c r="BB35" s="69">
        <v>24.2</v>
      </c>
      <c r="BC35" s="68">
        <v>24.5</v>
      </c>
      <c r="BD35" s="68">
        <f t="shared" si="42"/>
        <v>0.30000000000000071</v>
      </c>
      <c r="BE35" s="70">
        <f t="shared" si="43"/>
        <v>8.8848133789225944E-2</v>
      </c>
      <c r="BF35" s="69">
        <v>0</v>
      </c>
      <c r="BG35" s="68">
        <v>0</v>
      </c>
      <c r="BH35" s="68">
        <f t="shared" si="44"/>
        <v>0</v>
      </c>
      <c r="BI35" s="70">
        <f t="shared" si="45"/>
        <v>0</v>
      </c>
      <c r="BJ35" s="71">
        <v>68.103969000000006</v>
      </c>
      <c r="BK35" s="71">
        <v>64.734781999999996</v>
      </c>
      <c r="BL35" s="71">
        <f t="shared" si="46"/>
        <v>-3.3691870000000108</v>
      </c>
      <c r="BM35" s="72">
        <v>0</v>
      </c>
      <c r="BN35" s="73">
        <v>0</v>
      </c>
      <c r="BO35" s="73">
        <f t="shared" si="47"/>
        <v>0</v>
      </c>
      <c r="BP35" s="72">
        <v>24.2</v>
      </c>
      <c r="BQ35" s="73">
        <v>24.5</v>
      </c>
      <c r="BR35" s="73">
        <f t="shared" si="48"/>
        <v>0.30000000000000071</v>
      </c>
      <c r="BS35" s="71"/>
      <c r="BT35" s="71"/>
      <c r="BU35" s="71"/>
      <c r="BV35" s="71"/>
      <c r="BW35" s="62" t="s">
        <v>103</v>
      </c>
      <c r="BX35" s="5">
        <v>15134.50068463</v>
      </c>
      <c r="BY35" s="5">
        <v>19.506036850000001</v>
      </c>
      <c r="BZ35" s="5">
        <v>1335.5994677799999</v>
      </c>
      <c r="CA35" s="5">
        <v>1117.5999999999999</v>
      </c>
      <c r="CB35" s="5">
        <v>4.5756787599999997</v>
      </c>
      <c r="CC35" s="5">
        <v>4.31695501</v>
      </c>
      <c r="CD35" s="5">
        <v>-1.22178448</v>
      </c>
      <c r="CE35" s="5">
        <v>3.3765688800000002</v>
      </c>
      <c r="CF35" s="5">
        <v>3.4183335499999998</v>
      </c>
      <c r="CG35" s="5">
        <v>6.8070259200000001</v>
      </c>
      <c r="CH35" s="5">
        <v>5.99320013</v>
      </c>
      <c r="CI35" s="5">
        <v>0.4655996</v>
      </c>
    </row>
    <row r="36" spans="1:87" ht="15" customHeight="1" x14ac:dyDescent="0.2">
      <c r="A36" s="58">
        <v>62009010</v>
      </c>
      <c r="B36" s="85" t="s">
        <v>163</v>
      </c>
      <c r="C36" s="58" t="s">
        <v>98</v>
      </c>
      <c r="D36" s="59" t="s">
        <v>164</v>
      </c>
      <c r="E36" s="60" t="s">
        <v>165</v>
      </c>
      <c r="F36" s="61" t="str">
        <f t="shared" si="49"/>
        <v>09/11/20</v>
      </c>
      <c r="G36" s="62" t="s">
        <v>166</v>
      </c>
      <c r="H36" s="62" t="s">
        <v>110</v>
      </c>
      <c r="I36" s="63"/>
      <c r="J36" s="64">
        <v>22.287148999999999</v>
      </c>
      <c r="K36" s="64">
        <v>46.800724000000002</v>
      </c>
      <c r="L36" s="64">
        <v>29.519527</v>
      </c>
      <c r="M36" s="64">
        <v>29.575987000000001</v>
      </c>
      <c r="N36" s="65">
        <v>3875</v>
      </c>
      <c r="O36" s="65">
        <v>28.39</v>
      </c>
      <c r="P36" s="65">
        <v>0.20169999999999999</v>
      </c>
      <c r="Q36" s="65">
        <v>1.932E-2</v>
      </c>
      <c r="R36" s="66">
        <v>7.74576346</v>
      </c>
      <c r="S36" s="66">
        <f t="shared" si="25"/>
        <v>11.122311590000001</v>
      </c>
      <c r="T36" s="67">
        <v>64.721047999999996</v>
      </c>
      <c r="U36" s="67">
        <v>62.076664000000001</v>
      </c>
      <c r="V36" s="68">
        <v>22897</v>
      </c>
      <c r="W36" s="68">
        <v>24688</v>
      </c>
      <c r="X36" s="68">
        <f t="shared" si="26"/>
        <v>1791</v>
      </c>
      <c r="Y36" s="68">
        <f t="shared" si="27"/>
        <v>231.22317241533736</v>
      </c>
      <c r="Z36" s="69">
        <v>693.9</v>
      </c>
      <c r="AA36" s="68">
        <v>781.4</v>
      </c>
      <c r="AB36" s="68">
        <f t="shared" si="28"/>
        <v>87.5</v>
      </c>
      <c r="AC36" s="68">
        <f t="shared" si="29"/>
        <v>11.296497814819665</v>
      </c>
      <c r="AD36" s="69">
        <v>625.01528099999996</v>
      </c>
      <c r="AE36" s="68">
        <v>703.74478499999998</v>
      </c>
      <c r="AF36" s="68">
        <f t="shared" si="30"/>
        <v>78.72950400000002</v>
      </c>
      <c r="AG36" s="68">
        <f t="shared" si="31"/>
        <v>10.164201941689557</v>
      </c>
      <c r="AH36" s="69">
        <v>-4.42</v>
      </c>
      <c r="AI36" s="68">
        <v>-21.06</v>
      </c>
      <c r="AJ36" s="68">
        <f t="shared" si="32"/>
        <v>-16.64</v>
      </c>
      <c r="AK36" s="70">
        <f t="shared" si="33"/>
        <v>-2.1482711272982766</v>
      </c>
      <c r="AL36" s="69">
        <v>-1.6</v>
      </c>
      <c r="AM36" s="68">
        <v>-5</v>
      </c>
      <c r="AN36" s="68">
        <f t="shared" si="34"/>
        <v>-3.4</v>
      </c>
      <c r="AO36" s="70">
        <f t="shared" si="35"/>
        <v>-0.4389496293758498</v>
      </c>
      <c r="AP36" s="69">
        <v>0.8</v>
      </c>
      <c r="AQ36" s="68">
        <v>-3.5</v>
      </c>
      <c r="AR36" s="68">
        <f t="shared" si="36"/>
        <v>-4.3</v>
      </c>
      <c r="AS36" s="70">
        <f t="shared" si="37"/>
        <v>-0.55514217832828061</v>
      </c>
      <c r="AT36" s="69">
        <v>1.7</v>
      </c>
      <c r="AU36" s="68">
        <v>3</v>
      </c>
      <c r="AV36" s="68">
        <f t="shared" si="38"/>
        <v>1.3</v>
      </c>
      <c r="AW36" s="70">
        <f t="shared" si="39"/>
        <v>0.16783368182017788</v>
      </c>
      <c r="AX36" s="69">
        <v>22920</v>
      </c>
      <c r="AY36" s="68">
        <v>24712</v>
      </c>
      <c r="AZ36" s="68">
        <f t="shared" si="40"/>
        <v>1792</v>
      </c>
      <c r="BA36" s="70">
        <f t="shared" si="41"/>
        <v>231.35227524750673</v>
      </c>
      <c r="BB36" s="69">
        <v>0.5</v>
      </c>
      <c r="BC36" s="68">
        <v>1.6</v>
      </c>
      <c r="BD36" s="68">
        <f t="shared" si="42"/>
        <v>1.1000000000000001</v>
      </c>
      <c r="BE36" s="70">
        <f t="shared" si="43"/>
        <v>0.14201311538630434</v>
      </c>
      <c r="BF36" s="69">
        <v>0</v>
      </c>
      <c r="BG36" s="68">
        <v>0</v>
      </c>
      <c r="BH36" s="68">
        <f t="shared" si="44"/>
        <v>0</v>
      </c>
      <c r="BI36" s="70">
        <f t="shared" si="45"/>
        <v>0</v>
      </c>
      <c r="BJ36" s="71">
        <v>64.721047999999996</v>
      </c>
      <c r="BK36" s="71">
        <v>62.076664000000001</v>
      </c>
      <c r="BL36" s="71">
        <f t="shared" si="46"/>
        <v>-2.6443839999999952</v>
      </c>
      <c r="BM36" s="72">
        <v>0</v>
      </c>
      <c r="BN36" s="73">
        <v>0</v>
      </c>
      <c r="BO36" s="73">
        <f t="shared" si="47"/>
        <v>0</v>
      </c>
      <c r="BP36" s="72">
        <v>0.5</v>
      </c>
      <c r="BQ36" s="73">
        <v>1.6</v>
      </c>
      <c r="BR36" s="73">
        <f t="shared" si="48"/>
        <v>1.1000000000000001</v>
      </c>
      <c r="BS36" s="71"/>
      <c r="BT36" s="71"/>
      <c r="BU36" s="71"/>
      <c r="BV36" s="71"/>
      <c r="BW36" s="62" t="s">
        <v>103</v>
      </c>
      <c r="BX36" s="5">
        <v>1572.9919165199999</v>
      </c>
      <c r="BY36" s="5">
        <v>-1.1895352299999999</v>
      </c>
      <c r="BZ36" s="5">
        <v>5157.7041381299996</v>
      </c>
      <c r="CA36" s="5">
        <v>5219.7954439599998</v>
      </c>
      <c r="CB36" s="5">
        <v>8.8508262200000001</v>
      </c>
      <c r="CC36" s="5">
        <v>8.9107496600000005</v>
      </c>
      <c r="CD36" s="5">
        <v>0.17121038999999999</v>
      </c>
      <c r="CE36" s="5">
        <v>7.7455770099999999</v>
      </c>
      <c r="CF36" s="5">
        <v>7.7323384500000003</v>
      </c>
      <c r="CG36" s="5">
        <v>-0.84940733999999996</v>
      </c>
      <c r="CH36" s="5">
        <v>-0.67248481999999998</v>
      </c>
      <c r="CI36" s="5">
        <v>0.68389984000000004</v>
      </c>
    </row>
    <row r="37" spans="1:87" ht="15" customHeight="1" x14ac:dyDescent="0.2">
      <c r="A37" s="58">
        <v>62009011</v>
      </c>
      <c r="B37" s="58" t="s">
        <v>167</v>
      </c>
      <c r="C37" s="58" t="s">
        <v>98</v>
      </c>
      <c r="D37" s="59" t="s">
        <v>151</v>
      </c>
      <c r="E37" s="60" t="s">
        <v>168</v>
      </c>
      <c r="F37" s="61" t="str">
        <f t="shared" si="49"/>
        <v>09/11/20</v>
      </c>
      <c r="G37" s="62" t="s">
        <v>169</v>
      </c>
      <c r="H37" s="62" t="s">
        <v>110</v>
      </c>
      <c r="I37" s="63"/>
      <c r="J37" s="64">
        <v>22.572506000000001</v>
      </c>
      <c r="K37" s="64">
        <v>44.807214000000002</v>
      </c>
      <c r="L37" s="64">
        <v>29.507579</v>
      </c>
      <c r="M37" s="64">
        <v>33.176847000000002</v>
      </c>
      <c r="N37" s="65">
        <v>3875</v>
      </c>
      <c r="O37" s="65">
        <v>28.39</v>
      </c>
      <c r="P37" s="65">
        <v>0.20169999999999999</v>
      </c>
      <c r="Q37" s="65">
        <v>1.932E-2</v>
      </c>
      <c r="R37" s="66">
        <v>6.5453397000000004</v>
      </c>
      <c r="S37" s="66">
        <f t="shared" si="25"/>
        <v>14.29110316</v>
      </c>
      <c r="T37" s="67">
        <v>62.061405000000001</v>
      </c>
      <c r="U37" s="67">
        <v>58.094065000000001</v>
      </c>
      <c r="V37" s="68">
        <v>24700</v>
      </c>
      <c r="W37" s="68">
        <v>27147</v>
      </c>
      <c r="X37" s="68">
        <f t="shared" si="26"/>
        <v>2447</v>
      </c>
      <c r="Y37" s="68">
        <f t="shared" si="27"/>
        <v>373.85378179836869</v>
      </c>
      <c r="Z37" s="69">
        <v>792.6</v>
      </c>
      <c r="AA37" s="68">
        <v>864.7</v>
      </c>
      <c r="AB37" s="68">
        <f t="shared" si="28"/>
        <v>72.100000000000023</v>
      </c>
      <c r="AC37" s="68">
        <f t="shared" si="29"/>
        <v>11.015471053396972</v>
      </c>
      <c r="AD37" s="69">
        <v>713.80950499999994</v>
      </c>
      <c r="AE37" s="68">
        <v>778.71</v>
      </c>
      <c r="AF37" s="68">
        <f t="shared" si="30"/>
        <v>64.900495000000092</v>
      </c>
      <c r="AG37" s="68">
        <f t="shared" si="31"/>
        <v>9.9155273789685943</v>
      </c>
      <c r="AH37" s="69">
        <v>-19.774751999999999</v>
      </c>
      <c r="AI37" s="68">
        <v>-24.92</v>
      </c>
      <c r="AJ37" s="68">
        <f t="shared" si="32"/>
        <v>-5.1452480000000023</v>
      </c>
      <c r="AK37" s="70">
        <f t="shared" si="33"/>
        <v>-0.78609334821842813</v>
      </c>
      <c r="AL37" s="69">
        <v>-5.4</v>
      </c>
      <c r="AM37" s="68">
        <v>-8.6</v>
      </c>
      <c r="AN37" s="68">
        <f t="shared" si="34"/>
        <v>-3.1999999999999993</v>
      </c>
      <c r="AO37" s="70">
        <f t="shared" si="35"/>
        <v>-0.48889746700236186</v>
      </c>
      <c r="AP37" s="69">
        <v>-3.8</v>
      </c>
      <c r="AQ37" s="68">
        <v>-7.8</v>
      </c>
      <c r="AR37" s="68">
        <f t="shared" si="36"/>
        <v>-4</v>
      </c>
      <c r="AS37" s="70">
        <f t="shared" si="37"/>
        <v>-0.61112183375295248</v>
      </c>
      <c r="AT37" s="69">
        <v>3.1</v>
      </c>
      <c r="AU37" s="68">
        <v>4.3</v>
      </c>
      <c r="AV37" s="68">
        <f t="shared" si="38"/>
        <v>1.1999999999999997</v>
      </c>
      <c r="AW37" s="70">
        <f t="shared" si="39"/>
        <v>0.18333655012588571</v>
      </c>
      <c r="AX37" s="69">
        <v>24724</v>
      </c>
      <c r="AY37" s="68">
        <v>27184</v>
      </c>
      <c r="AZ37" s="68">
        <f t="shared" si="40"/>
        <v>2460</v>
      </c>
      <c r="BA37" s="70">
        <f t="shared" si="41"/>
        <v>375.83992775806576</v>
      </c>
      <c r="BB37" s="69">
        <v>2</v>
      </c>
      <c r="BC37" s="68">
        <v>3.1</v>
      </c>
      <c r="BD37" s="68">
        <f t="shared" si="42"/>
        <v>1.1000000000000001</v>
      </c>
      <c r="BE37" s="70">
        <f t="shared" si="43"/>
        <v>0.16805850428206193</v>
      </c>
      <c r="BF37" s="69">
        <v>0</v>
      </c>
      <c r="BG37" s="68">
        <v>0</v>
      </c>
      <c r="BH37" s="68">
        <f t="shared" si="44"/>
        <v>0</v>
      </c>
      <c r="BI37" s="70">
        <f t="shared" si="45"/>
        <v>0</v>
      </c>
      <c r="BJ37" s="71">
        <v>62.061405000000001</v>
      </c>
      <c r="BK37" s="71">
        <v>58.094065000000001</v>
      </c>
      <c r="BL37" s="71">
        <f t="shared" si="46"/>
        <v>-3.9673400000000001</v>
      </c>
      <c r="BM37" s="72">
        <v>0</v>
      </c>
      <c r="BN37" s="73">
        <v>0</v>
      </c>
      <c r="BO37" s="73">
        <f t="shared" si="47"/>
        <v>0</v>
      </c>
      <c r="BP37" s="72">
        <v>2</v>
      </c>
      <c r="BQ37" s="73">
        <v>3.1</v>
      </c>
      <c r="BR37" s="73">
        <f t="shared" si="48"/>
        <v>1.1000000000000001</v>
      </c>
      <c r="BS37" s="71"/>
      <c r="BT37" s="71"/>
      <c r="BU37" s="71"/>
      <c r="BV37" s="71"/>
      <c r="BW37" s="62" t="s">
        <v>103</v>
      </c>
      <c r="BX37" s="5">
        <v>0</v>
      </c>
      <c r="BY37" s="5" t="s">
        <v>154</v>
      </c>
      <c r="BZ37" s="5">
        <v>7867.3207066799996</v>
      </c>
      <c r="CA37" s="5">
        <v>0</v>
      </c>
      <c r="CB37" s="5">
        <v>14.73999418</v>
      </c>
      <c r="CC37" s="5">
        <v>0</v>
      </c>
      <c r="CD37" s="5" t="s">
        <v>154</v>
      </c>
      <c r="CE37" s="5">
        <v>6.5450543400000001</v>
      </c>
      <c r="CF37" s="5">
        <v>0</v>
      </c>
      <c r="CG37" s="5" t="s">
        <v>112</v>
      </c>
      <c r="CH37" s="5" t="s">
        <v>154</v>
      </c>
      <c r="CI37" s="5" t="s">
        <v>112</v>
      </c>
    </row>
    <row r="38" spans="1:87" ht="15" customHeight="1" x14ac:dyDescent="0.2">
      <c r="A38" s="58">
        <v>62009012</v>
      </c>
      <c r="B38" s="58" t="s">
        <v>170</v>
      </c>
      <c r="C38" s="58" t="s">
        <v>98</v>
      </c>
      <c r="D38" s="59" t="s">
        <v>151</v>
      </c>
      <c r="E38" s="60" t="s">
        <v>171</v>
      </c>
      <c r="F38" s="61" t="str">
        <f t="shared" si="49"/>
        <v>09/11/20</v>
      </c>
      <c r="G38" s="62" t="s">
        <v>172</v>
      </c>
      <c r="H38" s="62" t="s">
        <v>110</v>
      </c>
      <c r="I38" s="63"/>
      <c r="J38" s="64">
        <v>24.041405000000001</v>
      </c>
      <c r="K38" s="64">
        <v>41.406644999999997</v>
      </c>
      <c r="L38" s="64">
        <v>29.501964999999998</v>
      </c>
      <c r="M38" s="64">
        <v>32.860053999999998</v>
      </c>
      <c r="N38" s="65">
        <v>3875</v>
      </c>
      <c r="O38" s="65">
        <v>28.39</v>
      </c>
      <c r="P38" s="65">
        <v>0.20169999999999999</v>
      </c>
      <c r="Q38" s="65">
        <v>1.932E-2</v>
      </c>
      <c r="R38" s="66">
        <v>5.8637196200000004</v>
      </c>
      <c r="S38" s="66">
        <f t="shared" si="25"/>
        <v>12.409059320000001</v>
      </c>
      <c r="T38" s="67">
        <v>58.083382999999998</v>
      </c>
      <c r="U38" s="67">
        <v>49.761125</v>
      </c>
      <c r="V38" s="68">
        <v>27155</v>
      </c>
      <c r="W38" s="68">
        <v>32013</v>
      </c>
      <c r="X38" s="68">
        <f t="shared" si="26"/>
        <v>4858</v>
      </c>
      <c r="Y38" s="68">
        <f t="shared" si="27"/>
        <v>828.484360580665</v>
      </c>
      <c r="Z38" s="69">
        <v>872.1</v>
      </c>
      <c r="AA38" s="68">
        <v>924.8</v>
      </c>
      <c r="AB38" s="68">
        <f t="shared" si="28"/>
        <v>52.699999999999932</v>
      </c>
      <c r="AC38" s="68">
        <f t="shared" si="29"/>
        <v>8.987469288308148</v>
      </c>
      <c r="AD38" s="69">
        <v>785.29</v>
      </c>
      <c r="AE38" s="68">
        <v>832.81</v>
      </c>
      <c r="AF38" s="68">
        <f t="shared" si="30"/>
        <v>47.519999999999982</v>
      </c>
      <c r="AG38" s="68">
        <f t="shared" si="31"/>
        <v>8.1040709787552867</v>
      </c>
      <c r="AH38" s="69">
        <v>-18.47</v>
      </c>
      <c r="AI38" s="68">
        <v>-25.65</v>
      </c>
      <c r="AJ38" s="68">
        <f t="shared" si="32"/>
        <v>-7.18</v>
      </c>
      <c r="AK38" s="70">
        <f t="shared" si="33"/>
        <v>-1.224478737951662</v>
      </c>
      <c r="AL38" s="69">
        <v>-8.8000000000000007</v>
      </c>
      <c r="AM38" s="68">
        <v>-10.7</v>
      </c>
      <c r="AN38" s="68">
        <f t="shared" si="34"/>
        <v>-1.8999999999999986</v>
      </c>
      <c r="AO38" s="70">
        <f t="shared" si="35"/>
        <v>-0.32402640697885182</v>
      </c>
      <c r="AP38" s="69">
        <v>-7.9</v>
      </c>
      <c r="AQ38" s="68">
        <v>-10.3</v>
      </c>
      <c r="AR38" s="68">
        <f t="shared" si="36"/>
        <v>-2.4000000000000004</v>
      </c>
      <c r="AS38" s="70">
        <f t="shared" si="37"/>
        <v>-0.40929651407855006</v>
      </c>
      <c r="AT38" s="69">
        <v>4.4000000000000004</v>
      </c>
      <c r="AU38" s="68">
        <v>5.0999999999999996</v>
      </c>
      <c r="AV38" s="68">
        <f t="shared" si="38"/>
        <v>0.69999999999999929</v>
      </c>
      <c r="AW38" s="70">
        <f t="shared" si="39"/>
        <v>0.11937814993957696</v>
      </c>
      <c r="AX38" s="69">
        <v>27192</v>
      </c>
      <c r="AY38" s="68">
        <v>32063</v>
      </c>
      <c r="AZ38" s="68">
        <f t="shared" si="40"/>
        <v>4871</v>
      </c>
      <c r="BA38" s="70">
        <f t="shared" si="41"/>
        <v>830.70138336525713</v>
      </c>
      <c r="BB38" s="69">
        <v>3.7</v>
      </c>
      <c r="BC38" s="68">
        <v>4.4000000000000004</v>
      </c>
      <c r="BD38" s="68">
        <f t="shared" si="42"/>
        <v>0.70000000000000018</v>
      </c>
      <c r="BE38" s="70">
        <f t="shared" si="43"/>
        <v>0.11937814993957711</v>
      </c>
      <c r="BF38" s="69">
        <v>0</v>
      </c>
      <c r="BG38" s="68">
        <v>0</v>
      </c>
      <c r="BH38" s="68">
        <f t="shared" si="44"/>
        <v>0</v>
      </c>
      <c r="BI38" s="70">
        <f t="shared" si="45"/>
        <v>0</v>
      </c>
      <c r="BJ38" s="71">
        <v>58.083382999999998</v>
      </c>
      <c r="BK38" s="71">
        <v>49.761125</v>
      </c>
      <c r="BL38" s="71">
        <f t="shared" si="46"/>
        <v>-8.3222579999999979</v>
      </c>
      <c r="BM38" s="72">
        <v>0</v>
      </c>
      <c r="BN38" s="73">
        <v>0</v>
      </c>
      <c r="BO38" s="73">
        <f t="shared" si="47"/>
        <v>0</v>
      </c>
      <c r="BP38" s="72">
        <v>3.7</v>
      </c>
      <c r="BQ38" s="73">
        <v>4.4000000000000004</v>
      </c>
      <c r="BR38" s="73">
        <f t="shared" si="48"/>
        <v>0.70000000000000018</v>
      </c>
      <c r="BS38" s="71"/>
      <c r="BT38" s="71"/>
      <c r="BU38" s="71"/>
      <c r="BV38" s="71"/>
      <c r="BW38" s="62" t="s">
        <v>103</v>
      </c>
      <c r="BX38" s="5">
        <v>0</v>
      </c>
      <c r="BY38" s="5" t="s">
        <v>154</v>
      </c>
      <c r="BZ38" s="5">
        <v>999.8772798</v>
      </c>
      <c r="CA38" s="5">
        <v>0</v>
      </c>
      <c r="CB38" s="5">
        <v>4.5771501499999996</v>
      </c>
      <c r="CC38" s="5">
        <v>0</v>
      </c>
      <c r="CD38" s="5" t="s">
        <v>154</v>
      </c>
      <c r="CE38" s="5">
        <v>5.8637203800000002</v>
      </c>
      <c r="CF38" s="5">
        <v>0</v>
      </c>
      <c r="CG38" s="5" t="s">
        <v>112</v>
      </c>
      <c r="CH38" s="5" t="s">
        <v>154</v>
      </c>
      <c r="CI38" s="5" t="s">
        <v>112</v>
      </c>
    </row>
    <row r="39" spans="1:87" ht="15" customHeight="1" x14ac:dyDescent="0.2">
      <c r="A39" s="51" t="s">
        <v>173</v>
      </c>
      <c r="B39" s="52"/>
      <c r="C39" s="52"/>
      <c r="D39" s="86"/>
      <c r="E39" s="87"/>
      <c r="F39" s="87"/>
      <c r="G39" s="53"/>
      <c r="H39" s="53"/>
      <c r="I39" s="53"/>
      <c r="J39" s="53"/>
      <c r="K39" s="53"/>
      <c r="L39" s="53"/>
      <c r="M39" s="53"/>
      <c r="N39" s="53"/>
      <c r="O39" s="53"/>
      <c r="P39" s="54"/>
      <c r="Q39" s="55"/>
      <c r="R39" s="52"/>
      <c r="S39" s="52"/>
      <c r="T39" s="52"/>
      <c r="U39" s="52"/>
      <c r="V39" s="56"/>
      <c r="W39" s="56"/>
      <c r="X39" s="52"/>
      <c r="Y39" s="52"/>
      <c r="Z39" s="52"/>
      <c r="AA39" s="52"/>
      <c r="AB39" s="52"/>
      <c r="AC39" s="52"/>
      <c r="AD39" s="52"/>
      <c r="AE39" s="56"/>
      <c r="AF39" s="56"/>
      <c r="AG39" s="56"/>
      <c r="AH39" s="56"/>
      <c r="AI39" s="56"/>
      <c r="AJ39" s="52"/>
      <c r="AK39" s="52"/>
      <c r="AL39" s="52"/>
      <c r="AM39" s="52"/>
      <c r="AN39" s="52"/>
      <c r="AO39" s="52"/>
      <c r="AP39" s="56"/>
      <c r="AQ39" s="56"/>
      <c r="AR39" s="52"/>
      <c r="AS39" s="52"/>
      <c r="AT39" s="56"/>
      <c r="AU39" s="56"/>
      <c r="AV39" s="52"/>
      <c r="AW39" s="52"/>
      <c r="AX39" s="56"/>
      <c r="AY39" s="56"/>
      <c r="AZ39" s="52"/>
      <c r="BA39" s="52"/>
      <c r="BB39" s="56"/>
      <c r="BC39" s="56"/>
      <c r="BD39" s="52"/>
      <c r="BE39" s="52"/>
      <c r="BF39" s="56"/>
      <c r="BG39" s="56"/>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7"/>
    </row>
    <row r="40" spans="1:87" ht="15" customHeight="1" x14ac:dyDescent="0.2">
      <c r="A40" s="2">
        <v>62009013</v>
      </c>
      <c r="B40" s="58" t="s">
        <v>113</v>
      </c>
      <c r="C40" s="58" t="s">
        <v>98</v>
      </c>
      <c r="D40" s="59" t="s">
        <v>114</v>
      </c>
      <c r="E40" s="60" t="s">
        <v>174</v>
      </c>
      <c r="F40" s="61" t="str">
        <f t="shared" si="49"/>
        <v>09/14/20</v>
      </c>
      <c r="G40" s="62" t="s">
        <v>175</v>
      </c>
      <c r="H40" s="62" t="s">
        <v>176</v>
      </c>
      <c r="I40" s="63"/>
      <c r="J40" s="64">
        <v>24.464053</v>
      </c>
      <c r="K40" s="64">
        <v>40.378224000000003</v>
      </c>
      <c r="L40" s="64">
        <v>29.652486</v>
      </c>
      <c r="M40" s="64">
        <v>25.178750999999998</v>
      </c>
      <c r="N40" s="65">
        <v>3875</v>
      </c>
      <c r="O40" s="65">
        <v>28.39</v>
      </c>
      <c r="P40" s="65">
        <v>0.20169999999999999</v>
      </c>
      <c r="Q40" s="65">
        <v>1.932E-2</v>
      </c>
      <c r="R40" s="66">
        <v>3.5944536899999999</v>
      </c>
      <c r="S40" s="66">
        <f>R40+R39</f>
        <v>3.5944536899999999</v>
      </c>
      <c r="T40" s="67">
        <v>97.326480000000004</v>
      </c>
      <c r="U40" s="67">
        <v>96.433828000000005</v>
      </c>
      <c r="V40" s="68">
        <v>8</v>
      </c>
      <c r="W40" s="68">
        <v>678</v>
      </c>
      <c r="X40" s="68">
        <f>W40-V40</f>
        <v>670</v>
      </c>
      <c r="Y40" s="68">
        <f t="shared" ref="Y40:Y60" si="50">X40/$R40</f>
        <v>186.39828407415092</v>
      </c>
      <c r="Z40" s="69">
        <v>7.5</v>
      </c>
      <c r="AA40" s="68">
        <v>31.5</v>
      </c>
      <c r="AB40" s="68">
        <f>AA40-Z40</f>
        <v>24</v>
      </c>
      <c r="AC40" s="68">
        <f t="shared" ref="AC40:AC60" si="51">AB40/$R40</f>
        <v>6.6769534593725703</v>
      </c>
      <c r="AD40" s="69">
        <v>4.9797739999999999</v>
      </c>
      <c r="AE40" s="68">
        <v>25.66</v>
      </c>
      <c r="AF40" s="68">
        <f>AE40-AD40</f>
        <v>20.680226000000001</v>
      </c>
      <c r="AG40" s="68">
        <f t="shared" ref="AG40:AG60" si="52">AF40/$R40</f>
        <v>5.7533711054711079</v>
      </c>
      <c r="AH40" s="69">
        <v>2.39</v>
      </c>
      <c r="AI40" s="68">
        <v>2.2000000000000002</v>
      </c>
      <c r="AJ40" s="68">
        <f>AI40-AH40</f>
        <v>-0.18999999999999995</v>
      </c>
      <c r="AK40" s="70">
        <f t="shared" ref="AK40:AK60" si="53">AJ40/$R40</f>
        <v>-5.28592148866995E-2</v>
      </c>
      <c r="AL40" s="69">
        <v>-0.2</v>
      </c>
      <c r="AM40" s="68">
        <v>-2.4</v>
      </c>
      <c r="AN40" s="68">
        <f>AM40-AL40</f>
        <v>-2.1999999999999997</v>
      </c>
      <c r="AO40" s="70">
        <f t="shared" ref="AO40:AO60" si="54">AN40/$R40</f>
        <v>-0.61205406710915222</v>
      </c>
      <c r="AP40" s="69">
        <v>0</v>
      </c>
      <c r="AQ40" s="68">
        <v>-2.8</v>
      </c>
      <c r="AR40" s="68">
        <f>AQ40-AP40</f>
        <v>-2.8</v>
      </c>
      <c r="AS40" s="70">
        <f t="shared" ref="AS40:AS60" si="55">AR40/$R40</f>
        <v>-0.77897790359346653</v>
      </c>
      <c r="AT40" s="69">
        <v>0.1</v>
      </c>
      <c r="AU40" s="68">
        <v>1</v>
      </c>
      <c r="AV40" s="68">
        <f>AU40-AT40</f>
        <v>0.9</v>
      </c>
      <c r="AW40" s="70">
        <f t="shared" ref="AW40:AW60" si="56">AV40/$R40</f>
        <v>0.2503857547264714</v>
      </c>
      <c r="AX40" s="69">
        <v>8</v>
      </c>
      <c r="AY40" s="68">
        <v>677</v>
      </c>
      <c r="AZ40" s="68">
        <f>AY40-AX40</f>
        <v>669</v>
      </c>
      <c r="BA40" s="70">
        <f t="shared" ref="BA40:BA60" si="57">AZ40/$R40</f>
        <v>186.12007768001041</v>
      </c>
      <c r="BB40" s="69">
        <v>23.8</v>
      </c>
      <c r="BC40" s="68">
        <v>24.5</v>
      </c>
      <c r="BD40" s="68">
        <f>BC40-BB40</f>
        <v>0.69999999999999929</v>
      </c>
      <c r="BE40" s="70">
        <f t="shared" ref="BE40:BE60" si="58">BD40/$R40</f>
        <v>0.19474447589836644</v>
      </c>
      <c r="BF40" s="69">
        <v>0</v>
      </c>
      <c r="BG40" s="68">
        <v>0</v>
      </c>
      <c r="BH40" s="68">
        <f>BG40-BF40</f>
        <v>0</v>
      </c>
      <c r="BI40" s="70">
        <f t="shared" ref="BI40:BI60" si="59">BH40/$R40</f>
        <v>0</v>
      </c>
      <c r="BJ40" s="71">
        <v>97.326480000000004</v>
      </c>
      <c r="BK40" s="71">
        <v>96.433828000000005</v>
      </c>
      <c r="BL40" s="71">
        <f>BK40-BJ40</f>
        <v>-0.89265199999999822</v>
      </c>
      <c r="BM40" s="72">
        <v>0</v>
      </c>
      <c r="BN40" s="73">
        <v>0</v>
      </c>
      <c r="BO40" s="73">
        <f>BN40-BM40</f>
        <v>0</v>
      </c>
      <c r="BP40" s="72">
        <v>23.8</v>
      </c>
      <c r="BQ40" s="73">
        <v>24.5</v>
      </c>
      <c r="BR40" s="73">
        <f>BQ40-BP40</f>
        <v>0.69999999999999929</v>
      </c>
      <c r="BS40" s="71"/>
      <c r="BT40" s="71"/>
      <c r="BU40" s="71"/>
      <c r="BV40" s="71"/>
      <c r="BW40" s="62" t="s">
        <v>103</v>
      </c>
      <c r="BX40" s="5">
        <v>2202.44706984</v>
      </c>
      <c r="BY40" s="5">
        <v>-1.0275723000000001</v>
      </c>
      <c r="BZ40" s="5">
        <v>2027.7390041399999</v>
      </c>
      <c r="CA40" s="5">
        <v>2048.79182137</v>
      </c>
      <c r="CB40" s="5">
        <v>2.9475387400000002</v>
      </c>
      <c r="CC40" s="5">
        <v>2.9658454000000001</v>
      </c>
      <c r="CD40" s="5">
        <v>9.3963420000000006E-2</v>
      </c>
      <c r="CE40" s="5">
        <v>3.5943549400000001</v>
      </c>
      <c r="CF40" s="5">
        <v>3.59098074</v>
      </c>
      <c r="CG40" s="5">
        <v>-0.71563003999999997</v>
      </c>
      <c r="CH40" s="5">
        <v>-0.61724939999999995</v>
      </c>
      <c r="CI40" s="5">
        <v>0.59140514</v>
      </c>
    </row>
    <row r="41" spans="1:87" ht="15" customHeight="1" x14ac:dyDescent="0.2">
      <c r="A41" s="2">
        <f>A40</f>
        <v>62009013</v>
      </c>
      <c r="B41" s="58" t="s">
        <v>117</v>
      </c>
      <c r="C41" s="58" t="s">
        <v>104</v>
      </c>
      <c r="D41" s="59" t="s">
        <v>114</v>
      </c>
      <c r="E41" s="60" t="s">
        <v>174</v>
      </c>
      <c r="F41" s="61" t="str">
        <f t="shared" si="49"/>
        <v>09/14/20</v>
      </c>
      <c r="G41" s="62" t="s">
        <v>175</v>
      </c>
      <c r="H41" s="62" t="s">
        <v>176</v>
      </c>
      <c r="I41" s="63"/>
      <c r="J41" s="64">
        <v>21.694372000000001</v>
      </c>
      <c r="K41" s="64">
        <v>47.431426000000002</v>
      </c>
      <c r="L41" s="64">
        <v>29.641808999999999</v>
      </c>
      <c r="M41" s="64">
        <v>26.914341</v>
      </c>
      <c r="N41" s="65">
        <v>3875</v>
      </c>
      <c r="O41" s="65">
        <v>28.39</v>
      </c>
      <c r="P41" s="65">
        <v>0.20169999999999999</v>
      </c>
      <c r="Q41" s="65">
        <v>1.932E-2</v>
      </c>
      <c r="R41" s="66">
        <v>3.8582120600000001</v>
      </c>
      <c r="S41" s="66">
        <f>R41+R40</f>
        <v>7.4526657499999995</v>
      </c>
      <c r="T41" s="67">
        <v>96.433828000000005</v>
      </c>
      <c r="U41" s="67">
        <v>95.702922000000001</v>
      </c>
      <c r="V41" s="68">
        <v>678</v>
      </c>
      <c r="W41" s="68">
        <v>1226</v>
      </c>
      <c r="X41" s="68">
        <f>W41-V41</f>
        <v>548</v>
      </c>
      <c r="Y41" s="68">
        <f t="shared" si="50"/>
        <v>142.03470194948278</v>
      </c>
      <c r="Z41" s="69">
        <v>31.5</v>
      </c>
      <c r="AA41" s="68">
        <v>70.8</v>
      </c>
      <c r="AB41" s="68">
        <f>AA41-Z41</f>
        <v>39.299999999999997</v>
      </c>
      <c r="AC41" s="68">
        <f t="shared" si="51"/>
        <v>10.186065304041374</v>
      </c>
      <c r="AD41" s="69">
        <v>25.67</v>
      </c>
      <c r="AE41" s="68">
        <v>59.26</v>
      </c>
      <c r="AF41" s="68">
        <f>AE41-AD41</f>
        <v>33.589999999999996</v>
      </c>
      <c r="AG41" s="68">
        <f t="shared" si="52"/>
        <v>8.7061051797137345</v>
      </c>
      <c r="AH41" s="69">
        <v>2.2000000000000002</v>
      </c>
      <c r="AI41" s="68">
        <v>1.95</v>
      </c>
      <c r="AJ41" s="68">
        <f>AI41-AH41</f>
        <v>-0.25000000000000022</v>
      </c>
      <c r="AK41" s="70">
        <f t="shared" si="53"/>
        <v>-6.4796853079143665E-2</v>
      </c>
      <c r="AL41" s="69">
        <v>-2.4</v>
      </c>
      <c r="AM41" s="68">
        <v>-6.3</v>
      </c>
      <c r="AN41" s="68">
        <f>AM41-AL41</f>
        <v>-3.9</v>
      </c>
      <c r="AO41" s="70">
        <f t="shared" si="54"/>
        <v>-1.0108309080346403</v>
      </c>
      <c r="AP41" s="69">
        <v>-2.8</v>
      </c>
      <c r="AQ41" s="68">
        <v>-7.6</v>
      </c>
      <c r="AR41" s="68">
        <f>AQ41-AP41</f>
        <v>-4.8</v>
      </c>
      <c r="AS41" s="70">
        <f t="shared" si="55"/>
        <v>-1.2440995791195573</v>
      </c>
      <c r="AT41" s="69">
        <v>1</v>
      </c>
      <c r="AU41" s="68">
        <v>2.4</v>
      </c>
      <c r="AV41" s="68">
        <f>AU41-AT41</f>
        <v>1.4</v>
      </c>
      <c r="AW41" s="70">
        <f t="shared" si="56"/>
        <v>0.36286237724320419</v>
      </c>
      <c r="AX41" s="69">
        <v>677</v>
      </c>
      <c r="AY41" s="68">
        <v>1223</v>
      </c>
      <c r="AZ41" s="68">
        <f>AY41-AX41</f>
        <v>546</v>
      </c>
      <c r="BA41" s="70">
        <f t="shared" si="57"/>
        <v>141.51632712484962</v>
      </c>
      <c r="BB41" s="69">
        <v>24.5</v>
      </c>
      <c r="BC41" s="68">
        <v>25.7</v>
      </c>
      <c r="BD41" s="68">
        <f>BC41-BB41</f>
        <v>1.1999999999999993</v>
      </c>
      <c r="BE41" s="70">
        <f t="shared" si="58"/>
        <v>0.31102489477988915</v>
      </c>
      <c r="BF41" s="69">
        <v>0</v>
      </c>
      <c r="BG41" s="68">
        <v>0</v>
      </c>
      <c r="BH41" s="68">
        <f>BG41-BF41</f>
        <v>0</v>
      </c>
      <c r="BI41" s="70">
        <f t="shared" si="59"/>
        <v>0</v>
      </c>
      <c r="BJ41" s="71">
        <v>96.433828000000005</v>
      </c>
      <c r="BK41" s="71">
        <v>95.702922000000001</v>
      </c>
      <c r="BL41" s="71">
        <f>BK41-BJ41</f>
        <v>-0.7309060000000045</v>
      </c>
      <c r="BM41" s="72">
        <v>0</v>
      </c>
      <c r="BN41" s="73">
        <v>0</v>
      </c>
      <c r="BO41" s="73">
        <f>BN41-BM41</f>
        <v>0</v>
      </c>
      <c r="BP41" s="72">
        <v>24.5</v>
      </c>
      <c r="BQ41" s="73">
        <v>25.7</v>
      </c>
      <c r="BR41" s="73">
        <f>BQ41-BP41</f>
        <v>1.1999999999999993</v>
      </c>
      <c r="BS41" s="71"/>
      <c r="BT41" s="71"/>
      <c r="BU41" s="71"/>
      <c r="BV41" s="71"/>
      <c r="BW41" s="62" t="s">
        <v>103</v>
      </c>
      <c r="BX41" s="5">
        <v>1349.04902468</v>
      </c>
      <c r="BY41" s="5">
        <v>-1.16495357</v>
      </c>
      <c r="BZ41" s="5">
        <v>3376.3009800099999</v>
      </c>
      <c r="CA41" s="5">
        <v>3416.0969231099998</v>
      </c>
      <c r="CB41" s="5">
        <v>2.7138835800000001</v>
      </c>
      <c r="CC41" s="5">
        <v>2.74163728</v>
      </c>
      <c r="CD41" s="5">
        <v>-4.7087490000000003E-2</v>
      </c>
      <c r="CE41" s="5">
        <v>3.8580128600000001</v>
      </c>
      <c r="CF41" s="5">
        <v>3.8598303600000001</v>
      </c>
      <c r="CG41" s="5">
        <v>-0.97508742999999998</v>
      </c>
      <c r="CH41" s="5">
        <v>-1.0123040699999999</v>
      </c>
      <c r="CI41" s="5">
        <v>0.71727063000000002</v>
      </c>
    </row>
    <row r="42" spans="1:87" ht="15" customHeight="1" x14ac:dyDescent="0.2">
      <c r="A42" s="2">
        <f t="shared" ref="A42:A49" si="60">A41</f>
        <v>62009013</v>
      </c>
      <c r="B42" s="58" t="s">
        <v>118</v>
      </c>
      <c r="C42" s="58" t="s">
        <v>119</v>
      </c>
      <c r="D42" s="59" t="s">
        <v>114</v>
      </c>
      <c r="E42" s="60" t="s">
        <v>174</v>
      </c>
      <c r="F42" s="61" t="str">
        <f t="shared" si="49"/>
        <v>09/14/20</v>
      </c>
      <c r="G42" s="62" t="s">
        <v>175</v>
      </c>
      <c r="H42" s="62" t="s">
        <v>176</v>
      </c>
      <c r="I42" s="63"/>
      <c r="J42" s="74">
        <f>AVERAGE(J40:J41)</f>
        <v>23.079212500000001</v>
      </c>
      <c r="K42" s="74">
        <f>AVERAGE(K40:K41)</f>
        <v>43.904825000000002</v>
      </c>
      <c r="L42" s="74">
        <f>AVERAGE(L40:L41)</f>
        <v>29.647147499999999</v>
      </c>
      <c r="M42" s="74">
        <f>AVERAGE(M40:M41)</f>
        <v>26.046545999999999</v>
      </c>
      <c r="N42" s="75"/>
      <c r="O42" s="65"/>
      <c r="P42" s="76"/>
      <c r="Q42" s="77"/>
      <c r="R42" s="78">
        <f>R41+R40</f>
        <v>7.4526657499999995</v>
      </c>
      <c r="S42" s="78">
        <f>S41</f>
        <v>7.4526657499999995</v>
      </c>
      <c r="T42" s="79">
        <f>T40</f>
        <v>97.326480000000004</v>
      </c>
      <c r="U42" s="79">
        <f>U41</f>
        <v>95.702922000000001</v>
      </c>
      <c r="V42" s="80">
        <f>V40</f>
        <v>8</v>
      </c>
      <c r="W42" s="80">
        <f>W41</f>
        <v>1226</v>
      </c>
      <c r="X42" s="80">
        <f>SUM(X40:X41)</f>
        <v>1218</v>
      </c>
      <c r="Y42" s="80">
        <f t="shared" si="50"/>
        <v>163.43145404045526</v>
      </c>
      <c r="Z42" s="80">
        <f>Z40</f>
        <v>7.5</v>
      </c>
      <c r="AA42" s="80">
        <f>AA41</f>
        <v>70.8</v>
      </c>
      <c r="AB42" s="80">
        <f>SUM(AB40:AB41)</f>
        <v>63.3</v>
      </c>
      <c r="AC42" s="80">
        <f t="shared" si="51"/>
        <v>8.4936051237773551</v>
      </c>
      <c r="AD42" s="80">
        <f>AD40</f>
        <v>4.9797739999999999</v>
      </c>
      <c r="AE42" s="80">
        <f>AE41</f>
        <v>59.26</v>
      </c>
      <c r="AF42" s="80">
        <f>SUM(AF40:AF41)</f>
        <v>54.270225999999994</v>
      </c>
      <c r="AG42" s="80">
        <f t="shared" si="52"/>
        <v>7.281988461645418</v>
      </c>
      <c r="AH42" s="80">
        <f>AH40</f>
        <v>2.39</v>
      </c>
      <c r="AI42" s="80">
        <f>AI41</f>
        <v>1.95</v>
      </c>
      <c r="AJ42" s="80">
        <f>SUM(AJ40:AJ41)</f>
        <v>-0.44000000000000017</v>
      </c>
      <c r="AK42" s="81">
        <f t="shared" si="53"/>
        <v>-5.903927732167516E-2</v>
      </c>
      <c r="AL42" s="80">
        <f>AL40</f>
        <v>-0.2</v>
      </c>
      <c r="AM42" s="80">
        <f>AM41</f>
        <v>-6.3</v>
      </c>
      <c r="AN42" s="80">
        <f>SUM(AN40:AN41)</f>
        <v>-6.1</v>
      </c>
      <c r="AO42" s="81">
        <f t="shared" si="54"/>
        <v>-0.81849907195958704</v>
      </c>
      <c r="AP42" s="80">
        <f>AP40</f>
        <v>0</v>
      </c>
      <c r="AQ42" s="80">
        <f>AQ41</f>
        <v>-7.6</v>
      </c>
      <c r="AR42" s="80">
        <f>SUM(AR40:AR41)</f>
        <v>-7.6</v>
      </c>
      <c r="AS42" s="81">
        <f t="shared" si="55"/>
        <v>-1.019769335556207</v>
      </c>
      <c r="AT42" s="80">
        <f>AT40</f>
        <v>0.1</v>
      </c>
      <c r="AU42" s="80">
        <f>AU41</f>
        <v>2.4</v>
      </c>
      <c r="AV42" s="80">
        <f>SUM(AV40:AV41)</f>
        <v>2.2999999999999998</v>
      </c>
      <c r="AW42" s="81">
        <f t="shared" si="56"/>
        <v>0.30861440418148367</v>
      </c>
      <c r="AX42" s="80">
        <f>AX40</f>
        <v>8</v>
      </c>
      <c r="AY42" s="80">
        <f>AY41</f>
        <v>1223</v>
      </c>
      <c r="AZ42" s="80">
        <f>SUM(AZ40:AZ41)</f>
        <v>1215</v>
      </c>
      <c r="BA42" s="81">
        <f t="shared" si="57"/>
        <v>163.02891351326204</v>
      </c>
      <c r="BB42" s="80">
        <f>BB40</f>
        <v>23.8</v>
      </c>
      <c r="BC42" s="80">
        <f>BC41</f>
        <v>25.7</v>
      </c>
      <c r="BD42" s="80">
        <f>SUM(BD40:BD41)</f>
        <v>1.8999999999999986</v>
      </c>
      <c r="BE42" s="81">
        <f t="shared" si="58"/>
        <v>0.25494233388905152</v>
      </c>
      <c r="BF42" s="80">
        <f>BF40</f>
        <v>0</v>
      </c>
      <c r="BG42" s="80">
        <f>BG41</f>
        <v>0</v>
      </c>
      <c r="BH42" s="80">
        <f>SUM(BH40:BH41)</f>
        <v>0</v>
      </c>
      <c r="BI42" s="81">
        <f t="shared" si="59"/>
        <v>0</v>
      </c>
      <c r="BJ42" s="82"/>
      <c r="BK42" s="82"/>
      <c r="BL42" s="82">
        <f>SUM(BL40:BL41)</f>
        <v>-1.6235580000000027</v>
      </c>
      <c r="BM42" s="83">
        <f>BM40</f>
        <v>0</v>
      </c>
      <c r="BN42" s="83">
        <f>BN41</f>
        <v>0</v>
      </c>
      <c r="BO42" s="83">
        <f>SUM(BO40:BO41)</f>
        <v>0</v>
      </c>
      <c r="BP42" s="83">
        <f>BP40</f>
        <v>23.8</v>
      </c>
      <c r="BQ42" s="83">
        <f>BQ41</f>
        <v>25.7</v>
      </c>
      <c r="BR42" s="83">
        <f>SUM(BR40:BR41)</f>
        <v>1.8999999999999986</v>
      </c>
      <c r="BS42" s="82"/>
      <c r="BT42" s="82"/>
      <c r="BU42" s="82"/>
      <c r="BV42" s="82"/>
      <c r="BW42" s="62" t="s">
        <v>103</v>
      </c>
    </row>
    <row r="43" spans="1:87" ht="15" customHeight="1" x14ac:dyDescent="0.2">
      <c r="A43" s="2">
        <f t="shared" si="60"/>
        <v>62009013</v>
      </c>
      <c r="B43" s="58" t="s">
        <v>120</v>
      </c>
      <c r="C43" s="58" t="s">
        <v>105</v>
      </c>
      <c r="D43" s="59" t="s">
        <v>114</v>
      </c>
      <c r="E43" s="60" t="s">
        <v>174</v>
      </c>
      <c r="F43" s="61" t="str">
        <f t="shared" si="49"/>
        <v>09/14/20</v>
      </c>
      <c r="G43" s="62" t="s">
        <v>175</v>
      </c>
      <c r="H43" s="62" t="s">
        <v>176</v>
      </c>
      <c r="I43" s="63"/>
      <c r="J43" s="64">
        <v>24.811661999999998</v>
      </c>
      <c r="K43" s="64">
        <v>39.864539000000001</v>
      </c>
      <c r="L43" s="64">
        <v>29.643989999999999</v>
      </c>
      <c r="M43" s="64">
        <v>28.042798999999999</v>
      </c>
      <c r="N43" s="65">
        <v>3875</v>
      </c>
      <c r="O43" s="65">
        <v>28.39</v>
      </c>
      <c r="P43" s="65">
        <v>0.20169999999999999</v>
      </c>
      <c r="Q43" s="65">
        <v>1.932E-2</v>
      </c>
      <c r="R43" s="66">
        <v>10.27629406</v>
      </c>
      <c r="S43" s="66">
        <f>R43+R42</f>
        <v>17.728959809999999</v>
      </c>
      <c r="T43" s="67">
        <v>95.701396000000003</v>
      </c>
      <c r="U43" s="67">
        <v>93.057012</v>
      </c>
      <c r="V43" s="68">
        <v>1227</v>
      </c>
      <c r="W43" s="68">
        <v>3202</v>
      </c>
      <c r="X43" s="68">
        <f>W43-V43</f>
        <v>1975</v>
      </c>
      <c r="Y43" s="68">
        <f t="shared" si="50"/>
        <v>192.18990702957754</v>
      </c>
      <c r="Z43" s="69">
        <v>71.599999999999994</v>
      </c>
      <c r="AA43" s="68">
        <v>107.6</v>
      </c>
      <c r="AB43" s="68">
        <f>AA43-Z43</f>
        <v>36</v>
      </c>
      <c r="AC43" s="68">
        <f t="shared" si="51"/>
        <v>3.5032084319315402</v>
      </c>
      <c r="AD43" s="69">
        <v>59.93</v>
      </c>
      <c r="AE43" s="68">
        <v>90.86</v>
      </c>
      <c r="AF43" s="68">
        <f>AE43-AD43</f>
        <v>30.93</v>
      </c>
      <c r="AG43" s="68">
        <f t="shared" si="52"/>
        <v>3.0098399111011815</v>
      </c>
      <c r="AH43" s="69">
        <v>1.95</v>
      </c>
      <c r="AI43" s="68">
        <v>1.74</v>
      </c>
      <c r="AJ43" s="68">
        <f>AI43-AH43</f>
        <v>-0.20999999999999996</v>
      </c>
      <c r="AK43" s="70">
        <f t="shared" si="53"/>
        <v>-2.0435382519600649E-2</v>
      </c>
      <c r="AL43" s="69">
        <v>-6.4</v>
      </c>
      <c r="AM43" s="68">
        <v>-9.6999999999999993</v>
      </c>
      <c r="AN43" s="68">
        <f>AM43-AL43</f>
        <v>-3.2999999999999989</v>
      </c>
      <c r="AO43" s="70">
        <f t="shared" si="54"/>
        <v>-0.32112743959372442</v>
      </c>
      <c r="AP43" s="69">
        <v>-7.7</v>
      </c>
      <c r="AQ43" s="68">
        <v>-11.9</v>
      </c>
      <c r="AR43" s="68">
        <f>AQ43-AP43</f>
        <v>-4.2</v>
      </c>
      <c r="AS43" s="70">
        <f t="shared" si="55"/>
        <v>-0.40870765039201307</v>
      </c>
      <c r="AT43" s="69">
        <v>2.5</v>
      </c>
      <c r="AU43" s="68">
        <v>3.8</v>
      </c>
      <c r="AV43" s="68">
        <f>AU43-AT43</f>
        <v>1.2999999999999998</v>
      </c>
      <c r="AW43" s="70">
        <f t="shared" si="56"/>
        <v>0.12650474893086117</v>
      </c>
      <c r="AX43" s="69">
        <v>1224</v>
      </c>
      <c r="AY43" s="68">
        <v>3198</v>
      </c>
      <c r="AZ43" s="68">
        <f>AY43-AX43</f>
        <v>1974</v>
      </c>
      <c r="BA43" s="70">
        <f t="shared" si="57"/>
        <v>192.09259568424613</v>
      </c>
      <c r="BB43" s="69">
        <v>25.730816999999998</v>
      </c>
      <c r="BC43" s="68">
        <v>26.8</v>
      </c>
      <c r="BD43" s="68">
        <f>BC43-BB43</f>
        <v>1.0691830000000024</v>
      </c>
      <c r="BE43" s="70">
        <f t="shared" si="58"/>
        <v>0.10404363613549635</v>
      </c>
      <c r="BF43" s="69">
        <v>0</v>
      </c>
      <c r="BG43" s="68">
        <v>0</v>
      </c>
      <c r="BH43" s="68">
        <f>BG43-BF43</f>
        <v>0</v>
      </c>
      <c r="BI43" s="70">
        <f t="shared" si="59"/>
        <v>0</v>
      </c>
      <c r="BJ43" s="71">
        <v>95.701396000000003</v>
      </c>
      <c r="BK43" s="71">
        <v>93.057012</v>
      </c>
      <c r="BL43" s="71">
        <f>BK43-BJ43</f>
        <v>-2.6443840000000023</v>
      </c>
      <c r="BM43" s="72">
        <v>0</v>
      </c>
      <c r="BN43" s="73">
        <v>0</v>
      </c>
      <c r="BO43" s="73">
        <f>BN43-BM43</f>
        <v>0</v>
      </c>
      <c r="BP43" s="72">
        <v>25.730816999999998</v>
      </c>
      <c r="BQ43" s="73">
        <v>26.8</v>
      </c>
      <c r="BR43" s="73">
        <f>BQ43-BP43</f>
        <v>1.0691830000000024</v>
      </c>
      <c r="BS43" s="71"/>
      <c r="BT43" s="71"/>
      <c r="BU43" s="71"/>
      <c r="BV43" s="71"/>
      <c r="BW43" s="62" t="s">
        <v>103</v>
      </c>
      <c r="BX43" s="5">
        <v>1772.42050397</v>
      </c>
      <c r="BY43" s="5">
        <v>1.4934832099999999</v>
      </c>
      <c r="BZ43" s="5">
        <v>1326.23082626</v>
      </c>
      <c r="CA43" s="5">
        <v>1306.71525329</v>
      </c>
      <c r="CB43" s="5">
        <v>7.3464938799999997</v>
      </c>
      <c r="CC43" s="5">
        <v>7.3153777299999998</v>
      </c>
      <c r="CD43" s="5">
        <v>0.19200618</v>
      </c>
      <c r="CE43" s="5">
        <v>10.27637378</v>
      </c>
      <c r="CF43" s="5">
        <v>10.256680319999999</v>
      </c>
      <c r="CG43" s="5">
        <v>0.23235807999999999</v>
      </c>
      <c r="CH43" s="5">
        <v>0.42535260000000003</v>
      </c>
      <c r="CI43" s="5">
        <v>0.28264968000000001</v>
      </c>
    </row>
    <row r="44" spans="1:87" ht="15" customHeight="1" x14ac:dyDescent="0.2">
      <c r="A44" s="2">
        <f t="shared" si="60"/>
        <v>62009013</v>
      </c>
      <c r="B44" s="58" t="s">
        <v>121</v>
      </c>
      <c r="C44" s="58" t="s">
        <v>122</v>
      </c>
      <c r="D44" s="59" t="s">
        <v>114</v>
      </c>
      <c r="E44" s="60" t="s">
        <v>174</v>
      </c>
      <c r="F44" s="61" t="str">
        <f t="shared" si="49"/>
        <v>09/14/20</v>
      </c>
      <c r="G44" s="62" t="s">
        <v>175</v>
      </c>
      <c r="H44" s="62" t="s">
        <v>176</v>
      </c>
      <c r="I44" s="63"/>
      <c r="J44" s="64">
        <v>20.552002999999999</v>
      </c>
      <c r="K44" s="64">
        <v>51.299785999999997</v>
      </c>
      <c r="L44" s="64">
        <v>29.635691000000001</v>
      </c>
      <c r="M44" s="64">
        <v>27.650689</v>
      </c>
      <c r="N44" s="65">
        <v>3875</v>
      </c>
      <c r="O44" s="65">
        <v>28.39</v>
      </c>
      <c r="P44" s="65">
        <v>0.20169999999999999</v>
      </c>
      <c r="Q44" s="65">
        <v>1.932E-2</v>
      </c>
      <c r="R44" s="66">
        <v>3.5919471199999999</v>
      </c>
      <c r="S44" s="66">
        <f>R44+R43</f>
        <v>13.86824118</v>
      </c>
      <c r="T44" s="67">
        <v>93.057012</v>
      </c>
      <c r="U44" s="67">
        <v>93.057012</v>
      </c>
      <c r="V44" s="68">
        <v>3208</v>
      </c>
      <c r="W44" s="68">
        <v>3834</v>
      </c>
      <c r="X44" s="68">
        <f>W44-V44</f>
        <v>626</v>
      </c>
      <c r="Y44" s="68">
        <f t="shared" si="50"/>
        <v>174.27873492747855</v>
      </c>
      <c r="Z44" s="69">
        <v>112.5</v>
      </c>
      <c r="AA44" s="68">
        <v>135.19999999999999</v>
      </c>
      <c r="AB44" s="68">
        <f>AA44-Z44</f>
        <v>22.699999999999989</v>
      </c>
      <c r="AC44" s="68">
        <f t="shared" si="51"/>
        <v>6.3196921451338035</v>
      </c>
      <c r="AD44" s="69">
        <v>95.15</v>
      </c>
      <c r="AE44" s="68">
        <v>114.56</v>
      </c>
      <c r="AF44" s="68">
        <f>AE44-AD44</f>
        <v>19.409999999999997</v>
      </c>
      <c r="AG44" s="68">
        <f t="shared" si="52"/>
        <v>5.403754384891946</v>
      </c>
      <c r="AH44" s="69">
        <v>3.038605</v>
      </c>
      <c r="AI44" s="68">
        <v>3.58</v>
      </c>
      <c r="AJ44" s="68">
        <f>AI44-AH44</f>
        <v>0.54139500000000007</v>
      </c>
      <c r="AK44" s="70">
        <f t="shared" si="53"/>
        <v>0.15072465766144133</v>
      </c>
      <c r="AL44" s="69">
        <v>-10</v>
      </c>
      <c r="AM44" s="68">
        <v>-12.3</v>
      </c>
      <c r="AN44" s="68">
        <f>AM44-AL44</f>
        <v>-2.3000000000000007</v>
      </c>
      <c r="AO44" s="70">
        <f t="shared" si="54"/>
        <v>-0.64032123056421852</v>
      </c>
      <c r="AP44" s="69">
        <v>-12</v>
      </c>
      <c r="AQ44" s="68">
        <v>-14.7</v>
      </c>
      <c r="AR44" s="68">
        <f>AQ44-AP44</f>
        <v>-2.6999999999999993</v>
      </c>
      <c r="AS44" s="70">
        <f t="shared" si="55"/>
        <v>-0.75168144457538655</v>
      </c>
      <c r="AT44" s="69">
        <v>3.9</v>
      </c>
      <c r="AU44" s="68">
        <v>4.7</v>
      </c>
      <c r="AV44" s="68">
        <f>AU44-AT44</f>
        <v>0.80000000000000027</v>
      </c>
      <c r="AW44" s="70">
        <f t="shared" si="56"/>
        <v>0.22272042802233688</v>
      </c>
      <c r="AX44" s="69">
        <v>3204</v>
      </c>
      <c r="AY44" s="68">
        <v>3830</v>
      </c>
      <c r="AZ44" s="68">
        <f>AY44-AX44</f>
        <v>626</v>
      </c>
      <c r="BA44" s="70">
        <f t="shared" si="57"/>
        <v>174.27873492747855</v>
      </c>
      <c r="BB44" s="69">
        <v>27.7</v>
      </c>
      <c r="BC44" s="68">
        <v>28.4</v>
      </c>
      <c r="BD44" s="68">
        <f>BC44-BB44</f>
        <v>0.69999999999999929</v>
      </c>
      <c r="BE44" s="70">
        <f t="shared" si="58"/>
        <v>0.19488037451954451</v>
      </c>
      <c r="BF44" s="69">
        <v>0</v>
      </c>
      <c r="BG44" s="68">
        <v>0</v>
      </c>
      <c r="BH44" s="68">
        <f>BG44-BF44</f>
        <v>0</v>
      </c>
      <c r="BI44" s="70">
        <f t="shared" si="59"/>
        <v>0</v>
      </c>
      <c r="BJ44" s="71">
        <v>93.057012</v>
      </c>
      <c r="BK44" s="71">
        <v>93.057012</v>
      </c>
      <c r="BL44" s="71">
        <f>BK44-BJ44</f>
        <v>0</v>
      </c>
      <c r="BM44" s="72">
        <v>0</v>
      </c>
      <c r="BN44" s="73">
        <v>0</v>
      </c>
      <c r="BO44" s="73">
        <f>BN44-BM44</f>
        <v>0</v>
      </c>
      <c r="BP44" s="72">
        <v>27.7</v>
      </c>
      <c r="BQ44" s="73">
        <v>28.4</v>
      </c>
      <c r="BR44" s="73">
        <f>BQ44-BP44</f>
        <v>0.69999999999999929</v>
      </c>
      <c r="BS44" s="71"/>
      <c r="BT44" s="71"/>
      <c r="BU44" s="71"/>
      <c r="BV44" s="71"/>
      <c r="BW44" s="62" t="s">
        <v>103</v>
      </c>
      <c r="BX44" s="5">
        <v>2196.1204758899999</v>
      </c>
      <c r="BY44" s="5">
        <v>-1.11169406</v>
      </c>
      <c r="BZ44" s="5">
        <v>2025.8689725199999</v>
      </c>
      <c r="CA44" s="5">
        <v>2048.6436220700002</v>
      </c>
      <c r="CB44" s="5">
        <v>2.9428066199999998</v>
      </c>
      <c r="CC44" s="5">
        <v>2.9656547600000001</v>
      </c>
      <c r="CD44" s="5">
        <v>2.467248E-2</v>
      </c>
      <c r="CE44" s="5">
        <v>3.5918656100000002</v>
      </c>
      <c r="CF44" s="5">
        <v>3.5909796300000001</v>
      </c>
      <c r="CG44" s="5">
        <v>-0.80127029000000005</v>
      </c>
      <c r="CH44" s="5">
        <v>-0.77042463000000005</v>
      </c>
      <c r="CI44" s="5">
        <v>0.59138025999999999</v>
      </c>
    </row>
    <row r="45" spans="1:87" ht="15" customHeight="1" x14ac:dyDescent="0.2">
      <c r="A45" s="2">
        <f t="shared" si="60"/>
        <v>62009013</v>
      </c>
      <c r="B45" s="58" t="s">
        <v>123</v>
      </c>
      <c r="C45" s="58" t="s">
        <v>124</v>
      </c>
      <c r="D45" s="59" t="s">
        <v>114</v>
      </c>
      <c r="E45" s="60" t="s">
        <v>174</v>
      </c>
      <c r="F45" s="61" t="str">
        <f t="shared" si="49"/>
        <v>09/14/20</v>
      </c>
      <c r="G45" s="62" t="s">
        <v>175</v>
      </c>
      <c r="H45" s="62" t="s">
        <v>176</v>
      </c>
      <c r="I45" s="63"/>
      <c r="J45" s="64">
        <v>19.877033999999998</v>
      </c>
      <c r="K45" s="64">
        <v>53.617876000000003</v>
      </c>
      <c r="L45" s="64">
        <v>29.634675999999999</v>
      </c>
      <c r="M45" s="64">
        <v>27.056455</v>
      </c>
      <c r="N45" s="65">
        <v>3875</v>
      </c>
      <c r="O45" s="65">
        <v>28.39</v>
      </c>
      <c r="P45" s="65">
        <v>0.20169999999999999</v>
      </c>
      <c r="Q45" s="65">
        <v>1.932E-2</v>
      </c>
      <c r="R45" s="66">
        <v>3.8546554099999999</v>
      </c>
      <c r="S45" s="66">
        <f>R45+R44</f>
        <v>7.4466025299999998</v>
      </c>
      <c r="T45" s="67">
        <v>93.057012</v>
      </c>
      <c r="U45" s="67">
        <v>93.057012</v>
      </c>
      <c r="V45" s="68">
        <v>3834</v>
      </c>
      <c r="W45" s="68">
        <v>4374</v>
      </c>
      <c r="X45" s="68">
        <f>W45-V45</f>
        <v>540</v>
      </c>
      <c r="Y45" s="68">
        <f t="shared" si="50"/>
        <v>140.09034338039572</v>
      </c>
      <c r="Z45" s="69">
        <v>135.19999999999999</v>
      </c>
      <c r="AA45" s="68">
        <v>174.2</v>
      </c>
      <c r="AB45" s="68">
        <f>AA45-Z45</f>
        <v>39</v>
      </c>
      <c r="AC45" s="68">
        <f t="shared" si="51"/>
        <v>10.117635910806356</v>
      </c>
      <c r="AD45" s="69">
        <v>114.57</v>
      </c>
      <c r="AE45" s="68">
        <v>147.88</v>
      </c>
      <c r="AF45" s="68">
        <f>AE45-AD45</f>
        <v>33.31</v>
      </c>
      <c r="AG45" s="68">
        <f t="shared" si="52"/>
        <v>8.6414987740758917</v>
      </c>
      <c r="AH45" s="69">
        <v>3.58</v>
      </c>
      <c r="AI45" s="68">
        <v>3.42</v>
      </c>
      <c r="AJ45" s="68">
        <f>AI45-AH45</f>
        <v>-0.16000000000000014</v>
      </c>
      <c r="AK45" s="70">
        <f t="shared" si="53"/>
        <v>-4.1508249890487653E-2</v>
      </c>
      <c r="AL45" s="69">
        <v>-12.3</v>
      </c>
      <c r="AM45" s="68">
        <v>-16.100000000000001</v>
      </c>
      <c r="AN45" s="68">
        <f>AM45-AL45</f>
        <v>-3.8000000000000007</v>
      </c>
      <c r="AO45" s="70">
        <f t="shared" si="54"/>
        <v>-0.98582093489908107</v>
      </c>
      <c r="AP45" s="69">
        <v>-14.7</v>
      </c>
      <c r="AQ45" s="68">
        <v>-19.399999999999999</v>
      </c>
      <c r="AR45" s="68">
        <f>AQ45-AP45</f>
        <v>-4.6999999999999993</v>
      </c>
      <c r="AS45" s="70">
        <f t="shared" si="55"/>
        <v>-1.2193048405330735</v>
      </c>
      <c r="AT45" s="69">
        <v>4.7</v>
      </c>
      <c r="AU45" s="68">
        <v>6.2</v>
      </c>
      <c r="AV45" s="68">
        <f>AU45-AT45</f>
        <v>1.5</v>
      </c>
      <c r="AW45" s="70">
        <f t="shared" si="56"/>
        <v>0.38913984272332142</v>
      </c>
      <c r="AX45" s="69">
        <v>3830</v>
      </c>
      <c r="AY45" s="68">
        <v>4368</v>
      </c>
      <c r="AZ45" s="68">
        <f>AY45-AX45</f>
        <v>538</v>
      </c>
      <c r="BA45" s="70">
        <f t="shared" si="57"/>
        <v>139.5714902567646</v>
      </c>
      <c r="BB45" s="69">
        <v>28.4</v>
      </c>
      <c r="BC45" s="68">
        <v>29.6</v>
      </c>
      <c r="BD45" s="68">
        <f>BC45-BB45</f>
        <v>1.2000000000000028</v>
      </c>
      <c r="BE45" s="70">
        <f t="shared" si="58"/>
        <v>0.31131187417865785</v>
      </c>
      <c r="BF45" s="69">
        <v>0</v>
      </c>
      <c r="BG45" s="68">
        <v>0</v>
      </c>
      <c r="BH45" s="68">
        <f>BG45-BF45</f>
        <v>0</v>
      </c>
      <c r="BI45" s="70">
        <f t="shared" si="59"/>
        <v>0</v>
      </c>
      <c r="BJ45" s="71">
        <v>93.057012</v>
      </c>
      <c r="BK45" s="71">
        <v>93.057012</v>
      </c>
      <c r="BL45" s="71">
        <f>BK45-BJ45</f>
        <v>0</v>
      </c>
      <c r="BM45" s="72">
        <v>0</v>
      </c>
      <c r="BN45" s="73">
        <v>0</v>
      </c>
      <c r="BO45" s="73">
        <f>BN45-BM45</f>
        <v>0</v>
      </c>
      <c r="BP45" s="72">
        <v>28.4</v>
      </c>
      <c r="BQ45" s="73">
        <v>29.6</v>
      </c>
      <c r="BR45" s="73">
        <f>BQ45-BP45</f>
        <v>1.2000000000000028</v>
      </c>
      <c r="BS45" s="71"/>
      <c r="BT45" s="71"/>
      <c r="BU45" s="71"/>
      <c r="BV45" s="71"/>
      <c r="BW45" s="62" t="s">
        <v>103</v>
      </c>
      <c r="BX45" s="5">
        <v>1348.28800351</v>
      </c>
      <c r="BY45" s="5">
        <v>-1.4711486300000001</v>
      </c>
      <c r="BZ45" s="5">
        <v>3365.7372633800001</v>
      </c>
      <c r="CA45" s="5">
        <v>3415.9915764900002</v>
      </c>
      <c r="CB45" s="5">
        <v>2.7076914699999999</v>
      </c>
      <c r="CC45" s="5">
        <v>2.7414889900000001</v>
      </c>
      <c r="CD45" s="5">
        <v>-0.13842104</v>
      </c>
      <c r="CE45" s="5">
        <v>3.85448681</v>
      </c>
      <c r="CF45" s="5">
        <v>3.8598296300000001</v>
      </c>
      <c r="CG45" s="5">
        <v>-1.1080554899999999</v>
      </c>
      <c r="CH45" s="5">
        <v>-1.23281624</v>
      </c>
      <c r="CI45" s="5">
        <v>0.71727912000000005</v>
      </c>
    </row>
    <row r="46" spans="1:87" ht="15" customHeight="1" x14ac:dyDescent="0.2">
      <c r="A46" s="2">
        <f t="shared" si="60"/>
        <v>62009013</v>
      </c>
      <c r="B46" s="58" t="s">
        <v>125</v>
      </c>
      <c r="C46" s="58" t="s">
        <v>126</v>
      </c>
      <c r="D46" s="59" t="s">
        <v>114</v>
      </c>
      <c r="E46" s="60" t="s">
        <v>174</v>
      </c>
      <c r="F46" s="61" t="str">
        <f t="shared" si="49"/>
        <v>09/14/20</v>
      </c>
      <c r="G46" s="62" t="s">
        <v>175</v>
      </c>
      <c r="H46" s="62" t="s">
        <v>176</v>
      </c>
      <c r="I46" s="63"/>
      <c r="J46" s="74">
        <f>AVERAGE(J44:J45)</f>
        <v>20.214518499999997</v>
      </c>
      <c r="K46" s="74">
        <f>AVERAGE(K44:K45)</f>
        <v>52.458831000000004</v>
      </c>
      <c r="L46" s="74">
        <f>AVERAGE(L44:L45)</f>
        <v>29.6351835</v>
      </c>
      <c r="M46" s="74">
        <f>AVERAGE(M44:M45)</f>
        <v>27.353572</v>
      </c>
      <c r="N46" s="75"/>
      <c r="O46" s="65"/>
      <c r="P46" s="76"/>
      <c r="Q46" s="77"/>
      <c r="R46" s="78">
        <f>R45+R44</f>
        <v>7.4466025299999998</v>
      </c>
      <c r="S46" s="78">
        <f>S45</f>
        <v>7.4466025299999998</v>
      </c>
      <c r="T46" s="79">
        <f>T44</f>
        <v>93.057012</v>
      </c>
      <c r="U46" s="79">
        <f>U45</f>
        <v>93.057012</v>
      </c>
      <c r="V46" s="80">
        <f>V44</f>
        <v>3208</v>
      </c>
      <c r="W46" s="80">
        <f>W45</f>
        <v>4374</v>
      </c>
      <c r="X46" s="80">
        <f>SUM(X44:X45)</f>
        <v>1166</v>
      </c>
      <c r="Y46" s="80">
        <f t="shared" si="50"/>
        <v>156.58147394097588</v>
      </c>
      <c r="Z46" s="80">
        <f>Z44</f>
        <v>112.5</v>
      </c>
      <c r="AA46" s="80">
        <f>AA45</f>
        <v>174.2</v>
      </c>
      <c r="AB46" s="80">
        <f>SUM(AB44:AB45)</f>
        <v>61.699999999999989</v>
      </c>
      <c r="AC46" s="80">
        <f t="shared" si="51"/>
        <v>8.2856577548526662</v>
      </c>
      <c r="AD46" s="80">
        <f>AD44</f>
        <v>95.15</v>
      </c>
      <c r="AE46" s="80">
        <f>AE45</f>
        <v>147.88</v>
      </c>
      <c r="AF46" s="80">
        <f>SUM(AF44:AF45)</f>
        <v>52.72</v>
      </c>
      <c r="AG46" s="80">
        <f t="shared" si="52"/>
        <v>7.0797386845353758</v>
      </c>
      <c r="AH46" s="80">
        <f>AH44</f>
        <v>3.038605</v>
      </c>
      <c r="AI46" s="80">
        <f>AI45</f>
        <v>3.42</v>
      </c>
      <c r="AJ46" s="80">
        <f>SUM(AJ44:AJ45)</f>
        <v>0.38139499999999993</v>
      </c>
      <c r="AK46" s="81">
        <f t="shared" si="53"/>
        <v>5.1217316684149646E-2</v>
      </c>
      <c r="AL46" s="80">
        <f>AL44</f>
        <v>-10</v>
      </c>
      <c r="AM46" s="80">
        <f>AM45</f>
        <v>-16.100000000000001</v>
      </c>
      <c r="AN46" s="80">
        <f>SUM(AN44:AN45)</f>
        <v>-6.1000000000000014</v>
      </c>
      <c r="AO46" s="81">
        <f t="shared" si="54"/>
        <v>-0.81916551547165783</v>
      </c>
      <c r="AP46" s="80">
        <f>AP44</f>
        <v>-12</v>
      </c>
      <c r="AQ46" s="80">
        <f>AQ45</f>
        <v>-19.399999999999999</v>
      </c>
      <c r="AR46" s="80">
        <f>SUM(AR44:AR45)</f>
        <v>-7.3999999999999986</v>
      </c>
      <c r="AS46" s="81">
        <f t="shared" si="55"/>
        <v>-0.99374177286725662</v>
      </c>
      <c r="AT46" s="80">
        <f>AT44</f>
        <v>3.9</v>
      </c>
      <c r="AU46" s="80">
        <f>AU45</f>
        <v>6.2</v>
      </c>
      <c r="AV46" s="80">
        <f>SUM(AV44:AV45)</f>
        <v>2.3000000000000003</v>
      </c>
      <c r="AW46" s="81">
        <f t="shared" si="56"/>
        <v>0.30886568616144472</v>
      </c>
      <c r="AX46" s="80">
        <f>AX44</f>
        <v>3204</v>
      </c>
      <c r="AY46" s="80">
        <f>AY45</f>
        <v>4368</v>
      </c>
      <c r="AZ46" s="80">
        <f>SUM(AZ44:AZ45)</f>
        <v>1164</v>
      </c>
      <c r="BA46" s="81">
        <f t="shared" si="57"/>
        <v>156.31289508344418</v>
      </c>
      <c r="BB46" s="80">
        <f>BB44</f>
        <v>27.7</v>
      </c>
      <c r="BC46" s="80">
        <f>BC45</f>
        <v>29.6</v>
      </c>
      <c r="BD46" s="80">
        <f>SUM(BD44:BD45)</f>
        <v>1.9000000000000021</v>
      </c>
      <c r="BE46" s="81">
        <f t="shared" si="58"/>
        <v>0.25514991465510678</v>
      </c>
      <c r="BF46" s="80">
        <f>BF44</f>
        <v>0</v>
      </c>
      <c r="BG46" s="80">
        <f>BG45</f>
        <v>0</v>
      </c>
      <c r="BH46" s="80">
        <f>SUM(BH44:BH45)</f>
        <v>0</v>
      </c>
      <c r="BI46" s="81">
        <f t="shared" si="59"/>
        <v>0</v>
      </c>
      <c r="BJ46" s="82"/>
      <c r="BK46" s="82"/>
      <c r="BL46" s="82">
        <f>SUM(BL44:BL45)</f>
        <v>0</v>
      </c>
      <c r="BM46" s="83">
        <f>BM44</f>
        <v>0</v>
      </c>
      <c r="BN46" s="83">
        <f>BN45</f>
        <v>0</v>
      </c>
      <c r="BO46" s="83">
        <f>SUM(BO44:BO45)</f>
        <v>0</v>
      </c>
      <c r="BP46" s="83">
        <f>BP44</f>
        <v>27.7</v>
      </c>
      <c r="BQ46" s="83">
        <f>BQ45</f>
        <v>29.6</v>
      </c>
      <c r="BR46" s="83">
        <f>SUM(BR44:BR45)</f>
        <v>1.9000000000000021</v>
      </c>
      <c r="BS46" s="82"/>
      <c r="BT46" s="82"/>
      <c r="BU46" s="82"/>
      <c r="BV46" s="82"/>
      <c r="BW46" s="62" t="s">
        <v>103</v>
      </c>
    </row>
    <row r="47" spans="1:87" ht="15" customHeight="1" x14ac:dyDescent="0.2">
      <c r="A47" s="2">
        <f t="shared" si="60"/>
        <v>62009013</v>
      </c>
      <c r="B47" s="58" t="s">
        <v>127</v>
      </c>
      <c r="C47" s="58" t="s">
        <v>128</v>
      </c>
      <c r="D47" s="59" t="s">
        <v>114</v>
      </c>
      <c r="E47" s="60" t="s">
        <v>174</v>
      </c>
      <c r="F47" s="61" t="str">
        <f t="shared" si="49"/>
        <v>09/14/20</v>
      </c>
      <c r="G47" s="62" t="s">
        <v>175</v>
      </c>
      <c r="H47" s="62" t="s">
        <v>176</v>
      </c>
      <c r="I47" s="63"/>
      <c r="J47" s="64">
        <v>23.143999999999998</v>
      </c>
      <c r="K47" s="64">
        <v>43.266229000000003</v>
      </c>
      <c r="L47" s="64">
        <v>29.634781</v>
      </c>
      <c r="M47" s="64">
        <v>29.371205</v>
      </c>
      <c r="N47" s="65">
        <v>3875</v>
      </c>
      <c r="O47" s="65">
        <v>28.39</v>
      </c>
      <c r="P47" s="65">
        <v>0.20169999999999999</v>
      </c>
      <c r="Q47" s="65">
        <v>1.932E-2</v>
      </c>
      <c r="R47" s="66">
        <v>1.76909461</v>
      </c>
      <c r="S47" s="66">
        <f>R47+R46</f>
        <v>9.2156971399999996</v>
      </c>
      <c r="T47" s="67">
        <v>93.057012</v>
      </c>
      <c r="U47" s="67">
        <v>93.057012</v>
      </c>
      <c r="V47" s="68">
        <v>4378</v>
      </c>
      <c r="W47" s="68">
        <v>6482</v>
      </c>
      <c r="X47" s="68">
        <f>W47-V47-X48</f>
        <v>447</v>
      </c>
      <c r="Y47" s="68">
        <f t="shared" si="50"/>
        <v>252.67161941101611</v>
      </c>
      <c r="Z47" s="69">
        <v>178.5</v>
      </c>
      <c r="AA47" s="68">
        <v>206.8</v>
      </c>
      <c r="AB47" s="68">
        <f>AA47-Z47-AB48</f>
        <v>11</v>
      </c>
      <c r="AC47" s="68">
        <f t="shared" si="51"/>
        <v>6.2178698289064371</v>
      </c>
      <c r="AD47" s="69">
        <v>151.63807499999999</v>
      </c>
      <c r="AE47" s="68">
        <v>175.94</v>
      </c>
      <c r="AF47" s="68">
        <f>AE47-AD47-AF48</f>
        <v>9.4398610000000076</v>
      </c>
      <c r="AG47" s="68">
        <f t="shared" si="52"/>
        <v>5.3359842637245993</v>
      </c>
      <c r="AH47" s="69">
        <v>3.4</v>
      </c>
      <c r="AI47" s="68">
        <v>3.27</v>
      </c>
      <c r="AJ47" s="68">
        <f>AI47-AH47-AJ48</f>
        <v>-4.9999999999999822E-2</v>
      </c>
      <c r="AK47" s="70">
        <f t="shared" si="53"/>
        <v>-2.826304467684734E-2</v>
      </c>
      <c r="AL47" s="69">
        <v>-16.5</v>
      </c>
      <c r="AM47" s="68">
        <v>-19.2</v>
      </c>
      <c r="AN47" s="68">
        <f>AM47-AL47-AN48</f>
        <v>-1.1000000000000014</v>
      </c>
      <c r="AO47" s="70">
        <f t="shared" si="54"/>
        <v>-0.62178698289064449</v>
      </c>
      <c r="AP47" s="69">
        <v>-19.899999999999999</v>
      </c>
      <c r="AQ47" s="68">
        <v>-23.1</v>
      </c>
      <c r="AR47" s="68">
        <f>AQ47-AP47-AR48</f>
        <v>-1.3000000000000043</v>
      </c>
      <c r="AS47" s="70">
        <f t="shared" si="55"/>
        <v>-0.73483916159803586</v>
      </c>
      <c r="AT47" s="69">
        <v>6.4</v>
      </c>
      <c r="AU47" s="68">
        <v>7.4</v>
      </c>
      <c r="AV47" s="68">
        <f>AU47-AT47-AV48</f>
        <v>0.39999999999999947</v>
      </c>
      <c r="AW47" s="70">
        <f t="shared" si="56"/>
        <v>0.22610435741477922</v>
      </c>
      <c r="AX47" s="69">
        <v>4372</v>
      </c>
      <c r="AY47" s="68">
        <v>6477</v>
      </c>
      <c r="AZ47" s="68">
        <f>AY47-AX47-AZ48</f>
        <v>447</v>
      </c>
      <c r="BA47" s="70">
        <f t="shared" si="57"/>
        <v>252.67161941101611</v>
      </c>
      <c r="BB47" s="69">
        <v>29.7</v>
      </c>
      <c r="BC47" s="68">
        <v>30.6</v>
      </c>
      <c r="BD47" s="68">
        <f>BC47-BB47-BD48</f>
        <v>0.40000000000000213</v>
      </c>
      <c r="BE47" s="70">
        <f t="shared" si="58"/>
        <v>0.22610435741478074</v>
      </c>
      <c r="BF47" s="69">
        <v>0</v>
      </c>
      <c r="BG47" s="68">
        <v>0</v>
      </c>
      <c r="BH47" s="68">
        <f>BG47-BF47-BH48</f>
        <v>0</v>
      </c>
      <c r="BI47" s="70">
        <f t="shared" si="59"/>
        <v>0</v>
      </c>
      <c r="BJ47" s="71">
        <v>93.057012</v>
      </c>
      <c r="BK47" s="71">
        <v>93.057012</v>
      </c>
      <c r="BL47" s="71">
        <f>BK47-BJ47-BL48</f>
        <v>0</v>
      </c>
      <c r="BM47" s="72">
        <v>0</v>
      </c>
      <c r="BN47" s="73">
        <v>0</v>
      </c>
      <c r="BO47" s="73">
        <f>BN47-BM47-BO48</f>
        <v>0</v>
      </c>
      <c r="BP47" s="72">
        <v>29.7</v>
      </c>
      <c r="BQ47" s="73">
        <v>30.6</v>
      </c>
      <c r="BR47" s="73">
        <f>BQ47-BP47-BR48</f>
        <v>0.40000000000000213</v>
      </c>
      <c r="BS47" s="71"/>
      <c r="BT47" s="71"/>
      <c r="BU47" s="71"/>
      <c r="BV47" s="71"/>
      <c r="BW47" s="62" t="s">
        <v>103</v>
      </c>
      <c r="BX47" s="5">
        <v>5069.7769804</v>
      </c>
      <c r="BY47" s="5">
        <v>-2.8410109800000001</v>
      </c>
      <c r="BZ47" s="5">
        <v>2389.43824455</v>
      </c>
      <c r="CA47" s="5">
        <v>2459.3074389499998</v>
      </c>
      <c r="CB47" s="5">
        <v>2.86637151</v>
      </c>
      <c r="CC47" s="5">
        <v>2.9252296200000001</v>
      </c>
      <c r="CD47" s="5">
        <v>-0.17206891999999999</v>
      </c>
      <c r="CE47" s="5">
        <v>1.76905527</v>
      </c>
      <c r="CF47" s="5">
        <v>1.7721045099999999</v>
      </c>
      <c r="CG47" s="5">
        <v>-1.87779914</v>
      </c>
      <c r="CH47" s="5">
        <v>-2.0120851499999999</v>
      </c>
      <c r="CI47" s="5">
        <v>0.81463781999999996</v>
      </c>
    </row>
    <row r="48" spans="1:87" ht="15" customHeight="1" x14ac:dyDescent="0.2">
      <c r="A48" s="2">
        <f t="shared" si="60"/>
        <v>62009013</v>
      </c>
      <c r="B48" s="58" t="s">
        <v>129</v>
      </c>
      <c r="C48" s="58" t="s">
        <v>130</v>
      </c>
      <c r="D48" s="59" t="s">
        <v>114</v>
      </c>
      <c r="E48" s="60" t="s">
        <v>174</v>
      </c>
      <c r="F48" s="61" t="str">
        <f t="shared" si="49"/>
        <v>09/14/20</v>
      </c>
      <c r="G48" s="62" t="s">
        <v>175</v>
      </c>
      <c r="H48" s="62" t="s">
        <v>176</v>
      </c>
      <c r="I48" s="63"/>
      <c r="J48" s="64">
        <v>27.021699999999999</v>
      </c>
      <c r="K48" s="64">
        <v>34.780726999999999</v>
      </c>
      <c r="L48" s="64">
        <v>29.662552999999999</v>
      </c>
      <c r="M48" s="64">
        <v>29.653236</v>
      </c>
      <c r="N48" s="65">
        <v>3875</v>
      </c>
      <c r="O48" s="65">
        <v>28.39</v>
      </c>
      <c r="P48" s="65">
        <v>0.20169999999999999</v>
      </c>
      <c r="Q48" s="65">
        <v>1.932E-2</v>
      </c>
      <c r="R48" s="66">
        <v>6.24685047</v>
      </c>
      <c r="S48" s="66">
        <f>R48+R47</f>
        <v>8.0159450799999998</v>
      </c>
      <c r="T48" s="67">
        <v>93.057012</v>
      </c>
      <c r="U48" s="67">
        <v>93.057012</v>
      </c>
      <c r="V48" s="68">
        <v>4688</v>
      </c>
      <c r="W48" s="68">
        <v>6345</v>
      </c>
      <c r="X48" s="68">
        <f>W48-V48</f>
        <v>1657</v>
      </c>
      <c r="Y48" s="68">
        <f t="shared" si="50"/>
        <v>265.25366790154658</v>
      </c>
      <c r="Z48" s="69">
        <v>184.6</v>
      </c>
      <c r="AA48" s="68">
        <v>201.9</v>
      </c>
      <c r="AB48" s="68">
        <f>AA48-Z48</f>
        <v>17.300000000000011</v>
      </c>
      <c r="AC48" s="68">
        <f t="shared" si="51"/>
        <v>2.7693955671072774</v>
      </c>
      <c r="AD48" s="69">
        <v>156.87793600000001</v>
      </c>
      <c r="AE48" s="68">
        <v>171.74</v>
      </c>
      <c r="AF48" s="68">
        <f>AE48-AD48</f>
        <v>14.862064000000004</v>
      </c>
      <c r="AG48" s="68">
        <f t="shared" si="52"/>
        <v>2.3791291421771463</v>
      </c>
      <c r="AH48" s="69">
        <v>3.37</v>
      </c>
      <c r="AI48" s="68">
        <v>3.29</v>
      </c>
      <c r="AJ48" s="68">
        <f>AI48-AH48</f>
        <v>-8.0000000000000071E-2</v>
      </c>
      <c r="AK48" s="70">
        <f t="shared" si="53"/>
        <v>-1.2806453489513423E-2</v>
      </c>
      <c r="AL48" s="69">
        <v>-17.100000000000001</v>
      </c>
      <c r="AM48" s="68">
        <v>-18.7</v>
      </c>
      <c r="AN48" s="68">
        <f>AM48-AL48</f>
        <v>-1.5999999999999979</v>
      </c>
      <c r="AO48" s="70">
        <f t="shared" si="54"/>
        <v>-0.25612906979026789</v>
      </c>
      <c r="AP48" s="69">
        <v>-20.6</v>
      </c>
      <c r="AQ48" s="68">
        <v>-22.5</v>
      </c>
      <c r="AR48" s="68">
        <f>AQ48-AP48</f>
        <v>-1.8999999999999986</v>
      </c>
      <c r="AS48" s="70">
        <f t="shared" si="55"/>
        <v>-0.30415327037594331</v>
      </c>
      <c r="AT48" s="69">
        <v>6.6</v>
      </c>
      <c r="AU48" s="68">
        <v>7.2</v>
      </c>
      <c r="AV48" s="68">
        <f>AU48-AT48</f>
        <v>0.60000000000000053</v>
      </c>
      <c r="AW48" s="70">
        <f t="shared" si="56"/>
        <v>9.6048401171350675E-2</v>
      </c>
      <c r="AX48" s="69">
        <v>4682</v>
      </c>
      <c r="AY48" s="68">
        <v>6340</v>
      </c>
      <c r="AZ48" s="68">
        <f>AY48-AX48</f>
        <v>1658</v>
      </c>
      <c r="BA48" s="70">
        <f t="shared" si="57"/>
        <v>265.41374857016547</v>
      </c>
      <c r="BB48" s="69">
        <v>29.9</v>
      </c>
      <c r="BC48" s="68">
        <v>30.4</v>
      </c>
      <c r="BD48" s="68">
        <f>BC48-BB48</f>
        <v>0.5</v>
      </c>
      <c r="BE48" s="70">
        <f t="shared" si="58"/>
        <v>8.0040334309458824E-2</v>
      </c>
      <c r="BF48" s="69">
        <v>0</v>
      </c>
      <c r="BG48" s="68">
        <v>0</v>
      </c>
      <c r="BH48" s="68">
        <f>BG48-BF48</f>
        <v>0</v>
      </c>
      <c r="BI48" s="70">
        <f t="shared" si="59"/>
        <v>0</v>
      </c>
      <c r="BJ48" s="71">
        <v>93.057012</v>
      </c>
      <c r="BK48" s="71">
        <v>93.057012</v>
      </c>
      <c r="BL48" s="71">
        <f>BK48-BJ48</f>
        <v>0</v>
      </c>
      <c r="BM48" s="72">
        <v>0</v>
      </c>
      <c r="BN48" s="73">
        <v>0</v>
      </c>
      <c r="BO48" s="73">
        <f>BN48-BM48</f>
        <v>0</v>
      </c>
      <c r="BP48" s="72">
        <v>29.9</v>
      </c>
      <c r="BQ48" s="73">
        <v>30.4</v>
      </c>
      <c r="BR48" s="73">
        <f>BQ48-BP48</f>
        <v>0.5</v>
      </c>
      <c r="BS48" s="71"/>
      <c r="BT48" s="71"/>
      <c r="BU48" s="71"/>
      <c r="BV48" s="71"/>
      <c r="BW48" s="62" t="s">
        <v>103</v>
      </c>
      <c r="BX48" s="5">
        <v>10791.191668449999</v>
      </c>
      <c r="BY48" s="5">
        <v>-7.1497879099999997</v>
      </c>
      <c r="BZ48" s="5">
        <v>1056.9542900199999</v>
      </c>
      <c r="CA48" s="5">
        <v>1138.3434310499999</v>
      </c>
      <c r="CB48" s="5">
        <v>6.4255557000000003</v>
      </c>
      <c r="CC48" s="5">
        <v>6.5095777500000001</v>
      </c>
      <c r="CD48" s="5">
        <v>0.19320192</v>
      </c>
      <c r="CE48" s="5">
        <v>6.2469036200000003</v>
      </c>
      <c r="CF48" s="5">
        <v>6.2348577599999997</v>
      </c>
      <c r="CG48" s="5">
        <v>-1.5033514699999999</v>
      </c>
      <c r="CH48" s="5">
        <v>-1.29074512</v>
      </c>
      <c r="CI48" s="5">
        <v>0.34623261999999999</v>
      </c>
    </row>
    <row r="49" spans="1:87" ht="15" customHeight="1" x14ac:dyDescent="0.2">
      <c r="A49" s="2">
        <f t="shared" si="60"/>
        <v>62009013</v>
      </c>
      <c r="B49" s="58" t="s">
        <v>131</v>
      </c>
      <c r="C49" s="58" t="s">
        <v>132</v>
      </c>
      <c r="D49" s="59" t="s">
        <v>114</v>
      </c>
      <c r="E49" s="60" t="s">
        <v>174</v>
      </c>
      <c r="F49" s="61" t="str">
        <f t="shared" si="49"/>
        <v>09/14/20</v>
      </c>
      <c r="G49" s="62" t="s">
        <v>175</v>
      </c>
      <c r="H49" s="62" t="s">
        <v>176</v>
      </c>
      <c r="I49" s="63"/>
      <c r="J49" s="74">
        <f>AVERAGE(J47:J48)</f>
        <v>25.082850000000001</v>
      </c>
      <c r="K49" s="74">
        <f>AVERAGE(K47:K48)</f>
        <v>39.023477999999997</v>
      </c>
      <c r="L49" s="74">
        <f>AVERAGE(L47:L48)</f>
        <v>29.648667</v>
      </c>
      <c r="M49" s="74">
        <f>AVERAGE(M47:M48)</f>
        <v>29.512220499999998</v>
      </c>
      <c r="N49" s="75"/>
      <c r="O49" s="65"/>
      <c r="P49" s="76"/>
      <c r="Q49" s="77"/>
      <c r="R49" s="78">
        <f>R48+R47</f>
        <v>8.0159450799999998</v>
      </c>
      <c r="S49" s="78">
        <f>S48</f>
        <v>8.0159450799999998</v>
      </c>
      <c r="T49" s="79">
        <f>T47</f>
        <v>93.057012</v>
      </c>
      <c r="U49" s="79">
        <f>U48</f>
        <v>93.057012</v>
      </c>
      <c r="V49" s="80">
        <f>V47</f>
        <v>4378</v>
      </c>
      <c r="W49" s="80">
        <f>W48</f>
        <v>6345</v>
      </c>
      <c r="X49" s="80">
        <f>SUM(X47:X48)</f>
        <v>2104</v>
      </c>
      <c r="Y49" s="80">
        <f t="shared" si="50"/>
        <v>262.47684820714863</v>
      </c>
      <c r="Z49" s="80">
        <f>Z47</f>
        <v>178.5</v>
      </c>
      <c r="AA49" s="80">
        <f>AA48</f>
        <v>201.9</v>
      </c>
      <c r="AB49" s="80">
        <f>SUM(AB47:AB48)</f>
        <v>28.300000000000011</v>
      </c>
      <c r="AC49" s="80">
        <f t="shared" si="51"/>
        <v>3.5304633100106035</v>
      </c>
      <c r="AD49" s="80">
        <f>AD47</f>
        <v>151.63807499999999</v>
      </c>
      <c r="AE49" s="80">
        <f>AE48</f>
        <v>171.74</v>
      </c>
      <c r="AF49" s="80">
        <f>SUM(AF47:AF48)</f>
        <v>24.301925000000011</v>
      </c>
      <c r="AG49" s="80">
        <f t="shared" si="52"/>
        <v>3.0316980415240087</v>
      </c>
      <c r="AH49" s="80">
        <f>AH47</f>
        <v>3.4</v>
      </c>
      <c r="AI49" s="80">
        <f>AI48</f>
        <v>3.29</v>
      </c>
      <c r="AJ49" s="80">
        <f>SUM(AJ47:AJ48)</f>
        <v>-0.12999999999999989</v>
      </c>
      <c r="AK49" s="81">
        <f t="shared" si="53"/>
        <v>-1.6217675982380844E-2</v>
      </c>
      <c r="AL49" s="80">
        <f>AL47</f>
        <v>-16.5</v>
      </c>
      <c r="AM49" s="80">
        <f>AM48</f>
        <v>-18.7</v>
      </c>
      <c r="AN49" s="80">
        <f>SUM(AN47:AN48)</f>
        <v>-2.6999999999999993</v>
      </c>
      <c r="AO49" s="81">
        <f t="shared" si="54"/>
        <v>-0.33682865501867926</v>
      </c>
      <c r="AP49" s="80">
        <f>AP47</f>
        <v>-19.899999999999999</v>
      </c>
      <c r="AQ49" s="80">
        <f>AQ48</f>
        <v>-22.5</v>
      </c>
      <c r="AR49" s="80">
        <f>SUM(AR47:AR48)</f>
        <v>-3.2000000000000028</v>
      </c>
      <c r="AS49" s="81">
        <f t="shared" si="55"/>
        <v>-0.39920433187399068</v>
      </c>
      <c r="AT49" s="80">
        <f>AT47</f>
        <v>6.4</v>
      </c>
      <c r="AU49" s="80">
        <f>AU48</f>
        <v>7.2</v>
      </c>
      <c r="AV49" s="80">
        <f>SUM(AV47:AV48)</f>
        <v>1</v>
      </c>
      <c r="AW49" s="81">
        <f t="shared" si="56"/>
        <v>0.12475135371062199</v>
      </c>
      <c r="AX49" s="80">
        <f>AX47</f>
        <v>4372</v>
      </c>
      <c r="AY49" s="80">
        <f>AY48</f>
        <v>6340</v>
      </c>
      <c r="AZ49" s="80">
        <f>SUM(AZ47:AZ48)</f>
        <v>2105</v>
      </c>
      <c r="BA49" s="81">
        <f t="shared" si="57"/>
        <v>262.60159956085926</v>
      </c>
      <c r="BB49" s="80">
        <f>BB47</f>
        <v>29.7</v>
      </c>
      <c r="BC49" s="80">
        <f>BC48</f>
        <v>30.4</v>
      </c>
      <c r="BD49" s="80">
        <f>SUM(BD47:BD48)</f>
        <v>0.90000000000000213</v>
      </c>
      <c r="BE49" s="81">
        <f t="shared" si="58"/>
        <v>0.11227621833956004</v>
      </c>
      <c r="BF49" s="80">
        <f>BF47</f>
        <v>0</v>
      </c>
      <c r="BG49" s="80">
        <f>BG48</f>
        <v>0</v>
      </c>
      <c r="BH49" s="80">
        <f>SUM(BH47:BH48)</f>
        <v>0</v>
      </c>
      <c r="BI49" s="81">
        <f t="shared" si="59"/>
        <v>0</v>
      </c>
      <c r="BJ49" s="82"/>
      <c r="BK49" s="82"/>
      <c r="BL49" s="82">
        <f>SUM(BL47:BL48)</f>
        <v>0</v>
      </c>
      <c r="BM49" s="83">
        <f>BM47</f>
        <v>0</v>
      </c>
      <c r="BN49" s="83">
        <f>BN48</f>
        <v>0</v>
      </c>
      <c r="BO49" s="83">
        <f>SUM(BO47:BO48)</f>
        <v>0</v>
      </c>
      <c r="BP49" s="83">
        <f>BP47</f>
        <v>29.7</v>
      </c>
      <c r="BQ49" s="83">
        <f>BQ48</f>
        <v>30.4</v>
      </c>
      <c r="BR49" s="83">
        <f>SUM(BR47:BR48)</f>
        <v>0.90000000000000213</v>
      </c>
      <c r="BS49" s="82"/>
      <c r="BT49" s="82"/>
      <c r="BU49" s="82"/>
      <c r="BV49" s="82"/>
      <c r="BW49" s="62" t="s">
        <v>103</v>
      </c>
    </row>
    <row r="50" spans="1:87" ht="15" customHeight="1" x14ac:dyDescent="0.2">
      <c r="A50" s="2">
        <v>62009014</v>
      </c>
      <c r="B50" s="58" t="s">
        <v>177</v>
      </c>
      <c r="C50" s="58" t="s">
        <v>98</v>
      </c>
      <c r="D50" s="59" t="s">
        <v>178</v>
      </c>
      <c r="E50" s="60" t="s">
        <v>179</v>
      </c>
      <c r="F50" s="61" t="str">
        <f t="shared" si="49"/>
        <v>09/14/20</v>
      </c>
      <c r="G50" s="62" t="s">
        <v>180</v>
      </c>
      <c r="H50" s="62" t="s">
        <v>110</v>
      </c>
      <c r="I50" s="63"/>
      <c r="J50" s="64">
        <v>19.891812999999999</v>
      </c>
      <c r="K50" s="64">
        <v>53.751899000000002</v>
      </c>
      <c r="L50" s="64">
        <v>29.626154</v>
      </c>
      <c r="M50" s="64">
        <v>26.964185000000001</v>
      </c>
      <c r="N50" s="65">
        <v>3875</v>
      </c>
      <c r="O50" s="65">
        <v>28.39</v>
      </c>
      <c r="P50" s="65">
        <v>0.20169999999999999</v>
      </c>
      <c r="Q50" s="65">
        <v>1.932E-2</v>
      </c>
      <c r="R50" s="66">
        <v>1.9144747900000001</v>
      </c>
      <c r="S50" s="66">
        <f t="shared" ref="S50:S57" si="61">R50+R49</f>
        <v>9.9304198699999997</v>
      </c>
      <c r="T50" s="67">
        <v>88.601382999999998</v>
      </c>
      <c r="U50" s="67">
        <v>88.218383000000003</v>
      </c>
      <c r="V50" s="68">
        <v>6487</v>
      </c>
      <c r="W50" s="68">
        <v>6765</v>
      </c>
      <c r="X50" s="68">
        <f t="shared" ref="X50:X57" si="62">W50-V50</f>
        <v>278</v>
      </c>
      <c r="Y50" s="68">
        <f t="shared" si="50"/>
        <v>145.20953812089633</v>
      </c>
      <c r="Z50" s="69">
        <v>210.5</v>
      </c>
      <c r="AA50" s="68">
        <v>242.6</v>
      </c>
      <c r="AB50" s="68">
        <f t="shared" ref="AB50:AB57" si="63">AA50-Z50</f>
        <v>32.099999999999994</v>
      </c>
      <c r="AC50" s="68">
        <f t="shared" si="51"/>
        <v>16.767000624750974</v>
      </c>
      <c r="AD50" s="69">
        <v>179.147909</v>
      </c>
      <c r="AE50" s="68">
        <v>207.19</v>
      </c>
      <c r="AF50" s="68">
        <f t="shared" ref="AF50:AF57" si="64">AE50-AD50</f>
        <v>28.042090999999999</v>
      </c>
      <c r="AG50" s="68">
        <f t="shared" si="52"/>
        <v>14.647406769978934</v>
      </c>
      <c r="AH50" s="69">
        <v>4.96</v>
      </c>
      <c r="AI50" s="68">
        <v>0.15</v>
      </c>
      <c r="AJ50" s="68">
        <f t="shared" ref="AJ50:AJ57" si="65">AI50-AH50</f>
        <v>-4.8099999999999996</v>
      </c>
      <c r="AK50" s="70">
        <f t="shared" si="53"/>
        <v>-2.5124384113723428</v>
      </c>
      <c r="AL50" s="69">
        <v>-19.3</v>
      </c>
      <c r="AM50" s="68">
        <v>-21.9</v>
      </c>
      <c r="AN50" s="68">
        <f t="shared" ref="AN50:AN57" si="66">AM50-AL50</f>
        <v>-2.5999999999999979</v>
      </c>
      <c r="AO50" s="70">
        <f t="shared" si="54"/>
        <v>-1.3580748169580221</v>
      </c>
      <c r="AP50" s="69">
        <v>-23.1</v>
      </c>
      <c r="AQ50" s="68">
        <v>-26.2</v>
      </c>
      <c r="AR50" s="68">
        <f t="shared" ref="AR50:AR57" si="67">AQ50-AP50</f>
        <v>-3.0999999999999979</v>
      </c>
      <c r="AS50" s="70">
        <f t="shared" si="55"/>
        <v>-1.619243050988411</v>
      </c>
      <c r="AT50" s="69">
        <v>7.5</v>
      </c>
      <c r="AU50" s="68">
        <v>8.5</v>
      </c>
      <c r="AV50" s="68">
        <f t="shared" ref="AV50:AV57" si="68">AU50-AT50</f>
        <v>1</v>
      </c>
      <c r="AW50" s="70">
        <f t="shared" si="56"/>
        <v>0.52233646806077816</v>
      </c>
      <c r="AX50" s="69">
        <v>6482</v>
      </c>
      <c r="AY50" s="68">
        <v>6759</v>
      </c>
      <c r="AZ50" s="68">
        <f t="shared" ref="AZ50:AZ57" si="69">AY50-AX50</f>
        <v>277</v>
      </c>
      <c r="BA50" s="70">
        <f t="shared" si="57"/>
        <v>144.68720165283554</v>
      </c>
      <c r="BB50" s="69">
        <v>32.1</v>
      </c>
      <c r="BC50" s="68">
        <v>32.9</v>
      </c>
      <c r="BD50" s="68">
        <f t="shared" ref="BD50:BD57" si="70">BC50-BB50</f>
        <v>0.79999999999999716</v>
      </c>
      <c r="BE50" s="70">
        <f t="shared" si="58"/>
        <v>0.41786917444862104</v>
      </c>
      <c r="BF50" s="69">
        <v>0</v>
      </c>
      <c r="BG50" s="68">
        <v>0</v>
      </c>
      <c r="BH50" s="68">
        <f t="shared" ref="BH50:BH57" si="71">BG50-BF50</f>
        <v>0</v>
      </c>
      <c r="BI50" s="70">
        <f t="shared" si="59"/>
        <v>0</v>
      </c>
      <c r="BJ50" s="71">
        <v>88.601382999999998</v>
      </c>
      <c r="BK50" s="71">
        <v>88.218383000000003</v>
      </c>
      <c r="BL50" s="71">
        <f t="shared" ref="BL50:BL57" si="72">BK50-BJ50</f>
        <v>-0.38299999999999557</v>
      </c>
      <c r="BM50" s="72">
        <v>0</v>
      </c>
      <c r="BN50" s="73">
        <v>0</v>
      </c>
      <c r="BO50" s="73">
        <f t="shared" ref="BO50:BO57" si="73">BN50-BM50</f>
        <v>0</v>
      </c>
      <c r="BP50" s="72">
        <v>32.1</v>
      </c>
      <c r="BQ50" s="73">
        <v>32.9</v>
      </c>
      <c r="BR50" s="73">
        <f t="shared" ref="BR50:BR57" si="74">BQ50-BP50</f>
        <v>0.79999999999999716</v>
      </c>
      <c r="BS50" s="71"/>
      <c r="BT50" s="71"/>
      <c r="BU50" s="71"/>
      <c r="BV50" s="71"/>
      <c r="BW50" s="62" t="s">
        <v>103</v>
      </c>
      <c r="BX50" s="5">
        <v>1001.59722656</v>
      </c>
      <c r="BY50" s="5">
        <v>-3.1785631400000001</v>
      </c>
      <c r="BZ50" s="5">
        <v>1935.56034826</v>
      </c>
      <c r="CA50" s="5">
        <v>1999.1031025499999</v>
      </c>
      <c r="CB50" s="5">
        <v>1.41668774</v>
      </c>
      <c r="CC50" s="5">
        <v>1.45194694</v>
      </c>
      <c r="CD50" s="5">
        <v>6.8798000000000004E-4</v>
      </c>
      <c r="CE50" s="5">
        <v>1.9143234499999999</v>
      </c>
      <c r="CF50" s="5">
        <v>1.9143102700000001</v>
      </c>
      <c r="CG50" s="5">
        <v>-2.4895531599999998</v>
      </c>
      <c r="CH50" s="5">
        <v>-2.4284086600000001</v>
      </c>
      <c r="CI50" s="5">
        <v>0.79372071</v>
      </c>
    </row>
    <row r="51" spans="1:87" ht="15" customHeight="1" x14ac:dyDescent="0.2">
      <c r="A51" s="2">
        <v>62009014</v>
      </c>
      <c r="B51" s="58" t="s">
        <v>177</v>
      </c>
      <c r="C51" s="58" t="s">
        <v>104</v>
      </c>
      <c r="D51" s="59" t="s">
        <v>178</v>
      </c>
      <c r="E51" s="60" t="s">
        <v>179</v>
      </c>
      <c r="F51" s="61" t="str">
        <f t="shared" si="49"/>
        <v>09/14/20</v>
      </c>
      <c r="G51" s="62" t="s">
        <v>180</v>
      </c>
      <c r="H51" s="62" t="s">
        <v>110</v>
      </c>
      <c r="I51" s="63"/>
      <c r="J51" s="64">
        <v>22.711572</v>
      </c>
      <c r="K51" s="64">
        <v>45.651806999999998</v>
      </c>
      <c r="L51" s="64">
        <v>29.624478</v>
      </c>
      <c r="M51" s="64">
        <v>27.316472000000001</v>
      </c>
      <c r="N51" s="65">
        <v>3875</v>
      </c>
      <c r="O51" s="65">
        <v>28.39</v>
      </c>
      <c r="P51" s="65">
        <v>0.20169999999999999</v>
      </c>
      <c r="Q51" s="65">
        <v>1.932E-2</v>
      </c>
      <c r="R51" s="66">
        <v>2.9563227200000002</v>
      </c>
      <c r="S51" s="66">
        <f t="shared" si="61"/>
        <v>4.8707975100000001</v>
      </c>
      <c r="T51" s="67">
        <v>88.218383000000003</v>
      </c>
      <c r="U51" s="67">
        <v>87.591238000000004</v>
      </c>
      <c r="V51" s="68">
        <v>6765</v>
      </c>
      <c r="W51" s="68">
        <v>7219</v>
      </c>
      <c r="X51" s="68">
        <f t="shared" si="62"/>
        <v>454</v>
      </c>
      <c r="Y51" s="68">
        <f t="shared" si="50"/>
        <v>153.56916108265744</v>
      </c>
      <c r="Z51" s="69">
        <v>242.6</v>
      </c>
      <c r="AA51" s="68">
        <v>261.60000000000002</v>
      </c>
      <c r="AB51" s="68">
        <f t="shared" si="63"/>
        <v>19.000000000000028</v>
      </c>
      <c r="AC51" s="68">
        <f t="shared" si="51"/>
        <v>6.4269032171156288</v>
      </c>
      <c r="AD51" s="69">
        <v>207.2</v>
      </c>
      <c r="AE51" s="68">
        <v>223.42</v>
      </c>
      <c r="AF51" s="68">
        <f t="shared" si="64"/>
        <v>16.22</v>
      </c>
      <c r="AG51" s="68">
        <f t="shared" si="52"/>
        <v>5.4865457990323865</v>
      </c>
      <c r="AH51" s="69">
        <v>0.15</v>
      </c>
      <c r="AI51" s="68">
        <v>0.73</v>
      </c>
      <c r="AJ51" s="68">
        <f t="shared" si="65"/>
        <v>0.57999999999999996</v>
      </c>
      <c r="AK51" s="70">
        <f t="shared" si="53"/>
        <v>0.19618967715405575</v>
      </c>
      <c r="AL51" s="69">
        <v>-21.9</v>
      </c>
      <c r="AM51" s="68">
        <v>-23.7</v>
      </c>
      <c r="AN51" s="68">
        <f t="shared" si="66"/>
        <v>-1.8000000000000007</v>
      </c>
      <c r="AO51" s="70">
        <f t="shared" si="54"/>
        <v>-0.60886451530569052</v>
      </c>
      <c r="AP51" s="69">
        <v>-26.2</v>
      </c>
      <c r="AQ51" s="68">
        <v>-28.4</v>
      </c>
      <c r="AR51" s="68">
        <f t="shared" si="67"/>
        <v>-2.1999999999999993</v>
      </c>
      <c r="AS51" s="70">
        <f t="shared" si="55"/>
        <v>-0.7441677409291767</v>
      </c>
      <c r="AT51" s="69">
        <v>8.5</v>
      </c>
      <c r="AU51" s="68">
        <v>9.1999999999999993</v>
      </c>
      <c r="AV51" s="68">
        <f t="shared" si="68"/>
        <v>0.69999999999999929</v>
      </c>
      <c r="AW51" s="70">
        <f t="shared" si="56"/>
        <v>0.23678064484110153</v>
      </c>
      <c r="AX51" s="69">
        <v>6759</v>
      </c>
      <c r="AY51" s="68">
        <v>7212</v>
      </c>
      <c r="AZ51" s="68">
        <f t="shared" si="69"/>
        <v>453</v>
      </c>
      <c r="BA51" s="70">
        <f t="shared" si="57"/>
        <v>153.23090301859872</v>
      </c>
      <c r="BB51" s="69">
        <v>32.9</v>
      </c>
      <c r="BC51" s="68">
        <v>33.6</v>
      </c>
      <c r="BD51" s="68">
        <f t="shared" si="70"/>
        <v>0.70000000000000284</v>
      </c>
      <c r="BE51" s="70">
        <f t="shared" si="58"/>
        <v>0.23678064484110273</v>
      </c>
      <c r="BF51" s="69">
        <v>0</v>
      </c>
      <c r="BG51" s="68">
        <v>0</v>
      </c>
      <c r="BH51" s="68">
        <f t="shared" si="71"/>
        <v>0</v>
      </c>
      <c r="BI51" s="70">
        <f t="shared" si="59"/>
        <v>0</v>
      </c>
      <c r="BJ51" s="71">
        <v>88.218383000000003</v>
      </c>
      <c r="BK51" s="71">
        <v>87.591238000000004</v>
      </c>
      <c r="BL51" s="71">
        <f t="shared" si="72"/>
        <v>-0.62714499999999873</v>
      </c>
      <c r="BM51" s="72">
        <v>0</v>
      </c>
      <c r="BN51" s="73">
        <v>0</v>
      </c>
      <c r="BO51" s="73">
        <f t="shared" si="73"/>
        <v>0</v>
      </c>
      <c r="BP51" s="72">
        <v>32.9</v>
      </c>
      <c r="BQ51" s="73">
        <v>33.6</v>
      </c>
      <c r="BR51" s="73">
        <f t="shared" si="74"/>
        <v>0.70000000000000284</v>
      </c>
      <c r="BS51" s="71"/>
      <c r="BT51" s="71"/>
      <c r="BU51" s="71"/>
      <c r="BV51" s="71"/>
      <c r="BW51" s="62" t="s">
        <v>103</v>
      </c>
      <c r="BX51" s="5">
        <v>1964.982935</v>
      </c>
      <c r="BY51" s="5">
        <v>-3.6674135300000001</v>
      </c>
      <c r="BZ51" s="5">
        <v>1789.75472038</v>
      </c>
      <c r="CA51" s="5">
        <v>1857.89127646</v>
      </c>
      <c r="CB51" s="5">
        <v>2.4190376499999999</v>
      </c>
      <c r="CC51" s="5">
        <v>2.4524073300000002</v>
      </c>
      <c r="CD51" s="5">
        <v>0.27064062999999999</v>
      </c>
      <c r="CE51" s="5">
        <v>2.9562977099999999</v>
      </c>
      <c r="CF51" s="5">
        <v>2.94831836</v>
      </c>
      <c r="CG51" s="5">
        <v>-1.65383474</v>
      </c>
      <c r="CH51" s="5">
        <v>-1.36069054</v>
      </c>
      <c r="CI51" s="5">
        <v>0.68639919000000005</v>
      </c>
    </row>
    <row r="52" spans="1:87" ht="15" customHeight="1" x14ac:dyDescent="0.2">
      <c r="A52" s="2">
        <v>62009014</v>
      </c>
      <c r="B52" s="58" t="s">
        <v>181</v>
      </c>
      <c r="C52" s="58" t="s">
        <v>105</v>
      </c>
      <c r="D52" s="59" t="s">
        <v>178</v>
      </c>
      <c r="E52" s="60" t="s">
        <v>179</v>
      </c>
      <c r="F52" s="61" t="str">
        <f t="shared" si="49"/>
        <v>09/14/20</v>
      </c>
      <c r="G52" s="62" t="s">
        <v>180</v>
      </c>
      <c r="H52" s="62" t="s">
        <v>110</v>
      </c>
      <c r="I52" s="63"/>
      <c r="J52" s="64">
        <v>24.724954</v>
      </c>
      <c r="K52" s="64">
        <v>39.832540000000002</v>
      </c>
      <c r="L52" s="64">
        <v>29.631184000000001</v>
      </c>
      <c r="M52" s="64">
        <v>29.057191</v>
      </c>
      <c r="N52" s="65">
        <v>3875</v>
      </c>
      <c r="O52" s="65">
        <v>28.39</v>
      </c>
      <c r="P52" s="65">
        <v>0.20169999999999999</v>
      </c>
      <c r="Q52" s="65">
        <v>1.932E-2</v>
      </c>
      <c r="R52" s="66">
        <v>4.3989873800000003</v>
      </c>
      <c r="S52" s="66">
        <f t="shared" si="61"/>
        <v>7.3553101000000005</v>
      </c>
      <c r="T52" s="67">
        <v>87.591238000000004</v>
      </c>
      <c r="U52" s="67">
        <v>86.489537999999996</v>
      </c>
      <c r="V52" s="68">
        <v>7219</v>
      </c>
      <c r="W52" s="68">
        <v>8019</v>
      </c>
      <c r="X52" s="68">
        <f t="shared" si="62"/>
        <v>800</v>
      </c>
      <c r="Y52" s="68">
        <f t="shared" si="50"/>
        <v>181.86003525202202</v>
      </c>
      <c r="Z52" s="69">
        <v>261.60000000000002</v>
      </c>
      <c r="AA52" s="68">
        <v>282.39999999999998</v>
      </c>
      <c r="AB52" s="68">
        <f t="shared" si="63"/>
        <v>20.799999999999955</v>
      </c>
      <c r="AC52" s="68">
        <f t="shared" si="51"/>
        <v>4.7283609165525622</v>
      </c>
      <c r="AD52" s="69">
        <v>223.42744099999999</v>
      </c>
      <c r="AE52" s="68">
        <v>241.25</v>
      </c>
      <c r="AF52" s="68">
        <f t="shared" si="64"/>
        <v>17.822559000000012</v>
      </c>
      <c r="AG52" s="68">
        <f t="shared" si="52"/>
        <v>4.0515140100265556</v>
      </c>
      <c r="AH52" s="69">
        <v>0.73</v>
      </c>
      <c r="AI52" s="68">
        <v>0.87</v>
      </c>
      <c r="AJ52" s="68">
        <f t="shared" si="65"/>
        <v>0.14000000000000001</v>
      </c>
      <c r="AK52" s="70">
        <f t="shared" si="53"/>
        <v>3.1825506169103852E-2</v>
      </c>
      <c r="AL52" s="69">
        <v>-23.7</v>
      </c>
      <c r="AM52" s="68">
        <v>-25.7</v>
      </c>
      <c r="AN52" s="68">
        <f t="shared" si="66"/>
        <v>-2</v>
      </c>
      <c r="AO52" s="70">
        <f t="shared" si="54"/>
        <v>-0.45465008813005503</v>
      </c>
      <c r="AP52" s="69">
        <v>-28.4</v>
      </c>
      <c r="AQ52" s="68">
        <v>-30.8</v>
      </c>
      <c r="AR52" s="68">
        <f t="shared" si="67"/>
        <v>-2.4000000000000021</v>
      </c>
      <c r="AS52" s="70">
        <f t="shared" si="55"/>
        <v>-0.54558010575606652</v>
      </c>
      <c r="AT52" s="69">
        <v>9.1999999999999993</v>
      </c>
      <c r="AU52" s="68">
        <v>10</v>
      </c>
      <c r="AV52" s="68">
        <f t="shared" si="68"/>
        <v>0.80000000000000071</v>
      </c>
      <c r="AW52" s="70">
        <f t="shared" si="56"/>
        <v>0.18186003525202218</v>
      </c>
      <c r="AX52" s="69">
        <v>7212</v>
      </c>
      <c r="AY52" s="68">
        <v>8011.7381420000002</v>
      </c>
      <c r="AZ52" s="68">
        <f t="shared" si="69"/>
        <v>799.73814200000015</v>
      </c>
      <c r="BA52" s="70">
        <f t="shared" si="57"/>
        <v>181.80050837063325</v>
      </c>
      <c r="BB52" s="69">
        <v>33.6</v>
      </c>
      <c r="BC52" s="68">
        <v>34.200000000000003</v>
      </c>
      <c r="BD52" s="68">
        <f t="shared" si="70"/>
        <v>0.60000000000000142</v>
      </c>
      <c r="BE52" s="70">
        <f t="shared" si="58"/>
        <v>0.13639502643901683</v>
      </c>
      <c r="BF52" s="69">
        <v>0</v>
      </c>
      <c r="BG52" s="68">
        <v>0</v>
      </c>
      <c r="BH52" s="68">
        <f t="shared" si="71"/>
        <v>0</v>
      </c>
      <c r="BI52" s="70">
        <f t="shared" si="59"/>
        <v>0</v>
      </c>
      <c r="BJ52" s="71">
        <v>87.591238000000004</v>
      </c>
      <c r="BK52" s="71">
        <v>86.489537999999996</v>
      </c>
      <c r="BL52" s="71">
        <f t="shared" si="72"/>
        <v>-1.1017000000000081</v>
      </c>
      <c r="BM52" s="72">
        <v>0</v>
      </c>
      <c r="BN52" s="73">
        <v>0</v>
      </c>
      <c r="BO52" s="73">
        <f t="shared" si="73"/>
        <v>0</v>
      </c>
      <c r="BP52" s="72">
        <v>33.6</v>
      </c>
      <c r="BQ52" s="73">
        <v>34.200000000000003</v>
      </c>
      <c r="BR52" s="73">
        <f t="shared" si="74"/>
        <v>0.60000000000000142</v>
      </c>
      <c r="BS52" s="71"/>
      <c r="BT52" s="71"/>
      <c r="BU52" s="71"/>
      <c r="BV52" s="71"/>
      <c r="BW52" s="62" t="s">
        <v>103</v>
      </c>
      <c r="BX52" s="5">
        <v>1731.76106424</v>
      </c>
      <c r="BY52" s="5">
        <v>-2.6473958099999999</v>
      </c>
      <c r="BZ52" s="5">
        <v>1584.1726310700001</v>
      </c>
      <c r="CA52" s="5">
        <v>1627.25244417</v>
      </c>
      <c r="CB52" s="5">
        <v>3.4881814699999998</v>
      </c>
      <c r="CC52" s="5">
        <v>3.51232978</v>
      </c>
      <c r="CD52" s="5">
        <v>0.25952259999999999</v>
      </c>
      <c r="CE52" s="5">
        <v>4.3989981499999997</v>
      </c>
      <c r="CF52" s="5">
        <v>4.3876112999999997</v>
      </c>
      <c r="CG52" s="5">
        <v>-0.95360849000000003</v>
      </c>
      <c r="CH52" s="5">
        <v>-0.68752955000000004</v>
      </c>
      <c r="CI52" s="5">
        <v>0.49641528000000001</v>
      </c>
    </row>
    <row r="53" spans="1:87" ht="15" customHeight="1" x14ac:dyDescent="0.2">
      <c r="A53" s="2">
        <v>62009014</v>
      </c>
      <c r="B53" s="58" t="s">
        <v>181</v>
      </c>
      <c r="C53" s="58" t="s">
        <v>122</v>
      </c>
      <c r="D53" s="59" t="s">
        <v>178</v>
      </c>
      <c r="E53" s="60" t="s">
        <v>179</v>
      </c>
      <c r="F53" s="61" t="str">
        <f t="shared" si="49"/>
        <v>09/14/20</v>
      </c>
      <c r="G53" s="62" t="s">
        <v>180</v>
      </c>
      <c r="H53" s="62" t="s">
        <v>110</v>
      </c>
      <c r="I53" s="63"/>
      <c r="J53" s="64">
        <v>25.682134000000001</v>
      </c>
      <c r="K53" s="64">
        <v>37.44979</v>
      </c>
      <c r="L53" s="64">
        <v>29.638756000000001</v>
      </c>
      <c r="M53" s="64">
        <v>30.218807999999999</v>
      </c>
      <c r="N53" s="65">
        <v>3875</v>
      </c>
      <c r="O53" s="65">
        <v>28.39</v>
      </c>
      <c r="P53" s="65">
        <v>0.20169999999999999</v>
      </c>
      <c r="Q53" s="65">
        <v>1.932E-2</v>
      </c>
      <c r="R53" s="66">
        <v>5.1420585299999999</v>
      </c>
      <c r="S53" s="66">
        <f t="shared" si="61"/>
        <v>9.5410459100000011</v>
      </c>
      <c r="T53" s="67">
        <v>86.489537999999996</v>
      </c>
      <c r="U53" s="67">
        <v>84.531807999999998</v>
      </c>
      <c r="V53" s="68">
        <v>8019</v>
      </c>
      <c r="W53" s="68">
        <v>9436</v>
      </c>
      <c r="X53" s="68">
        <f t="shared" si="62"/>
        <v>1417</v>
      </c>
      <c r="Y53" s="68">
        <f t="shared" si="50"/>
        <v>275.57056998337981</v>
      </c>
      <c r="Z53" s="69">
        <v>282.39999999999998</v>
      </c>
      <c r="AA53" s="68">
        <v>297.39999999999998</v>
      </c>
      <c r="AB53" s="68">
        <f t="shared" si="63"/>
        <v>15</v>
      </c>
      <c r="AC53" s="68">
        <f t="shared" si="51"/>
        <v>2.9171196540230748</v>
      </c>
      <c r="AD53" s="69">
        <v>241.26</v>
      </c>
      <c r="AE53" s="68">
        <v>254.16</v>
      </c>
      <c r="AF53" s="68">
        <f t="shared" si="64"/>
        <v>12.900000000000006</v>
      </c>
      <c r="AG53" s="68">
        <f t="shared" si="52"/>
        <v>2.5087229024598452</v>
      </c>
      <c r="AH53" s="69">
        <v>0.87</v>
      </c>
      <c r="AI53" s="68">
        <v>0.89</v>
      </c>
      <c r="AJ53" s="68">
        <f t="shared" si="65"/>
        <v>2.0000000000000018E-2</v>
      </c>
      <c r="AK53" s="70">
        <f t="shared" si="53"/>
        <v>3.8894928720307697E-3</v>
      </c>
      <c r="AL53" s="69">
        <v>-25.7</v>
      </c>
      <c r="AM53" s="68">
        <v>-27</v>
      </c>
      <c r="AN53" s="68">
        <f t="shared" si="66"/>
        <v>-1.3000000000000007</v>
      </c>
      <c r="AO53" s="70">
        <f t="shared" si="54"/>
        <v>-0.25281703668199995</v>
      </c>
      <c r="AP53" s="69">
        <v>-30.8</v>
      </c>
      <c r="AQ53" s="68">
        <v>-32.5</v>
      </c>
      <c r="AR53" s="68">
        <f t="shared" si="67"/>
        <v>-1.6999999999999993</v>
      </c>
      <c r="AS53" s="70">
        <f t="shared" si="55"/>
        <v>-0.33060689412261501</v>
      </c>
      <c r="AT53" s="69">
        <v>10</v>
      </c>
      <c r="AU53" s="68">
        <v>10.5</v>
      </c>
      <c r="AV53" s="68">
        <f t="shared" si="68"/>
        <v>0.5</v>
      </c>
      <c r="AW53" s="70">
        <f t="shared" si="56"/>
        <v>9.7237321800769161E-2</v>
      </c>
      <c r="AX53" s="69">
        <v>8012</v>
      </c>
      <c r="AY53" s="68">
        <v>9429</v>
      </c>
      <c r="AZ53" s="68">
        <f t="shared" si="69"/>
        <v>1417</v>
      </c>
      <c r="BA53" s="70">
        <f t="shared" si="57"/>
        <v>275.57056998337981</v>
      </c>
      <c r="BB53" s="69">
        <v>34.200000000000003</v>
      </c>
      <c r="BC53" s="68">
        <v>34.6</v>
      </c>
      <c r="BD53" s="68">
        <f t="shared" si="70"/>
        <v>0.39999999999999858</v>
      </c>
      <c r="BE53" s="70">
        <f t="shared" si="58"/>
        <v>7.7789857440615048E-2</v>
      </c>
      <c r="BF53" s="69">
        <v>0</v>
      </c>
      <c r="BG53" s="68">
        <v>0</v>
      </c>
      <c r="BH53" s="68">
        <f t="shared" si="71"/>
        <v>0</v>
      </c>
      <c r="BI53" s="70">
        <f t="shared" si="59"/>
        <v>0</v>
      </c>
      <c r="BJ53" s="71">
        <v>86.489537999999996</v>
      </c>
      <c r="BK53" s="71">
        <v>84.531807999999998</v>
      </c>
      <c r="BL53" s="71">
        <f t="shared" si="72"/>
        <v>-1.957729999999998</v>
      </c>
      <c r="BM53" s="72">
        <v>0</v>
      </c>
      <c r="BN53" s="73">
        <v>0</v>
      </c>
      <c r="BO53" s="73">
        <f t="shared" si="73"/>
        <v>0</v>
      </c>
      <c r="BP53" s="72">
        <v>34.200000000000003</v>
      </c>
      <c r="BQ53" s="73">
        <v>34.6</v>
      </c>
      <c r="BR53" s="73">
        <f t="shared" si="74"/>
        <v>0.39999999999999858</v>
      </c>
      <c r="BS53" s="71"/>
      <c r="BT53" s="71"/>
      <c r="BU53" s="71"/>
      <c r="BV53" s="71"/>
      <c r="BW53" s="62" t="s">
        <v>103</v>
      </c>
      <c r="BX53" s="5">
        <v>1516.41432396</v>
      </c>
      <c r="BY53" s="5">
        <v>0.70761430999999997</v>
      </c>
      <c r="BZ53" s="5">
        <v>1000.4117128</v>
      </c>
      <c r="CA53" s="5">
        <v>993.38239684999996</v>
      </c>
      <c r="CB53" s="5">
        <v>5.5001540699999998</v>
      </c>
      <c r="CC53" s="5">
        <v>5.4582867300000002</v>
      </c>
      <c r="CD53" s="5">
        <v>0.25873584999999999</v>
      </c>
      <c r="CE53" s="5">
        <v>5.1421026400000001</v>
      </c>
      <c r="CF53" s="5">
        <v>5.1288325099999996</v>
      </c>
      <c r="CG53" s="5">
        <v>0.50443673</v>
      </c>
      <c r="CH53" s="5">
        <v>0.76704183000000004</v>
      </c>
      <c r="CI53" s="5">
        <v>0.33763696999999998</v>
      </c>
    </row>
    <row r="54" spans="1:87" ht="15" customHeight="1" x14ac:dyDescent="0.2">
      <c r="A54" s="2">
        <v>62009014</v>
      </c>
      <c r="B54" s="58" t="s">
        <v>181</v>
      </c>
      <c r="C54" s="58" t="s">
        <v>124</v>
      </c>
      <c r="D54" s="59" t="s">
        <v>178</v>
      </c>
      <c r="E54" s="60" t="s">
        <v>179</v>
      </c>
      <c r="F54" s="61" t="str">
        <f t="shared" si="49"/>
        <v>09/14/20</v>
      </c>
      <c r="G54" s="62" t="s">
        <v>180</v>
      </c>
      <c r="H54" s="62" t="s">
        <v>110</v>
      </c>
      <c r="I54" s="63"/>
      <c r="J54" s="64">
        <v>18.263549999999999</v>
      </c>
      <c r="K54" s="64">
        <v>58.180580999999997</v>
      </c>
      <c r="L54" s="64">
        <v>29.614229000000002</v>
      </c>
      <c r="M54" s="64">
        <v>28.355910999999999</v>
      </c>
      <c r="N54" s="65">
        <v>3875</v>
      </c>
      <c r="O54" s="65">
        <v>28.39</v>
      </c>
      <c r="P54" s="65">
        <v>0.20169999999999999</v>
      </c>
      <c r="Q54" s="65">
        <v>1.932E-2</v>
      </c>
      <c r="R54" s="66">
        <v>1.91441043</v>
      </c>
      <c r="S54" s="66">
        <f t="shared" si="61"/>
        <v>7.0564689600000001</v>
      </c>
      <c r="T54" s="67">
        <v>84.525705000000002</v>
      </c>
      <c r="U54" s="67">
        <v>84.156436999999997</v>
      </c>
      <c r="V54" s="68">
        <v>9440</v>
      </c>
      <c r="W54" s="68">
        <v>9707</v>
      </c>
      <c r="X54" s="68">
        <f t="shared" si="62"/>
        <v>267</v>
      </c>
      <c r="Y54" s="68">
        <f t="shared" si="50"/>
        <v>139.4685255658579</v>
      </c>
      <c r="Z54" s="69">
        <v>300.7</v>
      </c>
      <c r="AA54" s="68">
        <v>326.5</v>
      </c>
      <c r="AB54" s="68">
        <f t="shared" si="63"/>
        <v>25.800000000000011</v>
      </c>
      <c r="AC54" s="68">
        <f t="shared" si="51"/>
        <v>13.476733931082903</v>
      </c>
      <c r="AD54" s="69">
        <v>257.03679</v>
      </c>
      <c r="AE54" s="68">
        <v>279.23</v>
      </c>
      <c r="AF54" s="68">
        <f t="shared" si="64"/>
        <v>22.193210000000022</v>
      </c>
      <c r="AG54" s="68">
        <f t="shared" si="52"/>
        <v>11.592712645218937</v>
      </c>
      <c r="AH54" s="69">
        <v>2.5</v>
      </c>
      <c r="AI54" s="68">
        <v>2.77</v>
      </c>
      <c r="AJ54" s="68">
        <f t="shared" si="65"/>
        <v>0.27</v>
      </c>
      <c r="AK54" s="70">
        <f t="shared" si="53"/>
        <v>0.14103558765086754</v>
      </c>
      <c r="AL54" s="69">
        <v>-27.2</v>
      </c>
      <c r="AM54" s="68">
        <v>-29.7</v>
      </c>
      <c r="AN54" s="68">
        <f t="shared" si="66"/>
        <v>-2.5</v>
      </c>
      <c r="AO54" s="70">
        <f t="shared" si="54"/>
        <v>-1.3058850708413661</v>
      </c>
      <c r="AP54" s="69">
        <v>-32.4</v>
      </c>
      <c r="AQ54" s="68">
        <v>-35.5</v>
      </c>
      <c r="AR54" s="68">
        <f t="shared" si="67"/>
        <v>-3.1000000000000014</v>
      </c>
      <c r="AS54" s="70">
        <f t="shared" si="55"/>
        <v>-1.6192974878432946</v>
      </c>
      <c r="AT54" s="69">
        <v>10.6</v>
      </c>
      <c r="AU54" s="68">
        <v>11.5</v>
      </c>
      <c r="AV54" s="68">
        <f t="shared" si="68"/>
        <v>0.90000000000000036</v>
      </c>
      <c r="AW54" s="70">
        <f t="shared" si="56"/>
        <v>0.47011862550289196</v>
      </c>
      <c r="AX54" s="69">
        <v>9433</v>
      </c>
      <c r="AY54" s="68">
        <v>9699</v>
      </c>
      <c r="AZ54" s="68">
        <f t="shared" si="69"/>
        <v>266</v>
      </c>
      <c r="BA54" s="70">
        <f t="shared" si="57"/>
        <v>138.94617153752134</v>
      </c>
      <c r="BB54" s="69">
        <v>35.5</v>
      </c>
      <c r="BC54" s="68">
        <v>36.299999999999997</v>
      </c>
      <c r="BD54" s="68">
        <f t="shared" si="70"/>
        <v>0.79999999999999716</v>
      </c>
      <c r="BE54" s="70">
        <f t="shared" si="58"/>
        <v>0.41788322266923567</v>
      </c>
      <c r="BF54" s="69">
        <v>0</v>
      </c>
      <c r="BG54" s="68">
        <v>0</v>
      </c>
      <c r="BH54" s="68">
        <f t="shared" si="71"/>
        <v>0</v>
      </c>
      <c r="BI54" s="70">
        <f t="shared" si="59"/>
        <v>0</v>
      </c>
      <c r="BJ54" s="71">
        <v>84.525705000000002</v>
      </c>
      <c r="BK54" s="71">
        <v>84.156436999999997</v>
      </c>
      <c r="BL54" s="71">
        <f t="shared" si="72"/>
        <v>-0.36926800000000526</v>
      </c>
      <c r="BM54" s="72">
        <v>0</v>
      </c>
      <c r="BN54" s="73">
        <v>0</v>
      </c>
      <c r="BO54" s="73">
        <f t="shared" si="73"/>
        <v>0</v>
      </c>
      <c r="BP54" s="72">
        <v>35.5</v>
      </c>
      <c r="BQ54" s="73">
        <v>36.299999999999997</v>
      </c>
      <c r="BR54" s="73">
        <f t="shared" si="74"/>
        <v>0.79999999999999716</v>
      </c>
      <c r="BS54" s="71"/>
      <c r="BT54" s="71"/>
      <c r="BU54" s="71"/>
      <c r="BV54" s="71"/>
      <c r="BW54" s="62" t="s">
        <v>103</v>
      </c>
      <c r="BX54" s="5">
        <v>1000.10490629</v>
      </c>
      <c r="BY54" s="5">
        <v>-3.16114586</v>
      </c>
      <c r="BZ54" s="5">
        <v>1935.8258611599999</v>
      </c>
      <c r="CA54" s="5">
        <v>1999.01772719</v>
      </c>
      <c r="CB54" s="5">
        <v>1.41719069</v>
      </c>
      <c r="CC54" s="5">
        <v>1.45186014</v>
      </c>
      <c r="CD54" s="5">
        <v>-1.7955E-4</v>
      </c>
      <c r="CE54" s="5">
        <v>1.91430667</v>
      </c>
      <c r="CF54" s="5">
        <v>1.91431011</v>
      </c>
      <c r="CG54" s="5">
        <v>-2.4461666000000002</v>
      </c>
      <c r="CH54" s="5">
        <v>-2.3879333300000001</v>
      </c>
      <c r="CI54" s="5">
        <v>0.79372936000000005</v>
      </c>
    </row>
    <row r="55" spans="1:87" ht="15" customHeight="1" x14ac:dyDescent="0.2">
      <c r="A55" s="2">
        <v>62009014</v>
      </c>
      <c r="B55" s="58" t="s">
        <v>181</v>
      </c>
      <c r="C55" s="58" t="s">
        <v>182</v>
      </c>
      <c r="D55" s="59" t="s">
        <v>178</v>
      </c>
      <c r="E55" s="60" t="s">
        <v>179</v>
      </c>
      <c r="F55" s="61" t="str">
        <f t="shared" si="49"/>
        <v>09/14/20</v>
      </c>
      <c r="G55" s="62" t="s">
        <v>180</v>
      </c>
      <c r="H55" s="62" t="s">
        <v>110</v>
      </c>
      <c r="I55" s="63"/>
      <c r="J55" s="64">
        <v>20.891470999999999</v>
      </c>
      <c r="K55" s="64">
        <v>51.183453999999998</v>
      </c>
      <c r="L55" s="64">
        <v>29.61177</v>
      </c>
      <c r="M55" s="64">
        <v>27.336881000000002</v>
      </c>
      <c r="N55" s="65">
        <v>3875</v>
      </c>
      <c r="O55" s="65">
        <v>28.39</v>
      </c>
      <c r="P55" s="65">
        <v>0.20169999999999999</v>
      </c>
      <c r="Q55" s="65">
        <v>1.932E-2</v>
      </c>
      <c r="R55" s="66">
        <v>2.9562373100000001</v>
      </c>
      <c r="S55" s="66">
        <f t="shared" si="61"/>
        <v>4.8706477399999999</v>
      </c>
      <c r="T55" s="67">
        <v>84.156436999999997</v>
      </c>
      <c r="U55" s="67">
        <v>83.527766</v>
      </c>
      <c r="V55" s="68">
        <v>9707</v>
      </c>
      <c r="W55" s="68">
        <v>10158</v>
      </c>
      <c r="X55" s="68">
        <f t="shared" si="62"/>
        <v>451</v>
      </c>
      <c r="Y55" s="68">
        <f t="shared" si="50"/>
        <v>152.5587944088291</v>
      </c>
      <c r="Z55" s="69">
        <v>326.5</v>
      </c>
      <c r="AA55" s="68">
        <v>346.4</v>
      </c>
      <c r="AB55" s="68">
        <f t="shared" si="63"/>
        <v>19.899999999999977</v>
      </c>
      <c r="AC55" s="68">
        <f t="shared" si="51"/>
        <v>6.7315299528507664</v>
      </c>
      <c r="AD55" s="69">
        <v>279.24</v>
      </c>
      <c r="AE55" s="68">
        <v>296.31</v>
      </c>
      <c r="AF55" s="68">
        <f t="shared" si="64"/>
        <v>17.069999999999993</v>
      </c>
      <c r="AG55" s="68">
        <f t="shared" si="52"/>
        <v>5.7742319746312898</v>
      </c>
      <c r="AH55" s="69">
        <v>2.77</v>
      </c>
      <c r="AI55" s="68">
        <v>2.56</v>
      </c>
      <c r="AJ55" s="68">
        <f t="shared" si="65"/>
        <v>-0.20999999999999996</v>
      </c>
      <c r="AK55" s="70">
        <f t="shared" si="53"/>
        <v>-7.1036245733601122E-2</v>
      </c>
      <c r="AL55" s="69">
        <v>-29.7</v>
      </c>
      <c r="AM55" s="68">
        <v>-31.5</v>
      </c>
      <c r="AN55" s="68">
        <f t="shared" si="66"/>
        <v>-1.8000000000000007</v>
      </c>
      <c r="AO55" s="70">
        <f t="shared" si="54"/>
        <v>-0.60888210628800998</v>
      </c>
      <c r="AP55" s="69">
        <v>-35.5</v>
      </c>
      <c r="AQ55" s="68">
        <v>-37.799999999999997</v>
      </c>
      <c r="AR55" s="68">
        <f t="shared" si="67"/>
        <v>-2.2999999999999972</v>
      </c>
      <c r="AS55" s="70">
        <f t="shared" si="55"/>
        <v>-0.77801602470134479</v>
      </c>
      <c r="AT55" s="69">
        <v>11.5</v>
      </c>
      <c r="AU55" s="68">
        <v>12.3</v>
      </c>
      <c r="AV55" s="68">
        <f t="shared" si="68"/>
        <v>0.80000000000000071</v>
      </c>
      <c r="AW55" s="70">
        <f t="shared" si="56"/>
        <v>0.27061426946133788</v>
      </c>
      <c r="AX55" s="69">
        <v>9699</v>
      </c>
      <c r="AY55" s="68">
        <v>10150</v>
      </c>
      <c r="AZ55" s="68">
        <f t="shared" si="69"/>
        <v>451</v>
      </c>
      <c r="BA55" s="70">
        <f t="shared" si="57"/>
        <v>152.5587944088291</v>
      </c>
      <c r="BB55" s="69">
        <v>36.299999999999997</v>
      </c>
      <c r="BC55" s="68">
        <v>36.9</v>
      </c>
      <c r="BD55" s="68">
        <f t="shared" si="70"/>
        <v>0.60000000000000142</v>
      </c>
      <c r="BE55" s="70">
        <f t="shared" si="58"/>
        <v>0.20296070209600373</v>
      </c>
      <c r="BF55" s="69">
        <v>0</v>
      </c>
      <c r="BG55" s="68">
        <v>0</v>
      </c>
      <c r="BH55" s="68">
        <f t="shared" si="71"/>
        <v>0</v>
      </c>
      <c r="BI55" s="70">
        <f t="shared" si="59"/>
        <v>0</v>
      </c>
      <c r="BJ55" s="71">
        <v>84.156436999999997</v>
      </c>
      <c r="BK55" s="71">
        <v>83.527766</v>
      </c>
      <c r="BL55" s="71">
        <f t="shared" si="72"/>
        <v>-0.62867099999999709</v>
      </c>
      <c r="BM55" s="72">
        <v>0</v>
      </c>
      <c r="BN55" s="73">
        <v>0</v>
      </c>
      <c r="BO55" s="73">
        <f t="shared" si="73"/>
        <v>0</v>
      </c>
      <c r="BP55" s="72">
        <v>36.299999999999997</v>
      </c>
      <c r="BQ55" s="73">
        <v>36.9</v>
      </c>
      <c r="BR55" s="73">
        <f t="shared" si="74"/>
        <v>0.60000000000000142</v>
      </c>
      <c r="BS55" s="71"/>
      <c r="BT55" s="71"/>
      <c r="BU55" s="71"/>
      <c r="BV55" s="71"/>
      <c r="BW55" s="62" t="s">
        <v>103</v>
      </c>
      <c r="BX55" s="5">
        <v>1964.0481660999999</v>
      </c>
      <c r="BY55" s="5">
        <v>-3.6896560100000002</v>
      </c>
      <c r="BZ55" s="5">
        <v>1789.2439619300001</v>
      </c>
      <c r="CA55" s="5">
        <v>1857.7900232100001</v>
      </c>
      <c r="CB55" s="5">
        <v>2.4176499100000002</v>
      </c>
      <c r="CC55" s="5">
        <v>2.4522982199999999</v>
      </c>
      <c r="CD55" s="5">
        <v>0.26802481</v>
      </c>
      <c r="CE55" s="5">
        <v>2.9562206199999999</v>
      </c>
      <c r="CF55" s="5">
        <v>2.9483183899999998</v>
      </c>
      <c r="CG55" s="5">
        <v>-1.70500611</v>
      </c>
      <c r="CH55" s="5">
        <v>-1.4128914100000001</v>
      </c>
      <c r="CI55" s="5">
        <v>0.68639706</v>
      </c>
    </row>
    <row r="56" spans="1:87" ht="15" customHeight="1" x14ac:dyDescent="0.2">
      <c r="A56" s="2">
        <v>62009014</v>
      </c>
      <c r="B56" s="58" t="s">
        <v>181</v>
      </c>
      <c r="C56" s="58" t="s">
        <v>130</v>
      </c>
      <c r="D56" s="59" t="s">
        <v>178</v>
      </c>
      <c r="E56" s="60" t="s">
        <v>179</v>
      </c>
      <c r="F56" s="61" t="str">
        <f t="shared" si="49"/>
        <v>09/14/20</v>
      </c>
      <c r="G56" s="62" t="s">
        <v>180</v>
      </c>
      <c r="H56" s="62" t="s">
        <v>110</v>
      </c>
      <c r="I56" s="63"/>
      <c r="J56" s="64">
        <v>24.247022000000001</v>
      </c>
      <c r="K56" s="64">
        <v>41.316814000000001</v>
      </c>
      <c r="L56" s="64">
        <v>29.615106000000001</v>
      </c>
      <c r="M56" s="64">
        <v>28.938117999999999</v>
      </c>
      <c r="N56" s="65">
        <v>3875</v>
      </c>
      <c r="O56" s="65">
        <v>28.39</v>
      </c>
      <c r="P56" s="65">
        <v>0.20169999999999999</v>
      </c>
      <c r="Q56" s="65">
        <v>1.932E-2</v>
      </c>
      <c r="R56" s="66">
        <v>4.3991656199999998</v>
      </c>
      <c r="S56" s="66">
        <f t="shared" si="61"/>
        <v>7.3554029300000003</v>
      </c>
      <c r="T56" s="67">
        <v>83.527766</v>
      </c>
      <c r="U56" s="67">
        <v>82.415385000000001</v>
      </c>
      <c r="V56" s="68">
        <v>10158</v>
      </c>
      <c r="W56" s="68">
        <v>10957</v>
      </c>
      <c r="X56" s="68">
        <f t="shared" si="62"/>
        <v>799</v>
      </c>
      <c r="Y56" s="68">
        <f t="shared" si="50"/>
        <v>181.62535103645405</v>
      </c>
      <c r="Z56" s="69">
        <v>346.4</v>
      </c>
      <c r="AA56" s="68">
        <v>367.5</v>
      </c>
      <c r="AB56" s="68">
        <f t="shared" si="63"/>
        <v>21.100000000000023</v>
      </c>
      <c r="AC56" s="68">
        <f t="shared" si="51"/>
        <v>4.7963640886973522</v>
      </c>
      <c r="AD56" s="69">
        <v>296.32</v>
      </c>
      <c r="AE56" s="68">
        <v>314.506214</v>
      </c>
      <c r="AF56" s="68">
        <f t="shared" si="64"/>
        <v>18.186214000000007</v>
      </c>
      <c r="AG56" s="68">
        <f t="shared" si="52"/>
        <v>4.1340143952116097</v>
      </c>
      <c r="AH56" s="69">
        <v>2.56</v>
      </c>
      <c r="AI56" s="68">
        <v>2.37</v>
      </c>
      <c r="AJ56" s="68">
        <f t="shared" si="65"/>
        <v>-0.18999999999999995</v>
      </c>
      <c r="AK56" s="70">
        <f t="shared" si="53"/>
        <v>-4.3190008381634871E-2</v>
      </c>
      <c r="AL56" s="69">
        <v>-31.5</v>
      </c>
      <c r="AM56" s="68">
        <v>-33.5</v>
      </c>
      <c r="AN56" s="68">
        <f t="shared" si="66"/>
        <v>-2</v>
      </c>
      <c r="AO56" s="70">
        <f t="shared" si="54"/>
        <v>-0.454631667175104</v>
      </c>
      <c r="AP56" s="69">
        <v>-37.799999999999997</v>
      </c>
      <c r="AQ56" s="68">
        <v>-40.1</v>
      </c>
      <c r="AR56" s="68">
        <f t="shared" si="67"/>
        <v>-2.3000000000000043</v>
      </c>
      <c r="AS56" s="70">
        <f t="shared" si="55"/>
        <v>-0.52282641725137058</v>
      </c>
      <c r="AT56" s="69">
        <v>12.3</v>
      </c>
      <c r="AU56" s="68">
        <v>13</v>
      </c>
      <c r="AV56" s="68">
        <f t="shared" si="68"/>
        <v>0.69999999999999929</v>
      </c>
      <c r="AW56" s="70">
        <f t="shared" si="56"/>
        <v>0.15912108351128623</v>
      </c>
      <c r="AX56" s="69">
        <v>10150</v>
      </c>
      <c r="AY56" s="68">
        <v>10948</v>
      </c>
      <c r="AZ56" s="68">
        <f t="shared" si="69"/>
        <v>798</v>
      </c>
      <c r="BA56" s="70">
        <f t="shared" si="57"/>
        <v>181.39803520286651</v>
      </c>
      <c r="BB56" s="69">
        <v>36.9</v>
      </c>
      <c r="BC56" s="68">
        <v>37.6</v>
      </c>
      <c r="BD56" s="68">
        <f t="shared" si="70"/>
        <v>0.70000000000000284</v>
      </c>
      <c r="BE56" s="70">
        <f t="shared" si="58"/>
        <v>0.15912108351128706</v>
      </c>
      <c r="BF56" s="69">
        <v>0</v>
      </c>
      <c r="BG56" s="68">
        <v>0</v>
      </c>
      <c r="BH56" s="68">
        <f t="shared" si="71"/>
        <v>0</v>
      </c>
      <c r="BI56" s="70">
        <f t="shared" si="59"/>
        <v>0</v>
      </c>
      <c r="BJ56" s="71">
        <v>83.527766</v>
      </c>
      <c r="BK56" s="71">
        <v>82.415385000000001</v>
      </c>
      <c r="BL56" s="71">
        <f t="shared" si="72"/>
        <v>-1.1123809999999992</v>
      </c>
      <c r="BM56" s="72">
        <v>0</v>
      </c>
      <c r="BN56" s="73">
        <v>0</v>
      </c>
      <c r="BO56" s="73">
        <f t="shared" si="73"/>
        <v>0</v>
      </c>
      <c r="BP56" s="72">
        <v>36.9</v>
      </c>
      <c r="BQ56" s="73">
        <v>37.6</v>
      </c>
      <c r="BR56" s="73">
        <f t="shared" si="74"/>
        <v>0.70000000000000284</v>
      </c>
      <c r="BS56" s="71"/>
      <c r="BT56" s="71"/>
      <c r="BU56" s="71"/>
      <c r="BV56" s="71"/>
      <c r="BW56" s="62" t="s">
        <v>103</v>
      </c>
      <c r="BX56" s="5">
        <v>1730.60325689</v>
      </c>
      <c r="BY56" s="5">
        <v>-2.7539475100000002</v>
      </c>
      <c r="BZ56" s="5">
        <v>1582.38350848</v>
      </c>
      <c r="CA56" s="5">
        <v>1627.1956217100001</v>
      </c>
      <c r="CB56" s="5">
        <v>3.4875041699999998</v>
      </c>
      <c r="CC56" s="5">
        <v>3.5122643899999999</v>
      </c>
      <c r="CD56" s="5">
        <v>0.26389859999999998</v>
      </c>
      <c r="CE56" s="5">
        <v>4.3991901499999999</v>
      </c>
      <c r="CF56" s="5">
        <v>4.3876113099999996</v>
      </c>
      <c r="CG56" s="5">
        <v>-0.97574192999999998</v>
      </c>
      <c r="CH56" s="5">
        <v>-0.7049647</v>
      </c>
      <c r="CI56" s="5">
        <v>0.49640789000000002</v>
      </c>
    </row>
    <row r="57" spans="1:87" ht="15" customHeight="1" x14ac:dyDescent="0.2">
      <c r="A57" s="2">
        <v>62009014</v>
      </c>
      <c r="B57" s="58" t="s">
        <v>181</v>
      </c>
      <c r="C57" s="58" t="s">
        <v>183</v>
      </c>
      <c r="D57" s="59" t="s">
        <v>178</v>
      </c>
      <c r="E57" s="60" t="s">
        <v>179</v>
      </c>
      <c r="F57" s="61" t="str">
        <f t="shared" si="49"/>
        <v>09/14/20</v>
      </c>
      <c r="G57" s="62" t="s">
        <v>180</v>
      </c>
      <c r="H57" s="62" t="s">
        <v>110</v>
      </c>
      <c r="I57" s="63"/>
      <c r="J57" s="64">
        <v>25.946290999999999</v>
      </c>
      <c r="K57" s="64">
        <v>37.231347</v>
      </c>
      <c r="L57" s="64">
        <v>29.627583999999999</v>
      </c>
      <c r="M57" s="64">
        <v>30.357565999999998</v>
      </c>
      <c r="N57" s="65">
        <v>3875</v>
      </c>
      <c r="O57" s="65">
        <v>28.39</v>
      </c>
      <c r="P57" s="65">
        <v>0.20169999999999999</v>
      </c>
      <c r="Q57" s="65">
        <v>1.932E-2</v>
      </c>
      <c r="R57" s="66">
        <v>5.1422433400000003</v>
      </c>
      <c r="S57" s="66">
        <f t="shared" si="61"/>
        <v>9.5414089600000001</v>
      </c>
      <c r="T57" s="67">
        <v>82.415385000000001</v>
      </c>
      <c r="U57" s="67">
        <v>80.434766999999994</v>
      </c>
      <c r="V57" s="68">
        <v>10957</v>
      </c>
      <c r="W57" s="68">
        <v>12376</v>
      </c>
      <c r="X57" s="68">
        <f t="shared" si="62"/>
        <v>1419</v>
      </c>
      <c r="Y57" s="68">
        <f t="shared" si="50"/>
        <v>275.94960140489968</v>
      </c>
      <c r="Z57" s="69">
        <v>367.5</v>
      </c>
      <c r="AA57" s="68">
        <v>382.6</v>
      </c>
      <c r="AB57" s="68">
        <f t="shared" si="63"/>
        <v>15.100000000000023</v>
      </c>
      <c r="AC57" s="68">
        <f t="shared" si="51"/>
        <v>2.9364615794319882</v>
      </c>
      <c r="AD57" s="69">
        <v>314.51</v>
      </c>
      <c r="AE57" s="68">
        <v>327.54000000000002</v>
      </c>
      <c r="AF57" s="68">
        <f t="shared" si="64"/>
        <v>13.03000000000003</v>
      </c>
      <c r="AG57" s="68">
        <f t="shared" si="52"/>
        <v>2.5339135350992605</v>
      </c>
      <c r="AH57" s="69">
        <v>2.37</v>
      </c>
      <c r="AI57" s="68">
        <v>2.25</v>
      </c>
      <c r="AJ57" s="68">
        <f t="shared" si="65"/>
        <v>-0.12000000000000011</v>
      </c>
      <c r="AK57" s="70">
        <f t="shared" si="53"/>
        <v>-2.3336118512042276E-2</v>
      </c>
      <c r="AL57" s="69">
        <v>-33.5</v>
      </c>
      <c r="AM57" s="68">
        <v>-34.799999999999997</v>
      </c>
      <c r="AN57" s="68">
        <f t="shared" si="66"/>
        <v>-1.2999999999999972</v>
      </c>
      <c r="AO57" s="70">
        <f t="shared" si="54"/>
        <v>-0.25280795054712385</v>
      </c>
      <c r="AP57" s="69">
        <v>-40.162300999999999</v>
      </c>
      <c r="AQ57" s="68">
        <v>-41.8</v>
      </c>
      <c r="AR57" s="68">
        <f t="shared" si="67"/>
        <v>-1.6376989999999978</v>
      </c>
      <c r="AS57" s="70">
        <f t="shared" si="55"/>
        <v>-0.31847948292544198</v>
      </c>
      <c r="AT57" s="69">
        <v>13</v>
      </c>
      <c r="AU57" s="68">
        <v>13.6</v>
      </c>
      <c r="AV57" s="68">
        <f t="shared" si="68"/>
        <v>0.59999999999999964</v>
      </c>
      <c r="AW57" s="70">
        <f t="shared" si="56"/>
        <v>0.11668059256021121</v>
      </c>
      <c r="AX57" s="69">
        <v>10948</v>
      </c>
      <c r="AY57" s="68">
        <v>12367</v>
      </c>
      <c r="AZ57" s="68">
        <f t="shared" si="69"/>
        <v>1419</v>
      </c>
      <c r="BA57" s="70">
        <f t="shared" si="57"/>
        <v>275.94960140489968</v>
      </c>
      <c r="BB57" s="69">
        <v>37.6</v>
      </c>
      <c r="BC57" s="68">
        <v>38</v>
      </c>
      <c r="BD57" s="68">
        <f t="shared" si="70"/>
        <v>0.39999999999999858</v>
      </c>
      <c r="BE57" s="70">
        <f t="shared" si="58"/>
        <v>7.7787061706807242E-2</v>
      </c>
      <c r="BF57" s="69">
        <v>0</v>
      </c>
      <c r="BG57" s="68">
        <v>0</v>
      </c>
      <c r="BH57" s="68">
        <f t="shared" si="71"/>
        <v>0</v>
      </c>
      <c r="BI57" s="70">
        <f t="shared" si="59"/>
        <v>0</v>
      </c>
      <c r="BJ57" s="71">
        <v>82.415385000000001</v>
      </c>
      <c r="BK57" s="71">
        <v>80.434766999999994</v>
      </c>
      <c r="BL57" s="71">
        <f t="shared" si="72"/>
        <v>-1.9806180000000069</v>
      </c>
      <c r="BM57" s="72">
        <v>0</v>
      </c>
      <c r="BN57" s="73">
        <v>0</v>
      </c>
      <c r="BO57" s="73">
        <f t="shared" si="73"/>
        <v>0</v>
      </c>
      <c r="BP57" s="72">
        <v>37.6</v>
      </c>
      <c r="BQ57" s="73">
        <v>38</v>
      </c>
      <c r="BR57" s="73">
        <f t="shared" si="74"/>
        <v>0.39999999999999858</v>
      </c>
      <c r="BS57" s="71"/>
      <c r="BT57" s="71"/>
      <c r="BU57" s="71"/>
      <c r="BV57" s="71"/>
      <c r="BW57" s="62" t="s">
        <v>103</v>
      </c>
      <c r="BX57" s="5">
        <v>1516.97659011</v>
      </c>
      <c r="BY57" s="5">
        <v>0.74504221999999998</v>
      </c>
      <c r="BZ57" s="5">
        <v>1000.78074265</v>
      </c>
      <c r="CA57" s="5">
        <v>993.37964489000001</v>
      </c>
      <c r="CB57" s="5">
        <v>5.5021167100000001</v>
      </c>
      <c r="CC57" s="5">
        <v>5.4582841699999998</v>
      </c>
      <c r="CD57" s="5">
        <v>0.26214024000000002</v>
      </c>
      <c r="CE57" s="5">
        <v>5.1422774200000001</v>
      </c>
      <c r="CF57" s="5">
        <v>5.1288326800000004</v>
      </c>
      <c r="CG57" s="5">
        <v>0.53659685000000001</v>
      </c>
      <c r="CH57" s="5">
        <v>0.80304622000000003</v>
      </c>
      <c r="CI57" s="5">
        <v>0.33763589999999999</v>
      </c>
    </row>
    <row r="58" spans="1:87" ht="15" customHeight="1" x14ac:dyDescent="0.2">
      <c r="A58" s="2">
        <v>62009014</v>
      </c>
      <c r="B58" s="58" t="s">
        <v>181</v>
      </c>
      <c r="C58" s="85" t="s">
        <v>184</v>
      </c>
      <c r="D58" s="59" t="s">
        <v>178</v>
      </c>
      <c r="E58" s="60" t="s">
        <v>179</v>
      </c>
      <c r="F58" s="61" t="str">
        <f t="shared" si="49"/>
        <v>09/14/20</v>
      </c>
      <c r="G58" s="62" t="s">
        <v>180</v>
      </c>
      <c r="H58" s="62" t="s">
        <v>110</v>
      </c>
      <c r="I58" s="63"/>
      <c r="J58" s="74">
        <f t="shared" ref="J58:M59" si="75">AVERAGE(J56:J57)</f>
        <v>25.096656500000002</v>
      </c>
      <c r="K58" s="74">
        <f t="shared" si="75"/>
        <v>39.274080499999997</v>
      </c>
      <c r="L58" s="74">
        <f t="shared" si="75"/>
        <v>29.621344999999998</v>
      </c>
      <c r="M58" s="74">
        <f t="shared" si="75"/>
        <v>29.647841999999997</v>
      </c>
      <c r="N58" s="75"/>
      <c r="O58" s="65"/>
      <c r="P58" s="76"/>
      <c r="Q58" s="77"/>
      <c r="R58" s="78">
        <f>R57+R56</f>
        <v>9.5414089600000001</v>
      </c>
      <c r="S58" s="78">
        <f>S57</f>
        <v>9.5414089600000001</v>
      </c>
      <c r="T58" s="79">
        <f>T56</f>
        <v>83.527766</v>
      </c>
      <c r="U58" s="79">
        <f>U57</f>
        <v>80.434766999999994</v>
      </c>
      <c r="V58" s="80">
        <f>V56</f>
        <v>10158</v>
      </c>
      <c r="W58" s="80">
        <f>W57</f>
        <v>12376</v>
      </c>
      <c r="X58" s="80">
        <f>SUM(X56:X57)</f>
        <v>2218</v>
      </c>
      <c r="Y58" s="80">
        <f t="shared" si="50"/>
        <v>232.46042689275944</v>
      </c>
      <c r="Z58" s="80">
        <f>Z56</f>
        <v>346.4</v>
      </c>
      <c r="AA58" s="80">
        <f>AA57</f>
        <v>382.6</v>
      </c>
      <c r="AB58" s="80">
        <f>SUM(AB56:AB57)</f>
        <v>36.200000000000045</v>
      </c>
      <c r="AC58" s="80">
        <f t="shared" si="51"/>
        <v>3.7939889330558625</v>
      </c>
      <c r="AD58" s="80">
        <f>AD56</f>
        <v>296.32</v>
      </c>
      <c r="AE58" s="80">
        <f>AE57</f>
        <v>327.54000000000002</v>
      </c>
      <c r="AF58" s="80">
        <f>SUM(AF56:AF57)</f>
        <v>31.216214000000036</v>
      </c>
      <c r="AG58" s="80">
        <f t="shared" si="52"/>
        <v>3.2716566422072781</v>
      </c>
      <c r="AH58" s="80">
        <f>AH56</f>
        <v>2.56</v>
      </c>
      <c r="AI58" s="80">
        <f>AI57</f>
        <v>2.25</v>
      </c>
      <c r="AJ58" s="80">
        <f>SUM(AJ56:AJ57)</f>
        <v>-0.31000000000000005</v>
      </c>
      <c r="AK58" s="81">
        <f t="shared" si="53"/>
        <v>-3.2489960476445194E-2</v>
      </c>
      <c r="AL58" s="80">
        <f>AL56</f>
        <v>-31.5</v>
      </c>
      <c r="AM58" s="80">
        <f>AM57</f>
        <v>-34.799999999999997</v>
      </c>
      <c r="AN58" s="80">
        <f>SUM(AN56:AN57)</f>
        <v>-3.2999999999999972</v>
      </c>
      <c r="AO58" s="81">
        <f t="shared" si="54"/>
        <v>-0.34586086958796464</v>
      </c>
      <c r="AP58" s="80">
        <f>AP56</f>
        <v>-37.799999999999997</v>
      </c>
      <c r="AQ58" s="80">
        <f>AQ57</f>
        <v>-41.8</v>
      </c>
      <c r="AR58" s="80">
        <f>SUM(AR56:AR57)</f>
        <v>-3.9376990000000021</v>
      </c>
      <c r="AS58" s="81">
        <f t="shared" si="55"/>
        <v>-0.41269575767141231</v>
      </c>
      <c r="AT58" s="80">
        <f>AT56</f>
        <v>12.3</v>
      </c>
      <c r="AU58" s="80">
        <f>AU57</f>
        <v>13.6</v>
      </c>
      <c r="AV58" s="80">
        <f>SUM(AV56:AV57)</f>
        <v>1.2999999999999989</v>
      </c>
      <c r="AW58" s="81">
        <f t="shared" si="56"/>
        <v>0.13624822135283454</v>
      </c>
      <c r="AX58" s="80">
        <f>AX56</f>
        <v>10150</v>
      </c>
      <c r="AY58" s="80">
        <f>AY57</f>
        <v>12367</v>
      </c>
      <c r="AZ58" s="80">
        <f>SUM(AZ56:AZ57)</f>
        <v>2217</v>
      </c>
      <c r="BA58" s="81">
        <f t="shared" si="57"/>
        <v>232.35562056864188</v>
      </c>
      <c r="BB58" s="80">
        <f>BB56</f>
        <v>36.9</v>
      </c>
      <c r="BC58" s="80">
        <f>BC57</f>
        <v>38</v>
      </c>
      <c r="BD58" s="80">
        <f>SUM(BD56:BD57)</f>
        <v>1.1000000000000014</v>
      </c>
      <c r="BE58" s="81">
        <f t="shared" si="58"/>
        <v>0.11528695652932179</v>
      </c>
      <c r="BF58" s="80">
        <f>BF56</f>
        <v>0</v>
      </c>
      <c r="BG58" s="80">
        <f>BG57</f>
        <v>0</v>
      </c>
      <c r="BH58" s="80">
        <f>SUM(BH56:BH57)</f>
        <v>0</v>
      </c>
      <c r="BI58" s="81">
        <f t="shared" si="59"/>
        <v>0</v>
      </c>
      <c r="BJ58" s="82"/>
      <c r="BK58" s="82"/>
      <c r="BL58" s="82">
        <f>SUM(BL56:BL57)</f>
        <v>-3.092999000000006</v>
      </c>
      <c r="BM58" s="83">
        <f>BM56</f>
        <v>0</v>
      </c>
      <c r="BN58" s="83">
        <f>BN57</f>
        <v>0</v>
      </c>
      <c r="BO58" s="83">
        <f>SUM(BO56:BO57)</f>
        <v>0</v>
      </c>
      <c r="BP58" s="83">
        <f>BP56</f>
        <v>36.9</v>
      </c>
      <c r="BQ58" s="83">
        <f>BQ57</f>
        <v>38</v>
      </c>
      <c r="BR58" s="83">
        <f>SUM(BR56:BR57)</f>
        <v>1.1000000000000014</v>
      </c>
      <c r="BS58" s="82"/>
      <c r="BT58" s="82"/>
      <c r="BU58" s="82"/>
      <c r="BV58" s="82"/>
      <c r="BW58" s="62" t="s">
        <v>103</v>
      </c>
    </row>
    <row r="59" spans="1:87" ht="15" customHeight="1" x14ac:dyDescent="0.2">
      <c r="A59" s="2">
        <v>62009014</v>
      </c>
      <c r="B59" s="58" t="s">
        <v>181</v>
      </c>
      <c r="C59" s="85" t="s">
        <v>185</v>
      </c>
      <c r="D59" s="59" t="s">
        <v>178</v>
      </c>
      <c r="E59" s="60" t="s">
        <v>179</v>
      </c>
      <c r="F59" s="61" t="str">
        <f t="shared" si="49"/>
        <v>09/14/20</v>
      </c>
      <c r="G59" s="62" t="s">
        <v>180</v>
      </c>
      <c r="H59" s="62" t="s">
        <v>110</v>
      </c>
      <c r="I59" s="63"/>
      <c r="J59" s="74">
        <f t="shared" si="75"/>
        <v>25.521473749999998</v>
      </c>
      <c r="K59" s="74">
        <f t="shared" si="75"/>
        <v>38.252713749999998</v>
      </c>
      <c r="L59" s="74">
        <f t="shared" si="75"/>
        <v>29.624464499999998</v>
      </c>
      <c r="M59" s="74">
        <f t="shared" si="75"/>
        <v>30.002703999999998</v>
      </c>
      <c r="N59" s="75"/>
      <c r="O59" s="65"/>
      <c r="P59" s="76"/>
      <c r="Q59" s="77"/>
      <c r="R59" s="78">
        <f>R58+R57</f>
        <v>14.6836523</v>
      </c>
      <c r="S59" s="78">
        <f>S58</f>
        <v>9.5414089600000001</v>
      </c>
      <c r="T59" s="79">
        <f>T57</f>
        <v>82.415385000000001</v>
      </c>
      <c r="U59" s="79">
        <f>U58</f>
        <v>80.434766999999994</v>
      </c>
      <c r="V59" s="80">
        <f>V57</f>
        <v>10957</v>
      </c>
      <c r="W59" s="80">
        <f>W58</f>
        <v>12376</v>
      </c>
      <c r="X59" s="80">
        <f>SUM(X57:X58)</f>
        <v>3637</v>
      </c>
      <c r="Y59" s="80">
        <f t="shared" si="50"/>
        <v>247.69041963762652</v>
      </c>
      <c r="Z59" s="80">
        <f>Z57</f>
        <v>367.5</v>
      </c>
      <c r="AA59" s="80">
        <f>AA58</f>
        <v>382.6</v>
      </c>
      <c r="AB59" s="80">
        <f>SUM(AB57:AB58)</f>
        <v>51.300000000000068</v>
      </c>
      <c r="AC59" s="80">
        <f t="shared" si="51"/>
        <v>3.4936812008276759</v>
      </c>
      <c r="AD59" s="80">
        <f>AD57</f>
        <v>314.51</v>
      </c>
      <c r="AE59" s="80">
        <f>AE58</f>
        <v>327.54000000000002</v>
      </c>
      <c r="AF59" s="80">
        <f>SUM(AF57:AF58)</f>
        <v>44.246214000000066</v>
      </c>
      <c r="AG59" s="80">
        <f t="shared" si="52"/>
        <v>3.0132975840077654</v>
      </c>
      <c r="AH59" s="80">
        <f>AH57</f>
        <v>2.37</v>
      </c>
      <c r="AI59" s="80">
        <f>AI58</f>
        <v>2.25</v>
      </c>
      <c r="AJ59" s="80">
        <f>SUM(AJ57:AJ58)</f>
        <v>-0.43000000000000016</v>
      </c>
      <c r="AK59" s="81">
        <f t="shared" si="53"/>
        <v>-2.928426737535866E-2</v>
      </c>
      <c r="AL59" s="80">
        <f>AL57</f>
        <v>-33.5</v>
      </c>
      <c r="AM59" s="80">
        <f>AM58</f>
        <v>-34.799999999999997</v>
      </c>
      <c r="AN59" s="80">
        <f>SUM(AN57:AN58)</f>
        <v>-4.5999999999999943</v>
      </c>
      <c r="AO59" s="81">
        <f t="shared" si="54"/>
        <v>-0.31327355796895262</v>
      </c>
      <c r="AP59" s="80">
        <f>AP57</f>
        <v>-40.162300999999999</v>
      </c>
      <c r="AQ59" s="80">
        <f>AQ58</f>
        <v>-41.8</v>
      </c>
      <c r="AR59" s="80">
        <f>SUM(AR57:AR58)</f>
        <v>-5.5753979999999999</v>
      </c>
      <c r="AS59" s="81">
        <f t="shared" si="55"/>
        <v>-0.37970103664195315</v>
      </c>
      <c r="AT59" s="80">
        <f>AT57</f>
        <v>13</v>
      </c>
      <c r="AU59" s="80">
        <f>AU58</f>
        <v>13.6</v>
      </c>
      <c r="AV59" s="80">
        <f>SUM(AV57:AV58)</f>
        <v>1.8999999999999986</v>
      </c>
      <c r="AW59" s="81">
        <f t="shared" si="56"/>
        <v>0.1293956000306544</v>
      </c>
      <c r="AX59" s="80">
        <f>AX57</f>
        <v>10948</v>
      </c>
      <c r="AY59" s="80">
        <f>AY58</f>
        <v>12367</v>
      </c>
      <c r="AZ59" s="80">
        <f>SUM(AZ57:AZ58)</f>
        <v>3636</v>
      </c>
      <c r="BA59" s="81">
        <f t="shared" si="57"/>
        <v>247.62231669024197</v>
      </c>
      <c r="BB59" s="80">
        <f>BB57</f>
        <v>37.6</v>
      </c>
      <c r="BC59" s="80">
        <f>BC58</f>
        <v>38</v>
      </c>
      <c r="BD59" s="80">
        <f>SUM(BD57:BD58)</f>
        <v>1.5</v>
      </c>
      <c r="BE59" s="81">
        <f t="shared" si="58"/>
        <v>0.10215442107683249</v>
      </c>
      <c r="BF59" s="80">
        <f>BF57</f>
        <v>0</v>
      </c>
      <c r="BG59" s="80">
        <f>BG58</f>
        <v>0</v>
      </c>
      <c r="BH59" s="80">
        <f>SUM(BH57:BH58)</f>
        <v>0</v>
      </c>
      <c r="BI59" s="81">
        <f t="shared" si="59"/>
        <v>0</v>
      </c>
      <c r="BJ59" s="82"/>
      <c r="BK59" s="82"/>
      <c r="BL59" s="82">
        <f>SUM(BL57:BL58)</f>
        <v>-5.0736170000000129</v>
      </c>
      <c r="BM59" s="83">
        <f>BM57</f>
        <v>0</v>
      </c>
      <c r="BN59" s="83">
        <f>BN58</f>
        <v>0</v>
      </c>
      <c r="BO59" s="83">
        <f>SUM(BO57:BO58)</f>
        <v>0</v>
      </c>
      <c r="BP59" s="83">
        <f>BP57</f>
        <v>37.6</v>
      </c>
      <c r="BQ59" s="83">
        <f>BQ58</f>
        <v>38</v>
      </c>
      <c r="BR59" s="83">
        <f>SUM(BR57:BR58)</f>
        <v>1.5</v>
      </c>
      <c r="BS59" s="82"/>
      <c r="BT59" s="82"/>
      <c r="BU59" s="82"/>
      <c r="BV59" s="82"/>
      <c r="BW59" s="62" t="s">
        <v>103</v>
      </c>
    </row>
    <row r="60" spans="1:87" ht="15" customHeight="1" x14ac:dyDescent="0.2">
      <c r="A60" s="58">
        <v>62009015</v>
      </c>
      <c r="B60" s="84" t="s">
        <v>141</v>
      </c>
      <c r="C60" s="58" t="s">
        <v>98</v>
      </c>
      <c r="D60" s="59" t="s">
        <v>186</v>
      </c>
      <c r="E60" s="60" t="s">
        <v>187</v>
      </c>
      <c r="F60" s="61" t="str">
        <f t="shared" si="49"/>
        <v>09/14/20</v>
      </c>
      <c r="G60" s="62" t="s">
        <v>188</v>
      </c>
      <c r="H60" s="62" t="s">
        <v>110</v>
      </c>
      <c r="I60" s="63"/>
      <c r="J60" s="64">
        <v>242.43111500000001</v>
      </c>
      <c r="K60" s="64">
        <v>525.23053300000004</v>
      </c>
      <c r="L60" s="64">
        <v>329.81518399999999</v>
      </c>
      <c r="M60" s="64">
        <v>244.887812</v>
      </c>
      <c r="N60" s="65">
        <v>3875</v>
      </c>
      <c r="O60" s="65">
        <v>28.39</v>
      </c>
      <c r="P60" s="65">
        <v>0.20169999999999999</v>
      </c>
      <c r="Q60" s="65">
        <v>1.932E-2</v>
      </c>
      <c r="R60" s="66">
        <v>8.8549300000000004E-3</v>
      </c>
      <c r="S60" s="66">
        <f>R60+R59</f>
        <v>14.69250723</v>
      </c>
      <c r="T60" s="67" t="s">
        <v>189</v>
      </c>
      <c r="U60" s="67" t="s">
        <v>190</v>
      </c>
      <c r="V60" s="68">
        <v>12376</v>
      </c>
      <c r="W60" s="68">
        <v>12347</v>
      </c>
      <c r="X60" s="68">
        <f>W60-V60</f>
        <v>-29</v>
      </c>
      <c r="Y60" s="68">
        <f t="shared" si="50"/>
        <v>-3275.0117731026671</v>
      </c>
      <c r="Z60" s="69">
        <v>382.9</v>
      </c>
      <c r="AA60" s="68">
        <v>555.1</v>
      </c>
      <c r="AB60" s="68">
        <f>AA60-Z60</f>
        <v>172.20000000000005</v>
      </c>
      <c r="AC60" s="68">
        <f t="shared" si="51"/>
        <v>19446.794045802737</v>
      </c>
      <c r="AD60" s="69">
        <v>327.74</v>
      </c>
      <c r="AE60" s="68">
        <v>460.4</v>
      </c>
      <c r="AF60" s="68">
        <f>AE60-AD60</f>
        <v>132.65999999999997</v>
      </c>
      <c r="AG60" s="68">
        <f t="shared" si="52"/>
        <v>14981.484890337921</v>
      </c>
      <c r="AH60" s="69">
        <v>5.35</v>
      </c>
      <c r="AI60" s="68">
        <v>-56.54</v>
      </c>
      <c r="AJ60" s="68">
        <f>AI60-AH60</f>
        <v>-61.89</v>
      </c>
      <c r="AK60" s="70">
        <f t="shared" si="53"/>
        <v>-6989.3268495628981</v>
      </c>
      <c r="AL60" s="69">
        <v>-34.9</v>
      </c>
      <c r="AM60" s="68">
        <v>-34.9</v>
      </c>
      <c r="AN60" s="68">
        <f>AM60-AL60</f>
        <v>0</v>
      </c>
      <c r="AO60" s="70">
        <f t="shared" si="54"/>
        <v>0</v>
      </c>
      <c r="AP60" s="69">
        <v>-41.9</v>
      </c>
      <c r="AQ60" s="68">
        <v>-42</v>
      </c>
      <c r="AR60" s="68">
        <f>AQ60-AP60</f>
        <v>-0.10000000000000142</v>
      </c>
      <c r="AS60" s="70">
        <f t="shared" si="55"/>
        <v>-11.293144045181771</v>
      </c>
      <c r="AT60" s="69">
        <v>13.6</v>
      </c>
      <c r="AU60" s="68">
        <v>29.7</v>
      </c>
      <c r="AV60" s="68">
        <f>AU60-AT60</f>
        <v>16.100000000000001</v>
      </c>
      <c r="AW60" s="70">
        <f t="shared" si="56"/>
        <v>1818.1961912742395</v>
      </c>
      <c r="AX60" s="69">
        <v>12367</v>
      </c>
      <c r="AY60" s="68">
        <v>-590</v>
      </c>
      <c r="AZ60" s="68">
        <f>AY60-AX60</f>
        <v>-12957</v>
      </c>
      <c r="BA60" s="70">
        <f t="shared" si="57"/>
        <v>-1463252.6739341812</v>
      </c>
      <c r="BB60" s="69">
        <v>38.799999999999997</v>
      </c>
      <c r="BC60" s="68">
        <v>14022.2</v>
      </c>
      <c r="BD60" s="68">
        <f>BC60-BB60</f>
        <v>13983.400000000001</v>
      </c>
      <c r="BE60" s="70">
        <f t="shared" si="58"/>
        <v>1579165.5044139253</v>
      </c>
      <c r="BF60" s="69">
        <v>0</v>
      </c>
      <c r="BG60" s="68">
        <v>-13942.8</v>
      </c>
      <c r="BH60" s="68">
        <f>BG60-BF60</f>
        <v>-13942.8</v>
      </c>
      <c r="BI60" s="70">
        <f t="shared" si="59"/>
        <v>-1574580.4879315814</v>
      </c>
      <c r="BJ60" s="71" t="s">
        <v>189</v>
      </c>
      <c r="BK60" s="71" t="s">
        <v>191</v>
      </c>
      <c r="BL60" s="71" t="e">
        <f>BK60-BJ60</f>
        <v>#VALUE!</v>
      </c>
      <c r="BM60" s="72">
        <v>0</v>
      </c>
      <c r="BN60" s="73">
        <v>-13942.8</v>
      </c>
      <c r="BO60" s="73">
        <f>BN60-BM60</f>
        <v>-13942.8</v>
      </c>
      <c r="BP60" s="72">
        <v>38.799999999999997</v>
      </c>
      <c r="BQ60" s="73">
        <v>14022.2</v>
      </c>
      <c r="BR60" s="73">
        <f>BQ60-BP60</f>
        <v>13983.400000000001</v>
      </c>
      <c r="BS60" s="71"/>
      <c r="BT60" s="71"/>
      <c r="BU60" s="71"/>
      <c r="BV60" s="71"/>
      <c r="BW60" s="62" t="s">
        <v>192</v>
      </c>
      <c r="BX60" s="5">
        <v>0</v>
      </c>
      <c r="BY60" s="5" t="s">
        <v>112</v>
      </c>
      <c r="BZ60" s="5">
        <v>0</v>
      </c>
      <c r="CA60" s="5">
        <v>0</v>
      </c>
      <c r="CB60" s="5">
        <v>0</v>
      </c>
      <c r="CC60" s="5">
        <v>0</v>
      </c>
      <c r="CD60" s="5" t="s">
        <v>112</v>
      </c>
      <c r="CE60" s="5">
        <v>0</v>
      </c>
      <c r="CF60" s="5">
        <v>0</v>
      </c>
      <c r="CG60" s="5" t="s">
        <v>112</v>
      </c>
      <c r="CH60" s="5" t="s">
        <v>112</v>
      </c>
      <c r="CI60" s="5" t="s">
        <v>112</v>
      </c>
    </row>
    <row r="61" spans="1:87" ht="15" customHeight="1" x14ac:dyDescent="0.2">
      <c r="A61" s="51" t="s">
        <v>193</v>
      </c>
      <c r="B61" s="52"/>
      <c r="C61" s="52"/>
      <c r="D61" s="86"/>
      <c r="E61" s="87"/>
      <c r="F61" s="87"/>
      <c r="G61" s="53"/>
      <c r="H61" s="53"/>
      <c r="I61" s="53"/>
      <c r="J61" s="53"/>
      <c r="K61" s="53"/>
      <c r="L61" s="53"/>
      <c r="M61" s="53"/>
      <c r="N61" s="53"/>
      <c r="O61" s="53"/>
      <c r="P61" s="54"/>
      <c r="Q61" s="55"/>
      <c r="R61" s="52"/>
      <c r="S61" s="52"/>
      <c r="T61" s="52"/>
      <c r="U61" s="52"/>
      <c r="V61" s="56"/>
      <c r="W61" s="56"/>
      <c r="X61" s="52"/>
      <c r="Y61" s="52"/>
      <c r="Z61" s="52"/>
      <c r="AA61" s="52"/>
      <c r="AB61" s="52"/>
      <c r="AC61" s="52"/>
      <c r="AD61" s="52"/>
      <c r="AE61" s="56"/>
      <c r="AF61" s="56"/>
      <c r="AG61" s="56"/>
      <c r="AH61" s="56"/>
      <c r="AI61" s="56"/>
      <c r="AJ61" s="52"/>
      <c r="AK61" s="52"/>
      <c r="AL61" s="52"/>
      <c r="AM61" s="52"/>
      <c r="AN61" s="52"/>
      <c r="AO61" s="52"/>
      <c r="AP61" s="56"/>
      <c r="AQ61" s="56"/>
      <c r="AR61" s="52"/>
      <c r="AS61" s="52"/>
      <c r="AT61" s="56"/>
      <c r="AU61" s="56"/>
      <c r="AV61" s="52"/>
      <c r="AW61" s="52"/>
      <c r="AX61" s="56"/>
      <c r="AY61" s="56"/>
      <c r="AZ61" s="52"/>
      <c r="BA61" s="52"/>
      <c r="BB61" s="56"/>
      <c r="BC61" s="56"/>
      <c r="BD61" s="52"/>
      <c r="BE61" s="52"/>
      <c r="BF61" s="56"/>
      <c r="BG61" s="56"/>
      <c r="BH61" s="52"/>
      <c r="BI61" s="52"/>
      <c r="BJ61" s="52"/>
      <c r="BK61" s="52"/>
      <c r="BL61" s="52"/>
      <c r="BM61" s="52"/>
      <c r="BN61" s="52"/>
      <c r="BO61" s="52"/>
      <c r="BP61" s="52"/>
      <c r="BQ61" s="52"/>
      <c r="BR61" s="52"/>
      <c r="BS61" s="52"/>
      <c r="BT61" s="52"/>
      <c r="BU61" s="52"/>
      <c r="BV61" s="52"/>
      <c r="BW61" s="52"/>
      <c r="BX61" s="52"/>
      <c r="BY61" s="52"/>
      <c r="BZ61" s="52"/>
      <c r="CA61" s="52"/>
      <c r="CB61" s="52"/>
      <c r="CC61" s="52"/>
      <c r="CD61" s="52"/>
      <c r="CE61" s="52"/>
      <c r="CF61" s="52"/>
      <c r="CG61" s="52"/>
      <c r="CH61" s="52"/>
      <c r="CI61" s="57"/>
    </row>
    <row r="62" spans="1:87" ht="15" customHeight="1" x14ac:dyDescent="0.2">
      <c r="A62" s="2">
        <v>62009016</v>
      </c>
      <c r="B62" s="58" t="s">
        <v>113</v>
      </c>
      <c r="C62" s="58" t="s">
        <v>98</v>
      </c>
      <c r="D62" s="59" t="s">
        <v>114</v>
      </c>
      <c r="E62" s="60" t="s">
        <v>194</v>
      </c>
      <c r="F62" s="61" t="str">
        <f t="shared" si="49"/>
        <v>09/15/20</v>
      </c>
      <c r="G62" s="62" t="s">
        <v>195</v>
      </c>
      <c r="H62" s="62" t="s">
        <v>110</v>
      </c>
      <c r="I62" s="63"/>
      <c r="J62" s="64">
        <v>24.157958000000001</v>
      </c>
      <c r="K62" s="64">
        <v>41.579532999999998</v>
      </c>
      <c r="L62" s="64">
        <v>29.580300000000001</v>
      </c>
      <c r="M62" s="64">
        <v>24.972743000000001</v>
      </c>
      <c r="N62" s="65">
        <v>3875</v>
      </c>
      <c r="O62" s="65">
        <v>28.39</v>
      </c>
      <c r="P62" s="65">
        <v>0.20169999999999999</v>
      </c>
      <c r="Q62" s="65">
        <v>1.932E-2</v>
      </c>
      <c r="R62" s="66">
        <v>3.5953424699999998</v>
      </c>
      <c r="S62" s="66">
        <f>R62+R60</f>
        <v>3.6041973999999999</v>
      </c>
      <c r="T62" s="67">
        <v>97.630133999999998</v>
      </c>
      <c r="U62" s="67">
        <v>96.725274999999996</v>
      </c>
      <c r="V62" s="68">
        <v>12363</v>
      </c>
      <c r="W62" s="68">
        <v>13049</v>
      </c>
      <c r="X62" s="68">
        <f>W62-V62</f>
        <v>686</v>
      </c>
      <c r="Y62" s="68">
        <f t="shared" ref="Y62:Y71" si="76">X62/$R62</f>
        <v>190.80240776061592</v>
      </c>
      <c r="Z62" s="69">
        <v>570.1</v>
      </c>
      <c r="AA62" s="68">
        <v>615.79999999999995</v>
      </c>
      <c r="AB62" s="68">
        <f>AA62-Z62</f>
        <v>45.699999999999932</v>
      </c>
      <c r="AC62" s="68">
        <f t="shared" ref="AC62:AC71" si="77">AB62/$R62</f>
        <v>12.710889263352966</v>
      </c>
      <c r="AD62" s="69">
        <v>469.58436899999998</v>
      </c>
      <c r="AE62" s="68">
        <v>510.27502299999998</v>
      </c>
      <c r="AF62" s="68">
        <f>AE62-AD62</f>
        <v>40.690653999999995</v>
      </c>
      <c r="AG62" s="68">
        <f t="shared" ref="AG62:AG71" si="78">AF62/$R62</f>
        <v>11.317601685938975</v>
      </c>
      <c r="AH62" s="69">
        <v>-56.02</v>
      </c>
      <c r="AI62" s="68">
        <v>-59.87</v>
      </c>
      <c r="AJ62" s="68">
        <f>AI62-AH62</f>
        <v>-3.8499999999999943</v>
      </c>
      <c r="AK62" s="70">
        <f t="shared" ref="AK62:AK71" si="79">AJ62/$R62</f>
        <v>-1.0708298394728428</v>
      </c>
      <c r="AL62" s="69">
        <v>-35.5</v>
      </c>
      <c r="AM62" s="68">
        <v>-37.799999999999997</v>
      </c>
      <c r="AN62" s="68">
        <f>AM62-AL62</f>
        <v>-2.2999999999999972</v>
      </c>
      <c r="AO62" s="70">
        <f t="shared" ref="AO62:AO71" si="80">AN62/$R62</f>
        <v>-0.63971652747728291</v>
      </c>
      <c r="AP62" s="69">
        <v>-42.4</v>
      </c>
      <c r="AQ62" s="68">
        <v>-45.2</v>
      </c>
      <c r="AR62" s="68">
        <f>AQ62-AP62</f>
        <v>-2.8000000000000043</v>
      </c>
      <c r="AS62" s="70">
        <f t="shared" ref="AS62:AS71" si="81">AR62/$R62</f>
        <v>-0.77878533779843351</v>
      </c>
      <c r="AT62" s="69">
        <v>29.9</v>
      </c>
      <c r="AU62" s="68">
        <v>30.8</v>
      </c>
      <c r="AV62" s="68">
        <f>AU62-AT62</f>
        <v>0.90000000000000213</v>
      </c>
      <c r="AW62" s="70">
        <f t="shared" ref="AW62:AW71" si="82">AV62/$R62</f>
        <v>0.25032385857806816</v>
      </c>
      <c r="AX62" s="69">
        <v>-573</v>
      </c>
      <c r="AY62" s="68">
        <v>112</v>
      </c>
      <c r="AZ62" s="68">
        <f>AY62-AX62</f>
        <v>685</v>
      </c>
      <c r="BA62" s="70">
        <f t="shared" ref="BA62:BA71" si="83">AZ62/$R62</f>
        <v>190.52427013997362</v>
      </c>
      <c r="BB62" s="69">
        <v>14078.6</v>
      </c>
      <c r="BC62" s="68">
        <v>14079.3</v>
      </c>
      <c r="BD62" s="68">
        <f>BC62-BB62</f>
        <v>0.69999999999890861</v>
      </c>
      <c r="BE62" s="70">
        <f t="shared" ref="BE62:BE71" si="84">BD62/$R62</f>
        <v>0.19469633444930454</v>
      </c>
      <c r="BF62" s="69">
        <v>-13942.8</v>
      </c>
      <c r="BG62" s="68">
        <v>-13942.8</v>
      </c>
      <c r="BH62" s="68">
        <f>BG62-BF62</f>
        <v>0</v>
      </c>
      <c r="BI62" s="70">
        <f t="shared" ref="BI62:BI71" si="85">BH62/$R62</f>
        <v>0</v>
      </c>
      <c r="BJ62" s="71">
        <v>97.630133999999998</v>
      </c>
      <c r="BK62" s="71">
        <v>96.725274999999996</v>
      </c>
      <c r="BL62" s="71">
        <f>BK62-BJ62</f>
        <v>-0.90485900000000186</v>
      </c>
      <c r="BM62" s="72">
        <v>-13942.8</v>
      </c>
      <c r="BN62" s="73">
        <v>-13942.8</v>
      </c>
      <c r="BO62" s="73">
        <f>BN62-BM62</f>
        <v>0</v>
      </c>
      <c r="BP62" s="72">
        <v>14078.6</v>
      </c>
      <c r="BQ62" s="73">
        <v>14079.3</v>
      </c>
      <c r="BR62" s="73">
        <f>BQ62-BP62</f>
        <v>0.69999999999890861</v>
      </c>
      <c r="BS62" s="71"/>
      <c r="BT62" s="71"/>
      <c r="BU62" s="71"/>
      <c r="BV62" s="71"/>
      <c r="BW62" s="62" t="s">
        <v>103</v>
      </c>
      <c r="BX62" s="5">
        <v>2205.9346222499998</v>
      </c>
      <c r="BY62" s="5">
        <v>-1.0550151999999999</v>
      </c>
      <c r="BZ62" s="5">
        <v>2027.2822914599999</v>
      </c>
      <c r="CA62" s="5">
        <v>2048.8984819000002</v>
      </c>
      <c r="CB62" s="5">
        <v>2.9476023499999999</v>
      </c>
      <c r="CC62" s="5">
        <v>2.9659658900000001</v>
      </c>
      <c r="CD62" s="5">
        <v>0.12019024</v>
      </c>
      <c r="CE62" s="5">
        <v>3.5952966100000001</v>
      </c>
      <c r="CF62" s="5">
        <v>3.5909806</v>
      </c>
      <c r="CG62" s="5">
        <v>-0.74393836999999996</v>
      </c>
      <c r="CH62" s="5">
        <v>-0.61914210000000003</v>
      </c>
      <c r="CI62" s="5">
        <v>0.59142656999999998</v>
      </c>
    </row>
    <row r="63" spans="1:87" ht="15" customHeight="1" x14ac:dyDescent="0.2">
      <c r="A63" s="2">
        <f>A62</f>
        <v>62009016</v>
      </c>
      <c r="B63" s="58" t="s">
        <v>117</v>
      </c>
      <c r="C63" s="58" t="s">
        <v>104</v>
      </c>
      <c r="D63" s="59" t="s">
        <v>114</v>
      </c>
      <c r="E63" s="60" t="s">
        <v>194</v>
      </c>
      <c r="F63" s="61" t="str">
        <f t="shared" si="49"/>
        <v>09/15/20</v>
      </c>
      <c r="G63" s="62" t="s">
        <v>195</v>
      </c>
      <c r="H63" s="62" t="s">
        <v>110</v>
      </c>
      <c r="I63" s="63"/>
      <c r="J63" s="64">
        <v>21.920007999999999</v>
      </c>
      <c r="K63" s="64">
        <v>46.311925000000002</v>
      </c>
      <c r="L63" s="64">
        <v>29.571764000000002</v>
      </c>
      <c r="M63" s="64">
        <v>26.809453999999999</v>
      </c>
      <c r="N63" s="65">
        <v>3875</v>
      </c>
      <c r="O63" s="65">
        <v>28.39</v>
      </c>
      <c r="P63" s="65">
        <v>0.20169999999999999</v>
      </c>
      <c r="Q63" s="65">
        <v>1.932E-2</v>
      </c>
      <c r="R63" s="66">
        <v>3.8604747499999998</v>
      </c>
      <c r="S63" s="66">
        <f>R63+R62</f>
        <v>7.4558172200000001</v>
      </c>
      <c r="T63" s="67">
        <v>96.725274999999996</v>
      </c>
      <c r="U63" s="67">
        <v>95.954695999999998</v>
      </c>
      <c r="V63" s="68">
        <v>13049</v>
      </c>
      <c r="W63" s="68">
        <v>13636</v>
      </c>
      <c r="X63" s="68">
        <f>W63-V63</f>
        <v>587</v>
      </c>
      <c r="Y63" s="68">
        <f t="shared" si="76"/>
        <v>152.05383741986657</v>
      </c>
      <c r="Z63" s="69">
        <v>615.79999999999995</v>
      </c>
      <c r="AA63" s="68">
        <v>690.1</v>
      </c>
      <c r="AB63" s="68">
        <f>AA63-Z63</f>
        <v>74.300000000000068</v>
      </c>
      <c r="AC63" s="68">
        <f t="shared" si="77"/>
        <v>19.246337513281254</v>
      </c>
      <c r="AD63" s="69">
        <v>510.28492599999998</v>
      </c>
      <c r="AE63" s="68">
        <v>576.36</v>
      </c>
      <c r="AF63" s="68">
        <f>AE63-AD63</f>
        <v>66.075074000000029</v>
      </c>
      <c r="AG63" s="68">
        <f t="shared" si="78"/>
        <v>17.115789709542856</v>
      </c>
      <c r="AH63" s="69">
        <v>-59.87</v>
      </c>
      <c r="AI63" s="68">
        <v>-63.76</v>
      </c>
      <c r="AJ63" s="68">
        <f>AI63-AH63</f>
        <v>-3.8900000000000006</v>
      </c>
      <c r="AK63" s="70">
        <f t="shared" si="79"/>
        <v>-1.007648087842046</v>
      </c>
      <c r="AL63" s="69">
        <v>-37.799999999999997</v>
      </c>
      <c r="AM63" s="68">
        <v>-41.6</v>
      </c>
      <c r="AN63" s="68">
        <f>AM63-AL63</f>
        <v>-3.8000000000000043</v>
      </c>
      <c r="AO63" s="70">
        <f t="shared" si="80"/>
        <v>-0.9843348930076552</v>
      </c>
      <c r="AP63" s="69">
        <v>-45.2</v>
      </c>
      <c r="AQ63" s="68">
        <v>-50</v>
      </c>
      <c r="AR63" s="68">
        <f>AQ63-AP63</f>
        <v>-4.7999999999999972</v>
      </c>
      <c r="AS63" s="70">
        <f t="shared" si="81"/>
        <v>-1.2433703911675624</v>
      </c>
      <c r="AT63" s="69">
        <v>30.8</v>
      </c>
      <c r="AU63" s="68">
        <v>32.299999999999997</v>
      </c>
      <c r="AV63" s="68">
        <f>AU63-AT63</f>
        <v>1.4999999999999964</v>
      </c>
      <c r="AW63" s="70">
        <f t="shared" si="82"/>
        <v>0.38855324723986251</v>
      </c>
      <c r="AX63" s="69">
        <v>112</v>
      </c>
      <c r="AY63" s="68">
        <v>697</v>
      </c>
      <c r="AZ63" s="68">
        <f>AY63-AX63</f>
        <v>585</v>
      </c>
      <c r="BA63" s="70">
        <f t="shared" si="83"/>
        <v>151.53576642354676</v>
      </c>
      <c r="BB63" s="69">
        <v>14079.3</v>
      </c>
      <c r="BC63" s="68">
        <v>14080.5</v>
      </c>
      <c r="BD63" s="68">
        <f>BC63-BB63</f>
        <v>1.2000000000007276</v>
      </c>
      <c r="BE63" s="70">
        <f t="shared" si="84"/>
        <v>0.31084259779207923</v>
      </c>
      <c r="BF63" s="69">
        <v>-13942.8</v>
      </c>
      <c r="BG63" s="68">
        <v>-13942.8</v>
      </c>
      <c r="BH63" s="68">
        <f>BG63-BF63</f>
        <v>0</v>
      </c>
      <c r="BI63" s="70">
        <f t="shared" si="85"/>
        <v>0</v>
      </c>
      <c r="BJ63" s="71">
        <v>96.725274999999996</v>
      </c>
      <c r="BK63" s="71">
        <v>95.954695999999998</v>
      </c>
      <c r="BL63" s="71">
        <f>BK63-BJ63</f>
        <v>-0.7705789999999979</v>
      </c>
      <c r="BM63" s="72">
        <v>-13942.8</v>
      </c>
      <c r="BN63" s="73">
        <v>-13942.8</v>
      </c>
      <c r="BO63" s="73">
        <f>BN63-BM63</f>
        <v>0</v>
      </c>
      <c r="BP63" s="72">
        <v>14079.3</v>
      </c>
      <c r="BQ63" s="73">
        <v>14080.5</v>
      </c>
      <c r="BR63" s="73">
        <f>BQ63-BP63</f>
        <v>1.2000000000007276</v>
      </c>
      <c r="BS63" s="71"/>
      <c r="BT63" s="71"/>
      <c r="BU63" s="71"/>
      <c r="BV63" s="71"/>
      <c r="BW63" s="62" t="s">
        <v>103</v>
      </c>
      <c r="BX63" s="5">
        <v>1349.81571104</v>
      </c>
      <c r="BY63" s="5">
        <v>-1.3790496999999999</v>
      </c>
      <c r="BZ63" s="5">
        <v>3369.1088820700002</v>
      </c>
      <c r="CA63" s="5">
        <v>3416.2202572800002</v>
      </c>
      <c r="CB63" s="5">
        <v>2.7135874200000001</v>
      </c>
      <c r="CC63" s="5">
        <v>2.7417852900000002</v>
      </c>
      <c r="CD63" s="5">
        <v>1.1665770000000001E-2</v>
      </c>
      <c r="CE63" s="5">
        <v>3.8602814400000001</v>
      </c>
      <c r="CF63" s="5">
        <v>3.8598311600000001</v>
      </c>
      <c r="CG63" s="5">
        <v>-1.05092316</v>
      </c>
      <c r="CH63" s="5">
        <v>-1.02844918</v>
      </c>
      <c r="CI63" s="5">
        <v>0.71726643000000001</v>
      </c>
    </row>
    <row r="64" spans="1:87" ht="15" customHeight="1" x14ac:dyDescent="0.2">
      <c r="A64" s="2">
        <f t="shared" ref="A64:A71" si="86">A63</f>
        <v>62009016</v>
      </c>
      <c r="B64" s="58" t="s">
        <v>118</v>
      </c>
      <c r="C64" s="58" t="s">
        <v>119</v>
      </c>
      <c r="D64" s="59" t="s">
        <v>114</v>
      </c>
      <c r="E64" s="60" t="s">
        <v>194</v>
      </c>
      <c r="F64" s="61" t="str">
        <f t="shared" si="49"/>
        <v>09/15/20</v>
      </c>
      <c r="G64" s="62" t="s">
        <v>195</v>
      </c>
      <c r="H64" s="62" t="s">
        <v>110</v>
      </c>
      <c r="I64" s="63"/>
      <c r="J64" s="74">
        <f>AVERAGE(J62:J63)</f>
        <v>23.038983000000002</v>
      </c>
      <c r="K64" s="74">
        <f>AVERAGE(K62:K63)</f>
        <v>43.945729</v>
      </c>
      <c r="L64" s="74">
        <f>AVERAGE(L62:L63)</f>
        <v>29.576032000000001</v>
      </c>
      <c r="M64" s="74">
        <f>AVERAGE(M62:M63)</f>
        <v>25.891098499999998</v>
      </c>
      <c r="N64" s="75"/>
      <c r="O64" s="65"/>
      <c r="P64" s="76"/>
      <c r="Q64" s="77"/>
      <c r="R64" s="78">
        <f>R63+R62</f>
        <v>7.4558172200000001</v>
      </c>
      <c r="S64" s="78">
        <f>S63</f>
        <v>7.4558172200000001</v>
      </c>
      <c r="T64" s="79">
        <f>T62</f>
        <v>97.630133999999998</v>
      </c>
      <c r="U64" s="79">
        <f>U63</f>
        <v>95.954695999999998</v>
      </c>
      <c r="V64" s="80">
        <f>V62</f>
        <v>12363</v>
      </c>
      <c r="W64" s="80">
        <f>W63</f>
        <v>13636</v>
      </c>
      <c r="X64" s="80">
        <f>SUM(X62:X63)</f>
        <v>1273</v>
      </c>
      <c r="Y64" s="80">
        <f t="shared" si="76"/>
        <v>170.73916412344667</v>
      </c>
      <c r="Z64" s="80">
        <f>Z62</f>
        <v>570.1</v>
      </c>
      <c r="AA64" s="80">
        <f>AA63</f>
        <v>690.1</v>
      </c>
      <c r="AB64" s="80">
        <f>SUM(AB62:AB63)</f>
        <v>120</v>
      </c>
      <c r="AC64" s="80">
        <f t="shared" si="77"/>
        <v>16.094815156962767</v>
      </c>
      <c r="AD64" s="80">
        <f>AD62</f>
        <v>469.58436899999998</v>
      </c>
      <c r="AE64" s="80">
        <f>AE63</f>
        <v>576.36</v>
      </c>
      <c r="AF64" s="80">
        <f>SUM(AF62:AF63)</f>
        <v>106.76572800000002</v>
      </c>
      <c r="AG64" s="80">
        <f t="shared" si="78"/>
        <v>14.319788810488037</v>
      </c>
      <c r="AH64" s="80">
        <f>AH62</f>
        <v>-56.02</v>
      </c>
      <c r="AI64" s="80">
        <f>AI63</f>
        <v>-63.76</v>
      </c>
      <c r="AJ64" s="80">
        <f>SUM(AJ62:AJ63)</f>
        <v>-7.7399999999999949</v>
      </c>
      <c r="AK64" s="81">
        <f t="shared" si="79"/>
        <v>-1.0381155776240978</v>
      </c>
      <c r="AL64" s="80">
        <f>AL62</f>
        <v>-35.5</v>
      </c>
      <c r="AM64" s="80">
        <f>AM63</f>
        <v>-41.6</v>
      </c>
      <c r="AN64" s="80">
        <f>SUM(AN62:AN63)</f>
        <v>-6.1000000000000014</v>
      </c>
      <c r="AO64" s="81">
        <f t="shared" si="80"/>
        <v>-0.81815310381227413</v>
      </c>
      <c r="AP64" s="80">
        <f>AP62</f>
        <v>-42.4</v>
      </c>
      <c r="AQ64" s="80">
        <f>AQ63</f>
        <v>-50</v>
      </c>
      <c r="AR64" s="80">
        <f>SUM(AR62:AR63)</f>
        <v>-7.6000000000000014</v>
      </c>
      <c r="AS64" s="81">
        <f t="shared" si="81"/>
        <v>-1.0193382932743087</v>
      </c>
      <c r="AT64" s="80">
        <f>AT62</f>
        <v>29.9</v>
      </c>
      <c r="AU64" s="80">
        <f>AU63</f>
        <v>32.299999999999997</v>
      </c>
      <c r="AV64" s="80">
        <f>SUM(AV62:AV63)</f>
        <v>2.3999999999999986</v>
      </c>
      <c r="AW64" s="81">
        <f t="shared" si="82"/>
        <v>0.32189630313925516</v>
      </c>
      <c r="AX64" s="80">
        <f>AX62</f>
        <v>-573</v>
      </c>
      <c r="AY64" s="80">
        <f>AY63</f>
        <v>697</v>
      </c>
      <c r="AZ64" s="80">
        <f>SUM(AZ62:AZ63)</f>
        <v>1270</v>
      </c>
      <c r="BA64" s="81">
        <f t="shared" si="83"/>
        <v>170.33679374452262</v>
      </c>
      <c r="BB64" s="80">
        <f>BB62</f>
        <v>14078.6</v>
      </c>
      <c r="BC64" s="80">
        <f>BC63</f>
        <v>14080.5</v>
      </c>
      <c r="BD64" s="80">
        <f>SUM(BD62:BD63)</f>
        <v>1.8999999999996362</v>
      </c>
      <c r="BE64" s="81">
        <f t="shared" si="84"/>
        <v>0.25483457331852832</v>
      </c>
      <c r="BF64" s="80">
        <f>BF62</f>
        <v>-13942.8</v>
      </c>
      <c r="BG64" s="80">
        <f>BG63</f>
        <v>-13942.8</v>
      </c>
      <c r="BH64" s="80">
        <f>SUM(BH62:BH63)</f>
        <v>0</v>
      </c>
      <c r="BI64" s="81">
        <f t="shared" si="85"/>
        <v>0</v>
      </c>
      <c r="BJ64" s="82"/>
      <c r="BK64" s="82"/>
      <c r="BL64" s="82">
        <f>SUM(BL62:BL63)</f>
        <v>-1.6754379999999998</v>
      </c>
      <c r="BM64" s="83">
        <f>BM62</f>
        <v>-13942.8</v>
      </c>
      <c r="BN64" s="83">
        <f>BN63</f>
        <v>-13942.8</v>
      </c>
      <c r="BO64" s="83">
        <f>SUM(BO62:BO63)</f>
        <v>0</v>
      </c>
      <c r="BP64" s="83">
        <f>BP62</f>
        <v>14078.6</v>
      </c>
      <c r="BQ64" s="83">
        <f>BQ63</f>
        <v>14080.5</v>
      </c>
      <c r="BR64" s="83">
        <f>SUM(BR62:BR63)</f>
        <v>1.8999999999996362</v>
      </c>
      <c r="BS64" s="82"/>
      <c r="BT64" s="82"/>
      <c r="BU64" s="82"/>
      <c r="BV64" s="82"/>
      <c r="BW64" s="62" t="s">
        <v>103</v>
      </c>
    </row>
    <row r="65" spans="1:87" ht="15" customHeight="1" x14ac:dyDescent="0.2">
      <c r="A65" s="2">
        <f t="shared" si="86"/>
        <v>62009016</v>
      </c>
      <c r="B65" s="58" t="s">
        <v>120</v>
      </c>
      <c r="C65" s="58" t="s">
        <v>105</v>
      </c>
      <c r="D65" s="59" t="s">
        <v>114</v>
      </c>
      <c r="E65" s="60" t="s">
        <v>194</v>
      </c>
      <c r="F65" s="61" t="str">
        <f t="shared" si="49"/>
        <v>09/15/20</v>
      </c>
      <c r="G65" s="62" t="s">
        <v>195</v>
      </c>
      <c r="H65" s="62" t="s">
        <v>110</v>
      </c>
      <c r="I65" s="63"/>
      <c r="J65" s="64">
        <v>24.952997</v>
      </c>
      <c r="K65" s="64">
        <v>38.706268000000001</v>
      </c>
      <c r="L65" s="64">
        <v>29.576810999999999</v>
      </c>
      <c r="M65" s="64">
        <v>28.062785000000002</v>
      </c>
      <c r="N65" s="65">
        <v>3875</v>
      </c>
      <c r="O65" s="65">
        <v>28.39</v>
      </c>
      <c r="P65" s="65">
        <v>0.20169999999999999</v>
      </c>
      <c r="Q65" s="65">
        <v>1.932E-2</v>
      </c>
      <c r="R65" s="66">
        <v>10.285887450000001</v>
      </c>
      <c r="S65" s="66">
        <f>R65+R64</f>
        <v>17.741704670000001</v>
      </c>
      <c r="T65" s="67">
        <v>95.95317</v>
      </c>
      <c r="U65" s="67">
        <v>93.276741000000001</v>
      </c>
      <c r="V65" s="68">
        <v>13638</v>
      </c>
      <c r="W65" s="68">
        <v>15651</v>
      </c>
      <c r="X65" s="68">
        <f>W65-V65</f>
        <v>2013</v>
      </c>
      <c r="Y65" s="68">
        <f t="shared" si="76"/>
        <v>195.70503855746543</v>
      </c>
      <c r="Z65" s="69">
        <v>691.5</v>
      </c>
      <c r="AA65" s="68">
        <v>756.7</v>
      </c>
      <c r="AB65" s="68">
        <f>AA65-Z65</f>
        <v>65.200000000000045</v>
      </c>
      <c r="AC65" s="68">
        <f t="shared" si="77"/>
        <v>6.3387821728498537</v>
      </c>
      <c r="AD65" s="69">
        <v>577.61</v>
      </c>
      <c r="AE65" s="68">
        <v>635.64275999999995</v>
      </c>
      <c r="AF65" s="68">
        <f>AE65-AD65</f>
        <v>58.032759999999939</v>
      </c>
      <c r="AG65" s="68">
        <f t="shared" si="78"/>
        <v>5.6419789038232127</v>
      </c>
      <c r="AH65" s="69">
        <v>-63.81</v>
      </c>
      <c r="AI65" s="68">
        <v>-65.78</v>
      </c>
      <c r="AJ65" s="68">
        <f>AI65-AH65</f>
        <v>-1.9699999999999989</v>
      </c>
      <c r="AK65" s="70">
        <f t="shared" si="79"/>
        <v>-0.19152455338211957</v>
      </c>
      <c r="AL65" s="69">
        <v>-41.7</v>
      </c>
      <c r="AM65" s="68">
        <v>-45</v>
      </c>
      <c r="AN65" s="68">
        <f>AM65-AL65</f>
        <v>-3.2999999999999972</v>
      </c>
      <c r="AO65" s="70">
        <f t="shared" si="80"/>
        <v>-0.32082793206141846</v>
      </c>
      <c r="AP65" s="69">
        <v>-50.1</v>
      </c>
      <c r="AQ65" s="68">
        <v>-54.237333</v>
      </c>
      <c r="AR65" s="68">
        <f>AQ65-AP65</f>
        <v>-4.1373329999999982</v>
      </c>
      <c r="AS65" s="70">
        <f t="shared" si="81"/>
        <v>-0.40223393655741368</v>
      </c>
      <c r="AT65" s="69">
        <v>33.799999999999997</v>
      </c>
      <c r="AU65" s="68">
        <v>34.6</v>
      </c>
      <c r="AV65" s="68">
        <f>AU65-AT65</f>
        <v>0.80000000000000426</v>
      </c>
      <c r="AW65" s="70">
        <f t="shared" si="82"/>
        <v>7.777646837852617E-2</v>
      </c>
      <c r="AX65" s="69">
        <v>2714</v>
      </c>
      <c r="AY65" s="68">
        <v>3341</v>
      </c>
      <c r="AZ65" s="68">
        <f>AY65-AX65</f>
        <v>627</v>
      </c>
      <c r="BA65" s="70">
        <f t="shared" si="83"/>
        <v>60.957307091669563</v>
      </c>
      <c r="BB65" s="69">
        <v>14082.4</v>
      </c>
      <c r="BC65" s="68">
        <v>14083.1</v>
      </c>
      <c r="BD65" s="68">
        <f>BC65-BB65</f>
        <v>0.7000000000007276</v>
      </c>
      <c r="BE65" s="70">
        <f t="shared" si="84"/>
        <v>6.8054409831280777E-2</v>
      </c>
      <c r="BF65" s="69">
        <v>-13942.8</v>
      </c>
      <c r="BG65" s="68">
        <v>-13942.8</v>
      </c>
      <c r="BH65" s="68">
        <f>BG65-BF65</f>
        <v>0</v>
      </c>
      <c r="BI65" s="70">
        <f t="shared" si="85"/>
        <v>0</v>
      </c>
      <c r="BJ65" s="71">
        <v>93.272163000000006</v>
      </c>
      <c r="BK65" s="71">
        <v>92.431393</v>
      </c>
      <c r="BL65" s="71">
        <f>BK65-BJ65</f>
        <v>-0.84077000000000623</v>
      </c>
      <c r="BM65" s="72">
        <v>-13942.8</v>
      </c>
      <c r="BN65" s="73">
        <v>-13942.8</v>
      </c>
      <c r="BO65" s="73">
        <f>BN65-BM65</f>
        <v>0</v>
      </c>
      <c r="BP65" s="72">
        <v>14082.4</v>
      </c>
      <c r="BQ65" s="73">
        <v>14083.1</v>
      </c>
      <c r="BR65" s="73">
        <f>BQ65-BP65</f>
        <v>0.7000000000007276</v>
      </c>
      <c r="BS65" s="71"/>
      <c r="BT65" s="71"/>
      <c r="BU65" s="71"/>
      <c r="BV65" s="71"/>
      <c r="BW65" s="62" t="s">
        <v>103</v>
      </c>
      <c r="BX65" s="5">
        <v>2196.40732961</v>
      </c>
      <c r="BY65" s="5">
        <v>-0.96818249000000001</v>
      </c>
      <c r="BZ65" s="5">
        <v>2028.8243977499999</v>
      </c>
      <c r="CA65" s="5">
        <v>2048.6591569799998</v>
      </c>
      <c r="CB65" s="5">
        <v>2.9488092799999999</v>
      </c>
      <c r="CC65" s="5">
        <v>2.96567172</v>
      </c>
      <c r="CD65" s="5">
        <v>0.14383051999999999</v>
      </c>
      <c r="CE65" s="5">
        <v>3.5961443200000001</v>
      </c>
      <c r="CF65" s="5">
        <v>3.5909794000000002</v>
      </c>
      <c r="CG65" s="5">
        <v>-0.71649185999999998</v>
      </c>
      <c r="CH65" s="5">
        <v>-0.56858746000000004</v>
      </c>
      <c r="CI65" s="5">
        <v>0.59138329999999995</v>
      </c>
    </row>
    <row r="66" spans="1:87" ht="15" customHeight="1" x14ac:dyDescent="0.2">
      <c r="A66" s="2">
        <f t="shared" si="86"/>
        <v>62009016</v>
      </c>
      <c r="B66" s="58" t="s">
        <v>121</v>
      </c>
      <c r="C66" s="58" t="s">
        <v>122</v>
      </c>
      <c r="D66" s="59" t="s">
        <v>114</v>
      </c>
      <c r="E66" s="60" t="s">
        <v>194</v>
      </c>
      <c r="F66" s="61" t="str">
        <f t="shared" si="49"/>
        <v>09/15/20</v>
      </c>
      <c r="G66" s="62" t="s">
        <v>195</v>
      </c>
      <c r="H66" s="62" t="s">
        <v>110</v>
      </c>
      <c r="I66" s="63"/>
      <c r="J66" s="64">
        <v>20.472218000000002</v>
      </c>
      <c r="K66" s="64">
        <v>51.650903999999997</v>
      </c>
      <c r="L66" s="64">
        <v>29.564692999999998</v>
      </c>
      <c r="M66" s="64">
        <v>27.555437000000001</v>
      </c>
      <c r="N66" s="65">
        <v>3875</v>
      </c>
      <c r="O66" s="65">
        <v>28.39</v>
      </c>
      <c r="P66" s="65">
        <v>0.20169999999999999</v>
      </c>
      <c r="Q66" s="65">
        <v>1.932E-2</v>
      </c>
      <c r="R66" s="66">
        <v>3.596241</v>
      </c>
      <c r="S66" s="66">
        <f>R66+R65</f>
        <v>13.88212845</v>
      </c>
      <c r="T66" s="67">
        <v>93.272163000000006</v>
      </c>
      <c r="U66" s="67">
        <v>92.431393</v>
      </c>
      <c r="V66" s="68">
        <v>15655</v>
      </c>
      <c r="W66" s="68">
        <v>16283</v>
      </c>
      <c r="X66" s="68">
        <f>W66-V66</f>
        <v>628</v>
      </c>
      <c r="Y66" s="68">
        <f t="shared" si="76"/>
        <v>174.62678391131183</v>
      </c>
      <c r="Z66" s="69">
        <v>760.8</v>
      </c>
      <c r="AA66" s="68">
        <v>782.1</v>
      </c>
      <c r="AB66" s="68">
        <f>AA66-Z66</f>
        <v>21.300000000000068</v>
      </c>
      <c r="AC66" s="68">
        <f t="shared" si="77"/>
        <v>5.9228511103677617</v>
      </c>
      <c r="AD66" s="69">
        <v>639.18395799999996</v>
      </c>
      <c r="AE66" s="68">
        <v>657.36</v>
      </c>
      <c r="AF66" s="68">
        <f>AE66-AD66</f>
        <v>18.176042000000052</v>
      </c>
      <c r="AG66" s="68">
        <f t="shared" si="78"/>
        <v>5.0541779597084986</v>
      </c>
      <c r="AH66" s="69">
        <v>-54.563958</v>
      </c>
      <c r="AI66" s="68">
        <v>-52.78</v>
      </c>
      <c r="AJ66" s="68">
        <f>AI66-AH66</f>
        <v>1.7839579999999984</v>
      </c>
      <c r="AK66" s="70">
        <f t="shared" si="79"/>
        <v>0.49606186014785947</v>
      </c>
      <c r="AL66" s="69">
        <v>-45.3</v>
      </c>
      <c r="AM66" s="68">
        <v>-47.5</v>
      </c>
      <c r="AN66" s="68">
        <f>AM66-AL66</f>
        <v>-2.2000000000000028</v>
      </c>
      <c r="AO66" s="70">
        <f t="shared" si="80"/>
        <v>-0.61174987994408681</v>
      </c>
      <c r="AP66" s="69">
        <v>-54.3</v>
      </c>
      <c r="AQ66" s="68">
        <v>-57</v>
      </c>
      <c r="AR66" s="68">
        <f>AQ66-AP66</f>
        <v>-2.7000000000000028</v>
      </c>
      <c r="AS66" s="70">
        <f t="shared" si="81"/>
        <v>-0.75078394356774281</v>
      </c>
      <c r="AT66" s="69">
        <v>33.799999999999997</v>
      </c>
      <c r="AU66" s="68">
        <v>34.6</v>
      </c>
      <c r="AV66" s="68">
        <f>AU66-AT66</f>
        <v>0.80000000000000426</v>
      </c>
      <c r="AW66" s="70">
        <f t="shared" si="82"/>
        <v>0.22245450179785067</v>
      </c>
      <c r="AX66" s="69">
        <v>2714</v>
      </c>
      <c r="AY66" s="68">
        <v>3341</v>
      </c>
      <c r="AZ66" s="68">
        <f>AY66-AX66</f>
        <v>627</v>
      </c>
      <c r="BA66" s="70">
        <f t="shared" si="83"/>
        <v>174.34871578406452</v>
      </c>
      <c r="BB66" s="69">
        <v>14082.4</v>
      </c>
      <c r="BC66" s="68">
        <v>14083.1</v>
      </c>
      <c r="BD66" s="68">
        <f>BC66-BB66</f>
        <v>0.7000000000007276</v>
      </c>
      <c r="BE66" s="70">
        <f t="shared" si="84"/>
        <v>0.19464768907332061</v>
      </c>
      <c r="BF66" s="69">
        <v>-13942.8</v>
      </c>
      <c r="BG66" s="68">
        <v>-13942.8</v>
      </c>
      <c r="BH66" s="68">
        <f>BG66-BF66</f>
        <v>0</v>
      </c>
      <c r="BI66" s="70">
        <f t="shared" si="85"/>
        <v>0</v>
      </c>
      <c r="BJ66" s="71">
        <v>93.272163000000006</v>
      </c>
      <c r="BK66" s="71">
        <v>92.431393</v>
      </c>
      <c r="BL66" s="71">
        <f>BK66-BJ66</f>
        <v>-0.84077000000000623</v>
      </c>
      <c r="BM66" s="72">
        <v>-13942.8</v>
      </c>
      <c r="BN66" s="73">
        <v>-13942.8</v>
      </c>
      <c r="BO66" s="73">
        <f>BN66-BM66</f>
        <v>0</v>
      </c>
      <c r="BP66" s="72">
        <v>14082.4</v>
      </c>
      <c r="BQ66" s="73">
        <v>14083.1</v>
      </c>
      <c r="BR66" s="73">
        <f>BQ66-BP66</f>
        <v>0.7000000000007276</v>
      </c>
      <c r="BS66" s="71"/>
      <c r="BT66" s="71"/>
      <c r="BU66" s="71"/>
      <c r="BV66" s="71"/>
      <c r="BW66" s="62" t="s">
        <v>103</v>
      </c>
      <c r="BX66" s="5">
        <v>2196.40732961</v>
      </c>
      <c r="BY66" s="5">
        <v>-0.96818249000000001</v>
      </c>
      <c r="BZ66" s="5">
        <v>2028.8243977499999</v>
      </c>
      <c r="CA66" s="5">
        <v>2048.6591569799998</v>
      </c>
      <c r="CB66" s="5">
        <v>2.9488092799999999</v>
      </c>
      <c r="CC66" s="5">
        <v>2.96567172</v>
      </c>
      <c r="CD66" s="5">
        <v>0.14383051999999999</v>
      </c>
      <c r="CE66" s="5">
        <v>3.5961443200000001</v>
      </c>
      <c r="CF66" s="5">
        <v>3.5909794000000002</v>
      </c>
      <c r="CG66" s="5">
        <v>-0.71649185999999998</v>
      </c>
      <c r="CH66" s="5">
        <v>-0.56858746000000004</v>
      </c>
      <c r="CI66" s="5">
        <v>0.59138329999999995</v>
      </c>
    </row>
    <row r="67" spans="1:87" ht="15" customHeight="1" x14ac:dyDescent="0.2">
      <c r="A67" s="2">
        <f t="shared" si="86"/>
        <v>62009016</v>
      </c>
      <c r="B67" s="58" t="s">
        <v>123</v>
      </c>
      <c r="C67" s="58" t="s">
        <v>124</v>
      </c>
      <c r="D67" s="59" t="s">
        <v>114</v>
      </c>
      <c r="E67" s="60" t="s">
        <v>194</v>
      </c>
      <c r="F67" s="61" t="str">
        <f t="shared" si="49"/>
        <v>09/15/20</v>
      </c>
      <c r="G67" s="62" t="s">
        <v>195</v>
      </c>
      <c r="H67" s="62" t="s">
        <v>110</v>
      </c>
      <c r="I67" s="63"/>
      <c r="J67" s="64">
        <v>19.875381000000001</v>
      </c>
      <c r="K67" s="64">
        <v>54.141787000000001</v>
      </c>
      <c r="L67" s="64">
        <v>29.567094000000001</v>
      </c>
      <c r="M67" s="64">
        <v>26.981762</v>
      </c>
      <c r="N67" s="65">
        <v>3875</v>
      </c>
      <c r="O67" s="65">
        <v>28.39</v>
      </c>
      <c r="P67" s="65">
        <v>0.20169999999999999</v>
      </c>
      <c r="Q67" s="65">
        <v>1.932E-2</v>
      </c>
      <c r="R67" s="66">
        <v>3.8588833899999999</v>
      </c>
      <c r="S67" s="66">
        <f>R67+R66</f>
        <v>7.4551243899999999</v>
      </c>
      <c r="T67" s="67">
        <v>92.431393</v>
      </c>
      <c r="U67" s="67">
        <v>91.709642000000002</v>
      </c>
      <c r="V67" s="68">
        <v>16283</v>
      </c>
      <c r="W67" s="68">
        <v>16823</v>
      </c>
      <c r="X67" s="68">
        <f>W67-V67</f>
        <v>540</v>
      </c>
      <c r="Y67" s="68">
        <f t="shared" si="76"/>
        <v>139.93685359847063</v>
      </c>
      <c r="Z67" s="69">
        <v>782.1</v>
      </c>
      <c r="AA67" s="68">
        <v>819.3</v>
      </c>
      <c r="AB67" s="68">
        <f>AA67-Z67</f>
        <v>37.199999999999932</v>
      </c>
      <c r="AC67" s="68">
        <f t="shared" si="77"/>
        <v>9.6400943590057366</v>
      </c>
      <c r="AD67" s="69">
        <v>657.37116700000001</v>
      </c>
      <c r="AE67" s="68">
        <v>689.08</v>
      </c>
      <c r="AF67" s="68">
        <f>AE67-AD67</f>
        <v>31.708833000000027</v>
      </c>
      <c r="AG67" s="68">
        <f t="shared" si="78"/>
        <v>8.2171005949988114</v>
      </c>
      <c r="AH67" s="69">
        <v>-52.78</v>
      </c>
      <c r="AI67" s="68">
        <v>-51.45</v>
      </c>
      <c r="AJ67" s="68">
        <f>AI67-AH67</f>
        <v>1.3299999999999983</v>
      </c>
      <c r="AK67" s="70">
        <f t="shared" si="79"/>
        <v>0.34465928756660313</v>
      </c>
      <c r="AL67" s="69">
        <v>-47.5</v>
      </c>
      <c r="AM67" s="68">
        <v>-51.3</v>
      </c>
      <c r="AN67" s="68">
        <f>AM67-AL67</f>
        <v>-3.7999999999999972</v>
      </c>
      <c r="AO67" s="70">
        <f t="shared" si="80"/>
        <v>-0.98474082161886656</v>
      </c>
      <c r="AP67" s="69">
        <v>-57</v>
      </c>
      <c r="AQ67" s="68">
        <v>-61.7</v>
      </c>
      <c r="AR67" s="68">
        <f>AQ67-AP67</f>
        <v>-4.7000000000000028</v>
      </c>
      <c r="AS67" s="70">
        <f t="shared" si="81"/>
        <v>-1.2179689109496525</v>
      </c>
      <c r="AT67" s="69">
        <v>34.6</v>
      </c>
      <c r="AU67" s="68">
        <v>36.1</v>
      </c>
      <c r="AV67" s="68">
        <f>AU67-AT67</f>
        <v>1.5</v>
      </c>
      <c r="AW67" s="70">
        <f t="shared" si="82"/>
        <v>0.38871348221797397</v>
      </c>
      <c r="AX67" s="69">
        <v>3341</v>
      </c>
      <c r="AY67" s="68">
        <v>3879</v>
      </c>
      <c r="AZ67" s="68">
        <f>AY67-AX67</f>
        <v>538</v>
      </c>
      <c r="BA67" s="70">
        <f t="shared" si="83"/>
        <v>139.41856895551334</v>
      </c>
      <c r="BB67" s="69">
        <v>14083.1</v>
      </c>
      <c r="BC67" s="68">
        <v>14084.4</v>
      </c>
      <c r="BD67" s="68">
        <f>BC67-BB67</f>
        <v>1.2999999999992724</v>
      </c>
      <c r="BE67" s="70">
        <f t="shared" si="84"/>
        <v>0.33688501792205555</v>
      </c>
      <c r="BF67" s="69">
        <v>-13942.8</v>
      </c>
      <c r="BG67" s="68">
        <v>-13942.8</v>
      </c>
      <c r="BH67" s="68">
        <f>BG67-BF67</f>
        <v>0</v>
      </c>
      <c r="BI67" s="70">
        <f t="shared" si="85"/>
        <v>0</v>
      </c>
      <c r="BJ67" s="71">
        <v>92.431393</v>
      </c>
      <c r="BK67" s="71">
        <v>91.709642000000002</v>
      </c>
      <c r="BL67" s="71">
        <f>BK67-BJ67</f>
        <v>-0.72175099999999759</v>
      </c>
      <c r="BM67" s="72">
        <v>-13942.8</v>
      </c>
      <c r="BN67" s="73">
        <v>-13942.8</v>
      </c>
      <c r="BO67" s="73">
        <f>BN67-BM67</f>
        <v>0</v>
      </c>
      <c r="BP67" s="72">
        <v>14083.1</v>
      </c>
      <c r="BQ67" s="73">
        <v>14084.4</v>
      </c>
      <c r="BR67" s="73">
        <f>BQ67-BP67</f>
        <v>1.2999999999992724</v>
      </c>
      <c r="BS67" s="71"/>
      <c r="BT67" s="71"/>
      <c r="BU67" s="71"/>
      <c r="BV67" s="71"/>
      <c r="BW67" s="62" t="s">
        <v>103</v>
      </c>
      <c r="BX67" s="5">
        <v>1348.1744017599999</v>
      </c>
      <c r="BY67" s="5">
        <v>-1.11807857</v>
      </c>
      <c r="BZ67" s="5">
        <v>3377.7991163900001</v>
      </c>
      <c r="CA67" s="5">
        <v>3415.9925975599999</v>
      </c>
      <c r="CB67" s="5">
        <v>2.7109221200000002</v>
      </c>
      <c r="CC67" s="5">
        <v>2.7414912199999999</v>
      </c>
      <c r="CD67" s="5">
        <v>-2.7384140000000001E-2</v>
      </c>
      <c r="CE67" s="5">
        <v>3.85877252</v>
      </c>
      <c r="CF67" s="5">
        <v>3.8598295</v>
      </c>
      <c r="CG67" s="5">
        <v>-1.09993466</v>
      </c>
      <c r="CH67" s="5">
        <v>-1.1150539399999999</v>
      </c>
      <c r="CI67" s="5">
        <v>0.71727976999999998</v>
      </c>
    </row>
    <row r="68" spans="1:87" ht="15" customHeight="1" x14ac:dyDescent="0.2">
      <c r="A68" s="2">
        <f t="shared" si="86"/>
        <v>62009016</v>
      </c>
      <c r="B68" s="58" t="s">
        <v>125</v>
      </c>
      <c r="C68" s="58" t="s">
        <v>126</v>
      </c>
      <c r="D68" s="59" t="s">
        <v>114</v>
      </c>
      <c r="E68" s="60" t="s">
        <v>194</v>
      </c>
      <c r="F68" s="61" t="str">
        <f t="shared" si="49"/>
        <v>09/15/20</v>
      </c>
      <c r="G68" s="62" t="s">
        <v>195</v>
      </c>
      <c r="H68" s="62" t="s">
        <v>110</v>
      </c>
      <c r="I68" s="63"/>
      <c r="J68" s="74">
        <f>AVERAGE(J66:J67)</f>
        <v>20.173799500000001</v>
      </c>
      <c r="K68" s="74">
        <f>AVERAGE(K66:K67)</f>
        <v>52.896345499999995</v>
      </c>
      <c r="L68" s="74">
        <f>AVERAGE(L66:L67)</f>
        <v>29.565893500000001</v>
      </c>
      <c r="M68" s="74">
        <f>AVERAGE(M66:M67)</f>
        <v>27.268599500000001</v>
      </c>
      <c r="N68" s="75"/>
      <c r="O68" s="65"/>
      <c r="P68" s="76"/>
      <c r="Q68" s="77"/>
      <c r="R68" s="78">
        <f>R67+R66</f>
        <v>7.4551243899999999</v>
      </c>
      <c r="S68" s="78">
        <f>S67</f>
        <v>7.4551243899999999</v>
      </c>
      <c r="T68" s="79">
        <f>T66</f>
        <v>93.272163000000006</v>
      </c>
      <c r="U68" s="79">
        <f>U67</f>
        <v>91.709642000000002</v>
      </c>
      <c r="V68" s="80">
        <f>V66</f>
        <v>15655</v>
      </c>
      <c r="W68" s="80">
        <f>W67</f>
        <v>16823</v>
      </c>
      <c r="X68" s="80">
        <f>SUM(X66:X67)</f>
        <v>1168</v>
      </c>
      <c r="Y68" s="80">
        <f t="shared" si="76"/>
        <v>156.67075945328392</v>
      </c>
      <c r="Z68" s="80">
        <f>Z66</f>
        <v>760.8</v>
      </c>
      <c r="AA68" s="80">
        <f>AA67</f>
        <v>819.3</v>
      </c>
      <c r="AB68" s="80">
        <f>SUM(AB66:AB67)</f>
        <v>58.5</v>
      </c>
      <c r="AC68" s="80">
        <f t="shared" si="77"/>
        <v>7.8469515650831418</v>
      </c>
      <c r="AD68" s="80">
        <f>AD66</f>
        <v>639.18395799999996</v>
      </c>
      <c r="AE68" s="80">
        <f>AE67</f>
        <v>689.08</v>
      </c>
      <c r="AF68" s="80">
        <f>SUM(AF66:AF67)</f>
        <v>49.884875000000079</v>
      </c>
      <c r="AG68" s="80">
        <f t="shared" si="78"/>
        <v>6.6913538112004698</v>
      </c>
      <c r="AH68" s="80">
        <f>AH66</f>
        <v>-54.563958</v>
      </c>
      <c r="AI68" s="80">
        <f>AI67</f>
        <v>-51.45</v>
      </c>
      <c r="AJ68" s="80">
        <f>SUM(AJ66:AJ67)</f>
        <v>3.1139579999999967</v>
      </c>
      <c r="AK68" s="81">
        <f t="shared" si="79"/>
        <v>0.41769363421714772</v>
      </c>
      <c r="AL68" s="80">
        <f>AL66</f>
        <v>-45.3</v>
      </c>
      <c r="AM68" s="80">
        <f>AM67</f>
        <v>-51.3</v>
      </c>
      <c r="AN68" s="80">
        <f>SUM(AN66:AN67)</f>
        <v>-6</v>
      </c>
      <c r="AO68" s="81">
        <f t="shared" si="80"/>
        <v>-0.80481554513673248</v>
      </c>
      <c r="AP68" s="80">
        <f>AP66</f>
        <v>-54.3</v>
      </c>
      <c r="AQ68" s="80">
        <f>AQ67</f>
        <v>-61.7</v>
      </c>
      <c r="AR68" s="80">
        <f>SUM(AR66:AR67)</f>
        <v>-7.4000000000000057</v>
      </c>
      <c r="AS68" s="81">
        <f t="shared" si="81"/>
        <v>-0.99260583900197075</v>
      </c>
      <c r="AT68" s="80">
        <f>AT66</f>
        <v>33.799999999999997</v>
      </c>
      <c r="AU68" s="80">
        <f>AU67</f>
        <v>36.1</v>
      </c>
      <c r="AV68" s="80">
        <f>SUM(AV66:AV67)</f>
        <v>2.3000000000000043</v>
      </c>
      <c r="AW68" s="81">
        <f t="shared" si="82"/>
        <v>0.30851262563574799</v>
      </c>
      <c r="AX68" s="80">
        <f>AX66</f>
        <v>2714</v>
      </c>
      <c r="AY68" s="80">
        <f>AY67</f>
        <v>3879</v>
      </c>
      <c r="AZ68" s="80">
        <f>SUM(AZ66:AZ67)</f>
        <v>1165</v>
      </c>
      <c r="BA68" s="81">
        <f t="shared" si="83"/>
        <v>156.26835168071554</v>
      </c>
      <c r="BB68" s="80">
        <f>BB66</f>
        <v>14082.4</v>
      </c>
      <c r="BC68" s="80">
        <f>BC67</f>
        <v>14084.4</v>
      </c>
      <c r="BD68" s="80">
        <f>SUM(BD66:BD67)</f>
        <v>2</v>
      </c>
      <c r="BE68" s="81">
        <f t="shared" si="84"/>
        <v>0.26827184837891083</v>
      </c>
      <c r="BF68" s="80">
        <f>BF66</f>
        <v>-13942.8</v>
      </c>
      <c r="BG68" s="80">
        <f>BG67</f>
        <v>-13942.8</v>
      </c>
      <c r="BH68" s="80">
        <f>SUM(BH66:BH67)</f>
        <v>0</v>
      </c>
      <c r="BI68" s="81">
        <f t="shared" si="85"/>
        <v>0</v>
      </c>
      <c r="BJ68" s="82"/>
      <c r="BK68" s="82"/>
      <c r="BL68" s="82">
        <f>SUM(BL66:BL67)</f>
        <v>-1.5625210000000038</v>
      </c>
      <c r="BM68" s="83">
        <f>BM66</f>
        <v>-13942.8</v>
      </c>
      <c r="BN68" s="83">
        <f>BN67</f>
        <v>-13942.8</v>
      </c>
      <c r="BO68" s="83">
        <f>SUM(BO66:BO67)</f>
        <v>0</v>
      </c>
      <c r="BP68" s="83">
        <f>BP66</f>
        <v>14082.4</v>
      </c>
      <c r="BQ68" s="83">
        <f>BQ67</f>
        <v>14084.4</v>
      </c>
      <c r="BR68" s="83">
        <f>SUM(BR66:BR67)</f>
        <v>2</v>
      </c>
      <c r="BS68" s="82"/>
      <c r="BT68" s="82"/>
      <c r="BU68" s="82"/>
      <c r="BV68" s="82"/>
      <c r="BW68" s="62" t="s">
        <v>103</v>
      </c>
    </row>
    <row r="69" spans="1:87" ht="15" customHeight="1" x14ac:dyDescent="0.2">
      <c r="A69" s="2">
        <f t="shared" si="86"/>
        <v>62009016</v>
      </c>
      <c r="B69" s="58" t="s">
        <v>127</v>
      </c>
      <c r="C69" s="58" t="s">
        <v>128</v>
      </c>
      <c r="D69" s="59" t="s">
        <v>114</v>
      </c>
      <c r="E69" s="60" t="s">
        <v>194</v>
      </c>
      <c r="F69" s="61" t="str">
        <f t="shared" si="49"/>
        <v>09/15/20</v>
      </c>
      <c r="G69" s="62" t="s">
        <v>195</v>
      </c>
      <c r="H69" s="62" t="s">
        <v>110</v>
      </c>
      <c r="I69" s="63"/>
      <c r="J69" s="64">
        <v>23.166187999999998</v>
      </c>
      <c r="K69" s="64">
        <v>43.248902999999999</v>
      </c>
      <c r="L69" s="64">
        <v>29.569578</v>
      </c>
      <c r="M69" s="64">
        <v>29.320295999999999</v>
      </c>
      <c r="N69" s="65">
        <v>3875</v>
      </c>
      <c r="O69" s="65">
        <v>28.39</v>
      </c>
      <c r="P69" s="65">
        <v>0.20169999999999999</v>
      </c>
      <c r="Q69" s="65">
        <v>1.932E-2</v>
      </c>
      <c r="R69" s="66">
        <v>1.77163275</v>
      </c>
      <c r="S69" s="66">
        <f>R69+R68</f>
        <v>9.2267571400000001</v>
      </c>
      <c r="T69" s="67">
        <v>91.702011999999996</v>
      </c>
      <c r="U69" s="67">
        <v>88.830269000000001</v>
      </c>
      <c r="V69" s="68">
        <v>16828</v>
      </c>
      <c r="W69" s="68">
        <v>18938</v>
      </c>
      <c r="X69" s="68">
        <f>W69-V69-X70</f>
        <v>449</v>
      </c>
      <c r="Y69" s="68">
        <f t="shared" si="76"/>
        <v>253.4385300791036</v>
      </c>
      <c r="Z69" s="69">
        <v>823.5</v>
      </c>
      <c r="AA69" s="68">
        <v>850.7</v>
      </c>
      <c r="AB69" s="68">
        <f>AA69-Z69-AB70</f>
        <v>10.600000000000023</v>
      </c>
      <c r="AC69" s="68">
        <f t="shared" si="77"/>
        <v>5.9831813337160442</v>
      </c>
      <c r="AD69" s="69">
        <v>692.68</v>
      </c>
      <c r="AE69" s="68">
        <v>716.00296900000001</v>
      </c>
      <c r="AF69" s="68">
        <f>AE69-AD69-AF70</f>
        <v>9.0499060000000782</v>
      </c>
      <c r="AG69" s="68">
        <f t="shared" si="78"/>
        <v>5.1082291180269035</v>
      </c>
      <c r="AH69" s="69">
        <v>-51.33</v>
      </c>
      <c r="AI69" s="68">
        <v>-50.56</v>
      </c>
      <c r="AJ69" s="68">
        <f>AI69-AH69-AJ70</f>
        <v>0.30999999999999517</v>
      </c>
      <c r="AK69" s="70">
        <f t="shared" si="79"/>
        <v>0.17497983145773027</v>
      </c>
      <c r="AL69" s="69">
        <v>-51.7</v>
      </c>
      <c r="AM69" s="68">
        <v>-54.3</v>
      </c>
      <c r="AN69" s="68">
        <f>AM69-AL69-AN70</f>
        <v>-0.99999999999999289</v>
      </c>
      <c r="AO69" s="70">
        <f t="shared" si="80"/>
        <v>-0.56445106921848953</v>
      </c>
      <c r="AP69" s="69">
        <v>-62.2</v>
      </c>
      <c r="AQ69" s="68">
        <v>-65.3</v>
      </c>
      <c r="AR69" s="68">
        <f>AQ69-AP69-AR70</f>
        <v>-1.1999999999999886</v>
      </c>
      <c r="AS69" s="70">
        <f t="shared" si="81"/>
        <v>-0.67734128306218577</v>
      </c>
      <c r="AT69" s="69">
        <v>36.299999999999997</v>
      </c>
      <c r="AU69" s="68">
        <v>37.299999999999997</v>
      </c>
      <c r="AV69" s="68">
        <f>AU69-AT69-AV70</f>
        <v>0.39999999999999858</v>
      </c>
      <c r="AW69" s="70">
        <f t="shared" si="82"/>
        <v>0.22578042768739659</v>
      </c>
      <c r="AX69" s="69">
        <v>3884</v>
      </c>
      <c r="AY69" s="68">
        <v>5994</v>
      </c>
      <c r="AZ69" s="68">
        <f>AY69-AX69-AZ70</f>
        <v>449</v>
      </c>
      <c r="BA69" s="70">
        <f t="shared" si="83"/>
        <v>253.4385300791036</v>
      </c>
      <c r="BB69" s="69">
        <v>14084.5</v>
      </c>
      <c r="BC69" s="68">
        <v>14085.3</v>
      </c>
      <c r="BD69" s="68">
        <f>BC69-BB69-BD70</f>
        <v>0.2999999999992724</v>
      </c>
      <c r="BE69" s="70">
        <f t="shared" si="84"/>
        <v>0.16933532076513735</v>
      </c>
      <c r="BF69" s="69">
        <v>-13942.8</v>
      </c>
      <c r="BG69" s="68">
        <v>-13942.8</v>
      </c>
      <c r="BH69" s="68">
        <f>BG69-BF69-BH70</f>
        <v>0</v>
      </c>
      <c r="BI69" s="70">
        <f t="shared" si="85"/>
        <v>0</v>
      </c>
      <c r="BJ69" s="71">
        <v>91.702011999999996</v>
      </c>
      <c r="BK69" s="71">
        <v>88.830269000000001</v>
      </c>
      <c r="BL69" s="71">
        <f>BK69-BJ69-BL70</f>
        <v>-0.61951499999999271</v>
      </c>
      <c r="BM69" s="72">
        <v>-13942.8</v>
      </c>
      <c r="BN69" s="73">
        <v>-13942.8</v>
      </c>
      <c r="BO69" s="73">
        <f>BN69-BM69-BO70</f>
        <v>0</v>
      </c>
      <c r="BP69" s="72">
        <v>14084.5</v>
      </c>
      <c r="BQ69" s="73">
        <v>14085.3</v>
      </c>
      <c r="BR69" s="73">
        <f>BQ69-BP69-BR70</f>
        <v>0.2999999999992724</v>
      </c>
      <c r="BS69" s="71"/>
      <c r="BT69" s="71"/>
      <c r="BU69" s="71"/>
      <c r="BV69" s="71"/>
      <c r="BW69" s="62" t="s">
        <v>103</v>
      </c>
      <c r="BX69" s="5">
        <v>5067.8406486499998</v>
      </c>
      <c r="BY69" s="5">
        <v>-2.6956501099999999</v>
      </c>
      <c r="BZ69" s="5">
        <v>2392.96656308</v>
      </c>
      <c r="CA69" s="5">
        <v>2459.2595970000002</v>
      </c>
      <c r="CB69" s="5">
        <v>2.8724581300000001</v>
      </c>
      <c r="CC69" s="5">
        <v>2.9251866299999998</v>
      </c>
      <c r="CD69" s="5">
        <v>-2.8851399999999999E-2</v>
      </c>
      <c r="CE69" s="5">
        <v>1.77159248</v>
      </c>
      <c r="CF69" s="5">
        <v>1.77210376</v>
      </c>
      <c r="CG69" s="5">
        <v>-1.8062766299999999</v>
      </c>
      <c r="CH69" s="5">
        <v>-1.8025686599999999</v>
      </c>
      <c r="CI69" s="5">
        <v>0.81463428999999998</v>
      </c>
    </row>
    <row r="70" spans="1:87" ht="15" customHeight="1" x14ac:dyDescent="0.2">
      <c r="A70" s="2">
        <f t="shared" si="86"/>
        <v>62009016</v>
      </c>
      <c r="B70" s="58" t="s">
        <v>129</v>
      </c>
      <c r="C70" s="58" t="s">
        <v>130</v>
      </c>
      <c r="D70" s="59" t="s">
        <v>114</v>
      </c>
      <c r="E70" s="60" t="s">
        <v>194</v>
      </c>
      <c r="F70" s="61" t="str">
        <f t="shared" si="49"/>
        <v>09/15/20</v>
      </c>
      <c r="G70" s="62" t="s">
        <v>195</v>
      </c>
      <c r="H70" s="62" t="s">
        <v>110</v>
      </c>
      <c r="I70" s="63"/>
      <c r="J70" s="64">
        <v>27.155826000000001</v>
      </c>
      <c r="K70" s="64">
        <v>34.583374999999997</v>
      </c>
      <c r="L70" s="64">
        <v>29.598386999999999</v>
      </c>
      <c r="M70" s="64">
        <v>29.605847000000001</v>
      </c>
      <c r="N70" s="65">
        <v>3875</v>
      </c>
      <c r="O70" s="65">
        <v>28.39</v>
      </c>
      <c r="P70" s="65">
        <v>0.20169999999999999</v>
      </c>
      <c r="Q70" s="65">
        <v>1.932E-2</v>
      </c>
      <c r="R70" s="66">
        <v>6.2510000899999998</v>
      </c>
      <c r="S70" s="66">
        <f>R70+R69</f>
        <v>8.02263284</v>
      </c>
      <c r="T70" s="67">
        <v>91.276285999999999</v>
      </c>
      <c r="U70" s="67">
        <v>89.024057999999997</v>
      </c>
      <c r="V70" s="68">
        <v>17139</v>
      </c>
      <c r="W70" s="68">
        <v>18800</v>
      </c>
      <c r="X70" s="68">
        <f>W70-V70</f>
        <v>1661</v>
      </c>
      <c r="Y70" s="68">
        <f t="shared" si="76"/>
        <v>265.71748137664804</v>
      </c>
      <c r="Z70" s="69">
        <v>829.4</v>
      </c>
      <c r="AA70" s="68">
        <v>846</v>
      </c>
      <c r="AB70" s="68">
        <f>AA70-Z70</f>
        <v>16.600000000000023</v>
      </c>
      <c r="AC70" s="68">
        <f t="shared" si="77"/>
        <v>2.6555750697485632</v>
      </c>
      <c r="AD70" s="69">
        <v>697.69</v>
      </c>
      <c r="AE70" s="68">
        <v>711.96306300000003</v>
      </c>
      <c r="AF70" s="68">
        <f>AE70-AD70</f>
        <v>14.273062999999979</v>
      </c>
      <c r="AG70" s="68">
        <f t="shared" si="78"/>
        <v>2.2833247151656941</v>
      </c>
      <c r="AH70" s="69">
        <v>-51.15</v>
      </c>
      <c r="AI70" s="68">
        <v>-50.69</v>
      </c>
      <c r="AJ70" s="68">
        <f>AI70-AH70</f>
        <v>0.46000000000000085</v>
      </c>
      <c r="AK70" s="70">
        <f t="shared" si="79"/>
        <v>7.3588224824357798E-2</v>
      </c>
      <c r="AL70" s="69">
        <v>-52.3</v>
      </c>
      <c r="AM70" s="68">
        <v>-53.9</v>
      </c>
      <c r="AN70" s="68">
        <f>AM70-AL70</f>
        <v>-1.6000000000000014</v>
      </c>
      <c r="AO70" s="70">
        <f t="shared" si="80"/>
        <v>-0.25595904286733123</v>
      </c>
      <c r="AP70" s="69">
        <v>-62.8</v>
      </c>
      <c r="AQ70" s="68">
        <v>-64.7</v>
      </c>
      <c r="AR70" s="68">
        <f>AQ70-AP70</f>
        <v>-1.9000000000000057</v>
      </c>
      <c r="AS70" s="70">
        <f t="shared" si="81"/>
        <v>-0.30395136340495649</v>
      </c>
      <c r="AT70" s="69">
        <v>36.5</v>
      </c>
      <c r="AU70" s="68">
        <v>37.1</v>
      </c>
      <c r="AV70" s="68">
        <f>AU70-AT70</f>
        <v>0.60000000000000142</v>
      </c>
      <c r="AW70" s="70">
        <f t="shared" si="82"/>
        <v>9.5984641075249358E-2</v>
      </c>
      <c r="AX70" s="69">
        <v>4195</v>
      </c>
      <c r="AY70" s="68">
        <v>5856</v>
      </c>
      <c r="AZ70" s="68">
        <f>AY70-AX70</f>
        <v>1661</v>
      </c>
      <c r="BA70" s="70">
        <f t="shared" si="83"/>
        <v>265.71748137664804</v>
      </c>
      <c r="BB70" s="69">
        <v>14084.7</v>
      </c>
      <c r="BC70" s="68">
        <v>14085.2</v>
      </c>
      <c r="BD70" s="68">
        <f>BC70-BB70</f>
        <v>0.5</v>
      </c>
      <c r="BE70" s="70">
        <f t="shared" si="84"/>
        <v>7.9987200896040944E-2</v>
      </c>
      <c r="BF70" s="69">
        <v>-13942.8</v>
      </c>
      <c r="BG70" s="68">
        <v>-13942.8</v>
      </c>
      <c r="BH70" s="68">
        <f>BG70-BF70</f>
        <v>0</v>
      </c>
      <c r="BI70" s="70">
        <f t="shared" si="85"/>
        <v>0</v>
      </c>
      <c r="BJ70" s="71">
        <v>91.276285999999999</v>
      </c>
      <c r="BK70" s="71">
        <v>89.024057999999997</v>
      </c>
      <c r="BL70" s="71">
        <f>BK70-BJ70</f>
        <v>-2.2522280000000023</v>
      </c>
      <c r="BM70" s="72">
        <v>-13942.8</v>
      </c>
      <c r="BN70" s="73">
        <v>-13942.8</v>
      </c>
      <c r="BO70" s="73">
        <f>BN70-BM70</f>
        <v>0</v>
      </c>
      <c r="BP70" s="72">
        <v>14084.7</v>
      </c>
      <c r="BQ70" s="73">
        <v>14085.2</v>
      </c>
      <c r="BR70" s="73">
        <f>BQ70-BP70</f>
        <v>0.5</v>
      </c>
      <c r="BS70" s="71"/>
      <c r="BT70" s="71"/>
      <c r="BU70" s="71"/>
      <c r="BV70" s="71"/>
      <c r="BW70" s="62" t="s">
        <v>103</v>
      </c>
      <c r="BX70" s="5">
        <v>10785.414815710001</v>
      </c>
      <c r="BY70" s="5">
        <v>-7.0147030700000004</v>
      </c>
      <c r="BZ70" s="5">
        <v>1058.3532872400001</v>
      </c>
      <c r="CA70" s="5">
        <v>1138.19423308</v>
      </c>
      <c r="CB70" s="5">
        <v>6.4370652799999997</v>
      </c>
      <c r="CC70" s="5">
        <v>6.5094140100000004</v>
      </c>
      <c r="CD70" s="5">
        <v>0.25991626000000001</v>
      </c>
      <c r="CE70" s="5">
        <v>6.25106377</v>
      </c>
      <c r="CF70" s="5">
        <v>6.2348583599999996</v>
      </c>
      <c r="CG70" s="5">
        <v>-1.3867771600000001</v>
      </c>
      <c r="CH70" s="5">
        <v>-1.1114476</v>
      </c>
      <c r="CI70" s="5">
        <v>0.34618212999999998</v>
      </c>
    </row>
    <row r="71" spans="1:87" ht="15" customHeight="1" x14ac:dyDescent="0.2">
      <c r="A71" s="2">
        <f t="shared" si="86"/>
        <v>62009016</v>
      </c>
      <c r="B71" s="58" t="s">
        <v>131</v>
      </c>
      <c r="C71" s="58" t="s">
        <v>132</v>
      </c>
      <c r="D71" s="59" t="s">
        <v>114</v>
      </c>
      <c r="E71" s="60" t="s">
        <v>194</v>
      </c>
      <c r="F71" s="61" t="str">
        <f t="shared" si="49"/>
        <v>09/15/20</v>
      </c>
      <c r="G71" s="62" t="s">
        <v>195</v>
      </c>
      <c r="H71" s="62" t="s">
        <v>110</v>
      </c>
      <c r="I71" s="63"/>
      <c r="J71" s="74">
        <f>AVERAGE(J69:J70)</f>
        <v>25.161006999999998</v>
      </c>
      <c r="K71" s="74">
        <f>AVERAGE(K69:K70)</f>
        <v>38.916139000000001</v>
      </c>
      <c r="L71" s="74">
        <f>AVERAGE(L69:L70)</f>
        <v>29.583982499999998</v>
      </c>
      <c r="M71" s="74">
        <f>AVERAGE(M69:M70)</f>
        <v>29.463071499999998</v>
      </c>
      <c r="N71" s="75"/>
      <c r="O71" s="65"/>
      <c r="P71" s="76"/>
      <c r="Q71" s="77"/>
      <c r="R71" s="78">
        <f>R70+R69</f>
        <v>8.02263284</v>
      </c>
      <c r="S71" s="78">
        <f>S70</f>
        <v>8.02263284</v>
      </c>
      <c r="T71" s="79">
        <f>T69</f>
        <v>91.702011999999996</v>
      </c>
      <c r="U71" s="79">
        <f>U70</f>
        <v>89.024057999999997</v>
      </c>
      <c r="V71" s="80">
        <f>V69</f>
        <v>16828</v>
      </c>
      <c r="W71" s="80">
        <f>W70</f>
        <v>18800</v>
      </c>
      <c r="X71" s="80">
        <f>SUM(X69:X70)</f>
        <v>2110</v>
      </c>
      <c r="Y71" s="80">
        <f t="shared" si="76"/>
        <v>263.00592861233321</v>
      </c>
      <c r="Z71" s="80">
        <f>Z69</f>
        <v>823.5</v>
      </c>
      <c r="AA71" s="80">
        <f>AA70</f>
        <v>846</v>
      </c>
      <c r="AB71" s="80">
        <f>SUM(AB69:AB70)</f>
        <v>27.200000000000045</v>
      </c>
      <c r="AC71" s="80">
        <f t="shared" si="77"/>
        <v>3.3904081792679976</v>
      </c>
      <c r="AD71" s="80">
        <f>AD69</f>
        <v>692.68</v>
      </c>
      <c r="AE71" s="80">
        <f>AE70</f>
        <v>711.96306300000003</v>
      </c>
      <c r="AF71" s="80">
        <f>SUM(AF69:AF70)</f>
        <v>23.322969000000057</v>
      </c>
      <c r="AG71" s="80">
        <f t="shared" si="78"/>
        <v>2.907146502294633</v>
      </c>
      <c r="AH71" s="80">
        <f>AH69</f>
        <v>-51.33</v>
      </c>
      <c r="AI71" s="80">
        <f>AI70</f>
        <v>-50.69</v>
      </c>
      <c r="AJ71" s="80">
        <f>SUM(AJ69:AJ70)</f>
        <v>0.76999999999999602</v>
      </c>
      <c r="AK71" s="81">
        <f t="shared" si="79"/>
        <v>9.5978466839571341E-2</v>
      </c>
      <c r="AL71" s="80">
        <f>AL69</f>
        <v>-51.7</v>
      </c>
      <c r="AM71" s="80">
        <f>AM70</f>
        <v>-53.9</v>
      </c>
      <c r="AN71" s="80">
        <f>SUM(AN69:AN70)</f>
        <v>-2.5999999999999943</v>
      </c>
      <c r="AO71" s="81">
        <f t="shared" si="80"/>
        <v>-0.32408313478296913</v>
      </c>
      <c r="AP71" s="80">
        <f>AP69</f>
        <v>-62.2</v>
      </c>
      <c r="AQ71" s="80">
        <f>AQ70</f>
        <v>-64.7</v>
      </c>
      <c r="AR71" s="80">
        <f>SUM(AR69:AR70)</f>
        <v>-3.0999999999999943</v>
      </c>
      <c r="AS71" s="81">
        <f t="shared" si="81"/>
        <v>-0.38640681454892484</v>
      </c>
      <c r="AT71" s="80">
        <f>AT69</f>
        <v>36.299999999999997</v>
      </c>
      <c r="AU71" s="80">
        <f>AU70</f>
        <v>37.1</v>
      </c>
      <c r="AV71" s="80">
        <f>SUM(AV69:AV70)</f>
        <v>1</v>
      </c>
      <c r="AW71" s="81">
        <f t="shared" si="82"/>
        <v>0.12464735953191147</v>
      </c>
      <c r="AX71" s="80">
        <f>AX69</f>
        <v>3884</v>
      </c>
      <c r="AY71" s="80">
        <f>AY70</f>
        <v>5856</v>
      </c>
      <c r="AZ71" s="80">
        <f>SUM(AZ69:AZ70)</f>
        <v>2110</v>
      </c>
      <c r="BA71" s="81">
        <f t="shared" si="83"/>
        <v>263.00592861233321</v>
      </c>
      <c r="BB71" s="80">
        <f>BB69</f>
        <v>14084.5</v>
      </c>
      <c r="BC71" s="80">
        <f>BC70</f>
        <v>14085.2</v>
      </c>
      <c r="BD71" s="80">
        <f>SUM(BD69:BD70)</f>
        <v>0.7999999999992724</v>
      </c>
      <c r="BE71" s="81">
        <f t="shared" si="84"/>
        <v>9.9717887625438484E-2</v>
      </c>
      <c r="BF71" s="80">
        <f>BF69</f>
        <v>-13942.8</v>
      </c>
      <c r="BG71" s="80">
        <f>BG70</f>
        <v>-13942.8</v>
      </c>
      <c r="BH71" s="80">
        <f>SUM(BH69:BH70)</f>
        <v>0</v>
      </c>
      <c r="BI71" s="81">
        <f t="shared" si="85"/>
        <v>0</v>
      </c>
      <c r="BJ71" s="82"/>
      <c r="BK71" s="82"/>
      <c r="BL71" s="82">
        <f>SUM(BL69:BL70)</f>
        <v>-2.871742999999995</v>
      </c>
      <c r="BM71" s="83">
        <f>BM69</f>
        <v>-13942.8</v>
      </c>
      <c r="BN71" s="83">
        <f>BN70</f>
        <v>-13942.8</v>
      </c>
      <c r="BO71" s="83">
        <f>SUM(BO69:BO70)</f>
        <v>0</v>
      </c>
      <c r="BP71" s="83">
        <f>BP69</f>
        <v>14084.5</v>
      </c>
      <c r="BQ71" s="83">
        <f>BQ70</f>
        <v>14085.2</v>
      </c>
      <c r="BR71" s="83">
        <f>SUM(BR69:BR70)</f>
        <v>0.7999999999992724</v>
      </c>
      <c r="BS71" s="82"/>
      <c r="BT71" s="82"/>
      <c r="BU71" s="82"/>
      <c r="BV71" s="82"/>
      <c r="BW71" s="62" t="s">
        <v>103</v>
      </c>
    </row>
    <row r="72" spans="1:87" s="95" customFormat="1" ht="15" customHeight="1" x14ac:dyDescent="0.2">
      <c r="A72" s="88" t="s">
        <v>196</v>
      </c>
      <c r="B72" s="89"/>
      <c r="C72" s="89"/>
      <c r="D72" s="90"/>
      <c r="E72" s="89"/>
      <c r="F72" s="89"/>
      <c r="G72" s="90"/>
      <c r="H72" s="90"/>
      <c r="I72" s="90"/>
      <c r="J72" s="90"/>
      <c r="K72" s="90"/>
      <c r="L72" s="90"/>
      <c r="M72" s="90"/>
      <c r="N72" s="90"/>
      <c r="O72" s="90"/>
      <c r="P72" s="91"/>
      <c r="Q72" s="92"/>
      <c r="R72" s="89"/>
      <c r="S72" s="89"/>
      <c r="T72" s="89"/>
      <c r="U72" s="89"/>
      <c r="V72" s="93"/>
      <c r="W72" s="93"/>
      <c r="X72" s="89"/>
      <c r="Y72" s="89"/>
      <c r="Z72" s="89"/>
      <c r="AA72" s="89"/>
      <c r="AB72" s="89"/>
      <c r="AC72" s="89"/>
      <c r="AD72" s="89"/>
      <c r="AE72" s="93"/>
      <c r="AF72" s="93"/>
      <c r="AG72" s="93"/>
      <c r="AH72" s="93"/>
      <c r="AI72" s="93"/>
      <c r="AJ72" s="89"/>
      <c r="AK72" s="89"/>
      <c r="AL72" s="89"/>
      <c r="AM72" s="89"/>
      <c r="AN72" s="89"/>
      <c r="AO72" s="89"/>
      <c r="AP72" s="93"/>
      <c r="AQ72" s="93"/>
      <c r="AR72" s="89"/>
      <c r="AS72" s="89"/>
      <c r="AT72" s="93"/>
      <c r="AU72" s="93"/>
      <c r="AV72" s="89"/>
      <c r="AW72" s="89"/>
      <c r="AX72" s="93"/>
      <c r="AY72" s="93"/>
      <c r="AZ72" s="89"/>
      <c r="BA72" s="89"/>
      <c r="BB72" s="93"/>
      <c r="BC72" s="93"/>
      <c r="BD72" s="89"/>
      <c r="BE72" s="89"/>
      <c r="BF72" s="93"/>
      <c r="BG72" s="93"/>
      <c r="BH72" s="89"/>
      <c r="BI72" s="89"/>
      <c r="BJ72" s="89"/>
      <c r="BK72" s="89"/>
      <c r="BL72" s="89"/>
      <c r="BM72" s="89"/>
      <c r="BN72" s="89"/>
      <c r="BO72" s="89"/>
      <c r="BP72" s="89"/>
      <c r="BQ72" s="89"/>
      <c r="BR72" s="89"/>
      <c r="BS72" s="89"/>
      <c r="BT72" s="89"/>
      <c r="BU72" s="89"/>
      <c r="BV72" s="89"/>
      <c r="BW72" s="89"/>
      <c r="BX72" s="89"/>
      <c r="BY72" s="89"/>
      <c r="BZ72" s="89"/>
      <c r="CA72" s="89"/>
      <c r="CB72" s="89"/>
      <c r="CC72" s="89"/>
      <c r="CD72" s="89"/>
      <c r="CE72" s="89"/>
      <c r="CF72" s="89"/>
      <c r="CG72" s="89"/>
      <c r="CH72" s="89"/>
      <c r="CI72" s="94"/>
    </row>
    <row r="73" spans="1:87" ht="15" customHeight="1" x14ac:dyDescent="0.2">
      <c r="A73" s="2">
        <v>62009018</v>
      </c>
      <c r="B73" s="58" t="s">
        <v>197</v>
      </c>
      <c r="C73" s="58" t="s">
        <v>98</v>
      </c>
      <c r="D73" s="59" t="s">
        <v>198</v>
      </c>
      <c r="E73" s="60" t="s">
        <v>199</v>
      </c>
      <c r="F73" s="61" t="str">
        <f t="shared" si="49"/>
        <v>09/15/20</v>
      </c>
      <c r="G73" s="62" t="s">
        <v>200</v>
      </c>
      <c r="H73" s="62" t="s">
        <v>201</v>
      </c>
      <c r="I73" s="63"/>
      <c r="J73" s="64">
        <v>25.409745000000001</v>
      </c>
      <c r="K73" s="64">
        <v>39.089295</v>
      </c>
      <c r="L73" s="64">
        <v>29.502300999999999</v>
      </c>
      <c r="M73" s="64">
        <v>29.512169</v>
      </c>
      <c r="N73" s="65">
        <v>3875</v>
      </c>
      <c r="O73" s="65">
        <v>28.39</v>
      </c>
      <c r="P73" s="65">
        <v>0.20169999999999999</v>
      </c>
      <c r="Q73" s="65">
        <v>1.932E-2</v>
      </c>
      <c r="R73" s="66">
        <v>10.28584671</v>
      </c>
      <c r="S73" s="66">
        <f>R73+R72</f>
        <v>10.28584671</v>
      </c>
      <c r="T73" s="67">
        <v>21.852414</v>
      </c>
      <c r="U73" s="67">
        <v>18.815873</v>
      </c>
      <c r="V73" s="68">
        <v>64056</v>
      </c>
      <c r="W73" s="68">
        <v>65982</v>
      </c>
      <c r="X73" s="68">
        <f>W73-V73</f>
        <v>1926</v>
      </c>
      <c r="Y73" s="68">
        <f>X73/$R73</f>
        <v>187.24758926530805</v>
      </c>
      <c r="Z73" s="69">
        <v>1719.1</v>
      </c>
      <c r="AA73" s="68">
        <v>1751.7</v>
      </c>
      <c r="AB73" s="68">
        <f>AA73-Z73</f>
        <v>32.600000000000136</v>
      </c>
      <c r="AC73" s="68">
        <f>AB73/$R73</f>
        <v>3.1694036396931815</v>
      </c>
      <c r="AD73" s="69">
        <v>1494.37</v>
      </c>
      <c r="AE73" s="68">
        <v>1522.6</v>
      </c>
      <c r="AF73" s="68">
        <f>AE73-AD73</f>
        <v>28.230000000000018</v>
      </c>
      <c r="AG73" s="68">
        <f>AF73/$R73</f>
        <v>2.7445479984214174</v>
      </c>
      <c r="AH73" s="69">
        <v>-63.05</v>
      </c>
      <c r="AI73" s="68">
        <v>-60.71</v>
      </c>
      <c r="AJ73" s="68">
        <f>AI73-AH73</f>
        <v>2.3399999999999963</v>
      </c>
      <c r="AK73" s="70">
        <f>AJ73/$R73</f>
        <v>0.22749707107000008</v>
      </c>
      <c r="AL73" s="69">
        <v>-94</v>
      </c>
      <c r="AM73" s="68">
        <v>-96.7</v>
      </c>
      <c r="AN73" s="68">
        <f>AM73-AL73</f>
        <v>-2.7000000000000028</v>
      </c>
      <c r="AO73" s="70">
        <f>AN73/$R73</f>
        <v>-0.26249662046538541</v>
      </c>
      <c r="AP73" s="69">
        <v>-113.6</v>
      </c>
      <c r="AQ73" s="68">
        <v>-117</v>
      </c>
      <c r="AR73" s="68">
        <f>AQ73-AP73</f>
        <v>-3.4000000000000057</v>
      </c>
      <c r="AS73" s="70">
        <f>AR73/$R73</f>
        <v>-0.33055129984530035</v>
      </c>
      <c r="AT73" s="69">
        <v>53.3</v>
      </c>
      <c r="AU73" s="68">
        <v>54.3</v>
      </c>
      <c r="AV73" s="68">
        <f>AU73-AT73</f>
        <v>1</v>
      </c>
      <c r="AW73" s="70">
        <f>AV73/$R73</f>
        <v>9.7220970542735222E-2</v>
      </c>
      <c r="AX73" s="69">
        <v>51117</v>
      </c>
      <c r="AY73" s="68">
        <v>53043</v>
      </c>
      <c r="AZ73" s="68">
        <f>AY73-AX73</f>
        <v>1926</v>
      </c>
      <c r="BA73" s="70">
        <f>AZ73/$R73</f>
        <v>187.24758926530805</v>
      </c>
      <c r="BB73" s="69">
        <v>14102.5</v>
      </c>
      <c r="BC73" s="68">
        <v>14103.6</v>
      </c>
      <c r="BD73" s="68">
        <f>BC73-BB73</f>
        <v>1.1000000000003638</v>
      </c>
      <c r="BE73" s="70">
        <f>BD73/$R73</f>
        <v>0.10694306759704413</v>
      </c>
      <c r="BF73" s="69">
        <v>-13942.8</v>
      </c>
      <c r="BG73" s="68">
        <v>-13942.8</v>
      </c>
      <c r="BH73" s="68">
        <f>BG73-BF73</f>
        <v>0</v>
      </c>
      <c r="BI73" s="70">
        <f>BH73/$R73</f>
        <v>0</v>
      </c>
      <c r="BJ73" s="71">
        <v>21.852414</v>
      </c>
      <c r="BK73" s="71">
        <v>18.815873</v>
      </c>
      <c r="BL73" s="71">
        <f>BK73-BJ73</f>
        <v>-3.0365409999999997</v>
      </c>
      <c r="BM73" s="72">
        <v>-13942.8</v>
      </c>
      <c r="BN73" s="73">
        <v>-13942.8</v>
      </c>
      <c r="BO73" s="73">
        <f>BN73-BM73</f>
        <v>0</v>
      </c>
      <c r="BP73" s="72">
        <v>14102.5</v>
      </c>
      <c r="BQ73" s="73">
        <v>14103.6</v>
      </c>
      <c r="BR73" s="73">
        <f>BQ73-BP73</f>
        <v>1.1000000000003638</v>
      </c>
      <c r="BS73" s="71"/>
      <c r="BT73" s="71"/>
      <c r="BU73" s="71"/>
      <c r="BV73" s="71"/>
      <c r="BW73" s="62" t="s">
        <v>103</v>
      </c>
      <c r="BX73" s="5">
        <v>1773.2109118200001</v>
      </c>
      <c r="BY73" s="5">
        <v>1.6434520800000001</v>
      </c>
      <c r="BZ73" s="5">
        <v>1328.26211096</v>
      </c>
      <c r="CA73" s="5">
        <v>1306.78571401</v>
      </c>
      <c r="CB73" s="5">
        <v>7.3612130899999997</v>
      </c>
      <c r="CC73" s="5">
        <v>7.3155367699999996</v>
      </c>
      <c r="CD73" s="5">
        <v>0.28513893000000001</v>
      </c>
      <c r="CE73" s="5">
        <v>10.28592637</v>
      </c>
      <c r="CF73" s="5">
        <v>10.256680579999999</v>
      </c>
      <c r="CG73" s="5">
        <v>0.33713033999999997</v>
      </c>
      <c r="CH73" s="5">
        <v>0.62437421999999998</v>
      </c>
      <c r="CI73" s="5">
        <v>0.28266077000000001</v>
      </c>
    </row>
    <row r="74" spans="1:87" ht="15" customHeight="1" x14ac:dyDescent="0.2">
      <c r="A74" s="2">
        <v>62009018</v>
      </c>
      <c r="B74" s="58" t="s">
        <v>197</v>
      </c>
      <c r="C74" s="58" t="s">
        <v>104</v>
      </c>
      <c r="D74" s="59" t="s">
        <v>198</v>
      </c>
      <c r="E74" s="60" t="s">
        <v>199</v>
      </c>
      <c r="F74" s="61" t="str">
        <f t="shared" si="49"/>
        <v>09/15/20</v>
      </c>
      <c r="G74" s="62" t="s">
        <v>200</v>
      </c>
      <c r="H74" s="62" t="s">
        <v>201</v>
      </c>
      <c r="I74" s="63"/>
      <c r="J74" s="64">
        <v>25.096675000000001</v>
      </c>
      <c r="K74" s="64">
        <v>38.130678000000003</v>
      </c>
      <c r="L74" s="64">
        <v>29.486705000000001</v>
      </c>
      <c r="M74" s="64">
        <v>30.502687000000002</v>
      </c>
      <c r="N74" s="65">
        <v>3875</v>
      </c>
      <c r="O74" s="65">
        <v>28.39</v>
      </c>
      <c r="P74" s="65">
        <v>0.20169999999999999</v>
      </c>
      <c r="Q74" s="65">
        <v>1.932E-2</v>
      </c>
      <c r="R74" s="66">
        <v>10.28542611</v>
      </c>
      <c r="S74" s="66">
        <f>R74+R73</f>
        <v>20.571272819999997</v>
      </c>
      <c r="T74" s="67">
        <v>18.814630000000001</v>
      </c>
      <c r="U74" s="67">
        <v>15.805272</v>
      </c>
      <c r="V74" s="68">
        <v>65983</v>
      </c>
      <c r="W74" s="68">
        <v>67874</v>
      </c>
      <c r="X74" s="68">
        <f>W74-V74</f>
        <v>1891</v>
      </c>
      <c r="Y74" s="68">
        <f>X74/$R74</f>
        <v>183.85237322948404</v>
      </c>
      <c r="Z74" s="69">
        <v>1752.3</v>
      </c>
      <c r="AA74" s="68">
        <v>1786.2</v>
      </c>
      <c r="AB74" s="68">
        <f>AA74-Z74</f>
        <v>33.900000000000091</v>
      </c>
      <c r="AC74" s="68">
        <f>AB74/$R74</f>
        <v>3.2959256755576547</v>
      </c>
      <c r="AD74" s="69">
        <v>1523.1586339999999</v>
      </c>
      <c r="AE74" s="68">
        <v>1552.66</v>
      </c>
      <c r="AF74" s="68">
        <f>AE74-AD74</f>
        <v>29.501366000000189</v>
      </c>
      <c r="AG74" s="68">
        <f>AF74/$R74</f>
        <v>2.8682687216349261</v>
      </c>
      <c r="AH74" s="69">
        <v>-60.68</v>
      </c>
      <c r="AI74" s="68">
        <v>-59.63</v>
      </c>
      <c r="AJ74" s="68">
        <f>AI74-AH74</f>
        <v>1.0499999999999972</v>
      </c>
      <c r="AK74" s="70">
        <f>AJ74/$R74</f>
        <v>0.10208619349072327</v>
      </c>
      <c r="AL74" s="69">
        <v>-96.8</v>
      </c>
      <c r="AM74" s="68">
        <v>-99.5</v>
      </c>
      <c r="AN74" s="68">
        <f>AM74-AL74</f>
        <v>-2.7000000000000028</v>
      </c>
      <c r="AO74" s="70">
        <f>AN74/$R74</f>
        <v>-0.26250735469043224</v>
      </c>
      <c r="AP74" s="69">
        <v>-117.1</v>
      </c>
      <c r="AQ74" s="68">
        <v>-120.4</v>
      </c>
      <c r="AR74" s="68">
        <f>AQ74-AP74</f>
        <v>-3.3000000000000114</v>
      </c>
      <c r="AS74" s="70">
        <f>AR74/$R74</f>
        <v>-0.32084232239941796</v>
      </c>
      <c r="AT74" s="69">
        <v>54.4</v>
      </c>
      <c r="AU74" s="68">
        <v>55.5</v>
      </c>
      <c r="AV74" s="68">
        <f>AU74-AT74</f>
        <v>1.1000000000000014</v>
      </c>
      <c r="AW74" s="70">
        <f>AV74/$R74</f>
        <v>0.10694744079980577</v>
      </c>
      <c r="AX74" s="69">
        <v>53044</v>
      </c>
      <c r="AY74" s="68">
        <v>54935</v>
      </c>
      <c r="AZ74" s="68">
        <f>AY74-AX74</f>
        <v>1891</v>
      </c>
      <c r="BA74" s="70">
        <f>AZ74/$R74</f>
        <v>183.85237322948404</v>
      </c>
      <c r="BB74" s="69">
        <v>14103.6</v>
      </c>
      <c r="BC74" s="68">
        <v>14104.6</v>
      </c>
      <c r="BD74" s="68">
        <f>BC74-BB74</f>
        <v>1</v>
      </c>
      <c r="BE74" s="70">
        <f>BD74/$R74</f>
        <v>9.7224946181641472E-2</v>
      </c>
      <c r="BF74" s="69">
        <v>-13942.8</v>
      </c>
      <c r="BG74" s="68">
        <v>-13942.8</v>
      </c>
      <c r="BH74" s="68">
        <f>BG74-BF74</f>
        <v>0</v>
      </c>
      <c r="BI74" s="70">
        <f>BH74/$R74</f>
        <v>0</v>
      </c>
      <c r="BJ74" s="71">
        <v>18.814630000000001</v>
      </c>
      <c r="BK74" s="71">
        <v>15.805272</v>
      </c>
      <c r="BL74" s="71">
        <f>BK74-BJ74</f>
        <v>-3.0093580000000006</v>
      </c>
      <c r="BM74" s="72">
        <v>-13942.8</v>
      </c>
      <c r="BN74" s="73">
        <v>-13942.8</v>
      </c>
      <c r="BO74" s="73">
        <f>BN74-BM74</f>
        <v>0</v>
      </c>
      <c r="BP74" s="72">
        <v>14103.6</v>
      </c>
      <c r="BQ74" s="73">
        <v>14104.6</v>
      </c>
      <c r="BR74" s="73">
        <f>BQ74-BP74</f>
        <v>1</v>
      </c>
      <c r="BS74" s="71"/>
      <c r="BT74" s="71"/>
      <c r="BU74" s="71"/>
      <c r="BV74" s="71"/>
      <c r="BW74" s="62" t="s">
        <v>103</v>
      </c>
      <c r="BX74" s="5">
        <v>1769.7856830400001</v>
      </c>
      <c r="BY74" s="5">
        <v>1.5738816900000001</v>
      </c>
      <c r="BZ74" s="5">
        <v>1327.31221306</v>
      </c>
      <c r="CA74" s="5">
        <v>1306.7455835799999</v>
      </c>
      <c r="CB74" s="5">
        <v>7.3579279900000003</v>
      </c>
      <c r="CC74" s="5">
        <v>7.3154503699999998</v>
      </c>
      <c r="CD74" s="5">
        <v>0.28099129</v>
      </c>
      <c r="CE74" s="5">
        <v>10.28550076</v>
      </c>
      <c r="CF74" s="5">
        <v>10.256680380000001</v>
      </c>
      <c r="CG74" s="5">
        <v>0.29793503999999998</v>
      </c>
      <c r="CH74" s="5">
        <v>0.58065632</v>
      </c>
      <c r="CI74" s="5">
        <v>0.28265424</v>
      </c>
    </row>
    <row r="75" spans="1:87" ht="15" customHeight="1" x14ac:dyDescent="0.2">
      <c r="A75" s="51" t="s">
        <v>202</v>
      </c>
      <c r="B75" s="52"/>
      <c r="C75" s="52"/>
      <c r="D75" s="53"/>
      <c r="E75" s="52"/>
      <c r="F75" s="52"/>
      <c r="G75" s="53"/>
      <c r="H75" s="53"/>
      <c r="I75" s="53"/>
      <c r="J75" s="53"/>
      <c r="K75" s="53"/>
      <c r="L75" s="53"/>
      <c r="M75" s="53"/>
      <c r="N75" s="53"/>
      <c r="O75" s="53"/>
      <c r="P75" s="54"/>
      <c r="Q75" s="55"/>
      <c r="R75" s="52"/>
      <c r="S75" s="52"/>
      <c r="T75" s="52"/>
      <c r="U75" s="52"/>
      <c r="V75" s="56"/>
      <c r="W75" s="56"/>
      <c r="X75" s="52"/>
      <c r="Y75" s="52"/>
      <c r="Z75" s="56"/>
      <c r="AA75" s="56"/>
      <c r="AB75" s="52"/>
      <c r="AC75" s="52"/>
      <c r="AD75" s="56"/>
      <c r="AE75" s="56"/>
      <c r="AF75" s="52"/>
      <c r="AG75" s="52"/>
      <c r="AH75" s="52"/>
      <c r="AI75" s="52"/>
      <c r="AJ75" s="52"/>
      <c r="AK75" s="52"/>
      <c r="AL75" s="56"/>
      <c r="AM75" s="56"/>
      <c r="AN75" s="52"/>
      <c r="AO75" s="52"/>
      <c r="AP75" s="52"/>
      <c r="AQ75" s="52"/>
      <c r="AR75" s="52"/>
      <c r="AS75" s="52"/>
      <c r="AT75" s="52"/>
      <c r="AU75" s="52"/>
      <c r="AV75" s="52"/>
      <c r="AW75" s="52"/>
      <c r="AX75" s="52"/>
      <c r="AY75" s="52"/>
      <c r="AZ75" s="52"/>
      <c r="BA75" s="52"/>
      <c r="BB75" s="52"/>
      <c r="BC75" s="52"/>
      <c r="BD75" s="52"/>
      <c r="BE75" s="52"/>
      <c r="BF75" s="52"/>
      <c r="BG75" s="52"/>
      <c r="BH75" s="52"/>
      <c r="BI75" s="52"/>
      <c r="BJ75" s="52"/>
      <c r="BK75" s="52"/>
      <c r="BL75" s="57"/>
    </row>
    <row r="76" spans="1:87" ht="15" customHeight="1" x14ac:dyDescent="0.2">
      <c r="A76" s="58">
        <v>62009019</v>
      </c>
      <c r="B76" s="58" t="s">
        <v>113</v>
      </c>
      <c r="C76" s="58" t="s">
        <v>98</v>
      </c>
      <c r="D76" s="59" t="s">
        <v>114</v>
      </c>
      <c r="E76" s="60" t="s">
        <v>203</v>
      </c>
      <c r="F76" s="61" t="str">
        <f t="shared" ref="F76:F139" si="87">LEFT(E76,8)</f>
        <v>09/16/20</v>
      </c>
      <c r="G76" s="62" t="s">
        <v>204</v>
      </c>
      <c r="H76" s="62" t="s">
        <v>110</v>
      </c>
      <c r="I76" s="63"/>
      <c r="J76" s="64">
        <v>24.273512</v>
      </c>
      <c r="K76" s="64">
        <v>40.129361000000003</v>
      </c>
      <c r="L76" s="64">
        <v>29.350095</v>
      </c>
      <c r="M76" s="64">
        <v>25.205639000000001</v>
      </c>
      <c r="N76" s="65">
        <v>3875</v>
      </c>
      <c r="O76" s="65">
        <v>28.39</v>
      </c>
      <c r="P76" s="65">
        <v>0.20169999999999999</v>
      </c>
      <c r="Q76" s="65">
        <v>1.932E-2</v>
      </c>
      <c r="R76" s="66">
        <v>3.5803091600000001</v>
      </c>
      <c r="S76" s="66">
        <f>R76+R75</f>
        <v>3.5803091600000001</v>
      </c>
      <c r="T76" s="67">
        <v>97.326480000000004</v>
      </c>
      <c r="U76" s="67">
        <v>96.438406000000001</v>
      </c>
      <c r="V76" s="68">
        <v>9</v>
      </c>
      <c r="W76" s="68">
        <v>712</v>
      </c>
      <c r="X76" s="68">
        <f>W76-V76</f>
        <v>703</v>
      </c>
      <c r="Y76" s="68">
        <f t="shared" ref="Y76:Y98" si="88">X76/$R76</f>
        <v>196.35175862857608</v>
      </c>
      <c r="Z76" s="69">
        <v>8.6999999999999993</v>
      </c>
      <c r="AA76" s="68">
        <v>30.5</v>
      </c>
      <c r="AB76" s="68">
        <f>AA76-Z76</f>
        <v>21.8</v>
      </c>
      <c r="AC76" s="68">
        <f t="shared" ref="AC76:AC98" si="89">AB76/$R76</f>
        <v>6.0888596559074806</v>
      </c>
      <c r="AD76" s="69">
        <v>7.73</v>
      </c>
      <c r="AE76" s="68">
        <v>26.31</v>
      </c>
      <c r="AF76" s="68">
        <f>AE76-AD76</f>
        <v>18.579999999999998</v>
      </c>
      <c r="AG76" s="68">
        <f t="shared" ref="AG76:AG98" si="90">AF76/$R76</f>
        <v>5.1894959819615121</v>
      </c>
      <c r="AH76" s="69">
        <v>0.70839099999999999</v>
      </c>
      <c r="AI76" s="68">
        <v>2.13</v>
      </c>
      <c r="AJ76" s="68">
        <f>AI76-AH76</f>
        <v>1.4216089999999999</v>
      </c>
      <c r="AK76" s="70">
        <f t="shared" ref="AK76:AK98" si="91">AJ76/$R76</f>
        <v>0.39706319663187967</v>
      </c>
      <c r="AL76" s="69">
        <v>-0.3</v>
      </c>
      <c r="AM76" s="68">
        <v>-2.4</v>
      </c>
      <c r="AN76" s="68">
        <f>AM76-AL76</f>
        <v>-2.1</v>
      </c>
      <c r="AO76" s="70">
        <f t="shared" ref="AO76:AO98" si="92">AN76/$R76</f>
        <v>-0.58654152648650038</v>
      </c>
      <c r="AP76" s="69">
        <v>-0.2</v>
      </c>
      <c r="AQ76" s="68">
        <v>-2.9</v>
      </c>
      <c r="AR76" s="68">
        <f>AQ76-AP76</f>
        <v>-2.6999999999999997</v>
      </c>
      <c r="AS76" s="70">
        <f t="shared" ref="AS76:AS98" si="93">AR76/$R76</f>
        <v>-0.75412481976835755</v>
      </c>
      <c r="AT76" s="69">
        <v>0.1</v>
      </c>
      <c r="AU76" s="68">
        <v>1</v>
      </c>
      <c r="AV76" s="68">
        <f>AU76-AT76</f>
        <v>0.9</v>
      </c>
      <c r="AW76" s="70">
        <f t="shared" ref="AW76:AW98" si="94">AV76/$R76</f>
        <v>0.25137493992278587</v>
      </c>
      <c r="AX76" s="69">
        <v>9</v>
      </c>
      <c r="AY76" s="68">
        <v>711</v>
      </c>
      <c r="AZ76" s="68">
        <f>AY76-AX76</f>
        <v>702</v>
      </c>
      <c r="BA76" s="70">
        <f t="shared" ref="BA76:BA98" si="95">AZ76/$R76</f>
        <v>196.07245313977299</v>
      </c>
      <c r="BB76" s="69">
        <v>0.2</v>
      </c>
      <c r="BC76" s="68">
        <v>0.9</v>
      </c>
      <c r="BD76" s="68">
        <f>BC76-BB76</f>
        <v>0.7</v>
      </c>
      <c r="BE76" s="70">
        <f t="shared" ref="BE76:BE98" si="96">BD76/$R76</f>
        <v>0.19551384216216677</v>
      </c>
      <c r="BF76" s="69">
        <v>0</v>
      </c>
      <c r="BG76" s="68">
        <v>0</v>
      </c>
      <c r="BH76" s="68">
        <f>BG76-BF76</f>
        <v>0</v>
      </c>
      <c r="BI76" s="70">
        <f t="shared" ref="BI76:BI98" si="97">BH76/$R76</f>
        <v>0</v>
      </c>
      <c r="BJ76" s="71">
        <v>97.326480000000004</v>
      </c>
      <c r="BK76" s="71">
        <v>96.438406000000001</v>
      </c>
      <c r="BL76" s="71">
        <f>BK76-BJ76</f>
        <v>-0.88807400000000314</v>
      </c>
      <c r="BM76" s="72">
        <v>0</v>
      </c>
      <c r="BN76" s="73">
        <v>0</v>
      </c>
      <c r="BO76" s="73">
        <f>BN76-BM76</f>
        <v>0</v>
      </c>
      <c r="BP76" s="72">
        <v>0.2</v>
      </c>
      <c r="BQ76" s="73">
        <v>0.9</v>
      </c>
      <c r="BR76" s="73">
        <f>BQ76-BP76</f>
        <v>0.7</v>
      </c>
      <c r="BS76" s="71"/>
      <c r="BT76" s="71"/>
      <c r="BU76" s="71"/>
      <c r="BV76" s="71"/>
      <c r="BW76" s="62" t="s">
        <v>103</v>
      </c>
      <c r="BX76" s="5">
        <v>2204.0860786100002</v>
      </c>
      <c r="BY76" s="5">
        <v>-0.89634084999999997</v>
      </c>
      <c r="BZ76" s="5">
        <v>2030.4899324</v>
      </c>
      <c r="CA76" s="5">
        <v>2048.8546536099998</v>
      </c>
      <c r="CB76" s="5">
        <v>2.93267788</v>
      </c>
      <c r="CC76" s="5">
        <v>2.96591666</v>
      </c>
      <c r="CD76" s="5">
        <v>-0.29920403000000001</v>
      </c>
      <c r="CE76" s="5">
        <v>3.5802357300000001</v>
      </c>
      <c r="CF76" s="5">
        <v>3.59098008</v>
      </c>
      <c r="CG76" s="5">
        <v>-0.8307985</v>
      </c>
      <c r="CH76" s="5">
        <v>-1.1206918400000001</v>
      </c>
      <c r="CI76" s="5">
        <v>0.59141734999999995</v>
      </c>
    </row>
    <row r="77" spans="1:87" ht="15" customHeight="1" x14ac:dyDescent="0.2">
      <c r="A77" s="58">
        <f>A76</f>
        <v>62009019</v>
      </c>
      <c r="B77" s="58" t="s">
        <v>117</v>
      </c>
      <c r="C77" s="58" t="s">
        <v>104</v>
      </c>
      <c r="D77" s="59" t="s">
        <v>114</v>
      </c>
      <c r="E77" s="60" t="s">
        <v>203</v>
      </c>
      <c r="F77" s="61" t="str">
        <f t="shared" si="87"/>
        <v>09/16/20</v>
      </c>
      <c r="G77" s="62" t="s">
        <v>204</v>
      </c>
      <c r="H77" s="62" t="s">
        <v>110</v>
      </c>
      <c r="I77" s="63"/>
      <c r="J77" s="64">
        <v>21.862000999999999</v>
      </c>
      <c r="K77" s="64">
        <v>46.301977000000001</v>
      </c>
      <c r="L77" s="64">
        <v>29.340585999999998</v>
      </c>
      <c r="M77" s="64">
        <v>26.964535999999999</v>
      </c>
      <c r="N77" s="65">
        <v>3875</v>
      </c>
      <c r="O77" s="65">
        <v>28.39</v>
      </c>
      <c r="P77" s="65">
        <v>0.20169999999999999</v>
      </c>
      <c r="Q77" s="65">
        <v>1.932E-2</v>
      </c>
      <c r="R77" s="66">
        <v>3.84620373</v>
      </c>
      <c r="S77" s="66">
        <f>R77+R76</f>
        <v>7.4265128899999997</v>
      </c>
      <c r="T77" s="67">
        <v>96.438406000000001</v>
      </c>
      <c r="U77" s="67">
        <v>95.678507999999994</v>
      </c>
      <c r="V77" s="68">
        <v>712</v>
      </c>
      <c r="W77" s="68">
        <v>1284</v>
      </c>
      <c r="X77" s="68">
        <f>W77-V77</f>
        <v>572</v>
      </c>
      <c r="Y77" s="68">
        <f t="shared" si="88"/>
        <v>148.71807115636071</v>
      </c>
      <c r="Z77" s="69">
        <v>30.5</v>
      </c>
      <c r="AA77" s="68">
        <v>68.599999999999994</v>
      </c>
      <c r="AB77" s="68">
        <f>AA77-Z77</f>
        <v>38.099999999999994</v>
      </c>
      <c r="AC77" s="68">
        <f t="shared" si="89"/>
        <v>9.9058715228275211</v>
      </c>
      <c r="AD77" s="69">
        <v>26.315241</v>
      </c>
      <c r="AE77" s="68">
        <v>58.88</v>
      </c>
      <c r="AF77" s="68">
        <f>AE77-AD77</f>
        <v>32.564759000000002</v>
      </c>
      <c r="AG77" s="68">
        <f t="shared" si="90"/>
        <v>8.4667275282373051</v>
      </c>
      <c r="AH77" s="69">
        <v>2.13</v>
      </c>
      <c r="AI77" s="68">
        <v>2.84</v>
      </c>
      <c r="AJ77" s="68">
        <f>AI77-AH77</f>
        <v>0.71</v>
      </c>
      <c r="AK77" s="70">
        <f t="shared" si="91"/>
        <v>0.1845976058059722</v>
      </c>
      <c r="AL77" s="69">
        <v>-2.4</v>
      </c>
      <c r="AM77" s="68">
        <v>-6.2</v>
      </c>
      <c r="AN77" s="68">
        <f>AM77-AL77</f>
        <v>-3.8000000000000003</v>
      </c>
      <c r="AO77" s="70">
        <f t="shared" si="92"/>
        <v>-0.98798718600379498</v>
      </c>
      <c r="AP77" s="69">
        <v>-2.9</v>
      </c>
      <c r="AQ77" s="68">
        <v>-7.7</v>
      </c>
      <c r="AR77" s="68">
        <f>AQ77-AP77</f>
        <v>-4.8000000000000007</v>
      </c>
      <c r="AS77" s="70">
        <f t="shared" si="93"/>
        <v>-1.2479838138995307</v>
      </c>
      <c r="AT77" s="69">
        <v>1</v>
      </c>
      <c r="AU77" s="68">
        <v>2.5</v>
      </c>
      <c r="AV77" s="68">
        <f>AU77-AT77</f>
        <v>1.5</v>
      </c>
      <c r="AW77" s="70">
        <f t="shared" si="94"/>
        <v>0.38999494184360328</v>
      </c>
      <c r="AX77" s="69">
        <v>711</v>
      </c>
      <c r="AY77" s="68">
        <v>1281</v>
      </c>
      <c r="AZ77" s="68">
        <f>AY77-AX77</f>
        <v>570</v>
      </c>
      <c r="BA77" s="70">
        <f t="shared" si="95"/>
        <v>148.19807790056925</v>
      </c>
      <c r="BB77" s="69">
        <v>0.9</v>
      </c>
      <c r="BC77" s="68">
        <v>2.1</v>
      </c>
      <c r="BD77" s="68">
        <f>BC77-BB77</f>
        <v>1.2000000000000002</v>
      </c>
      <c r="BE77" s="70">
        <f t="shared" si="96"/>
        <v>0.31199595347488268</v>
      </c>
      <c r="BF77" s="69">
        <v>0</v>
      </c>
      <c r="BG77" s="68">
        <v>0</v>
      </c>
      <c r="BH77" s="68">
        <f>BG77-BF77</f>
        <v>0</v>
      </c>
      <c r="BI77" s="70">
        <f t="shared" si="97"/>
        <v>0</v>
      </c>
      <c r="BJ77" s="71">
        <v>96.438406000000001</v>
      </c>
      <c r="BK77" s="71">
        <v>95.678507999999994</v>
      </c>
      <c r="BL77" s="71">
        <f>BK77-BJ77</f>
        <v>-0.75989800000000685</v>
      </c>
      <c r="BM77" s="72">
        <v>0</v>
      </c>
      <c r="BN77" s="73">
        <v>0</v>
      </c>
      <c r="BO77" s="73">
        <f>BN77-BM77</f>
        <v>0</v>
      </c>
      <c r="BP77" s="72">
        <v>0.9</v>
      </c>
      <c r="BQ77" s="73">
        <v>2.1</v>
      </c>
      <c r="BR77" s="73">
        <f>BQ77-BP77</f>
        <v>1.2000000000000002</v>
      </c>
      <c r="BS77" s="71"/>
      <c r="BT77" s="71"/>
      <c r="BU77" s="71"/>
      <c r="BV77" s="71"/>
      <c r="BW77" s="62" t="s">
        <v>103</v>
      </c>
      <c r="BX77" s="5">
        <v>1349.58595279</v>
      </c>
      <c r="BY77" s="5">
        <v>-1.5394281700000001</v>
      </c>
      <c r="BZ77" s="5">
        <v>3363.5849543700001</v>
      </c>
      <c r="CA77" s="5">
        <v>3416.1745070000002</v>
      </c>
      <c r="CB77" s="5">
        <v>2.69794</v>
      </c>
      <c r="CC77" s="5">
        <v>2.7417277499999999</v>
      </c>
      <c r="CD77" s="5">
        <v>-0.35807140999999998</v>
      </c>
      <c r="CE77" s="5">
        <v>3.8460099400000001</v>
      </c>
      <c r="CF77" s="5">
        <v>3.85983089</v>
      </c>
      <c r="CG77" s="5">
        <v>-1.2591240500000001</v>
      </c>
      <c r="CH77" s="5">
        <v>-1.5970861700000001</v>
      </c>
      <c r="CI77" s="5">
        <v>0.71726880999999998</v>
      </c>
    </row>
    <row r="78" spans="1:87" ht="15" customHeight="1" x14ac:dyDescent="0.2">
      <c r="A78" s="58">
        <f>A77</f>
        <v>62009019</v>
      </c>
      <c r="B78" s="58" t="s">
        <v>118</v>
      </c>
      <c r="C78" s="58" t="s">
        <v>119</v>
      </c>
      <c r="D78" s="59" t="s">
        <v>114</v>
      </c>
      <c r="E78" s="60" t="s">
        <v>203</v>
      </c>
      <c r="F78" s="61" t="str">
        <f t="shared" si="87"/>
        <v>09/16/20</v>
      </c>
      <c r="G78" s="62" t="s">
        <v>204</v>
      </c>
      <c r="H78" s="62" t="s">
        <v>110</v>
      </c>
      <c r="I78" s="63"/>
      <c r="J78" s="74">
        <f>AVERAGE(J76:J77)</f>
        <v>23.067756500000002</v>
      </c>
      <c r="K78" s="74">
        <f>AVERAGE(K76:K77)</f>
        <v>43.215669000000005</v>
      </c>
      <c r="L78" s="74">
        <f>AVERAGE(L76:L77)</f>
        <v>29.345340499999999</v>
      </c>
      <c r="M78" s="74">
        <f>AVERAGE(M76:M77)</f>
        <v>26.0850875</v>
      </c>
      <c r="N78" s="75"/>
      <c r="O78" s="65"/>
      <c r="P78" s="76"/>
      <c r="Q78" s="77"/>
      <c r="R78" s="78">
        <f>R77+R76</f>
        <v>7.4265128899999997</v>
      </c>
      <c r="S78" s="78">
        <f>S77</f>
        <v>7.4265128899999997</v>
      </c>
      <c r="T78" s="79">
        <f>T76</f>
        <v>97.326480000000004</v>
      </c>
      <c r="U78" s="79">
        <f>U77</f>
        <v>95.678507999999994</v>
      </c>
      <c r="V78" s="80">
        <f>V76</f>
        <v>9</v>
      </c>
      <c r="W78" s="80">
        <f>W77</f>
        <v>1284</v>
      </c>
      <c r="X78" s="80">
        <f>SUM(X76:X77)</f>
        <v>1275</v>
      </c>
      <c r="Y78" s="80">
        <f t="shared" si="88"/>
        <v>171.68219040147656</v>
      </c>
      <c r="Z78" s="80">
        <f>Z76</f>
        <v>8.6999999999999993</v>
      </c>
      <c r="AA78" s="80">
        <f>AA77</f>
        <v>68.599999999999994</v>
      </c>
      <c r="AB78" s="80">
        <f>SUM(AB76:AB77)</f>
        <v>59.899999999999991</v>
      </c>
      <c r="AC78" s="80">
        <f t="shared" si="89"/>
        <v>8.065696631410546</v>
      </c>
      <c r="AD78" s="80">
        <f>AD76</f>
        <v>7.73</v>
      </c>
      <c r="AE78" s="80">
        <f>AE77</f>
        <v>58.88</v>
      </c>
      <c r="AF78" s="80">
        <f>SUM(AF76:AF77)</f>
        <v>51.144759000000001</v>
      </c>
      <c r="AG78" s="80">
        <f t="shared" si="90"/>
        <v>6.8867798060201038</v>
      </c>
      <c r="AH78" s="80">
        <f>AH76</f>
        <v>0.70839099999999999</v>
      </c>
      <c r="AI78" s="80">
        <f>AI77</f>
        <v>2.84</v>
      </c>
      <c r="AJ78" s="80">
        <f>SUM(AJ76:AJ77)</f>
        <v>2.1316090000000001</v>
      </c>
      <c r="AK78" s="81">
        <f t="shared" si="91"/>
        <v>0.28702690368588318</v>
      </c>
      <c r="AL78" s="80">
        <f>AL76</f>
        <v>-0.3</v>
      </c>
      <c r="AM78" s="80">
        <f>AM77</f>
        <v>-6.2</v>
      </c>
      <c r="AN78" s="80">
        <f>SUM(AN76:AN77)</f>
        <v>-5.9</v>
      </c>
      <c r="AO78" s="81">
        <f t="shared" si="92"/>
        <v>-0.79445092028918574</v>
      </c>
      <c r="AP78" s="80">
        <f>AP76</f>
        <v>-0.2</v>
      </c>
      <c r="AQ78" s="80">
        <f>AQ77</f>
        <v>-7.7</v>
      </c>
      <c r="AR78" s="80">
        <f>SUM(AR76:AR77)</f>
        <v>-7.5</v>
      </c>
      <c r="AS78" s="81">
        <f t="shared" si="93"/>
        <v>-1.0098952376557446</v>
      </c>
      <c r="AT78" s="80">
        <f>AT76</f>
        <v>0.1</v>
      </c>
      <c r="AU78" s="80">
        <f>AU77</f>
        <v>2.5</v>
      </c>
      <c r="AV78" s="80">
        <f>SUM(AV76:AV77)</f>
        <v>2.4</v>
      </c>
      <c r="AW78" s="81">
        <f t="shared" si="94"/>
        <v>0.32316647604983822</v>
      </c>
      <c r="AX78" s="80">
        <f>AX76</f>
        <v>9</v>
      </c>
      <c r="AY78" s="80">
        <f>AY77</f>
        <v>1281</v>
      </c>
      <c r="AZ78" s="80">
        <f>SUM(AZ76:AZ77)</f>
        <v>1272</v>
      </c>
      <c r="BA78" s="81">
        <f t="shared" si="95"/>
        <v>171.27823230641428</v>
      </c>
      <c r="BB78" s="80">
        <f>BB76</f>
        <v>0.2</v>
      </c>
      <c r="BC78" s="80">
        <f>BC77</f>
        <v>2.1</v>
      </c>
      <c r="BD78" s="80">
        <f>SUM(BD76:BD77)</f>
        <v>1.9000000000000001</v>
      </c>
      <c r="BE78" s="81">
        <f t="shared" si="96"/>
        <v>0.25584012687278862</v>
      </c>
      <c r="BF78" s="80">
        <f>BF76</f>
        <v>0</v>
      </c>
      <c r="BG78" s="80">
        <f>BG77</f>
        <v>0</v>
      </c>
      <c r="BH78" s="80">
        <f>SUM(BH76:BH77)</f>
        <v>0</v>
      </c>
      <c r="BI78" s="81">
        <f t="shared" si="97"/>
        <v>0</v>
      </c>
      <c r="BJ78" s="82"/>
      <c r="BK78" s="82"/>
      <c r="BL78" s="82">
        <f>SUM(BL76:BL77)</f>
        <v>-1.64797200000001</v>
      </c>
      <c r="BM78" s="83">
        <f>BM76</f>
        <v>0</v>
      </c>
      <c r="BN78" s="83">
        <f>BN77</f>
        <v>0</v>
      </c>
      <c r="BO78" s="83">
        <f>SUM(BO76:BO77)</f>
        <v>0</v>
      </c>
      <c r="BP78" s="83">
        <f>BP76</f>
        <v>0.2</v>
      </c>
      <c r="BQ78" s="83">
        <f>BQ77</f>
        <v>2.1</v>
      </c>
      <c r="BR78" s="83">
        <f>SUM(BR76:BR77)</f>
        <v>1.9000000000000001</v>
      </c>
      <c r="BS78" s="82"/>
      <c r="BT78" s="82"/>
      <c r="BU78" s="82"/>
      <c r="BV78" s="82"/>
      <c r="BW78" s="62" t="s">
        <v>103</v>
      </c>
    </row>
    <row r="79" spans="1:87" ht="15" customHeight="1" x14ac:dyDescent="0.2">
      <c r="A79" s="58">
        <f t="shared" ref="A79:A85" si="98">A78</f>
        <v>62009019</v>
      </c>
      <c r="B79" s="58" t="s">
        <v>120</v>
      </c>
      <c r="C79" s="58" t="s">
        <v>105</v>
      </c>
      <c r="D79" s="59" t="s">
        <v>114</v>
      </c>
      <c r="E79" s="60" t="s">
        <v>203</v>
      </c>
      <c r="F79" s="61" t="str">
        <f t="shared" si="87"/>
        <v>09/16/20</v>
      </c>
      <c r="G79" s="62" t="s">
        <v>204</v>
      </c>
      <c r="H79" s="62" t="s">
        <v>110</v>
      </c>
      <c r="I79" s="63"/>
      <c r="J79" s="64">
        <v>24.913674</v>
      </c>
      <c r="K79" s="64">
        <v>39.097014000000001</v>
      </c>
      <c r="L79" s="64">
        <v>29.345827</v>
      </c>
      <c r="M79" s="64">
        <v>28.144957000000002</v>
      </c>
      <c r="N79" s="65">
        <v>3875</v>
      </c>
      <c r="O79" s="65">
        <v>28.39</v>
      </c>
      <c r="P79" s="65">
        <v>0.20169999999999999</v>
      </c>
      <c r="Q79" s="65">
        <v>1.932E-2</v>
      </c>
      <c r="R79" s="66">
        <v>10.24731203</v>
      </c>
      <c r="S79" s="66">
        <f>R79+R78</f>
        <v>17.673824920000001</v>
      </c>
      <c r="T79" s="67">
        <v>95.676981999999995</v>
      </c>
      <c r="U79" s="67">
        <v>92.916629</v>
      </c>
      <c r="V79" s="68">
        <v>1285</v>
      </c>
      <c r="W79" s="68">
        <v>3349</v>
      </c>
      <c r="X79" s="68">
        <f>W79-V79</f>
        <v>2064</v>
      </c>
      <c r="Y79" s="68">
        <f t="shared" si="88"/>
        <v>201.41867388808302</v>
      </c>
      <c r="Z79" s="69">
        <v>69.400000000000006</v>
      </c>
      <c r="AA79" s="68">
        <v>104.6</v>
      </c>
      <c r="AB79" s="68">
        <f>AA79-Z79</f>
        <v>35.199999999999989</v>
      </c>
      <c r="AC79" s="68">
        <f t="shared" si="89"/>
        <v>3.4350471515797092</v>
      </c>
      <c r="AD79" s="69">
        <v>59.524906000000001</v>
      </c>
      <c r="AE79" s="68">
        <v>89.69</v>
      </c>
      <c r="AF79" s="68">
        <f>AE79-AD79</f>
        <v>30.165093999999996</v>
      </c>
      <c r="AG79" s="68">
        <f t="shared" si="90"/>
        <v>2.9437079608475627</v>
      </c>
      <c r="AH79" s="69">
        <v>2.85</v>
      </c>
      <c r="AI79" s="68">
        <v>3.35</v>
      </c>
      <c r="AJ79" s="68">
        <f>AI79-AH79</f>
        <v>0.5</v>
      </c>
      <c r="AK79" s="70">
        <f t="shared" si="91"/>
        <v>4.8793283403120891E-2</v>
      </c>
      <c r="AL79" s="69">
        <v>-6.2</v>
      </c>
      <c r="AM79" s="68">
        <v>-9.5</v>
      </c>
      <c r="AN79" s="68">
        <f>AM79-AL79</f>
        <v>-3.3</v>
      </c>
      <c r="AO79" s="70">
        <f t="shared" si="92"/>
        <v>-0.32203567046059783</v>
      </c>
      <c r="AP79" s="69">
        <v>-7.8</v>
      </c>
      <c r="AQ79" s="68">
        <v>-11.9</v>
      </c>
      <c r="AR79" s="68">
        <f>AQ79-AP79</f>
        <v>-4.1000000000000005</v>
      </c>
      <c r="AS79" s="70">
        <f t="shared" si="93"/>
        <v>-0.40010492390559133</v>
      </c>
      <c r="AT79" s="69">
        <v>2.6</v>
      </c>
      <c r="AU79" s="68">
        <v>3.9</v>
      </c>
      <c r="AV79" s="68">
        <f>AU79-AT79</f>
        <v>1.2999999999999998</v>
      </c>
      <c r="AW79" s="70">
        <f t="shared" si="94"/>
        <v>0.1268625368481143</v>
      </c>
      <c r="AX79" s="69">
        <v>1282</v>
      </c>
      <c r="AY79" s="68">
        <v>3345</v>
      </c>
      <c r="AZ79" s="68">
        <f>AY79-AX79</f>
        <v>2063</v>
      </c>
      <c r="BA79" s="70">
        <f t="shared" si="95"/>
        <v>201.32108732127679</v>
      </c>
      <c r="BB79" s="69">
        <v>2.1</v>
      </c>
      <c r="BC79" s="68">
        <v>3.2</v>
      </c>
      <c r="BD79" s="68">
        <f>BC79-BB79</f>
        <v>1.1000000000000001</v>
      </c>
      <c r="BE79" s="70">
        <f t="shared" si="96"/>
        <v>0.10734522348686597</v>
      </c>
      <c r="BF79" s="69">
        <v>0</v>
      </c>
      <c r="BG79" s="68">
        <v>0</v>
      </c>
      <c r="BH79" s="68">
        <f>BG79-BF79</f>
        <v>0</v>
      </c>
      <c r="BI79" s="70">
        <f t="shared" si="97"/>
        <v>0</v>
      </c>
      <c r="BJ79" s="71">
        <v>95.676981999999995</v>
      </c>
      <c r="BK79" s="71">
        <v>92.916629</v>
      </c>
      <c r="BL79" s="71">
        <f>BK79-BJ79</f>
        <v>-2.7603529999999949</v>
      </c>
      <c r="BM79" s="72">
        <v>0</v>
      </c>
      <c r="BN79" s="73">
        <v>0</v>
      </c>
      <c r="BO79" s="73">
        <f>BN79-BM79</f>
        <v>0</v>
      </c>
      <c r="BP79" s="72">
        <v>2.1</v>
      </c>
      <c r="BQ79" s="73">
        <v>3.2</v>
      </c>
      <c r="BR79" s="73">
        <f>BQ79-BP79</f>
        <v>1.1000000000000001</v>
      </c>
      <c r="BS79" s="71"/>
      <c r="BT79" s="71"/>
      <c r="BU79" s="71"/>
      <c r="BV79" s="71"/>
      <c r="BW79" s="62" t="s">
        <v>103</v>
      </c>
      <c r="BX79" s="5">
        <v>1773.3726735499999</v>
      </c>
      <c r="BY79" s="5">
        <v>1.3277825599999999</v>
      </c>
      <c r="BZ79" s="5">
        <v>1324.0786258799999</v>
      </c>
      <c r="CA79" s="5">
        <v>1306.72811787</v>
      </c>
      <c r="CB79" s="5">
        <v>7.3020220599999996</v>
      </c>
      <c r="CC79" s="5">
        <v>7.3154071299999996</v>
      </c>
      <c r="CD79" s="5">
        <v>-9.0477109999999999E-2</v>
      </c>
      <c r="CE79" s="5">
        <v>10.247400300000001</v>
      </c>
      <c r="CF79" s="5">
        <v>10.25668025</v>
      </c>
      <c r="CG79" s="5">
        <v>-9.2663350000000005E-2</v>
      </c>
      <c r="CH79" s="5">
        <v>-0.18297092000000001</v>
      </c>
      <c r="CI79" s="5">
        <v>0.28265163999999998</v>
      </c>
    </row>
    <row r="80" spans="1:87" ht="15" customHeight="1" x14ac:dyDescent="0.2">
      <c r="A80" s="58">
        <f t="shared" si="98"/>
        <v>62009019</v>
      </c>
      <c r="B80" s="58" t="s">
        <v>121</v>
      </c>
      <c r="C80" s="58" t="s">
        <v>122</v>
      </c>
      <c r="D80" s="59" t="s">
        <v>114</v>
      </c>
      <c r="E80" s="60" t="s">
        <v>203</v>
      </c>
      <c r="F80" s="61" t="str">
        <f t="shared" si="87"/>
        <v>09/16/20</v>
      </c>
      <c r="G80" s="62" t="s">
        <v>204</v>
      </c>
      <c r="H80" s="62" t="s">
        <v>110</v>
      </c>
      <c r="I80" s="63"/>
      <c r="J80" s="64">
        <v>20.431985999999998</v>
      </c>
      <c r="K80" s="64">
        <v>52.388984000000001</v>
      </c>
      <c r="L80" s="64">
        <v>29.335747999999999</v>
      </c>
      <c r="M80" s="64">
        <v>27.674181999999998</v>
      </c>
      <c r="N80" s="65">
        <v>3875</v>
      </c>
      <c r="O80" s="65">
        <v>28.39</v>
      </c>
      <c r="P80" s="65">
        <v>0.20169999999999999</v>
      </c>
      <c r="Q80" s="65">
        <v>1.932E-2</v>
      </c>
      <c r="R80" s="66">
        <v>3.58287171</v>
      </c>
      <c r="S80" s="66">
        <f>R80+R79</f>
        <v>13.830183739999999</v>
      </c>
      <c r="T80" s="67">
        <v>92.908998999999994</v>
      </c>
      <c r="U80" s="67">
        <v>92.025503</v>
      </c>
      <c r="V80" s="68">
        <v>3356</v>
      </c>
      <c r="W80" s="68">
        <v>4010</v>
      </c>
      <c r="X80" s="68">
        <f>W80-V80</f>
        <v>654</v>
      </c>
      <c r="Y80" s="68">
        <f t="shared" si="88"/>
        <v>182.53514301800107</v>
      </c>
      <c r="Z80" s="69">
        <v>111.4</v>
      </c>
      <c r="AA80" s="68">
        <v>133.69999999999999</v>
      </c>
      <c r="AB80" s="68">
        <f>AA80-Z80</f>
        <v>22.299999999999983</v>
      </c>
      <c r="AC80" s="68">
        <f t="shared" si="89"/>
        <v>6.2240576289012548</v>
      </c>
      <c r="AD80" s="69">
        <v>95.73</v>
      </c>
      <c r="AE80" s="68">
        <v>114.813936</v>
      </c>
      <c r="AF80" s="68">
        <f>AE80-AD80</f>
        <v>19.083935999999994</v>
      </c>
      <c r="AG80" s="68">
        <f t="shared" si="90"/>
        <v>5.3264357601014956</v>
      </c>
      <c r="AH80" s="69">
        <v>13.914097</v>
      </c>
      <c r="AI80" s="68">
        <v>14.77</v>
      </c>
      <c r="AJ80" s="68">
        <f>AI80-AH80</f>
        <v>0.85590299999999964</v>
      </c>
      <c r="AK80" s="70">
        <f t="shared" si="91"/>
        <v>0.23888742586320502</v>
      </c>
      <c r="AL80" s="69">
        <v>-9.8000000000000007</v>
      </c>
      <c r="AM80" s="68">
        <v>-12</v>
      </c>
      <c r="AN80" s="68">
        <f>AM80-AL80</f>
        <v>-2.1999999999999993</v>
      </c>
      <c r="AO80" s="70">
        <f t="shared" si="92"/>
        <v>-0.61403259119205222</v>
      </c>
      <c r="AP80" s="69">
        <v>-12</v>
      </c>
      <c r="AQ80" s="68">
        <v>-14.8</v>
      </c>
      <c r="AR80" s="68">
        <f>AQ80-AP80</f>
        <v>-2.8000000000000007</v>
      </c>
      <c r="AS80" s="70">
        <f t="shared" si="93"/>
        <v>-0.78149602515352157</v>
      </c>
      <c r="AT80" s="69">
        <v>4</v>
      </c>
      <c r="AU80" s="68">
        <v>4.9000000000000004</v>
      </c>
      <c r="AV80" s="68">
        <f>AU80-AT80</f>
        <v>0.90000000000000036</v>
      </c>
      <c r="AW80" s="70">
        <f t="shared" si="94"/>
        <v>0.2511951509422034</v>
      </c>
      <c r="AX80" s="69">
        <v>3352</v>
      </c>
      <c r="AY80" s="68">
        <v>4005</v>
      </c>
      <c r="AZ80" s="68">
        <f>AY80-AX80</f>
        <v>653</v>
      </c>
      <c r="BA80" s="70">
        <f t="shared" si="95"/>
        <v>182.25603729473193</v>
      </c>
      <c r="BB80" s="69">
        <v>4</v>
      </c>
      <c r="BC80" s="68">
        <v>4.7</v>
      </c>
      <c r="BD80" s="68">
        <f>BC80-BB80</f>
        <v>0.70000000000000018</v>
      </c>
      <c r="BE80" s="70">
        <f t="shared" si="96"/>
        <v>0.19537400628838039</v>
      </c>
      <c r="BF80" s="69">
        <v>0</v>
      </c>
      <c r="BG80" s="68">
        <v>0</v>
      </c>
      <c r="BH80" s="68">
        <f>BG80-BF80</f>
        <v>0</v>
      </c>
      <c r="BI80" s="70">
        <f t="shared" si="97"/>
        <v>0</v>
      </c>
      <c r="BJ80" s="71">
        <v>92.908998999999994</v>
      </c>
      <c r="BK80" s="71">
        <v>92.025503</v>
      </c>
      <c r="BL80" s="71">
        <f>BK80-BJ80</f>
        <v>-0.88349599999999384</v>
      </c>
      <c r="BM80" s="72">
        <v>0</v>
      </c>
      <c r="BN80" s="73">
        <v>0</v>
      </c>
      <c r="BO80" s="73">
        <f>BN80-BM80</f>
        <v>0</v>
      </c>
      <c r="BP80" s="72">
        <v>4</v>
      </c>
      <c r="BQ80" s="73">
        <v>4.7</v>
      </c>
      <c r="BR80" s="73">
        <f>BQ80-BP80</f>
        <v>0.70000000000000018</v>
      </c>
      <c r="BS80" s="71"/>
      <c r="BT80" s="71"/>
      <c r="BU80" s="71"/>
      <c r="BV80" s="71"/>
      <c r="BW80" s="62" t="s">
        <v>103</v>
      </c>
      <c r="BX80" s="5">
        <v>2196.24492835</v>
      </c>
      <c r="BY80" s="5">
        <v>-1.07532077</v>
      </c>
      <c r="BZ80" s="5">
        <v>2026.6226950400001</v>
      </c>
      <c r="CA80" s="5">
        <v>2048.6522784200001</v>
      </c>
      <c r="CB80" s="5">
        <v>2.9312067599999998</v>
      </c>
      <c r="CC80" s="5">
        <v>2.9656598999999999</v>
      </c>
      <c r="CD80" s="5">
        <v>-0.23034400999999999</v>
      </c>
      <c r="CE80" s="5">
        <v>3.5827109699999999</v>
      </c>
      <c r="CF80" s="5">
        <v>3.5909825899999999</v>
      </c>
      <c r="CG80" s="5">
        <v>-0.94233975999999997</v>
      </c>
      <c r="CH80" s="5">
        <v>-1.16173627</v>
      </c>
      <c r="CI80" s="5">
        <v>0.59138225</v>
      </c>
    </row>
    <row r="81" spans="1:87" ht="15" customHeight="1" x14ac:dyDescent="0.2">
      <c r="A81" s="58">
        <f t="shared" si="98"/>
        <v>62009019</v>
      </c>
      <c r="B81" s="58" t="s">
        <v>123</v>
      </c>
      <c r="C81" s="58" t="s">
        <v>124</v>
      </c>
      <c r="D81" s="59" t="s">
        <v>114</v>
      </c>
      <c r="E81" s="60" t="s">
        <v>203</v>
      </c>
      <c r="F81" s="61" t="str">
        <f t="shared" si="87"/>
        <v>09/16/20</v>
      </c>
      <c r="G81" s="62" t="s">
        <v>204</v>
      </c>
      <c r="H81" s="62" t="s">
        <v>110</v>
      </c>
      <c r="I81" s="63"/>
      <c r="J81" s="64">
        <v>19.908556999999998</v>
      </c>
      <c r="K81" s="64">
        <v>55.180821000000002</v>
      </c>
      <c r="L81" s="64">
        <v>29.338146999999999</v>
      </c>
      <c r="M81" s="64">
        <v>27.108041</v>
      </c>
      <c r="N81" s="65">
        <v>3875</v>
      </c>
      <c r="O81" s="65">
        <v>28.39</v>
      </c>
      <c r="P81" s="65">
        <v>0.20169999999999999</v>
      </c>
      <c r="Q81" s="65">
        <v>1.932E-2</v>
      </c>
      <c r="R81" s="66">
        <v>3.8460589199999999</v>
      </c>
      <c r="S81" s="66">
        <f>R81+R80</f>
        <v>7.42893063</v>
      </c>
      <c r="T81" s="67">
        <v>92.025503</v>
      </c>
      <c r="U81" s="67">
        <v>91.265604999999994</v>
      </c>
      <c r="V81" s="68">
        <v>4010</v>
      </c>
      <c r="W81" s="68">
        <v>4574</v>
      </c>
      <c r="X81" s="68">
        <f>W81-V81</f>
        <v>564</v>
      </c>
      <c r="Y81" s="68">
        <f t="shared" si="88"/>
        <v>146.64361928183877</v>
      </c>
      <c r="Z81" s="69">
        <v>133.69999999999999</v>
      </c>
      <c r="AA81" s="68">
        <v>172.2</v>
      </c>
      <c r="AB81" s="68">
        <f>AA81-Z81</f>
        <v>38.5</v>
      </c>
      <c r="AC81" s="68">
        <f t="shared" si="89"/>
        <v>10.010247060905661</v>
      </c>
      <c r="AD81" s="69">
        <v>114.82</v>
      </c>
      <c r="AE81" s="68">
        <v>147.72999999999999</v>
      </c>
      <c r="AF81" s="68">
        <f>AE81-AD81</f>
        <v>32.909999999999997</v>
      </c>
      <c r="AG81" s="68">
        <f t="shared" si="90"/>
        <v>8.5568111889455913</v>
      </c>
      <c r="AH81" s="69">
        <v>14.77</v>
      </c>
      <c r="AI81" s="68">
        <v>14.92</v>
      </c>
      <c r="AJ81" s="68">
        <f>AI81-AH81</f>
        <v>0.15000000000000036</v>
      </c>
      <c r="AK81" s="70">
        <f t="shared" si="91"/>
        <v>3.9000962574957214E-2</v>
      </c>
      <c r="AL81" s="69">
        <v>-12</v>
      </c>
      <c r="AM81" s="68">
        <v>-15.8</v>
      </c>
      <c r="AN81" s="68">
        <f>AM81-AL81</f>
        <v>-3.8000000000000007</v>
      </c>
      <c r="AO81" s="70">
        <f t="shared" si="92"/>
        <v>-0.98802438523224723</v>
      </c>
      <c r="AP81" s="69">
        <v>-14.8</v>
      </c>
      <c r="AQ81" s="68">
        <v>-19.399999999999999</v>
      </c>
      <c r="AR81" s="68">
        <f>AQ81-AP81</f>
        <v>-4.5999999999999979</v>
      </c>
      <c r="AS81" s="70">
        <f t="shared" si="93"/>
        <v>-1.1960295189653511</v>
      </c>
      <c r="AT81" s="69">
        <v>4.9000000000000004</v>
      </c>
      <c r="AU81" s="68">
        <v>6.4</v>
      </c>
      <c r="AV81" s="68">
        <f>AU81-AT81</f>
        <v>1.5</v>
      </c>
      <c r="AW81" s="70">
        <f t="shared" si="94"/>
        <v>0.39000962574957121</v>
      </c>
      <c r="AX81" s="69">
        <v>4005</v>
      </c>
      <c r="AY81" s="68">
        <v>4567</v>
      </c>
      <c r="AZ81" s="68">
        <f>AY81-AX81</f>
        <v>562</v>
      </c>
      <c r="BA81" s="70">
        <f t="shared" si="95"/>
        <v>146.12360644750601</v>
      </c>
      <c r="BB81" s="69">
        <v>4.7</v>
      </c>
      <c r="BC81" s="68">
        <v>5.8</v>
      </c>
      <c r="BD81" s="68">
        <f>BC81-BB81</f>
        <v>1.0999999999999996</v>
      </c>
      <c r="BE81" s="70">
        <f t="shared" si="96"/>
        <v>0.28600705888301881</v>
      </c>
      <c r="BF81" s="69">
        <v>0</v>
      </c>
      <c r="BG81" s="68">
        <v>0</v>
      </c>
      <c r="BH81" s="68">
        <f>BG81-BF81</f>
        <v>0</v>
      </c>
      <c r="BI81" s="70">
        <f t="shared" si="97"/>
        <v>0</v>
      </c>
      <c r="BJ81" s="71">
        <v>92.025503</v>
      </c>
      <c r="BK81" s="71">
        <v>91.265604999999994</v>
      </c>
      <c r="BL81" s="71">
        <f>BK81-BJ81</f>
        <v>-0.75989800000000685</v>
      </c>
      <c r="BM81" s="72">
        <v>0</v>
      </c>
      <c r="BN81" s="73">
        <v>0</v>
      </c>
      <c r="BO81" s="73">
        <f>BN81-BM81</f>
        <v>0</v>
      </c>
      <c r="BP81" s="72">
        <v>4.7</v>
      </c>
      <c r="BQ81" s="73">
        <v>5.8</v>
      </c>
      <c r="BR81" s="73">
        <f>BQ81-BP81</f>
        <v>1.0999999999999996</v>
      </c>
      <c r="BS81" s="71"/>
      <c r="BT81" s="71"/>
      <c r="BU81" s="71"/>
      <c r="BV81" s="71"/>
      <c r="BW81" s="62" t="s">
        <v>103</v>
      </c>
      <c r="BX81" s="5">
        <v>1348.1576591800001</v>
      </c>
      <c r="BY81" s="5">
        <v>-1.44200379</v>
      </c>
      <c r="BZ81" s="5">
        <v>3366.7317023400001</v>
      </c>
      <c r="CA81" s="5">
        <v>3415.9904137399999</v>
      </c>
      <c r="CB81" s="5">
        <v>2.70230243</v>
      </c>
      <c r="CC81" s="5">
        <v>2.74148068</v>
      </c>
      <c r="CD81" s="5">
        <v>-0.36260395000000001</v>
      </c>
      <c r="CE81" s="5">
        <v>3.84583334</v>
      </c>
      <c r="CF81" s="5">
        <v>3.8598292299999999</v>
      </c>
      <c r="CG81" s="5">
        <v>-1.08194911</v>
      </c>
      <c r="CH81" s="5">
        <v>-1.42909102</v>
      </c>
      <c r="CI81" s="5">
        <v>0.71728175000000005</v>
      </c>
    </row>
    <row r="82" spans="1:87" ht="15" customHeight="1" x14ac:dyDescent="0.2">
      <c r="A82" s="58">
        <f t="shared" si="98"/>
        <v>62009019</v>
      </c>
      <c r="B82" s="58" t="s">
        <v>125</v>
      </c>
      <c r="C82" s="58" t="s">
        <v>126</v>
      </c>
      <c r="D82" s="59" t="s">
        <v>114</v>
      </c>
      <c r="E82" s="60" t="s">
        <v>203</v>
      </c>
      <c r="F82" s="61" t="str">
        <f t="shared" si="87"/>
        <v>09/16/20</v>
      </c>
      <c r="G82" s="62" t="s">
        <v>204</v>
      </c>
      <c r="H82" s="62" t="s">
        <v>110</v>
      </c>
      <c r="I82" s="63"/>
      <c r="J82" s="74">
        <f>AVERAGE(J80:J81)</f>
        <v>20.170271499999998</v>
      </c>
      <c r="K82" s="74">
        <f>AVERAGE(K80:K81)</f>
        <v>53.784902500000001</v>
      </c>
      <c r="L82" s="74">
        <f>AVERAGE(L80:L81)</f>
        <v>29.336947500000001</v>
      </c>
      <c r="M82" s="74">
        <f>AVERAGE(M80:M81)</f>
        <v>27.391111500000001</v>
      </c>
      <c r="N82" s="75"/>
      <c r="O82" s="65"/>
      <c r="P82" s="76"/>
      <c r="Q82" s="77"/>
      <c r="R82" s="78">
        <f>R81+R80</f>
        <v>7.42893063</v>
      </c>
      <c r="S82" s="78">
        <f>S81</f>
        <v>7.42893063</v>
      </c>
      <c r="T82" s="79">
        <f>T80</f>
        <v>92.908998999999994</v>
      </c>
      <c r="U82" s="79">
        <f>U81</f>
        <v>91.265604999999994</v>
      </c>
      <c r="V82" s="80">
        <f>V80</f>
        <v>3356</v>
      </c>
      <c r="W82" s="80">
        <f>W81</f>
        <v>4574</v>
      </c>
      <c r="X82" s="80">
        <f>SUM(X80:X81)</f>
        <v>1218</v>
      </c>
      <c r="Y82" s="80">
        <f t="shared" si="88"/>
        <v>163.95361064234356</v>
      </c>
      <c r="Z82" s="80">
        <f>Z80</f>
        <v>111.4</v>
      </c>
      <c r="AA82" s="80">
        <f>AA81</f>
        <v>172.2</v>
      </c>
      <c r="AB82" s="80">
        <f>SUM(AB80:AB81)</f>
        <v>60.799999999999983</v>
      </c>
      <c r="AC82" s="80">
        <f t="shared" si="89"/>
        <v>8.1842196445439122</v>
      </c>
      <c r="AD82" s="80">
        <f>AD80</f>
        <v>95.73</v>
      </c>
      <c r="AE82" s="80">
        <f>AE81</f>
        <v>147.72999999999999</v>
      </c>
      <c r="AF82" s="80">
        <f>SUM(AF80:AF81)</f>
        <v>51.993935999999991</v>
      </c>
      <c r="AG82" s="80">
        <f t="shared" si="90"/>
        <v>6.9988452698743249</v>
      </c>
      <c r="AH82" s="80">
        <f>AH80</f>
        <v>13.914097</v>
      </c>
      <c r="AI82" s="80">
        <f>AI81</f>
        <v>14.92</v>
      </c>
      <c r="AJ82" s="80">
        <f>SUM(AJ80:AJ81)</f>
        <v>1.005903</v>
      </c>
      <c r="AK82" s="81">
        <f t="shared" si="91"/>
        <v>0.13540347192607988</v>
      </c>
      <c r="AL82" s="80">
        <f>AL80</f>
        <v>-9.8000000000000007</v>
      </c>
      <c r="AM82" s="80">
        <f>AM81</f>
        <v>-15.8</v>
      </c>
      <c r="AN82" s="80">
        <f>SUM(AN80:AN81)</f>
        <v>-6</v>
      </c>
      <c r="AO82" s="81">
        <f t="shared" si="92"/>
        <v>-0.80765325439578106</v>
      </c>
      <c r="AP82" s="80">
        <f>AP80</f>
        <v>-12</v>
      </c>
      <c r="AQ82" s="80">
        <f>AQ81</f>
        <v>-19.399999999999999</v>
      </c>
      <c r="AR82" s="80">
        <f>SUM(AR80:AR81)</f>
        <v>-7.3999999999999986</v>
      </c>
      <c r="AS82" s="81">
        <f t="shared" si="93"/>
        <v>-0.99610568042146308</v>
      </c>
      <c r="AT82" s="80">
        <f>AT80</f>
        <v>4</v>
      </c>
      <c r="AU82" s="80">
        <f>AU81</f>
        <v>6.4</v>
      </c>
      <c r="AV82" s="80">
        <f>SUM(AV80:AV81)</f>
        <v>2.4000000000000004</v>
      </c>
      <c r="AW82" s="81">
        <f t="shared" si="94"/>
        <v>0.32306130175831249</v>
      </c>
      <c r="AX82" s="80">
        <f>AX80</f>
        <v>3352</v>
      </c>
      <c r="AY82" s="80">
        <f>AY81</f>
        <v>4567</v>
      </c>
      <c r="AZ82" s="80">
        <f>SUM(AZ80:AZ81)</f>
        <v>1215</v>
      </c>
      <c r="BA82" s="81">
        <f t="shared" si="95"/>
        <v>163.54978401514566</v>
      </c>
      <c r="BB82" s="80">
        <f>BB80</f>
        <v>4</v>
      </c>
      <c r="BC82" s="80">
        <f>BC81</f>
        <v>5.8</v>
      </c>
      <c r="BD82" s="80">
        <f>SUM(BD80:BD81)</f>
        <v>1.7999999999999998</v>
      </c>
      <c r="BE82" s="81">
        <f t="shared" si="96"/>
        <v>0.24229597631873429</v>
      </c>
      <c r="BF82" s="80">
        <f>BF80</f>
        <v>0</v>
      </c>
      <c r="BG82" s="80">
        <f>BG81</f>
        <v>0</v>
      </c>
      <c r="BH82" s="80">
        <f>SUM(BH80:BH81)</f>
        <v>0</v>
      </c>
      <c r="BI82" s="81">
        <f t="shared" si="97"/>
        <v>0</v>
      </c>
      <c r="BJ82" s="82"/>
      <c r="BK82" s="82"/>
      <c r="BL82" s="82">
        <f>SUM(BL80:BL81)</f>
        <v>-1.6433940000000007</v>
      </c>
      <c r="BM82" s="83">
        <f>BM80</f>
        <v>0</v>
      </c>
      <c r="BN82" s="83">
        <f>BN81</f>
        <v>0</v>
      </c>
      <c r="BO82" s="83">
        <f>SUM(BO80:BO81)</f>
        <v>0</v>
      </c>
      <c r="BP82" s="83">
        <f>BP80</f>
        <v>4</v>
      </c>
      <c r="BQ82" s="83">
        <f>BQ81</f>
        <v>5.8</v>
      </c>
      <c r="BR82" s="83">
        <f>SUM(BR80:BR81)</f>
        <v>1.7999999999999998</v>
      </c>
      <c r="BS82" s="82"/>
      <c r="BT82" s="82"/>
      <c r="BU82" s="82"/>
      <c r="BV82" s="82"/>
      <c r="BW82" s="62" t="s">
        <v>103</v>
      </c>
    </row>
    <row r="83" spans="1:87" ht="15" customHeight="1" x14ac:dyDescent="0.2">
      <c r="A83" s="58">
        <f t="shared" si="98"/>
        <v>62009019</v>
      </c>
      <c r="B83" s="58" t="s">
        <v>127</v>
      </c>
      <c r="C83" s="58" t="s">
        <v>128</v>
      </c>
      <c r="D83" s="59" t="s">
        <v>114</v>
      </c>
      <c r="E83" s="60" t="s">
        <v>203</v>
      </c>
      <c r="F83" s="61" t="str">
        <f t="shared" si="87"/>
        <v>09/16/20</v>
      </c>
      <c r="G83" s="62" t="s">
        <v>204</v>
      </c>
      <c r="H83" s="62" t="s">
        <v>110</v>
      </c>
      <c r="I83" s="63"/>
      <c r="J83" s="64">
        <v>23.156977999999999</v>
      </c>
      <c r="K83" s="64">
        <v>43.710915</v>
      </c>
      <c r="L83" s="64">
        <v>29.337413000000002</v>
      </c>
      <c r="M83" s="64">
        <v>29.385732000000001</v>
      </c>
      <c r="N83" s="65">
        <v>3875</v>
      </c>
      <c r="O83" s="65">
        <v>28.39</v>
      </c>
      <c r="P83" s="65">
        <v>0.20169999999999999</v>
      </c>
      <c r="Q83" s="65">
        <v>1.932E-2</v>
      </c>
      <c r="R83" s="66">
        <v>1.7643849700000001</v>
      </c>
      <c r="S83" s="66">
        <f>R83+R82</f>
        <v>9.1933156</v>
      </c>
      <c r="T83" s="67">
        <v>91.257975000000002</v>
      </c>
      <c r="U83" s="67">
        <v>88.306884999999994</v>
      </c>
      <c r="V83" s="68">
        <v>4579</v>
      </c>
      <c r="W83" s="68">
        <v>6737</v>
      </c>
      <c r="X83" s="68">
        <f>W83-V83-X84</f>
        <v>461</v>
      </c>
      <c r="Y83" s="68">
        <f t="shared" si="88"/>
        <v>261.28084734251615</v>
      </c>
      <c r="Z83" s="69">
        <v>176.53613899999999</v>
      </c>
      <c r="AA83" s="68">
        <v>204.5</v>
      </c>
      <c r="AB83" s="68">
        <f>AA83-Z83-AB84</f>
        <v>10.963861000000009</v>
      </c>
      <c r="AC83" s="68">
        <f t="shared" si="89"/>
        <v>6.2139845818342057</v>
      </c>
      <c r="AD83" s="69">
        <v>151.43361400000001</v>
      </c>
      <c r="AE83" s="68">
        <v>175.43</v>
      </c>
      <c r="AF83" s="68">
        <f>AE83-AD83-AF84</f>
        <v>9.3163859999999943</v>
      </c>
      <c r="AG83" s="68">
        <f t="shared" si="90"/>
        <v>5.2802456144250618</v>
      </c>
      <c r="AH83" s="69">
        <v>14.93</v>
      </c>
      <c r="AI83" s="68">
        <v>15.04</v>
      </c>
      <c r="AJ83" s="68">
        <f>AI83-AH83-AJ84</f>
        <v>5.0000000000000711E-2</v>
      </c>
      <c r="AK83" s="70">
        <f t="shared" si="91"/>
        <v>2.8338486696585671E-2</v>
      </c>
      <c r="AL83" s="69">
        <v>-16.2</v>
      </c>
      <c r="AM83" s="68">
        <v>-18.7</v>
      </c>
      <c r="AN83" s="68">
        <f>AM83-AL83-AN84</f>
        <v>-0.89999999999999858</v>
      </c>
      <c r="AO83" s="70">
        <f t="shared" si="92"/>
        <v>-0.51009276053853403</v>
      </c>
      <c r="AP83" s="69">
        <v>-19.899999999999999</v>
      </c>
      <c r="AQ83" s="68">
        <v>-23</v>
      </c>
      <c r="AR83" s="68">
        <f>AQ83-AP83-AR84</f>
        <v>-1.2000000000000028</v>
      </c>
      <c r="AS83" s="70">
        <f t="shared" si="93"/>
        <v>-0.68012368071804807</v>
      </c>
      <c r="AT83" s="69">
        <v>6.5</v>
      </c>
      <c r="AU83" s="68">
        <v>7.6</v>
      </c>
      <c r="AV83" s="68">
        <f>AU83-AT83-AV84</f>
        <v>0.49999999999999911</v>
      </c>
      <c r="AW83" s="70">
        <f t="shared" si="94"/>
        <v>0.28338486696585219</v>
      </c>
      <c r="AX83" s="69">
        <v>4572</v>
      </c>
      <c r="AY83" s="68">
        <v>6730</v>
      </c>
      <c r="AZ83" s="68">
        <f>AY83-AX83-AZ84</f>
        <v>461</v>
      </c>
      <c r="BA83" s="70">
        <f t="shared" si="95"/>
        <v>261.28084734251615</v>
      </c>
      <c r="BB83" s="69">
        <v>6</v>
      </c>
      <c r="BC83" s="68">
        <v>6.8</v>
      </c>
      <c r="BD83" s="68">
        <f>BC83-BB83-BD84</f>
        <v>0.29999999999999982</v>
      </c>
      <c r="BE83" s="70">
        <f t="shared" si="96"/>
        <v>0.17003092017951152</v>
      </c>
      <c r="BF83" s="69">
        <v>0</v>
      </c>
      <c r="BG83" s="68">
        <v>0</v>
      </c>
      <c r="BH83" s="68">
        <f>BG83-BF83-BH84</f>
        <v>0</v>
      </c>
      <c r="BI83" s="70">
        <f t="shared" si="97"/>
        <v>0</v>
      </c>
      <c r="BJ83" s="71">
        <v>91.257975000000002</v>
      </c>
      <c r="BK83" s="71">
        <v>88.306884999999994</v>
      </c>
      <c r="BL83" s="71">
        <f>BK83-BJ83-BL84</f>
        <v>-0.637826000000004</v>
      </c>
      <c r="BM83" s="72">
        <v>0</v>
      </c>
      <c r="BN83" s="73">
        <v>0</v>
      </c>
      <c r="BO83" s="73">
        <f>BN83-BM83-BO84</f>
        <v>0</v>
      </c>
      <c r="BP83" s="72">
        <v>6</v>
      </c>
      <c r="BQ83" s="73">
        <v>6.8</v>
      </c>
      <c r="BR83" s="73">
        <f>BQ83-BP83-BR84</f>
        <v>0.29999999999999982</v>
      </c>
      <c r="BS83" s="71"/>
      <c r="BT83" s="71"/>
      <c r="BU83" s="71"/>
      <c r="BV83" s="71"/>
      <c r="BW83" s="62" t="s">
        <v>103</v>
      </c>
      <c r="BX83" s="5">
        <v>5068.4656014399998</v>
      </c>
      <c r="BY83" s="5">
        <v>-2.9428099200000002</v>
      </c>
      <c r="BZ83" s="5">
        <v>2386.91172994</v>
      </c>
      <c r="CA83" s="5">
        <v>2459.28377697</v>
      </c>
      <c r="CB83" s="5">
        <v>2.8529596499999998</v>
      </c>
      <c r="CC83" s="5">
        <v>2.92520384</v>
      </c>
      <c r="CD83" s="5">
        <v>-0.43741825000000001</v>
      </c>
      <c r="CE83" s="5">
        <v>1.76435294</v>
      </c>
      <c r="CF83" s="5">
        <v>1.7721044500000001</v>
      </c>
      <c r="CG83" s="5">
        <v>-2.0837595900000001</v>
      </c>
      <c r="CH83" s="5">
        <v>-2.4697149199999999</v>
      </c>
      <c r="CI83" s="5">
        <v>0.81463595</v>
      </c>
    </row>
    <row r="84" spans="1:87" ht="15" customHeight="1" x14ac:dyDescent="0.2">
      <c r="A84" s="58">
        <f t="shared" si="98"/>
        <v>62009019</v>
      </c>
      <c r="B84" s="58" t="s">
        <v>129</v>
      </c>
      <c r="C84" s="58" t="s">
        <v>130</v>
      </c>
      <c r="D84" s="59" t="s">
        <v>114</v>
      </c>
      <c r="E84" s="60" t="s">
        <v>203</v>
      </c>
      <c r="F84" s="61" t="str">
        <f t="shared" si="87"/>
        <v>09/16/20</v>
      </c>
      <c r="G84" s="62" t="s">
        <v>204</v>
      </c>
      <c r="H84" s="62" t="s">
        <v>110</v>
      </c>
      <c r="I84" s="63"/>
      <c r="J84" s="64">
        <v>27.133032</v>
      </c>
      <c r="K84" s="64">
        <v>34.533636999999999</v>
      </c>
      <c r="L84" s="64">
        <v>29.365555000000001</v>
      </c>
      <c r="M84" s="64">
        <v>29.660903999999999</v>
      </c>
      <c r="N84" s="65">
        <v>3875</v>
      </c>
      <c r="O84" s="65">
        <v>28.39</v>
      </c>
      <c r="P84" s="65">
        <v>0.20169999999999999</v>
      </c>
      <c r="Q84" s="65">
        <v>1.932E-2</v>
      </c>
      <c r="R84" s="66">
        <v>6.2278789100000003</v>
      </c>
      <c r="S84" s="66">
        <f>R84+R83</f>
        <v>7.9922638800000003</v>
      </c>
      <c r="T84" s="67">
        <v>90.818516000000002</v>
      </c>
      <c r="U84" s="67">
        <v>88.505251999999999</v>
      </c>
      <c r="V84" s="68">
        <v>4899</v>
      </c>
      <c r="W84" s="68">
        <v>6596</v>
      </c>
      <c r="X84" s="68">
        <f>W84-V84</f>
        <v>1697</v>
      </c>
      <c r="Y84" s="68">
        <f t="shared" si="88"/>
        <v>272.48442439610631</v>
      </c>
      <c r="Z84" s="69">
        <v>182.6</v>
      </c>
      <c r="AA84" s="68">
        <v>199.6</v>
      </c>
      <c r="AB84" s="68">
        <f>AA84-Z84</f>
        <v>17</v>
      </c>
      <c r="AC84" s="68">
        <f t="shared" si="89"/>
        <v>2.7296612933021844</v>
      </c>
      <c r="AD84" s="69">
        <v>156.59</v>
      </c>
      <c r="AE84" s="68">
        <v>171.27</v>
      </c>
      <c r="AF84" s="68">
        <f>AE84-AD84</f>
        <v>14.680000000000007</v>
      </c>
      <c r="AG84" s="68">
        <f t="shared" si="90"/>
        <v>2.3571428109221229</v>
      </c>
      <c r="AH84" s="69">
        <v>14.96</v>
      </c>
      <c r="AI84" s="68">
        <v>15.02</v>
      </c>
      <c r="AJ84" s="68">
        <f>AI84-AH84</f>
        <v>5.9999999999998721E-2</v>
      </c>
      <c r="AK84" s="70">
        <f t="shared" si="91"/>
        <v>9.6340986822427994E-3</v>
      </c>
      <c r="AL84" s="69">
        <v>-16.7</v>
      </c>
      <c r="AM84" s="68">
        <v>-18.3</v>
      </c>
      <c r="AN84" s="68">
        <f>AM84-AL84</f>
        <v>-1.6000000000000014</v>
      </c>
      <c r="AO84" s="70">
        <f t="shared" si="92"/>
        <v>-0.25690929819314701</v>
      </c>
      <c r="AP84" s="69">
        <v>-20.6</v>
      </c>
      <c r="AQ84" s="68">
        <v>-22.5</v>
      </c>
      <c r="AR84" s="68">
        <f>AQ84-AP84</f>
        <v>-1.8999999999999986</v>
      </c>
      <c r="AS84" s="70">
        <f t="shared" si="93"/>
        <v>-0.30507979160436155</v>
      </c>
      <c r="AT84" s="69">
        <v>6.8</v>
      </c>
      <c r="AU84" s="68">
        <v>7.4</v>
      </c>
      <c r="AV84" s="68">
        <f>AU84-AT84</f>
        <v>0.60000000000000053</v>
      </c>
      <c r="AW84" s="70">
        <f t="shared" si="94"/>
        <v>9.6340986822430127E-2</v>
      </c>
      <c r="AX84" s="69">
        <v>4892</v>
      </c>
      <c r="AY84" s="68">
        <v>6589</v>
      </c>
      <c r="AZ84" s="68">
        <f>AY84-AX84</f>
        <v>1697</v>
      </c>
      <c r="BA84" s="70">
        <f t="shared" si="95"/>
        <v>272.48442439610631</v>
      </c>
      <c r="BB84" s="69">
        <v>6.1</v>
      </c>
      <c r="BC84" s="68">
        <v>6.6</v>
      </c>
      <c r="BD84" s="68">
        <f>BC84-BB84</f>
        <v>0.5</v>
      </c>
      <c r="BE84" s="70">
        <f t="shared" si="96"/>
        <v>8.0284155685358363E-2</v>
      </c>
      <c r="BF84" s="69">
        <v>0</v>
      </c>
      <c r="BG84" s="68">
        <v>0</v>
      </c>
      <c r="BH84" s="68">
        <f>BG84-BF84</f>
        <v>0</v>
      </c>
      <c r="BI84" s="70">
        <f t="shared" si="97"/>
        <v>0</v>
      </c>
      <c r="BJ84" s="71">
        <v>90.818516000000002</v>
      </c>
      <c r="BK84" s="71">
        <v>88.505251999999999</v>
      </c>
      <c r="BL84" s="71">
        <f>BK84-BJ84</f>
        <v>-2.3132640000000038</v>
      </c>
      <c r="BM84" s="72">
        <v>0</v>
      </c>
      <c r="BN84" s="73">
        <v>0</v>
      </c>
      <c r="BO84" s="73">
        <f>BN84-BM84</f>
        <v>0</v>
      </c>
      <c r="BP84" s="72">
        <v>6.1</v>
      </c>
      <c r="BQ84" s="73">
        <v>6.6</v>
      </c>
      <c r="BR84" s="73">
        <f>BQ84-BP84</f>
        <v>0.5</v>
      </c>
      <c r="BS84" s="71"/>
      <c r="BT84" s="71"/>
      <c r="BU84" s="71"/>
      <c r="BV84" s="71"/>
      <c r="BW84" s="62" t="s">
        <v>103</v>
      </c>
      <c r="BX84" s="5">
        <v>10787.21317314</v>
      </c>
      <c r="BY84" s="5">
        <v>-6.9340507300000001</v>
      </c>
      <c r="BZ84" s="5">
        <v>1059.3204292200001</v>
      </c>
      <c r="CA84" s="5">
        <v>1138.2470576000001</v>
      </c>
      <c r="CB84" s="5">
        <v>6.3871995200000002</v>
      </c>
      <c r="CC84" s="5">
        <v>6.5094763999999996</v>
      </c>
      <c r="CD84" s="5">
        <v>-0.11114781999999999</v>
      </c>
      <c r="CE84" s="5">
        <v>6.2279283599999999</v>
      </c>
      <c r="CF84" s="5">
        <v>6.2348582700000001</v>
      </c>
      <c r="CG84" s="5">
        <v>-1.80112954</v>
      </c>
      <c r="CH84" s="5">
        <v>-1.87844415</v>
      </c>
      <c r="CI84" s="5">
        <v>0.34619926000000001</v>
      </c>
    </row>
    <row r="85" spans="1:87" ht="15" customHeight="1" x14ac:dyDescent="0.2">
      <c r="A85" s="58">
        <f t="shared" si="98"/>
        <v>62009019</v>
      </c>
      <c r="B85" s="58" t="s">
        <v>131</v>
      </c>
      <c r="C85" s="58" t="s">
        <v>132</v>
      </c>
      <c r="D85" s="59" t="s">
        <v>114</v>
      </c>
      <c r="E85" s="60" t="s">
        <v>203</v>
      </c>
      <c r="F85" s="61" t="str">
        <f t="shared" si="87"/>
        <v>09/16/20</v>
      </c>
      <c r="G85" s="62" t="s">
        <v>204</v>
      </c>
      <c r="H85" s="62" t="s">
        <v>110</v>
      </c>
      <c r="I85" s="63"/>
      <c r="J85" s="74">
        <f>AVERAGE(J83:J84)</f>
        <v>25.145004999999998</v>
      </c>
      <c r="K85" s="74">
        <f>AVERAGE(K83:K84)</f>
        <v>39.122275999999999</v>
      </c>
      <c r="L85" s="74">
        <f>AVERAGE(L83:L84)</f>
        <v>29.351483999999999</v>
      </c>
      <c r="M85" s="74">
        <f>AVERAGE(M83:M84)</f>
        <v>29.523318</v>
      </c>
      <c r="N85" s="75"/>
      <c r="O85" s="65"/>
      <c r="P85" s="76"/>
      <c r="Q85" s="77"/>
      <c r="R85" s="78">
        <f>R84+R83</f>
        <v>7.9922638800000003</v>
      </c>
      <c r="S85" s="78">
        <f>S84</f>
        <v>7.9922638800000003</v>
      </c>
      <c r="T85" s="79">
        <f>T83</f>
        <v>91.257975000000002</v>
      </c>
      <c r="U85" s="79">
        <f>U84</f>
        <v>88.505251999999999</v>
      </c>
      <c r="V85" s="80">
        <f>V83</f>
        <v>4579</v>
      </c>
      <c r="W85" s="80">
        <f>W84</f>
        <v>6596</v>
      </c>
      <c r="X85" s="80">
        <f>SUM(X83:X84)</f>
        <v>2158</v>
      </c>
      <c r="Y85" s="80">
        <f t="shared" si="88"/>
        <v>270.01110478849705</v>
      </c>
      <c r="Z85" s="80">
        <f>Z83</f>
        <v>176.53613899999999</v>
      </c>
      <c r="AA85" s="80">
        <f>AA84</f>
        <v>199.6</v>
      </c>
      <c r="AB85" s="80">
        <f>SUM(AB83:AB84)</f>
        <v>27.963861000000009</v>
      </c>
      <c r="AC85" s="80">
        <f t="shared" si="89"/>
        <v>3.4988660809833032</v>
      </c>
      <c r="AD85" s="80">
        <f>AD83</f>
        <v>151.43361400000001</v>
      </c>
      <c r="AE85" s="80">
        <f>AE84</f>
        <v>171.27</v>
      </c>
      <c r="AF85" s="80">
        <f>SUM(AF83:AF84)</f>
        <v>23.996386000000001</v>
      </c>
      <c r="AG85" s="80">
        <f t="shared" si="90"/>
        <v>3.0024516657976013</v>
      </c>
      <c r="AH85" s="80">
        <f>AH83</f>
        <v>14.93</v>
      </c>
      <c r="AI85" s="80">
        <f>AI84</f>
        <v>15.02</v>
      </c>
      <c r="AJ85" s="80">
        <f>SUM(AJ83:AJ84)</f>
        <v>0.10999999999999943</v>
      </c>
      <c r="AK85" s="81">
        <f t="shared" si="91"/>
        <v>1.3763309326568361E-2</v>
      </c>
      <c r="AL85" s="80">
        <f>AL83</f>
        <v>-16.2</v>
      </c>
      <c r="AM85" s="80">
        <f>AM84</f>
        <v>-18.3</v>
      </c>
      <c r="AN85" s="80">
        <f>SUM(AN83:AN84)</f>
        <v>-2.5</v>
      </c>
      <c r="AO85" s="81">
        <f t="shared" si="92"/>
        <v>-0.31280248469473709</v>
      </c>
      <c r="AP85" s="80">
        <f>AP83</f>
        <v>-19.899999999999999</v>
      </c>
      <c r="AQ85" s="80">
        <f>AQ84</f>
        <v>-22.5</v>
      </c>
      <c r="AR85" s="80">
        <f>SUM(AR83:AR84)</f>
        <v>-3.1000000000000014</v>
      </c>
      <c r="AS85" s="81">
        <f t="shared" si="93"/>
        <v>-0.38787508102147417</v>
      </c>
      <c r="AT85" s="80">
        <f>AT83</f>
        <v>6.5</v>
      </c>
      <c r="AU85" s="80">
        <f>AU84</f>
        <v>7.4</v>
      </c>
      <c r="AV85" s="80">
        <f>SUM(AV83:AV84)</f>
        <v>1.0999999999999996</v>
      </c>
      <c r="AW85" s="81">
        <f t="shared" si="94"/>
        <v>0.13763309326568426</v>
      </c>
      <c r="AX85" s="80">
        <f>AX83</f>
        <v>4572</v>
      </c>
      <c r="AY85" s="80">
        <f>AY84</f>
        <v>6589</v>
      </c>
      <c r="AZ85" s="80">
        <f>SUM(AZ83:AZ84)</f>
        <v>2158</v>
      </c>
      <c r="BA85" s="81">
        <f t="shared" si="95"/>
        <v>270.01110478849705</v>
      </c>
      <c r="BB85" s="80">
        <f>BB83</f>
        <v>6</v>
      </c>
      <c r="BC85" s="80">
        <f>BC84</f>
        <v>6.6</v>
      </c>
      <c r="BD85" s="80">
        <f>SUM(BD83:BD84)</f>
        <v>0.79999999999999982</v>
      </c>
      <c r="BE85" s="81">
        <f t="shared" si="96"/>
        <v>0.10009679510231584</v>
      </c>
      <c r="BF85" s="80">
        <f>BF83</f>
        <v>0</v>
      </c>
      <c r="BG85" s="80">
        <f>BG84</f>
        <v>0</v>
      </c>
      <c r="BH85" s="80">
        <f>SUM(BH83:BH84)</f>
        <v>0</v>
      </c>
      <c r="BI85" s="81">
        <f t="shared" si="97"/>
        <v>0</v>
      </c>
      <c r="BJ85" s="82"/>
      <c r="BK85" s="82"/>
      <c r="BL85" s="82">
        <f>SUM(BL83:BL84)</f>
        <v>-2.9510900000000078</v>
      </c>
      <c r="BM85" s="83">
        <f>BM83</f>
        <v>0</v>
      </c>
      <c r="BN85" s="83">
        <f>BN84</f>
        <v>0</v>
      </c>
      <c r="BO85" s="83">
        <f>SUM(BO83:BO84)</f>
        <v>0</v>
      </c>
      <c r="BP85" s="83">
        <f>BP83</f>
        <v>6</v>
      </c>
      <c r="BQ85" s="83">
        <f>BQ84</f>
        <v>6.6</v>
      </c>
      <c r="BR85" s="83">
        <f>SUM(BR83:BR84)</f>
        <v>0.79999999999999982</v>
      </c>
      <c r="BS85" s="82"/>
      <c r="BT85" s="82"/>
      <c r="BU85" s="82"/>
      <c r="BV85" s="82"/>
      <c r="BW85" s="62" t="s">
        <v>103</v>
      </c>
    </row>
    <row r="86" spans="1:87" ht="15" customHeight="1" x14ac:dyDescent="0.2">
      <c r="A86" s="58">
        <f>A85+1</f>
        <v>62009020</v>
      </c>
      <c r="B86" s="58" t="s">
        <v>205</v>
      </c>
      <c r="C86" s="58" t="s">
        <v>98</v>
      </c>
      <c r="D86" s="59" t="s">
        <v>206</v>
      </c>
      <c r="E86" s="60" t="s">
        <v>207</v>
      </c>
      <c r="F86" s="61" t="str">
        <f t="shared" si="87"/>
        <v>09/16/20</v>
      </c>
      <c r="G86" s="62" t="s">
        <v>208</v>
      </c>
      <c r="H86" s="62" t="s">
        <v>110</v>
      </c>
      <c r="I86" s="63"/>
      <c r="J86" s="64">
        <v>-86.297572000000002</v>
      </c>
      <c r="K86" s="64">
        <v>-114.689707</v>
      </c>
      <c r="L86" s="64">
        <v>-95.521788000000001</v>
      </c>
      <c r="M86" s="64">
        <v>-101.007965</v>
      </c>
      <c r="N86" s="65">
        <v>3875</v>
      </c>
      <c r="O86" s="65">
        <v>28.39</v>
      </c>
      <c r="P86" s="65">
        <v>0.20169999999999999</v>
      </c>
      <c r="Q86" s="65">
        <v>1.932E-2</v>
      </c>
      <c r="R86" s="66">
        <v>180.23081862000001</v>
      </c>
      <c r="S86" s="66">
        <f>R86+R85</f>
        <v>188.2230825</v>
      </c>
      <c r="T86" s="67">
        <v>88.297729000000004</v>
      </c>
      <c r="U86" s="67">
        <v>19.859589</v>
      </c>
      <c r="V86" s="68">
        <v>6745</v>
      </c>
      <c r="W86" s="68">
        <v>52789</v>
      </c>
      <c r="X86" s="68">
        <f>W86-V86</f>
        <v>46044</v>
      </c>
      <c r="Y86" s="68">
        <f t="shared" si="88"/>
        <v>255.47240118283827</v>
      </c>
      <c r="Z86" s="69">
        <v>211.53559300000001</v>
      </c>
      <c r="AA86" s="68">
        <v>695.5</v>
      </c>
      <c r="AB86" s="68">
        <f>AA86-Z86</f>
        <v>483.96440699999999</v>
      </c>
      <c r="AC86" s="68">
        <f t="shared" si="89"/>
        <v>2.6852477878402925</v>
      </c>
      <c r="AD86" s="69">
        <v>181.64355900000001</v>
      </c>
      <c r="AE86" s="68">
        <v>603.04</v>
      </c>
      <c r="AF86" s="68">
        <f>AE86-AD86</f>
        <v>421.39644099999998</v>
      </c>
      <c r="AG86" s="68">
        <f t="shared" si="90"/>
        <v>2.338093142041791</v>
      </c>
      <c r="AH86" s="69">
        <v>21.136441000000001</v>
      </c>
      <c r="AI86" s="68">
        <v>4.76</v>
      </c>
      <c r="AJ86" s="68">
        <f>AI86-AH86</f>
        <v>-16.376441</v>
      </c>
      <c r="AK86" s="70">
        <f t="shared" si="91"/>
        <v>-9.086371090911044E-2</v>
      </c>
      <c r="AL86" s="69">
        <v>-19</v>
      </c>
      <c r="AM86" s="68">
        <v>-57.3</v>
      </c>
      <c r="AN86" s="68">
        <f>AM86-AL86</f>
        <v>-38.299999999999997</v>
      </c>
      <c r="AO86" s="70">
        <f t="shared" si="92"/>
        <v>-0.21250527680702599</v>
      </c>
      <c r="AP86" s="69">
        <v>-23.2</v>
      </c>
      <c r="AQ86" s="68">
        <v>-71</v>
      </c>
      <c r="AR86" s="68">
        <f>AQ86-AP86</f>
        <v>-47.8</v>
      </c>
      <c r="AS86" s="70">
        <f t="shared" si="93"/>
        <v>-0.26521546296020476</v>
      </c>
      <c r="AT86" s="69">
        <v>7.7</v>
      </c>
      <c r="AU86" s="68">
        <v>23.4</v>
      </c>
      <c r="AV86" s="68">
        <f>AU86-AT86</f>
        <v>15.7</v>
      </c>
      <c r="AW86" s="70">
        <f t="shared" si="94"/>
        <v>8.7110518168937556E-2</v>
      </c>
      <c r="AX86" s="69">
        <v>6738</v>
      </c>
      <c r="AY86" s="68">
        <v>52788</v>
      </c>
      <c r="AZ86" s="68">
        <f>AY86-AX86</f>
        <v>46050</v>
      </c>
      <c r="BA86" s="70">
        <f t="shared" si="95"/>
        <v>255.5056918267245</v>
      </c>
      <c r="BB86" s="69">
        <v>7.4</v>
      </c>
      <c r="BC86" s="68">
        <v>20.9</v>
      </c>
      <c r="BD86" s="68">
        <f>BC86-BB86</f>
        <v>13.499999999999998</v>
      </c>
      <c r="BE86" s="70">
        <f t="shared" si="96"/>
        <v>7.4903948743990881E-2</v>
      </c>
      <c r="BF86" s="69">
        <v>0</v>
      </c>
      <c r="BG86" s="68">
        <v>0</v>
      </c>
      <c r="BH86" s="68">
        <f>BG86-BF86</f>
        <v>0</v>
      </c>
      <c r="BI86" s="70">
        <f t="shared" si="97"/>
        <v>0</v>
      </c>
      <c r="BJ86" s="71">
        <v>88.297729000000004</v>
      </c>
      <c r="BK86" s="71">
        <v>19.859589</v>
      </c>
      <c r="BL86" s="71">
        <f>BK86-BJ86</f>
        <v>-68.438140000000004</v>
      </c>
      <c r="BM86" s="72">
        <v>0</v>
      </c>
      <c r="BN86" s="73">
        <v>0</v>
      </c>
      <c r="BO86" s="73">
        <f>BN86-BM86</f>
        <v>0</v>
      </c>
      <c r="BP86" s="72">
        <v>7.4</v>
      </c>
      <c r="BQ86" s="73">
        <v>20.9</v>
      </c>
      <c r="BR86" s="73">
        <f>BQ86-BP86</f>
        <v>13.499999999999998</v>
      </c>
      <c r="BS86" s="71"/>
      <c r="BT86" s="71"/>
      <c r="BU86" s="71"/>
      <c r="BV86" s="71"/>
      <c r="BW86" s="62" t="s">
        <v>209</v>
      </c>
      <c r="BX86" s="5">
        <v>12.253766969999999</v>
      </c>
      <c r="BY86" s="5">
        <v>264.40114096999997</v>
      </c>
      <c r="BZ86" s="5">
        <v>2117.7245187899998</v>
      </c>
      <c r="CA86" s="5">
        <v>581.15200000000004</v>
      </c>
      <c r="CB86" s="5">
        <v>159.13506050999999</v>
      </c>
      <c r="CC86" s="5">
        <v>159.48410874999999</v>
      </c>
      <c r="CD86" s="5">
        <v>-8.9163820000000005E-2</v>
      </c>
      <c r="CE86" s="5">
        <v>180.23237893000001</v>
      </c>
      <c r="CF86" s="5">
        <v>180.39322442</v>
      </c>
      <c r="CG86" s="5">
        <v>-0.12998148000000001</v>
      </c>
      <c r="CH86" s="5">
        <v>-0.21886082000000001</v>
      </c>
      <c r="CI86" s="5">
        <v>4.7226200000000003E-3</v>
      </c>
    </row>
    <row r="87" spans="1:87" ht="15" customHeight="1" x14ac:dyDescent="0.2">
      <c r="A87" s="58">
        <f>A86+1</f>
        <v>62009021</v>
      </c>
      <c r="B87" s="58" t="s">
        <v>210</v>
      </c>
      <c r="C87" s="58" t="s">
        <v>211</v>
      </c>
      <c r="D87" s="59" t="s">
        <v>212</v>
      </c>
      <c r="E87" s="60" t="s">
        <v>213</v>
      </c>
      <c r="F87" s="61" t="str">
        <f t="shared" si="87"/>
        <v>09/16/20</v>
      </c>
      <c r="G87" s="62" t="s">
        <v>214</v>
      </c>
      <c r="H87" s="62" t="s">
        <v>110</v>
      </c>
      <c r="I87" s="63"/>
      <c r="J87" s="64">
        <v>22.118977999999998</v>
      </c>
      <c r="K87" s="64">
        <v>45.970424000000001</v>
      </c>
      <c r="L87" s="64">
        <v>29.297129999999999</v>
      </c>
      <c r="M87" s="64">
        <v>31.813279000000001</v>
      </c>
      <c r="N87" s="65">
        <v>3875</v>
      </c>
      <c r="O87" s="65">
        <v>28.39</v>
      </c>
      <c r="P87" s="65">
        <v>0.20169999999999999</v>
      </c>
      <c r="Q87" s="65">
        <v>1.932E-2</v>
      </c>
      <c r="R87" s="66">
        <v>1.7645907599999999</v>
      </c>
      <c r="S87" s="66">
        <f>R87+R86</f>
        <v>181.99540938000001</v>
      </c>
      <c r="T87" s="67">
        <v>19.855011000000001</v>
      </c>
      <c r="U87" s="67">
        <v>16.401899</v>
      </c>
      <c r="V87" s="68">
        <v>52793</v>
      </c>
      <c r="W87" s="68">
        <v>54948</v>
      </c>
      <c r="X87" s="68">
        <f>W87-V87-X88</f>
        <v>460</v>
      </c>
      <c r="Y87" s="68">
        <f t="shared" si="88"/>
        <v>260.68367262673416</v>
      </c>
      <c r="Z87" s="69">
        <v>699.39718300000004</v>
      </c>
      <c r="AA87" s="68">
        <v>737.6</v>
      </c>
      <c r="AB87" s="68">
        <f>AA87-Z87-AB88</f>
        <v>18.302817000000005</v>
      </c>
      <c r="AC87" s="68">
        <f t="shared" si="89"/>
        <v>10.372272945597881</v>
      </c>
      <c r="AD87" s="69">
        <v>606.39971800000001</v>
      </c>
      <c r="AE87" s="68">
        <v>640.48954500000002</v>
      </c>
      <c r="AF87" s="68">
        <f>AE87-AD87-AF88</f>
        <v>16.409101000000078</v>
      </c>
      <c r="AG87" s="68">
        <f t="shared" si="90"/>
        <v>9.2990972025718186</v>
      </c>
      <c r="AH87" s="69">
        <v>16.940282</v>
      </c>
      <c r="AI87" s="68">
        <v>8.08</v>
      </c>
      <c r="AJ87" s="68">
        <f>AI87-AH87-AJ88</f>
        <v>-6.5599189999999989</v>
      </c>
      <c r="AK87" s="70">
        <f t="shared" si="91"/>
        <v>-3.7175299501171586</v>
      </c>
      <c r="AL87" s="69">
        <v>-57.4</v>
      </c>
      <c r="AM87" s="68">
        <v>-59.5</v>
      </c>
      <c r="AN87" s="68">
        <f>AM87-AL87-AN88</f>
        <v>-0.79999999999999716</v>
      </c>
      <c r="AO87" s="70">
        <f t="shared" si="92"/>
        <v>-0.45336290891605779</v>
      </c>
      <c r="AP87" s="69">
        <v>-71.099999999999994</v>
      </c>
      <c r="AQ87" s="68">
        <v>-73.8</v>
      </c>
      <c r="AR87" s="68">
        <f>AQ87-AP87-AR88</f>
        <v>-1.1000000000000085</v>
      </c>
      <c r="AS87" s="70">
        <f t="shared" si="93"/>
        <v>-0.62337399975958652</v>
      </c>
      <c r="AT87" s="69">
        <v>23.5</v>
      </c>
      <c r="AU87" s="68">
        <v>24.3</v>
      </c>
      <c r="AV87" s="68">
        <f>AU87-AT87-AV88</f>
        <v>0.30000000000000071</v>
      </c>
      <c r="AW87" s="70">
        <f t="shared" si="94"/>
        <v>0.17001109084352267</v>
      </c>
      <c r="AX87" s="69">
        <v>52792</v>
      </c>
      <c r="AY87" s="68">
        <v>54948</v>
      </c>
      <c r="AZ87" s="68">
        <f>AY87-AX87-AZ88</f>
        <v>459</v>
      </c>
      <c r="BA87" s="70">
        <f t="shared" si="95"/>
        <v>260.1169689905891</v>
      </c>
      <c r="BB87" s="69">
        <v>21.5</v>
      </c>
      <c r="BC87" s="68">
        <v>22.3</v>
      </c>
      <c r="BD87" s="68">
        <f>BC87-BB87-BD88</f>
        <v>0.30000000000000071</v>
      </c>
      <c r="BE87" s="70">
        <f t="shared" si="96"/>
        <v>0.17001109084352267</v>
      </c>
      <c r="BF87" s="69">
        <v>0</v>
      </c>
      <c r="BG87" s="68">
        <v>0</v>
      </c>
      <c r="BH87" s="68">
        <f>BG87-BF87-BH88</f>
        <v>0</v>
      </c>
      <c r="BI87" s="70">
        <f t="shared" si="97"/>
        <v>0</v>
      </c>
      <c r="BJ87" s="71">
        <v>19.855011000000001</v>
      </c>
      <c r="BK87" s="71">
        <v>16.401899</v>
      </c>
      <c r="BL87" s="71">
        <f>BK87-BJ87-BL88</f>
        <v>-0.74921699999999802</v>
      </c>
      <c r="BM87" s="72">
        <v>0</v>
      </c>
      <c r="BN87" s="73">
        <v>0</v>
      </c>
      <c r="BO87" s="73">
        <f>BN87-BM87-BO88</f>
        <v>0</v>
      </c>
      <c r="BP87" s="72">
        <v>21.5</v>
      </c>
      <c r="BQ87" s="73">
        <v>22.3</v>
      </c>
      <c r="BR87" s="73">
        <f>BQ87-BP87-BR88</f>
        <v>0.30000000000000071</v>
      </c>
      <c r="BS87" s="71"/>
      <c r="BT87" s="71"/>
      <c r="BU87" s="71"/>
      <c r="BV87" s="71"/>
      <c r="BW87" s="62" t="s">
        <v>215</v>
      </c>
      <c r="BX87" s="5">
        <v>5056.6534351800001</v>
      </c>
      <c r="BY87" s="5">
        <v>-2.7863554499999998</v>
      </c>
      <c r="BZ87" s="5">
        <v>2391.1649616499999</v>
      </c>
      <c r="CA87" s="5">
        <v>2459.7009739</v>
      </c>
      <c r="CB87" s="5">
        <v>2.8557459600000001</v>
      </c>
      <c r="CC87" s="5">
        <v>2.92596919</v>
      </c>
      <c r="CD87" s="5">
        <v>-0.43163658999999999</v>
      </c>
      <c r="CE87" s="5">
        <v>1.7645501299999999</v>
      </c>
      <c r="CF87" s="5">
        <v>1.77219959</v>
      </c>
      <c r="CG87" s="5">
        <v>-2.01676454</v>
      </c>
      <c r="CH87" s="5">
        <v>-2.39999881</v>
      </c>
      <c r="CI87" s="5">
        <v>0.81466519999999998</v>
      </c>
    </row>
    <row r="88" spans="1:87" ht="15" customHeight="1" x14ac:dyDescent="0.2">
      <c r="A88" s="58">
        <f>A87</f>
        <v>62009021</v>
      </c>
      <c r="B88" s="58" t="s">
        <v>216</v>
      </c>
      <c r="C88" s="58" t="s">
        <v>104</v>
      </c>
      <c r="D88" s="59" t="s">
        <v>212</v>
      </c>
      <c r="E88" s="60" t="s">
        <v>213</v>
      </c>
      <c r="F88" s="61" t="str">
        <f t="shared" si="87"/>
        <v>09/16/20</v>
      </c>
      <c r="G88" s="62" t="s">
        <v>214</v>
      </c>
      <c r="H88" s="62" t="s">
        <v>110</v>
      </c>
      <c r="I88" s="63"/>
      <c r="J88" s="64">
        <v>25.894646000000002</v>
      </c>
      <c r="K88" s="64">
        <v>37.677916000000003</v>
      </c>
      <c r="L88" s="64">
        <v>29.312163999999999</v>
      </c>
      <c r="M88" s="64">
        <v>30.590354000000001</v>
      </c>
      <c r="N88" s="65">
        <v>3875</v>
      </c>
      <c r="O88" s="65">
        <v>28.39</v>
      </c>
      <c r="P88" s="65">
        <v>0.20169999999999999</v>
      </c>
      <c r="Q88" s="65">
        <v>1.932E-2</v>
      </c>
      <c r="R88" s="66">
        <v>6.2283158199999997</v>
      </c>
      <c r="S88" s="66">
        <f>R88+R87</f>
        <v>7.9929065799999996</v>
      </c>
      <c r="T88" s="67">
        <v>19.337731000000002</v>
      </c>
      <c r="U88" s="67">
        <v>16.633835999999999</v>
      </c>
      <c r="V88" s="68">
        <v>53114</v>
      </c>
      <c r="W88" s="68">
        <v>54809</v>
      </c>
      <c r="X88" s="68">
        <f>W88-V88</f>
        <v>1695</v>
      </c>
      <c r="Y88" s="68">
        <f t="shared" si="88"/>
        <v>272.1441957964168</v>
      </c>
      <c r="Z88" s="69">
        <v>714.2</v>
      </c>
      <c r="AA88" s="68">
        <v>734.1</v>
      </c>
      <c r="AB88" s="68">
        <f>AA88-Z88</f>
        <v>19.899999999999977</v>
      </c>
      <c r="AC88" s="68">
        <f t="shared" si="89"/>
        <v>3.1950852485832963</v>
      </c>
      <c r="AD88" s="69">
        <v>619.83927400000005</v>
      </c>
      <c r="AE88" s="68">
        <v>637.52</v>
      </c>
      <c r="AF88" s="68">
        <f>AE88-AD88</f>
        <v>17.680725999999936</v>
      </c>
      <c r="AG88" s="68">
        <f t="shared" si="90"/>
        <v>2.8387651671780407</v>
      </c>
      <c r="AH88" s="69">
        <v>9.0603630000000006</v>
      </c>
      <c r="AI88" s="68">
        <v>6.76</v>
      </c>
      <c r="AJ88" s="68">
        <f>AI88-AH88</f>
        <v>-2.3003630000000008</v>
      </c>
      <c r="AK88" s="70">
        <f t="shared" si="91"/>
        <v>-0.36933949184355924</v>
      </c>
      <c r="AL88" s="69">
        <v>-57.9</v>
      </c>
      <c r="AM88" s="68">
        <v>-59.2</v>
      </c>
      <c r="AN88" s="68">
        <f>AM88-AL88</f>
        <v>-1.3000000000000043</v>
      </c>
      <c r="AO88" s="70">
        <f t="shared" si="92"/>
        <v>-0.20872416196775395</v>
      </c>
      <c r="AP88" s="69">
        <v>-71.7</v>
      </c>
      <c r="AQ88" s="68">
        <v>-73.3</v>
      </c>
      <c r="AR88" s="68">
        <f>AQ88-AP88</f>
        <v>-1.5999999999999943</v>
      </c>
      <c r="AS88" s="70">
        <f t="shared" si="93"/>
        <v>-0.25689127626800312</v>
      </c>
      <c r="AT88" s="69">
        <v>23.7</v>
      </c>
      <c r="AU88" s="68">
        <v>24.2</v>
      </c>
      <c r="AV88" s="68">
        <f>AU88-AT88</f>
        <v>0.5</v>
      </c>
      <c r="AW88" s="70">
        <f t="shared" si="94"/>
        <v>8.0278523833751253E-2</v>
      </c>
      <c r="AX88" s="69">
        <v>53112</v>
      </c>
      <c r="AY88" s="68">
        <v>54809</v>
      </c>
      <c r="AZ88" s="68">
        <f>AY88-AX88</f>
        <v>1697</v>
      </c>
      <c r="BA88" s="70">
        <f t="shared" si="95"/>
        <v>272.46530989175176</v>
      </c>
      <c r="BB88" s="69">
        <v>21.7</v>
      </c>
      <c r="BC88" s="68">
        <v>22.2</v>
      </c>
      <c r="BD88" s="68">
        <f>BC88-BB88</f>
        <v>0.5</v>
      </c>
      <c r="BE88" s="70">
        <f t="shared" si="96"/>
        <v>8.0278523833751253E-2</v>
      </c>
      <c r="BF88" s="69">
        <v>0</v>
      </c>
      <c r="BG88" s="68">
        <v>0</v>
      </c>
      <c r="BH88" s="68">
        <f>BG88-BF88</f>
        <v>0</v>
      </c>
      <c r="BI88" s="70">
        <f t="shared" si="97"/>
        <v>0</v>
      </c>
      <c r="BJ88" s="71">
        <v>19.337731000000002</v>
      </c>
      <c r="BK88" s="71">
        <v>16.633835999999999</v>
      </c>
      <c r="BL88" s="71">
        <f>BK88-BJ88</f>
        <v>-2.7038950000000028</v>
      </c>
      <c r="BM88" s="72">
        <v>0</v>
      </c>
      <c r="BN88" s="73">
        <v>0</v>
      </c>
      <c r="BO88" s="73">
        <f>BN88-BM88</f>
        <v>0</v>
      </c>
      <c r="BP88" s="72">
        <v>21.7</v>
      </c>
      <c r="BQ88" s="73">
        <v>22.2</v>
      </c>
      <c r="BR88" s="73">
        <f>BQ88-BP88</f>
        <v>0.5</v>
      </c>
      <c r="BS88" s="71"/>
      <c r="BT88" s="71"/>
      <c r="BU88" s="71"/>
      <c r="BV88" s="71"/>
      <c r="BW88" s="62" t="s">
        <v>215</v>
      </c>
      <c r="BX88" s="5">
        <v>10800.45916079</v>
      </c>
      <c r="BY88" s="5">
        <v>-7.1945734300000002</v>
      </c>
      <c r="BZ88" s="5">
        <v>1057.29169785</v>
      </c>
      <c r="CA88" s="5">
        <v>1139.25633111</v>
      </c>
      <c r="CB88" s="5">
        <v>6.3890061200000003</v>
      </c>
      <c r="CC88" s="5">
        <v>6.5128706899999997</v>
      </c>
      <c r="CD88" s="5">
        <v>-0.1187125</v>
      </c>
      <c r="CE88" s="5">
        <v>6.2283501599999997</v>
      </c>
      <c r="CF88" s="5">
        <v>6.2357527700000004</v>
      </c>
      <c r="CG88" s="5">
        <v>-1.8177000699999999</v>
      </c>
      <c r="CH88" s="5">
        <v>-1.90184277</v>
      </c>
      <c r="CI88" s="5">
        <v>0.34644798999999998</v>
      </c>
    </row>
    <row r="89" spans="1:87" ht="15" customHeight="1" x14ac:dyDescent="0.2">
      <c r="A89" s="58">
        <f t="shared" ref="A89:A96" si="99">A88</f>
        <v>62009021</v>
      </c>
      <c r="B89" s="58" t="s">
        <v>217</v>
      </c>
      <c r="C89" s="58" t="s">
        <v>119</v>
      </c>
      <c r="D89" s="59" t="s">
        <v>212</v>
      </c>
      <c r="E89" s="60" t="s">
        <v>213</v>
      </c>
      <c r="F89" s="61" t="str">
        <f t="shared" si="87"/>
        <v>09/16/20</v>
      </c>
      <c r="G89" s="62" t="s">
        <v>214</v>
      </c>
      <c r="H89" s="62" t="s">
        <v>110</v>
      </c>
      <c r="I89" s="63"/>
      <c r="J89" s="74">
        <f>AVERAGE(J87:J88)</f>
        <v>24.006812</v>
      </c>
      <c r="K89" s="74">
        <f>AVERAGE(K87:K88)</f>
        <v>41.824170000000002</v>
      </c>
      <c r="L89" s="74">
        <f>AVERAGE(L87:L88)</f>
        <v>29.304646999999999</v>
      </c>
      <c r="M89" s="74">
        <f>AVERAGE(M87:M88)</f>
        <v>31.2018165</v>
      </c>
      <c r="N89" s="75"/>
      <c r="O89" s="65"/>
      <c r="P89" s="76"/>
      <c r="Q89" s="77"/>
      <c r="R89" s="78">
        <f>R88+R87</f>
        <v>7.9929065799999996</v>
      </c>
      <c r="S89" s="78">
        <f>S88</f>
        <v>7.9929065799999996</v>
      </c>
      <c r="T89" s="79">
        <f>T87</f>
        <v>19.855011000000001</v>
      </c>
      <c r="U89" s="79">
        <f>U88</f>
        <v>16.633835999999999</v>
      </c>
      <c r="V89" s="80">
        <f>V87</f>
        <v>52793</v>
      </c>
      <c r="W89" s="80">
        <f>W88</f>
        <v>54809</v>
      </c>
      <c r="X89" s="80">
        <f>SUM(X87:X88)</f>
        <v>2155</v>
      </c>
      <c r="Y89" s="80">
        <f t="shared" si="88"/>
        <v>269.61406072132525</v>
      </c>
      <c r="Z89" s="80">
        <f>Z87</f>
        <v>699.39718300000004</v>
      </c>
      <c r="AA89" s="80">
        <f>AA88</f>
        <v>734.1</v>
      </c>
      <c r="AB89" s="80">
        <f>SUM(AB87:AB88)</f>
        <v>38.202816999999982</v>
      </c>
      <c r="AC89" s="80">
        <f t="shared" si="89"/>
        <v>4.7795900799831426</v>
      </c>
      <c r="AD89" s="80">
        <f>AD87</f>
        <v>606.39971800000001</v>
      </c>
      <c r="AE89" s="80">
        <f>AE88</f>
        <v>637.52</v>
      </c>
      <c r="AF89" s="80">
        <f>SUM(AF87:AF88)</f>
        <v>34.089827000000014</v>
      </c>
      <c r="AG89" s="80">
        <f t="shared" si="90"/>
        <v>4.2650100634605463</v>
      </c>
      <c r="AH89" s="80">
        <f>AH87</f>
        <v>16.940282</v>
      </c>
      <c r="AI89" s="80">
        <f>AI88</f>
        <v>6.76</v>
      </c>
      <c r="AJ89" s="80">
        <f>SUM(AJ87:AJ88)</f>
        <v>-8.8602819999999998</v>
      </c>
      <c r="AK89" s="81">
        <f t="shared" si="91"/>
        <v>-1.1085181481002622</v>
      </c>
      <c r="AL89" s="80">
        <f>AL87</f>
        <v>-57.4</v>
      </c>
      <c r="AM89" s="80">
        <f>AM88</f>
        <v>-59.2</v>
      </c>
      <c r="AN89" s="80">
        <f>SUM(AN87:AN88)</f>
        <v>-2.1000000000000014</v>
      </c>
      <c r="AO89" s="81">
        <f t="shared" si="92"/>
        <v>-0.2627329594036118</v>
      </c>
      <c r="AP89" s="80">
        <f>AP87</f>
        <v>-71.099999999999994</v>
      </c>
      <c r="AQ89" s="80">
        <f>AQ88</f>
        <v>-73.3</v>
      </c>
      <c r="AR89" s="80">
        <f>SUM(AR87:AR88)</f>
        <v>-2.7000000000000028</v>
      </c>
      <c r="AS89" s="81">
        <f t="shared" si="93"/>
        <v>-0.33779951923321527</v>
      </c>
      <c r="AT89" s="80">
        <f>AT87</f>
        <v>23.5</v>
      </c>
      <c r="AU89" s="80">
        <f>AU88</f>
        <v>24.2</v>
      </c>
      <c r="AV89" s="80">
        <f>SUM(AV87:AV88)</f>
        <v>0.80000000000000071</v>
      </c>
      <c r="AW89" s="81">
        <f t="shared" si="94"/>
        <v>0.10008874643947117</v>
      </c>
      <c r="AX89" s="80">
        <f>AX87</f>
        <v>52792</v>
      </c>
      <c r="AY89" s="80">
        <f>AY88</f>
        <v>54809</v>
      </c>
      <c r="AZ89" s="80">
        <f>SUM(AZ87:AZ88)</f>
        <v>2156</v>
      </c>
      <c r="BA89" s="81">
        <f t="shared" si="95"/>
        <v>269.73917165437456</v>
      </c>
      <c r="BB89" s="80">
        <f>BB87</f>
        <v>21.5</v>
      </c>
      <c r="BC89" s="80">
        <f>BC88</f>
        <v>22.2</v>
      </c>
      <c r="BD89" s="80">
        <f>SUM(BD87:BD88)</f>
        <v>0.80000000000000071</v>
      </c>
      <c r="BE89" s="81">
        <f t="shared" si="96"/>
        <v>0.10008874643947117</v>
      </c>
      <c r="BF89" s="80">
        <f>BF87</f>
        <v>0</v>
      </c>
      <c r="BG89" s="80">
        <f>BG88</f>
        <v>0</v>
      </c>
      <c r="BH89" s="80">
        <f>SUM(BH87:BH88)</f>
        <v>0</v>
      </c>
      <c r="BI89" s="81">
        <f t="shared" si="97"/>
        <v>0</v>
      </c>
      <c r="BJ89" s="82"/>
      <c r="BK89" s="82"/>
      <c r="BL89" s="82">
        <f>SUM(BL87:BL88)</f>
        <v>-3.4531120000000008</v>
      </c>
      <c r="BM89" s="83">
        <f>BM87</f>
        <v>0</v>
      </c>
      <c r="BN89" s="83">
        <f>BN88</f>
        <v>0</v>
      </c>
      <c r="BO89" s="83">
        <f>SUM(BO87:BO88)</f>
        <v>0</v>
      </c>
      <c r="BP89" s="83">
        <f>BP87</f>
        <v>21.5</v>
      </c>
      <c r="BQ89" s="83">
        <f>BQ88</f>
        <v>22.2</v>
      </c>
      <c r="BR89" s="83">
        <f>SUM(BR87:BR88)</f>
        <v>0.80000000000000071</v>
      </c>
      <c r="BS89" s="82"/>
      <c r="BT89" s="82"/>
      <c r="BU89" s="82"/>
      <c r="BV89" s="82"/>
      <c r="BW89" s="62" t="s">
        <v>215</v>
      </c>
    </row>
    <row r="90" spans="1:87" ht="15" customHeight="1" x14ac:dyDescent="0.2">
      <c r="A90" s="58">
        <f t="shared" si="99"/>
        <v>62009021</v>
      </c>
      <c r="B90" s="58" t="s">
        <v>218</v>
      </c>
      <c r="C90" s="58" t="s">
        <v>105</v>
      </c>
      <c r="D90" s="59" t="s">
        <v>212</v>
      </c>
      <c r="E90" s="60" t="s">
        <v>213</v>
      </c>
      <c r="F90" s="61" t="str">
        <f t="shared" si="87"/>
        <v>09/16/20</v>
      </c>
      <c r="G90" s="62" t="s">
        <v>214</v>
      </c>
      <c r="H90" s="62" t="s">
        <v>110</v>
      </c>
      <c r="I90" s="63"/>
      <c r="J90" s="64">
        <v>20.963595000000002</v>
      </c>
      <c r="K90" s="64">
        <v>51.255369000000002</v>
      </c>
      <c r="L90" s="64">
        <v>29.290801999999999</v>
      </c>
      <c r="M90" s="64">
        <v>29.077089000000001</v>
      </c>
      <c r="N90" s="65">
        <v>3875</v>
      </c>
      <c r="O90" s="65">
        <v>28.39</v>
      </c>
      <c r="P90" s="65">
        <v>0.20169999999999999</v>
      </c>
      <c r="Q90" s="65">
        <v>1.932E-2</v>
      </c>
      <c r="R90" s="66">
        <v>3.5822199800000001</v>
      </c>
      <c r="S90" s="66">
        <f>R90+R89</f>
        <v>11.575126559999999</v>
      </c>
      <c r="T90" s="67">
        <v>16.392744</v>
      </c>
      <c r="U90" s="67">
        <v>15.349028000000001</v>
      </c>
      <c r="V90" s="68">
        <v>54955</v>
      </c>
      <c r="W90" s="68">
        <v>55606</v>
      </c>
      <c r="X90" s="68">
        <f>W90-V90</f>
        <v>651</v>
      </c>
      <c r="Y90" s="68">
        <f t="shared" si="88"/>
        <v>181.73088298167551</v>
      </c>
      <c r="Z90" s="69">
        <v>744</v>
      </c>
      <c r="AA90" s="68">
        <v>781.2</v>
      </c>
      <c r="AB90" s="68">
        <f>AA90-Z90</f>
        <v>37.200000000000045</v>
      </c>
      <c r="AC90" s="68">
        <f t="shared" si="89"/>
        <v>10.384621884667185</v>
      </c>
      <c r="AD90" s="69">
        <v>646.11915699999997</v>
      </c>
      <c r="AE90" s="68">
        <v>679.53</v>
      </c>
      <c r="AF90" s="68">
        <f>AE90-AD90</f>
        <v>33.410843</v>
      </c>
      <c r="AG90" s="68">
        <f t="shared" si="90"/>
        <v>9.3268540699725531</v>
      </c>
      <c r="AH90" s="69">
        <v>17.8</v>
      </c>
      <c r="AI90" s="68">
        <v>5.36</v>
      </c>
      <c r="AJ90" s="68">
        <f>AI90-AH90</f>
        <v>-12.440000000000001</v>
      </c>
      <c r="AK90" s="70">
        <f t="shared" si="91"/>
        <v>-3.4727068883134309</v>
      </c>
      <c r="AL90" s="69">
        <v>-59.8</v>
      </c>
      <c r="AM90" s="68">
        <v>-61.6</v>
      </c>
      <c r="AN90" s="68">
        <f>AM90-AL90</f>
        <v>-1.8000000000000043</v>
      </c>
      <c r="AO90" s="70">
        <f t="shared" si="92"/>
        <v>-0.50248170409679982</v>
      </c>
      <c r="AP90" s="69">
        <v>-74</v>
      </c>
      <c r="AQ90" s="68">
        <v>-76.3</v>
      </c>
      <c r="AR90" s="68">
        <f>AQ90-AP90</f>
        <v>-2.2999999999999972</v>
      </c>
      <c r="AS90" s="70">
        <f t="shared" si="93"/>
        <v>-0.64205995523479753</v>
      </c>
      <c r="AT90" s="69">
        <v>24.4</v>
      </c>
      <c r="AU90" s="68">
        <v>25.2</v>
      </c>
      <c r="AV90" s="68">
        <f>AU90-AT90</f>
        <v>0.80000000000000071</v>
      </c>
      <c r="AW90" s="70">
        <f t="shared" si="94"/>
        <v>0.2233252018207996</v>
      </c>
      <c r="AX90" s="69">
        <v>54954</v>
      </c>
      <c r="AY90" s="68">
        <v>55605</v>
      </c>
      <c r="AZ90" s="68">
        <f>AY90-AX90</f>
        <v>651</v>
      </c>
      <c r="BA90" s="70">
        <f t="shared" si="95"/>
        <v>181.73088298167551</v>
      </c>
      <c r="BB90" s="69">
        <v>23.2</v>
      </c>
      <c r="BC90" s="68">
        <v>23.8</v>
      </c>
      <c r="BD90" s="68">
        <f>BC90-BB90</f>
        <v>0.60000000000000142</v>
      </c>
      <c r="BE90" s="70">
        <f t="shared" si="96"/>
        <v>0.16749390136559994</v>
      </c>
      <c r="BF90" s="69">
        <v>0</v>
      </c>
      <c r="BG90" s="68">
        <v>0</v>
      </c>
      <c r="BH90" s="68">
        <f>BG90-BF90</f>
        <v>0</v>
      </c>
      <c r="BI90" s="70">
        <f t="shared" si="97"/>
        <v>0</v>
      </c>
      <c r="BJ90" s="71">
        <v>16.392744</v>
      </c>
      <c r="BK90" s="71">
        <v>15.349028000000001</v>
      </c>
      <c r="BL90" s="71">
        <f>BK90-BJ90</f>
        <v>-1.0437159999999999</v>
      </c>
      <c r="BM90" s="72">
        <v>0</v>
      </c>
      <c r="BN90" s="73">
        <v>0</v>
      </c>
      <c r="BO90" s="73">
        <f>BN90-BM90</f>
        <v>0</v>
      </c>
      <c r="BP90" s="72">
        <v>23.2</v>
      </c>
      <c r="BQ90" s="73">
        <v>23.8</v>
      </c>
      <c r="BR90" s="73">
        <f>BQ90-BP90</f>
        <v>0.60000000000000142</v>
      </c>
      <c r="BS90" s="71"/>
      <c r="BT90" s="71"/>
      <c r="BU90" s="71"/>
      <c r="BV90" s="71"/>
      <c r="BW90" s="62" t="s">
        <v>215</v>
      </c>
      <c r="BX90" s="5">
        <v>2198.4700045300001</v>
      </c>
      <c r="BY90" s="5">
        <v>-1.05245725</v>
      </c>
      <c r="BZ90" s="5">
        <v>2027.1648742100001</v>
      </c>
      <c r="CA90" s="5">
        <v>2048.7268485300001</v>
      </c>
      <c r="CB90" s="5">
        <v>2.9291108100000001</v>
      </c>
      <c r="CC90" s="5">
        <v>2.9657629999999999</v>
      </c>
      <c r="CD90" s="5">
        <v>-0.24426717000000001</v>
      </c>
      <c r="CE90" s="5">
        <v>3.5822085100000001</v>
      </c>
      <c r="CF90" s="5">
        <v>3.59098009</v>
      </c>
      <c r="CG90" s="5">
        <v>-1.00398399</v>
      </c>
      <c r="CH90" s="5">
        <v>-1.2358434899999999</v>
      </c>
      <c r="CI90" s="5">
        <v>0.59139306999999997</v>
      </c>
    </row>
    <row r="91" spans="1:87" ht="15" customHeight="1" x14ac:dyDescent="0.2">
      <c r="A91" s="58">
        <f t="shared" si="99"/>
        <v>62009021</v>
      </c>
      <c r="B91" s="58" t="s">
        <v>219</v>
      </c>
      <c r="C91" s="58" t="s">
        <v>122</v>
      </c>
      <c r="D91" s="59" t="s">
        <v>212</v>
      </c>
      <c r="E91" s="60" t="s">
        <v>213</v>
      </c>
      <c r="F91" s="61" t="str">
        <f t="shared" si="87"/>
        <v>09/16/20</v>
      </c>
      <c r="G91" s="62" t="s">
        <v>214</v>
      </c>
      <c r="H91" s="62" t="s">
        <v>110</v>
      </c>
      <c r="I91" s="63"/>
      <c r="J91" s="64">
        <v>20.523779000000001</v>
      </c>
      <c r="K91" s="64">
        <v>52.253672999999999</v>
      </c>
      <c r="L91" s="64">
        <v>29.285292999999999</v>
      </c>
      <c r="M91" s="64">
        <v>28.582194000000001</v>
      </c>
      <c r="N91" s="65">
        <v>3875</v>
      </c>
      <c r="O91" s="65">
        <v>28.39</v>
      </c>
      <c r="P91" s="65">
        <v>0.20169999999999999</v>
      </c>
      <c r="Q91" s="65">
        <v>1.932E-2</v>
      </c>
      <c r="R91" s="66">
        <v>3.8446383599999998</v>
      </c>
      <c r="S91" s="66">
        <f>R91+R90</f>
        <v>7.4268583399999999</v>
      </c>
      <c r="T91" s="67">
        <v>15.349028000000001</v>
      </c>
      <c r="U91" s="67">
        <v>14.483843</v>
      </c>
      <c r="V91" s="68">
        <v>55606</v>
      </c>
      <c r="W91" s="68">
        <v>56146</v>
      </c>
      <c r="X91" s="68">
        <f>W91-V91</f>
        <v>540</v>
      </c>
      <c r="Y91" s="68">
        <f t="shared" si="88"/>
        <v>140.45534311320768</v>
      </c>
      <c r="Z91" s="69">
        <v>781.2</v>
      </c>
      <c r="AA91" s="68">
        <v>813.3</v>
      </c>
      <c r="AB91" s="68">
        <f>AA91-Z91</f>
        <v>32.099999999999909</v>
      </c>
      <c r="AC91" s="68">
        <f t="shared" si="89"/>
        <v>8.3492898406184324</v>
      </c>
      <c r="AD91" s="69">
        <v>679.53</v>
      </c>
      <c r="AE91" s="68">
        <v>707.13</v>
      </c>
      <c r="AF91" s="68">
        <f>AE91-AD91</f>
        <v>27.600000000000023</v>
      </c>
      <c r="AG91" s="68">
        <f t="shared" si="90"/>
        <v>7.1788286480083983</v>
      </c>
      <c r="AH91" s="69">
        <v>5.36</v>
      </c>
      <c r="AI91" s="68">
        <v>10.75</v>
      </c>
      <c r="AJ91" s="68">
        <f>AI91-AH91</f>
        <v>5.39</v>
      </c>
      <c r="AK91" s="70">
        <f t="shared" si="91"/>
        <v>1.4019524062596098</v>
      </c>
      <c r="AL91" s="69">
        <v>-61.6</v>
      </c>
      <c r="AM91" s="68">
        <v>-64.7</v>
      </c>
      <c r="AN91" s="68">
        <f>AM91-AL91</f>
        <v>-3.1000000000000014</v>
      </c>
      <c r="AO91" s="70">
        <f t="shared" si="92"/>
        <v>-0.80631771046471101</v>
      </c>
      <c r="AP91" s="69">
        <v>-76.3</v>
      </c>
      <c r="AQ91" s="68">
        <v>-80.2</v>
      </c>
      <c r="AR91" s="68">
        <f>AQ91-AP91</f>
        <v>-3.9000000000000057</v>
      </c>
      <c r="AS91" s="70">
        <f t="shared" si="93"/>
        <v>-1.0143997002620568</v>
      </c>
      <c r="AT91" s="69">
        <v>25.2</v>
      </c>
      <c r="AU91" s="68">
        <v>26.4</v>
      </c>
      <c r="AV91" s="68">
        <f>AU91-AT91</f>
        <v>1.1999999999999993</v>
      </c>
      <c r="AW91" s="70">
        <f t="shared" si="94"/>
        <v>0.31212298469601685</v>
      </c>
      <c r="AX91" s="69">
        <v>55605</v>
      </c>
      <c r="AY91" s="68">
        <v>56143</v>
      </c>
      <c r="AZ91" s="68">
        <f>AY91-AX91</f>
        <v>538</v>
      </c>
      <c r="BA91" s="70">
        <f t="shared" si="95"/>
        <v>139.93513813871431</v>
      </c>
      <c r="BB91" s="69">
        <v>23.8</v>
      </c>
      <c r="BC91" s="68">
        <v>25</v>
      </c>
      <c r="BD91" s="68">
        <f>BC91-BB91</f>
        <v>1.1999999999999993</v>
      </c>
      <c r="BE91" s="70">
        <f t="shared" si="96"/>
        <v>0.31212298469601685</v>
      </c>
      <c r="BF91" s="69">
        <v>0</v>
      </c>
      <c r="BG91" s="68">
        <v>0</v>
      </c>
      <c r="BH91" s="68">
        <f>BG91-BF91</f>
        <v>0</v>
      </c>
      <c r="BI91" s="70">
        <f t="shared" si="97"/>
        <v>0</v>
      </c>
      <c r="BJ91" s="71">
        <v>15.349028000000001</v>
      </c>
      <c r="BK91" s="71">
        <v>14.483843</v>
      </c>
      <c r="BL91" s="71">
        <f>BK91-BJ91</f>
        <v>-0.86518500000000031</v>
      </c>
      <c r="BM91" s="72">
        <v>0</v>
      </c>
      <c r="BN91" s="73">
        <v>0</v>
      </c>
      <c r="BO91" s="73">
        <f>BN91-BM91</f>
        <v>0</v>
      </c>
      <c r="BP91" s="72">
        <v>23.8</v>
      </c>
      <c r="BQ91" s="73">
        <v>25</v>
      </c>
      <c r="BR91" s="73">
        <f>BQ91-BP91</f>
        <v>1.1999999999999993</v>
      </c>
      <c r="BS91" s="71"/>
      <c r="BT91" s="71"/>
      <c r="BU91" s="71"/>
      <c r="BV91" s="71"/>
      <c r="BW91" s="62" t="s">
        <v>215</v>
      </c>
      <c r="BX91" s="5">
        <v>1348.4388606499999</v>
      </c>
      <c r="BY91" s="5">
        <v>-1.3873012499999999</v>
      </c>
      <c r="BZ91" s="5">
        <v>3368.6423938799999</v>
      </c>
      <c r="CA91" s="5">
        <v>3416.0330632499999</v>
      </c>
      <c r="CB91" s="5">
        <v>2.6996774299999999</v>
      </c>
      <c r="CC91" s="5">
        <v>2.7415486100000002</v>
      </c>
      <c r="CD91" s="5">
        <v>-0.39755078999999999</v>
      </c>
      <c r="CE91" s="5">
        <v>3.8444843099999999</v>
      </c>
      <c r="CF91" s="5">
        <v>3.8598290899999999</v>
      </c>
      <c r="CG91" s="5">
        <v>-1.1472531500000001</v>
      </c>
      <c r="CH91" s="5">
        <v>-1.52728215</v>
      </c>
      <c r="CI91" s="5">
        <v>0.71727587999999998</v>
      </c>
    </row>
    <row r="92" spans="1:87" ht="15" customHeight="1" x14ac:dyDescent="0.2">
      <c r="A92" s="58">
        <f t="shared" si="99"/>
        <v>62009021</v>
      </c>
      <c r="B92" s="58" t="s">
        <v>220</v>
      </c>
      <c r="C92" s="58" t="s">
        <v>221</v>
      </c>
      <c r="D92" s="59" t="s">
        <v>212</v>
      </c>
      <c r="E92" s="60" t="s">
        <v>213</v>
      </c>
      <c r="F92" s="61" t="str">
        <f t="shared" si="87"/>
        <v>09/16/20</v>
      </c>
      <c r="G92" s="62" t="s">
        <v>214</v>
      </c>
      <c r="H92" s="62" t="s">
        <v>110</v>
      </c>
      <c r="I92" s="63"/>
      <c r="J92" s="74">
        <f>AVERAGE(J90:J91)</f>
        <v>20.743687000000001</v>
      </c>
      <c r="K92" s="74">
        <f>AVERAGE(K90:K91)</f>
        <v>51.754520999999997</v>
      </c>
      <c r="L92" s="74">
        <f>AVERAGE(L90:L91)</f>
        <v>29.288047499999998</v>
      </c>
      <c r="M92" s="74">
        <f>AVERAGE(M90:M91)</f>
        <v>28.829641500000001</v>
      </c>
      <c r="N92" s="75"/>
      <c r="O92" s="65"/>
      <c r="P92" s="76"/>
      <c r="Q92" s="77"/>
      <c r="R92" s="78">
        <f>R91+R90</f>
        <v>7.4268583399999999</v>
      </c>
      <c r="S92" s="78">
        <f>S91</f>
        <v>7.4268583399999999</v>
      </c>
      <c r="T92" s="79">
        <f>T90</f>
        <v>16.392744</v>
      </c>
      <c r="U92" s="79">
        <f>U91</f>
        <v>14.483843</v>
      </c>
      <c r="V92" s="80">
        <f>V90</f>
        <v>54955</v>
      </c>
      <c r="W92" s="80">
        <f>W91</f>
        <v>56146</v>
      </c>
      <c r="X92" s="80">
        <f>SUM(X90:X91)</f>
        <v>1191</v>
      </c>
      <c r="Y92" s="80">
        <f t="shared" si="88"/>
        <v>160.36390428849893</v>
      </c>
      <c r="Z92" s="80">
        <f>Z90</f>
        <v>744</v>
      </c>
      <c r="AA92" s="80">
        <f>AA91</f>
        <v>813.3</v>
      </c>
      <c r="AB92" s="80">
        <f>SUM(AB90:AB91)</f>
        <v>69.299999999999955</v>
      </c>
      <c r="AC92" s="80">
        <f t="shared" si="89"/>
        <v>9.3309979573408626</v>
      </c>
      <c r="AD92" s="80">
        <f>AD90</f>
        <v>646.11915699999997</v>
      </c>
      <c r="AE92" s="80">
        <f>AE91</f>
        <v>707.13</v>
      </c>
      <c r="AF92" s="80">
        <f>SUM(AF90:AF91)</f>
        <v>61.010843000000023</v>
      </c>
      <c r="AG92" s="80">
        <f t="shared" si="90"/>
        <v>8.2148925167192601</v>
      </c>
      <c r="AH92" s="80">
        <f>AH90</f>
        <v>17.8</v>
      </c>
      <c r="AI92" s="80">
        <f>AI91</f>
        <v>10.75</v>
      </c>
      <c r="AJ92" s="80">
        <f>SUM(AJ90:AJ91)</f>
        <v>-7.0500000000000016</v>
      </c>
      <c r="AK92" s="81">
        <f t="shared" si="91"/>
        <v>-0.94925736795459081</v>
      </c>
      <c r="AL92" s="80">
        <f>AL90</f>
        <v>-59.8</v>
      </c>
      <c r="AM92" s="80">
        <f>AM91</f>
        <v>-64.7</v>
      </c>
      <c r="AN92" s="80">
        <f>SUM(AN90:AN91)</f>
        <v>-4.9000000000000057</v>
      </c>
      <c r="AO92" s="81">
        <f t="shared" si="92"/>
        <v>-0.65976753233723395</v>
      </c>
      <c r="AP92" s="80">
        <f>AP90</f>
        <v>-74</v>
      </c>
      <c r="AQ92" s="80">
        <f>AQ91</f>
        <v>-80.2</v>
      </c>
      <c r="AR92" s="80">
        <f>SUM(AR90:AR91)</f>
        <v>-6.2000000000000028</v>
      </c>
      <c r="AS92" s="81">
        <f t="shared" si="93"/>
        <v>-0.83480789805935662</v>
      </c>
      <c r="AT92" s="80">
        <f>AT90</f>
        <v>24.4</v>
      </c>
      <c r="AU92" s="80">
        <f>AU91</f>
        <v>26.4</v>
      </c>
      <c r="AV92" s="80">
        <f>SUM(AV90:AV91)</f>
        <v>2</v>
      </c>
      <c r="AW92" s="81">
        <f t="shared" si="94"/>
        <v>0.26929287034172783</v>
      </c>
      <c r="AX92" s="80">
        <f>AX90</f>
        <v>54954</v>
      </c>
      <c r="AY92" s="80">
        <f>AY91</f>
        <v>56143</v>
      </c>
      <c r="AZ92" s="80">
        <f>SUM(AZ90:AZ91)</f>
        <v>1189</v>
      </c>
      <c r="BA92" s="81">
        <f t="shared" si="95"/>
        <v>160.0946114181572</v>
      </c>
      <c r="BB92" s="80">
        <f>BB90</f>
        <v>23.2</v>
      </c>
      <c r="BC92" s="80">
        <f>BC91</f>
        <v>25</v>
      </c>
      <c r="BD92" s="80">
        <f>SUM(BD90:BD91)</f>
        <v>1.8000000000000007</v>
      </c>
      <c r="BE92" s="81">
        <f t="shared" si="96"/>
        <v>0.24236358330755514</v>
      </c>
      <c r="BF92" s="80">
        <f>BF90</f>
        <v>0</v>
      </c>
      <c r="BG92" s="80">
        <f>BG91</f>
        <v>0</v>
      </c>
      <c r="BH92" s="80">
        <f>SUM(BH90:BH91)</f>
        <v>0</v>
      </c>
      <c r="BI92" s="81">
        <f t="shared" si="97"/>
        <v>0</v>
      </c>
      <c r="BJ92" s="82"/>
      <c r="BK92" s="82"/>
      <c r="BL92" s="82">
        <f>SUM(BL90:BL91)</f>
        <v>-1.9089010000000002</v>
      </c>
      <c r="BM92" s="83">
        <f>BM90</f>
        <v>0</v>
      </c>
      <c r="BN92" s="83">
        <f>BN91</f>
        <v>0</v>
      </c>
      <c r="BO92" s="83">
        <f>SUM(BO90:BO91)</f>
        <v>0</v>
      </c>
      <c r="BP92" s="83">
        <f>BP90</f>
        <v>23.2</v>
      </c>
      <c r="BQ92" s="83">
        <f>BQ91</f>
        <v>25</v>
      </c>
      <c r="BR92" s="83">
        <f>SUM(BR90:BR91)</f>
        <v>1.8000000000000007</v>
      </c>
      <c r="BS92" s="82"/>
      <c r="BT92" s="82"/>
      <c r="BU92" s="82"/>
      <c r="BV92" s="82"/>
      <c r="BW92" s="62" t="s">
        <v>215</v>
      </c>
    </row>
    <row r="93" spans="1:87" ht="15" customHeight="1" x14ac:dyDescent="0.2">
      <c r="A93" s="58">
        <f t="shared" si="99"/>
        <v>62009021</v>
      </c>
      <c r="B93" s="58" t="s">
        <v>222</v>
      </c>
      <c r="C93" s="58" t="s">
        <v>124</v>
      </c>
      <c r="D93" s="59" t="s">
        <v>212</v>
      </c>
      <c r="E93" s="60" t="s">
        <v>213</v>
      </c>
      <c r="F93" s="61" t="str">
        <f t="shared" si="87"/>
        <v>09/16/20</v>
      </c>
      <c r="G93" s="62" t="s">
        <v>214</v>
      </c>
      <c r="H93" s="62" t="s">
        <v>110</v>
      </c>
      <c r="I93" s="63"/>
      <c r="J93" s="64">
        <v>25.679169000000002</v>
      </c>
      <c r="K93" s="64">
        <v>38.079515999999998</v>
      </c>
      <c r="L93" s="64">
        <v>29.29298</v>
      </c>
      <c r="M93" s="64">
        <v>29.760366000000001</v>
      </c>
      <c r="N93" s="65">
        <v>3875</v>
      </c>
      <c r="O93" s="65">
        <v>28.39</v>
      </c>
      <c r="P93" s="65">
        <v>0.20169999999999999</v>
      </c>
      <c r="Q93" s="65">
        <v>1.932E-2</v>
      </c>
      <c r="R93" s="66">
        <v>10.24641703</v>
      </c>
      <c r="S93" s="66">
        <f>R93+R92</f>
        <v>17.673275369999999</v>
      </c>
      <c r="T93" s="67">
        <v>14.482317</v>
      </c>
      <c r="U93" s="67">
        <v>11.248934999999999</v>
      </c>
      <c r="V93" s="68">
        <v>56147</v>
      </c>
      <c r="W93" s="68">
        <v>58154</v>
      </c>
      <c r="X93" s="68">
        <f>W93-V93</f>
        <v>2007</v>
      </c>
      <c r="Y93" s="68">
        <f t="shared" si="88"/>
        <v>195.87334715381968</v>
      </c>
      <c r="Z93" s="69">
        <v>814.1</v>
      </c>
      <c r="AA93" s="68">
        <v>847.9</v>
      </c>
      <c r="AB93" s="68">
        <f>AA93-Z93</f>
        <v>33.799999999999955</v>
      </c>
      <c r="AC93" s="68">
        <f t="shared" si="89"/>
        <v>3.2987140676627287</v>
      </c>
      <c r="AD93" s="69">
        <v>707.76</v>
      </c>
      <c r="AE93" s="68">
        <v>737.2</v>
      </c>
      <c r="AF93" s="68">
        <f>AE93-AD93</f>
        <v>29.440000000000055</v>
      </c>
      <c r="AG93" s="68">
        <f t="shared" si="90"/>
        <v>2.8731994719523977</v>
      </c>
      <c r="AH93" s="69">
        <v>10.78</v>
      </c>
      <c r="AI93" s="68">
        <v>11.48</v>
      </c>
      <c r="AJ93" s="68">
        <f>AI93-AH93</f>
        <v>0.70000000000000107</v>
      </c>
      <c r="AK93" s="70">
        <f t="shared" si="91"/>
        <v>6.8316563531476818E-2</v>
      </c>
      <c r="AL93" s="69">
        <v>-64.8</v>
      </c>
      <c r="AM93" s="68">
        <v>-67.5</v>
      </c>
      <c r="AN93" s="68">
        <f>AM93-AL93</f>
        <v>-2.7000000000000028</v>
      </c>
      <c r="AO93" s="70">
        <f t="shared" si="92"/>
        <v>-0.26350674504998189</v>
      </c>
      <c r="AP93" s="69">
        <v>-80.2</v>
      </c>
      <c r="AQ93" s="68">
        <v>-83.6</v>
      </c>
      <c r="AR93" s="68">
        <f>AQ93-AP93</f>
        <v>-3.3999999999999915</v>
      </c>
      <c r="AS93" s="70">
        <f t="shared" si="93"/>
        <v>-0.33182330858145753</v>
      </c>
      <c r="AT93" s="69">
        <v>26.4</v>
      </c>
      <c r="AU93" s="68">
        <v>27.5</v>
      </c>
      <c r="AV93" s="68">
        <f>AU93-AT93</f>
        <v>1.1000000000000014</v>
      </c>
      <c r="AW93" s="70">
        <f t="shared" si="94"/>
        <v>0.10735459983517784</v>
      </c>
      <c r="AX93" s="69">
        <v>56144</v>
      </c>
      <c r="AY93" s="68">
        <v>58151</v>
      </c>
      <c r="AZ93" s="68">
        <f>AY93-AX93</f>
        <v>2007</v>
      </c>
      <c r="BA93" s="70">
        <f t="shared" si="95"/>
        <v>195.87334715381968</v>
      </c>
      <c r="BB93" s="69">
        <v>25</v>
      </c>
      <c r="BC93" s="68">
        <v>26.1</v>
      </c>
      <c r="BD93" s="68">
        <f>BC93-BB93</f>
        <v>1.1000000000000014</v>
      </c>
      <c r="BE93" s="70">
        <f t="shared" si="96"/>
        <v>0.10735459983517784</v>
      </c>
      <c r="BF93" s="69">
        <v>0</v>
      </c>
      <c r="BG93" s="68">
        <v>0</v>
      </c>
      <c r="BH93" s="68">
        <f>BG93-BF93</f>
        <v>0</v>
      </c>
      <c r="BI93" s="70">
        <f t="shared" si="97"/>
        <v>0</v>
      </c>
      <c r="BJ93" s="71">
        <v>14.482317</v>
      </c>
      <c r="BK93" s="71">
        <v>11.248934999999999</v>
      </c>
      <c r="BL93" s="71">
        <f>BK93-BJ93</f>
        <v>-3.2333820000000006</v>
      </c>
      <c r="BM93" s="72">
        <v>0</v>
      </c>
      <c r="BN93" s="73">
        <v>0</v>
      </c>
      <c r="BO93" s="73">
        <f>BN93-BM93</f>
        <v>0</v>
      </c>
      <c r="BP93" s="72">
        <v>25</v>
      </c>
      <c r="BQ93" s="73">
        <v>26.1</v>
      </c>
      <c r="BR93" s="73">
        <f>BQ93-BP93</f>
        <v>1.1000000000000014</v>
      </c>
      <c r="BS93" s="71"/>
      <c r="BT93" s="71"/>
      <c r="BU93" s="71"/>
      <c r="BV93" s="71"/>
      <c r="BW93" s="62" t="s">
        <v>215</v>
      </c>
      <c r="BX93" s="5">
        <v>1772.9500344</v>
      </c>
      <c r="BY93" s="5">
        <v>1.7651056700000001</v>
      </c>
      <c r="BZ93" s="5">
        <v>1329.76968528</v>
      </c>
      <c r="CA93" s="5">
        <v>1306.7049618999999</v>
      </c>
      <c r="CB93" s="5">
        <v>7.3000106999999996</v>
      </c>
      <c r="CC93" s="5">
        <v>7.3153474200000002</v>
      </c>
      <c r="CD93" s="5">
        <v>-9.9260630000000002E-2</v>
      </c>
      <c r="CE93" s="5">
        <v>10.24649947</v>
      </c>
      <c r="CF93" s="5">
        <v>10.256680319999999</v>
      </c>
      <c r="CG93" s="5">
        <v>-0.11062267000000001</v>
      </c>
      <c r="CH93" s="5">
        <v>-0.20965137</v>
      </c>
      <c r="CI93" s="5">
        <v>0.28264839000000003</v>
      </c>
    </row>
    <row r="94" spans="1:87" ht="15" customHeight="1" x14ac:dyDescent="0.2">
      <c r="A94" s="58">
        <f t="shared" si="99"/>
        <v>62009021</v>
      </c>
      <c r="B94" s="58" t="s">
        <v>223</v>
      </c>
      <c r="C94" s="58" t="s">
        <v>182</v>
      </c>
      <c r="D94" s="59" t="s">
        <v>212</v>
      </c>
      <c r="E94" s="60" t="s">
        <v>213</v>
      </c>
      <c r="F94" s="61" t="str">
        <f t="shared" si="87"/>
        <v>09/16/20</v>
      </c>
      <c r="G94" s="62" t="s">
        <v>214</v>
      </c>
      <c r="H94" s="62" t="s">
        <v>110</v>
      </c>
      <c r="I94" s="63"/>
      <c r="J94" s="64">
        <v>21.218207</v>
      </c>
      <c r="K94" s="64">
        <v>49.023224999999996</v>
      </c>
      <c r="L94" s="64">
        <v>29.272117999999999</v>
      </c>
      <c r="M94" s="64">
        <v>29.181063999999999</v>
      </c>
      <c r="N94" s="65">
        <v>3875</v>
      </c>
      <c r="O94" s="65">
        <v>28.39</v>
      </c>
      <c r="P94" s="65">
        <v>0.20169999999999999</v>
      </c>
      <c r="Q94" s="65">
        <v>1.932E-2</v>
      </c>
      <c r="R94" s="66">
        <v>3.5821804400000001</v>
      </c>
      <c r="S94" s="66">
        <f>R94+R93</f>
        <v>13.82859747</v>
      </c>
      <c r="T94" s="67">
        <v>11.244357000000001</v>
      </c>
      <c r="U94" s="67">
        <v>10.171649</v>
      </c>
      <c r="V94" s="68">
        <v>58159</v>
      </c>
      <c r="W94" s="68">
        <v>58819</v>
      </c>
      <c r="X94" s="68">
        <f>W94-V94</f>
        <v>660</v>
      </c>
      <c r="Y94" s="68">
        <f t="shared" si="88"/>
        <v>184.24532517407189</v>
      </c>
      <c r="Z94" s="69">
        <v>852</v>
      </c>
      <c r="AA94" s="68">
        <v>898.6</v>
      </c>
      <c r="AB94" s="68">
        <f>AA94-Z94</f>
        <v>46.600000000000023</v>
      </c>
      <c r="AC94" s="68">
        <f t="shared" si="89"/>
        <v>13.008836595623871</v>
      </c>
      <c r="AD94" s="69">
        <v>740.84799899999996</v>
      </c>
      <c r="AE94" s="68">
        <v>782.99</v>
      </c>
      <c r="AF94" s="68">
        <f>AE94-AD94</f>
        <v>42.14200100000005</v>
      </c>
      <c r="AG94" s="68">
        <f t="shared" si="90"/>
        <v>11.764343451107687</v>
      </c>
      <c r="AH94" s="69">
        <v>22.37</v>
      </c>
      <c r="AI94" s="68">
        <v>1.465773</v>
      </c>
      <c r="AJ94" s="68">
        <f>AI94-AH94</f>
        <v>-20.904227000000002</v>
      </c>
      <c r="AK94" s="70">
        <f t="shared" si="91"/>
        <v>-5.8356153047388091</v>
      </c>
      <c r="AL94" s="69">
        <v>-67.7</v>
      </c>
      <c r="AM94" s="68">
        <v>-69.477367000000001</v>
      </c>
      <c r="AN94" s="68">
        <f>AM94-AL94</f>
        <v>-1.7773669999999981</v>
      </c>
      <c r="AO94" s="70">
        <f t="shared" si="92"/>
        <v>-0.49616903161918835</v>
      </c>
      <c r="AP94" s="69">
        <v>-83.7</v>
      </c>
      <c r="AQ94" s="68">
        <v>-85.9</v>
      </c>
      <c r="AR94" s="68">
        <f>AQ94-AP94</f>
        <v>-2.2000000000000028</v>
      </c>
      <c r="AS94" s="70">
        <f t="shared" si="93"/>
        <v>-0.61415108391357376</v>
      </c>
      <c r="AT94" s="69">
        <v>27.6</v>
      </c>
      <c r="AU94" s="68">
        <v>28.3</v>
      </c>
      <c r="AV94" s="68">
        <f>AU94-AT94</f>
        <v>0.69999999999999929</v>
      </c>
      <c r="AW94" s="70">
        <f t="shared" si="94"/>
        <v>0.19541170851795486</v>
      </c>
      <c r="AX94" s="69">
        <v>58155</v>
      </c>
      <c r="AY94" s="68">
        <v>58815</v>
      </c>
      <c r="AZ94" s="68">
        <f>AY94-AX94</f>
        <v>660</v>
      </c>
      <c r="BA94" s="70">
        <f t="shared" si="95"/>
        <v>184.24532517407189</v>
      </c>
      <c r="BB94" s="69">
        <v>26.9</v>
      </c>
      <c r="BC94" s="68">
        <v>27.6</v>
      </c>
      <c r="BD94" s="68">
        <f>BC94-BB94</f>
        <v>0.70000000000000284</v>
      </c>
      <c r="BE94" s="70">
        <f t="shared" si="96"/>
        <v>0.19541170851795583</v>
      </c>
      <c r="BF94" s="69">
        <v>0</v>
      </c>
      <c r="BG94" s="68">
        <v>0</v>
      </c>
      <c r="BH94" s="68">
        <f>BG94-BF94</f>
        <v>0</v>
      </c>
      <c r="BI94" s="70">
        <f t="shared" si="97"/>
        <v>0</v>
      </c>
      <c r="BJ94" s="71">
        <v>11.244357000000001</v>
      </c>
      <c r="BK94" s="71">
        <v>10.171649</v>
      </c>
      <c r="BL94" s="71">
        <f>BK94-BJ94</f>
        <v>-1.0727080000000004</v>
      </c>
      <c r="BM94" s="72">
        <v>0</v>
      </c>
      <c r="BN94" s="73">
        <v>0</v>
      </c>
      <c r="BO94" s="73">
        <f>BN94-BM94</f>
        <v>0</v>
      </c>
      <c r="BP94" s="72">
        <v>26.9</v>
      </c>
      <c r="BQ94" s="73">
        <v>27.6</v>
      </c>
      <c r="BR94" s="73">
        <f>BQ94-BP94</f>
        <v>0.70000000000000284</v>
      </c>
      <c r="BS94" s="71"/>
      <c r="BT94" s="71"/>
      <c r="BU94" s="71"/>
      <c r="BV94" s="71"/>
      <c r="BW94" s="62" t="s">
        <v>215</v>
      </c>
      <c r="BX94" s="5">
        <v>2196.3893239600002</v>
      </c>
      <c r="BY94" s="5">
        <v>-1.0098166</v>
      </c>
      <c r="BZ94" s="5">
        <v>2027.97026228</v>
      </c>
      <c r="CA94" s="5">
        <v>2048.6579503200001</v>
      </c>
      <c r="CB94" s="5">
        <v>2.9309977200000001</v>
      </c>
      <c r="CC94" s="5">
        <v>2.9656679499999998</v>
      </c>
      <c r="CD94" s="5">
        <v>-0.24561036999999999</v>
      </c>
      <c r="CE94" s="5">
        <v>3.58215978</v>
      </c>
      <c r="CF94" s="5">
        <v>3.5909795999999998</v>
      </c>
      <c r="CG94" s="5">
        <v>-0.93436578999999997</v>
      </c>
      <c r="CH94" s="5">
        <v>-1.1690529300000001</v>
      </c>
      <c r="CI94" s="5">
        <v>0.59138356999999997</v>
      </c>
    </row>
    <row r="95" spans="1:87" ht="15" customHeight="1" x14ac:dyDescent="0.2">
      <c r="A95" s="58">
        <f t="shared" si="99"/>
        <v>62009021</v>
      </c>
      <c r="B95" s="58" t="s">
        <v>224</v>
      </c>
      <c r="C95" s="58" t="s">
        <v>130</v>
      </c>
      <c r="D95" s="59" t="s">
        <v>212</v>
      </c>
      <c r="E95" s="60" t="s">
        <v>213</v>
      </c>
      <c r="F95" s="61" t="str">
        <f t="shared" si="87"/>
        <v>09/16/20</v>
      </c>
      <c r="G95" s="62" t="s">
        <v>214</v>
      </c>
      <c r="H95" s="62" t="s">
        <v>110</v>
      </c>
      <c r="I95" s="63"/>
      <c r="J95" s="64">
        <v>18.967707000000001</v>
      </c>
      <c r="K95" s="64">
        <v>56.132807999999997</v>
      </c>
      <c r="L95" s="64">
        <v>29.269646000000002</v>
      </c>
      <c r="M95" s="64">
        <v>28.255358000000001</v>
      </c>
      <c r="N95" s="65">
        <v>3875</v>
      </c>
      <c r="O95" s="65">
        <v>28.39</v>
      </c>
      <c r="P95" s="65">
        <v>0.20169999999999999</v>
      </c>
      <c r="Q95" s="65">
        <v>1.932E-2</v>
      </c>
      <c r="R95" s="66">
        <v>3.8459797600000001</v>
      </c>
      <c r="S95" s="66">
        <f>R95+R94</f>
        <v>7.4281602000000007</v>
      </c>
      <c r="T95" s="67">
        <v>10.171649</v>
      </c>
      <c r="U95" s="67">
        <v>9.3018859999999997</v>
      </c>
      <c r="V95" s="68">
        <v>58819</v>
      </c>
      <c r="W95" s="68">
        <v>59354</v>
      </c>
      <c r="X95" s="68">
        <f>W95-V95</f>
        <v>535</v>
      </c>
      <c r="Y95" s="68">
        <f t="shared" si="88"/>
        <v>139.10629628482496</v>
      </c>
      <c r="Z95" s="69">
        <v>898.6</v>
      </c>
      <c r="AA95" s="68">
        <v>926.8</v>
      </c>
      <c r="AB95" s="68">
        <f>AA95-Z95</f>
        <v>28.199999999999932</v>
      </c>
      <c r="AC95" s="68">
        <f t="shared" si="89"/>
        <v>7.3323318789384198</v>
      </c>
      <c r="AD95" s="69">
        <v>782.99</v>
      </c>
      <c r="AE95" s="68">
        <v>806.88</v>
      </c>
      <c r="AF95" s="68">
        <f>AE95-AD95</f>
        <v>23.889999999999986</v>
      </c>
      <c r="AG95" s="68">
        <f t="shared" si="90"/>
        <v>6.2116811555971339</v>
      </c>
      <c r="AH95" s="69">
        <v>1.47</v>
      </c>
      <c r="AI95" s="68">
        <v>10.71</v>
      </c>
      <c r="AJ95" s="68">
        <f>AI95-AH95</f>
        <v>9.24</v>
      </c>
      <c r="AK95" s="70">
        <f t="shared" si="91"/>
        <v>2.4025087433117434</v>
      </c>
      <c r="AL95" s="69">
        <v>-69.5</v>
      </c>
      <c r="AM95" s="68">
        <v>-72.599999999999994</v>
      </c>
      <c r="AN95" s="68">
        <f>AM95-AL95</f>
        <v>-3.0999999999999943</v>
      </c>
      <c r="AO95" s="70">
        <f t="shared" si="92"/>
        <v>-0.80603648314571319</v>
      </c>
      <c r="AP95" s="69">
        <v>-85.9</v>
      </c>
      <c r="AQ95" s="68">
        <v>-89.7</v>
      </c>
      <c r="AR95" s="68">
        <f>AQ95-AP95</f>
        <v>-3.7999999999999972</v>
      </c>
      <c r="AS95" s="70">
        <f t="shared" si="93"/>
        <v>-0.98804472127539145</v>
      </c>
      <c r="AT95" s="69">
        <v>28.3</v>
      </c>
      <c r="AU95" s="68">
        <v>29.6</v>
      </c>
      <c r="AV95" s="68">
        <f>AU95-AT95</f>
        <v>1.3000000000000007</v>
      </c>
      <c r="AW95" s="70">
        <f t="shared" si="94"/>
        <v>0.33801529938368702</v>
      </c>
      <c r="AX95" s="69">
        <v>58815</v>
      </c>
      <c r="AY95" s="68">
        <v>59348</v>
      </c>
      <c r="AZ95" s="68">
        <f>AY95-AX95</f>
        <v>533</v>
      </c>
      <c r="BA95" s="70">
        <f t="shared" si="95"/>
        <v>138.5862727473116</v>
      </c>
      <c r="BB95" s="69">
        <v>27.6</v>
      </c>
      <c r="BC95" s="68">
        <v>28.7</v>
      </c>
      <c r="BD95" s="68">
        <f>BC95-BB95</f>
        <v>1.0999999999999979</v>
      </c>
      <c r="BE95" s="70">
        <f t="shared" si="96"/>
        <v>0.2860129456323498</v>
      </c>
      <c r="BF95" s="69">
        <v>0</v>
      </c>
      <c r="BG95" s="68">
        <v>0</v>
      </c>
      <c r="BH95" s="68">
        <f>BG95-BF95</f>
        <v>0</v>
      </c>
      <c r="BI95" s="70">
        <f t="shared" si="97"/>
        <v>0</v>
      </c>
      <c r="BJ95" s="71">
        <v>10.171649</v>
      </c>
      <c r="BK95" s="71">
        <v>9.3018859999999997</v>
      </c>
      <c r="BL95" s="71">
        <f>BK95-BJ95</f>
        <v>-0.86976300000000073</v>
      </c>
      <c r="BM95" s="72">
        <v>0</v>
      </c>
      <c r="BN95" s="73">
        <v>0</v>
      </c>
      <c r="BO95" s="73">
        <f>BN95-BM95</f>
        <v>0</v>
      </c>
      <c r="BP95" s="72">
        <v>27.6</v>
      </c>
      <c r="BQ95" s="73">
        <v>28.7</v>
      </c>
      <c r="BR95" s="73">
        <f>BQ95-BP95</f>
        <v>1.0999999999999979</v>
      </c>
      <c r="BS95" s="71"/>
      <c r="BT95" s="71"/>
      <c r="BU95" s="71"/>
      <c r="BV95" s="71"/>
      <c r="BW95" s="62" t="s">
        <v>215</v>
      </c>
      <c r="BX95" s="5">
        <v>1348.7606128299999</v>
      </c>
      <c r="BY95" s="5">
        <v>-1.58568675</v>
      </c>
      <c r="BZ95" s="5">
        <v>3361.8850679500001</v>
      </c>
      <c r="CA95" s="5">
        <v>3416.0529673199999</v>
      </c>
      <c r="CB95" s="5">
        <v>2.69909518</v>
      </c>
      <c r="CC95" s="5">
        <v>2.7415515500000001</v>
      </c>
      <c r="CD95" s="5">
        <v>-0.36060386999999999</v>
      </c>
      <c r="CE95" s="5">
        <v>3.84591101</v>
      </c>
      <c r="CF95" s="5">
        <v>3.8598297100000001</v>
      </c>
      <c r="CG95" s="5">
        <v>-1.2067092399999999</v>
      </c>
      <c r="CH95" s="5">
        <v>-1.5486257000000001</v>
      </c>
      <c r="CI95" s="5">
        <v>0.71728071999999998</v>
      </c>
    </row>
    <row r="96" spans="1:87" ht="15" customHeight="1" x14ac:dyDescent="0.2">
      <c r="A96" s="58">
        <f t="shared" si="99"/>
        <v>62009021</v>
      </c>
      <c r="B96" s="58" t="s">
        <v>225</v>
      </c>
      <c r="C96" s="58" t="s">
        <v>132</v>
      </c>
      <c r="D96" s="59" t="s">
        <v>212</v>
      </c>
      <c r="E96" s="60" t="s">
        <v>213</v>
      </c>
      <c r="F96" s="61" t="str">
        <f t="shared" si="87"/>
        <v>09/16/20</v>
      </c>
      <c r="G96" s="62" t="s">
        <v>214</v>
      </c>
      <c r="H96" s="62" t="s">
        <v>110</v>
      </c>
      <c r="I96" s="63"/>
      <c r="J96" s="74">
        <f>AVERAGE(J94:J95)</f>
        <v>20.092956999999998</v>
      </c>
      <c r="K96" s="74">
        <f>AVERAGE(K94:K95)</f>
        <v>52.578016499999997</v>
      </c>
      <c r="L96" s="74">
        <f>AVERAGE(L94:L95)</f>
        <v>29.270882</v>
      </c>
      <c r="M96" s="74">
        <f>AVERAGE(M94:M95)</f>
        <v>28.718211</v>
      </c>
      <c r="N96" s="75"/>
      <c r="O96" s="65"/>
      <c r="P96" s="76"/>
      <c r="Q96" s="77"/>
      <c r="R96" s="78">
        <f>R95+R94</f>
        <v>7.4281602000000007</v>
      </c>
      <c r="S96" s="78">
        <f>S95</f>
        <v>7.4281602000000007</v>
      </c>
      <c r="T96" s="79">
        <f>T94</f>
        <v>11.244357000000001</v>
      </c>
      <c r="U96" s="79">
        <f>U95</f>
        <v>9.3018859999999997</v>
      </c>
      <c r="V96" s="80">
        <f>V94</f>
        <v>58159</v>
      </c>
      <c r="W96" s="80">
        <f>W95</f>
        <v>59354</v>
      </c>
      <c r="X96" s="80">
        <f>SUM(X94:X95)</f>
        <v>1195</v>
      </c>
      <c r="Y96" s="80">
        <f t="shared" si="88"/>
        <v>160.87429024484419</v>
      </c>
      <c r="Z96" s="80">
        <f>Z94</f>
        <v>852</v>
      </c>
      <c r="AA96" s="80">
        <f>AA95</f>
        <v>926.8</v>
      </c>
      <c r="AB96" s="80">
        <f>SUM(AB94:AB95)</f>
        <v>74.799999999999955</v>
      </c>
      <c r="AC96" s="80">
        <f t="shared" si="89"/>
        <v>10.069788209468065</v>
      </c>
      <c r="AD96" s="80">
        <f>AD94</f>
        <v>740.84799899999996</v>
      </c>
      <c r="AE96" s="80">
        <f>AE95</f>
        <v>806.88</v>
      </c>
      <c r="AF96" s="80">
        <f>SUM(AF94:AF95)</f>
        <v>66.032001000000037</v>
      </c>
      <c r="AG96" s="80">
        <f t="shared" si="90"/>
        <v>8.8894153090559396</v>
      </c>
      <c r="AH96" s="80">
        <f>AH94</f>
        <v>22.37</v>
      </c>
      <c r="AI96" s="80">
        <f>AI95</f>
        <v>10.71</v>
      </c>
      <c r="AJ96" s="80">
        <f>SUM(AJ94:AJ95)</f>
        <v>-11.664227000000002</v>
      </c>
      <c r="AK96" s="81">
        <f t="shared" si="91"/>
        <v>-1.5702713304433042</v>
      </c>
      <c r="AL96" s="80">
        <f>AL94</f>
        <v>-67.7</v>
      </c>
      <c r="AM96" s="80">
        <f>AM95</f>
        <v>-72.599999999999994</v>
      </c>
      <c r="AN96" s="80">
        <f>SUM(AN94:AN95)</f>
        <v>-4.8773669999999925</v>
      </c>
      <c r="AO96" s="81">
        <f t="shared" si="92"/>
        <v>-0.65660498275198642</v>
      </c>
      <c r="AP96" s="80">
        <f>AP94</f>
        <v>-83.7</v>
      </c>
      <c r="AQ96" s="80">
        <f>AQ95</f>
        <v>-89.7</v>
      </c>
      <c r="AR96" s="80">
        <f>SUM(AR94:AR95)</f>
        <v>-6</v>
      </c>
      <c r="AS96" s="81">
        <f t="shared" si="93"/>
        <v>-0.80773702214984533</v>
      </c>
      <c r="AT96" s="80">
        <f>AT94</f>
        <v>27.6</v>
      </c>
      <c r="AU96" s="80">
        <f>AU95</f>
        <v>29.6</v>
      </c>
      <c r="AV96" s="80">
        <f>SUM(AV94:AV95)</f>
        <v>2</v>
      </c>
      <c r="AW96" s="81">
        <f t="shared" si="94"/>
        <v>0.26924567404994842</v>
      </c>
      <c r="AX96" s="80">
        <f>AX94</f>
        <v>58155</v>
      </c>
      <c r="AY96" s="80">
        <f>AY95</f>
        <v>59348</v>
      </c>
      <c r="AZ96" s="80">
        <f>SUM(AZ94:AZ95)</f>
        <v>1193</v>
      </c>
      <c r="BA96" s="81">
        <f t="shared" si="95"/>
        <v>160.60504457079423</v>
      </c>
      <c r="BB96" s="80">
        <f>BB94</f>
        <v>26.9</v>
      </c>
      <c r="BC96" s="80">
        <f>BC95</f>
        <v>28.7</v>
      </c>
      <c r="BD96" s="80">
        <f>SUM(BD94:BD95)</f>
        <v>1.8000000000000007</v>
      </c>
      <c r="BE96" s="81">
        <f t="shared" si="96"/>
        <v>0.24232110664495368</v>
      </c>
      <c r="BF96" s="80">
        <f>BF94</f>
        <v>0</v>
      </c>
      <c r="BG96" s="80">
        <f>BG95</f>
        <v>0</v>
      </c>
      <c r="BH96" s="80">
        <f>SUM(BH94:BH95)</f>
        <v>0</v>
      </c>
      <c r="BI96" s="81">
        <f t="shared" si="97"/>
        <v>0</v>
      </c>
      <c r="BJ96" s="82"/>
      <c r="BK96" s="82"/>
      <c r="BL96" s="82">
        <f>SUM(BL94:BL95)</f>
        <v>-1.9424710000000012</v>
      </c>
      <c r="BM96" s="83">
        <f>BM94</f>
        <v>0</v>
      </c>
      <c r="BN96" s="83">
        <f>BN95</f>
        <v>0</v>
      </c>
      <c r="BO96" s="83">
        <f>SUM(BO94:BO95)</f>
        <v>0</v>
      </c>
      <c r="BP96" s="83">
        <f>BP94</f>
        <v>26.9</v>
      </c>
      <c r="BQ96" s="83">
        <f>BQ95</f>
        <v>28.7</v>
      </c>
      <c r="BR96" s="83">
        <f>SUM(BR94:BR95)</f>
        <v>1.8000000000000007</v>
      </c>
      <c r="BS96" s="82"/>
      <c r="BT96" s="82"/>
      <c r="BU96" s="82"/>
      <c r="BV96" s="82"/>
      <c r="BW96" s="62" t="s">
        <v>215</v>
      </c>
    </row>
    <row r="97" spans="1:87" ht="15" customHeight="1" x14ac:dyDescent="0.2">
      <c r="A97" s="58">
        <f>A96+1</f>
        <v>62009022</v>
      </c>
      <c r="B97" s="58" t="s">
        <v>205</v>
      </c>
      <c r="C97" s="58" t="s">
        <v>98</v>
      </c>
      <c r="D97" s="59" t="s">
        <v>134</v>
      </c>
      <c r="E97" s="60" t="s">
        <v>226</v>
      </c>
      <c r="F97" s="61" t="str">
        <f t="shared" si="87"/>
        <v>09/16/20</v>
      </c>
      <c r="G97" s="62" t="s">
        <v>227</v>
      </c>
      <c r="H97" s="62" t="s">
        <v>110</v>
      </c>
      <c r="I97" s="63"/>
      <c r="J97" s="64">
        <v>26.898574</v>
      </c>
      <c r="K97" s="64">
        <v>35.073528000000003</v>
      </c>
      <c r="L97" s="64">
        <v>29.28219</v>
      </c>
      <c r="M97" s="64">
        <v>30.998992999999999</v>
      </c>
      <c r="N97" s="65">
        <v>3875</v>
      </c>
      <c r="O97" s="65">
        <v>28.39</v>
      </c>
      <c r="P97" s="65">
        <v>0.20169999999999999</v>
      </c>
      <c r="Q97" s="65">
        <v>1.932E-2</v>
      </c>
      <c r="R97" s="66">
        <v>19.649254070000001</v>
      </c>
      <c r="S97" s="66">
        <f>R97+R96</f>
        <v>27.077414270000002</v>
      </c>
      <c r="T97" s="67">
        <v>9.2957830000000001</v>
      </c>
      <c r="U97" s="67">
        <v>0.169375</v>
      </c>
      <c r="V97" s="68">
        <v>59360</v>
      </c>
      <c r="W97" s="68">
        <v>64499</v>
      </c>
      <c r="X97" s="68">
        <f>W97-V97</f>
        <v>5139</v>
      </c>
      <c r="Y97" s="68">
        <f t="shared" si="88"/>
        <v>261.53664570127876</v>
      </c>
      <c r="Z97" s="69">
        <v>932.1</v>
      </c>
      <c r="AA97" s="68">
        <v>999.6</v>
      </c>
      <c r="AB97" s="68">
        <f>AA97-Z97</f>
        <v>67.5</v>
      </c>
      <c r="AC97" s="68">
        <f t="shared" si="89"/>
        <v>3.4352449085106667</v>
      </c>
      <c r="AD97" s="69">
        <v>811.537734</v>
      </c>
      <c r="AE97" s="68">
        <v>871.63</v>
      </c>
      <c r="AF97" s="68">
        <f>AE97-AD97</f>
        <v>60.092265999999995</v>
      </c>
      <c r="AG97" s="68">
        <f t="shared" si="90"/>
        <v>3.0582466787758316</v>
      </c>
      <c r="AH97" s="69">
        <v>21.102266</v>
      </c>
      <c r="AI97" s="68">
        <v>9.14</v>
      </c>
      <c r="AJ97" s="68">
        <f>AI97-AH97</f>
        <v>-11.962266</v>
      </c>
      <c r="AK97" s="70">
        <f t="shared" si="91"/>
        <v>-0.6087898277148186</v>
      </c>
      <c r="AL97" s="69">
        <v>-72.8</v>
      </c>
      <c r="AM97" s="68">
        <v>-76.5</v>
      </c>
      <c r="AN97" s="68">
        <f>AM97-AL97</f>
        <v>-3.7000000000000028</v>
      </c>
      <c r="AO97" s="70">
        <f t="shared" si="92"/>
        <v>-0.18830231350354781</v>
      </c>
      <c r="AP97" s="69">
        <v>-89.9</v>
      </c>
      <c r="AQ97" s="68">
        <v>-94.6</v>
      </c>
      <c r="AR97" s="68">
        <f>AQ97-AP97</f>
        <v>-4.6999999999999886</v>
      </c>
      <c r="AS97" s="70">
        <f t="shared" si="93"/>
        <v>-0.23919483066666808</v>
      </c>
      <c r="AT97" s="69">
        <v>29.6</v>
      </c>
      <c r="AU97" s="68">
        <v>31.2</v>
      </c>
      <c r="AV97" s="68">
        <f>AU97-AT97</f>
        <v>1.5999999999999979</v>
      </c>
      <c r="AW97" s="70">
        <f t="shared" si="94"/>
        <v>8.142802746099348E-2</v>
      </c>
      <c r="AX97" s="69">
        <v>59354</v>
      </c>
      <c r="AY97" s="68">
        <v>64494</v>
      </c>
      <c r="AZ97" s="68">
        <f>AY97-AX97</f>
        <v>5140</v>
      </c>
      <c r="BA97" s="70">
        <f t="shared" si="95"/>
        <v>261.58753821844186</v>
      </c>
      <c r="BB97" s="69">
        <v>29.6</v>
      </c>
      <c r="BC97" s="68">
        <v>31.2</v>
      </c>
      <c r="BD97" s="68">
        <f>BC97-BB97</f>
        <v>1.5999999999999979</v>
      </c>
      <c r="BE97" s="70">
        <f t="shared" si="96"/>
        <v>8.142802746099348E-2</v>
      </c>
      <c r="BF97" s="69">
        <v>0</v>
      </c>
      <c r="BG97" s="68">
        <v>0</v>
      </c>
      <c r="BH97" s="68">
        <f>BG97-BF97</f>
        <v>0</v>
      </c>
      <c r="BI97" s="70">
        <f t="shared" si="97"/>
        <v>0</v>
      </c>
      <c r="BJ97" s="71">
        <v>9.2957830000000001</v>
      </c>
      <c r="BK97" s="71">
        <v>0.169375</v>
      </c>
      <c r="BL97" s="71">
        <f>BK97-BJ97</f>
        <v>-9.1264079999999996</v>
      </c>
      <c r="BM97" s="72">
        <v>0</v>
      </c>
      <c r="BN97" s="73">
        <v>0</v>
      </c>
      <c r="BO97" s="73">
        <f>BN97-BM97</f>
        <v>0</v>
      </c>
      <c r="BP97" s="72">
        <v>29.6</v>
      </c>
      <c r="BQ97" s="73">
        <v>31.2</v>
      </c>
      <c r="BR97" s="73">
        <f>BQ97-BP97</f>
        <v>1.5999999999999979</v>
      </c>
      <c r="BS97" s="71"/>
      <c r="BT97" s="71"/>
      <c r="BU97" s="71"/>
      <c r="BV97" s="71"/>
      <c r="BW97" s="62" t="s">
        <v>215</v>
      </c>
      <c r="BX97" s="5">
        <v>102.95191978</v>
      </c>
      <c r="BY97" s="5">
        <v>31.367601029999999</v>
      </c>
      <c r="BZ97" s="5">
        <v>763.44544072999997</v>
      </c>
      <c r="CA97" s="5">
        <v>581.15200000000004</v>
      </c>
      <c r="CB97" s="5">
        <v>17.015481609999998</v>
      </c>
      <c r="CC97" s="5">
        <v>19.320744090000002</v>
      </c>
      <c r="CD97" s="5">
        <v>-7.21893384</v>
      </c>
      <c r="CE97" s="5">
        <v>19.64941709</v>
      </c>
      <c r="CF97" s="5">
        <v>21.178261800000001</v>
      </c>
      <c r="CG97" s="5">
        <v>-5.3510724300000003</v>
      </c>
      <c r="CH97" s="5">
        <v>-11.93154088</v>
      </c>
      <c r="CI97" s="5">
        <v>3.8983110000000001E-2</v>
      </c>
    </row>
    <row r="98" spans="1:87" ht="15" customHeight="1" x14ac:dyDescent="0.2">
      <c r="A98" s="58">
        <f>A97+1</f>
        <v>62009023</v>
      </c>
      <c r="B98" s="84" t="s">
        <v>141</v>
      </c>
      <c r="C98" s="84" t="s">
        <v>98</v>
      </c>
      <c r="D98" s="59" t="s">
        <v>228</v>
      </c>
      <c r="E98" s="60" t="s">
        <v>229</v>
      </c>
      <c r="F98" s="61" t="str">
        <f t="shared" si="87"/>
        <v>09/16/20</v>
      </c>
      <c r="G98" s="62" t="s">
        <v>230</v>
      </c>
      <c r="H98" s="62" t="s">
        <v>110</v>
      </c>
      <c r="I98" s="63"/>
      <c r="J98" s="64">
        <v>1109.4782809999999</v>
      </c>
      <c r="K98" s="64">
        <v>2375.3852299999999</v>
      </c>
      <c r="L98" s="64">
        <v>1484.39896</v>
      </c>
      <c r="M98" s="64">
        <v>1110.5294180000001</v>
      </c>
      <c r="N98" s="65">
        <v>3875</v>
      </c>
      <c r="O98" s="65">
        <v>28.39</v>
      </c>
      <c r="P98" s="65">
        <v>0.20169999999999999</v>
      </c>
      <c r="Q98" s="65">
        <v>1.932E-2</v>
      </c>
      <c r="R98" s="66">
        <v>1.521584E-2</v>
      </c>
      <c r="S98" s="66">
        <f>R98+R97</f>
        <v>19.664469910000001</v>
      </c>
      <c r="T98" s="67" t="s">
        <v>231</v>
      </c>
      <c r="U98" s="67" t="s">
        <v>232</v>
      </c>
      <c r="V98" s="68">
        <v>64498</v>
      </c>
      <c r="W98" s="68">
        <v>64356</v>
      </c>
      <c r="X98" s="68">
        <f>W98-V98</f>
        <v>-142</v>
      </c>
      <c r="Y98" s="68">
        <f t="shared" si="88"/>
        <v>-9332.3799409036892</v>
      </c>
      <c r="Z98" s="69">
        <v>1003.6</v>
      </c>
      <c r="AA98" s="68">
        <v>1578</v>
      </c>
      <c r="AB98" s="68">
        <f>AA98-Z98</f>
        <v>574.4</v>
      </c>
      <c r="AC98" s="68">
        <f t="shared" si="89"/>
        <v>37750.134070810418</v>
      </c>
      <c r="AD98" s="69">
        <v>875.18695200000002</v>
      </c>
      <c r="AE98" s="68">
        <v>1286.21</v>
      </c>
      <c r="AF98" s="68">
        <f>AE98-AD98</f>
        <v>411.02304800000002</v>
      </c>
      <c r="AG98" s="68">
        <f t="shared" si="90"/>
        <v>27012.839777495032</v>
      </c>
      <c r="AH98" s="69">
        <v>20.69</v>
      </c>
      <c r="AI98" s="68">
        <v>-65.67</v>
      </c>
      <c r="AJ98" s="68">
        <f>AI98-AH98</f>
        <v>-86.36</v>
      </c>
      <c r="AK98" s="70">
        <f t="shared" si="91"/>
        <v>-5675.6643077214276</v>
      </c>
      <c r="AL98" s="69">
        <v>-76.599999999999994</v>
      </c>
      <c r="AM98" s="68">
        <v>-76.900000000000006</v>
      </c>
      <c r="AN98" s="68">
        <f>AM98-AL98</f>
        <v>-0.30000000000001137</v>
      </c>
      <c r="AO98" s="70">
        <f t="shared" si="92"/>
        <v>-19.716295649797274</v>
      </c>
      <c r="AP98" s="69">
        <v>-94.6</v>
      </c>
      <c r="AQ98" s="68">
        <v>-95</v>
      </c>
      <c r="AR98" s="68">
        <f>AQ98-AP98</f>
        <v>-0.40000000000000568</v>
      </c>
      <c r="AS98" s="70">
        <f t="shared" si="93"/>
        <v>-26.28839419972908</v>
      </c>
      <c r="AT98" s="69">
        <v>31.3</v>
      </c>
      <c r="AU98" s="68">
        <v>124</v>
      </c>
      <c r="AV98" s="68">
        <f>AU98-AT98</f>
        <v>92.7</v>
      </c>
      <c r="AW98" s="70">
        <f t="shared" si="94"/>
        <v>6092.3353557871278</v>
      </c>
      <c r="AX98" s="69">
        <v>64449</v>
      </c>
      <c r="AY98" s="68">
        <v>-1603</v>
      </c>
      <c r="AZ98" s="68">
        <f>AY98-AX98</f>
        <v>-66052</v>
      </c>
      <c r="BA98" s="70">
        <f t="shared" si="95"/>
        <v>-4341002.5342012011</v>
      </c>
      <c r="BB98" s="69">
        <v>84.039018999999996</v>
      </c>
      <c r="BC98" s="68">
        <v>71062.8</v>
      </c>
      <c r="BD98" s="68">
        <f>BC98-BB98</f>
        <v>70978.760980999999</v>
      </c>
      <c r="BE98" s="70">
        <f t="shared" si="96"/>
        <v>4664794.1211921265</v>
      </c>
      <c r="BF98" s="69">
        <v>-52.039019000000003</v>
      </c>
      <c r="BG98" s="68">
        <v>-70923.100000000006</v>
      </c>
      <c r="BH98" s="68">
        <f>BG98-BF98</f>
        <v>-70871.060981000002</v>
      </c>
      <c r="BI98" s="70">
        <f t="shared" si="97"/>
        <v>-4657715.971053849</v>
      </c>
      <c r="BJ98" s="71" t="s">
        <v>233</v>
      </c>
      <c r="BK98" s="71" t="s">
        <v>234</v>
      </c>
      <c r="BL98" s="71" t="e">
        <f>BK98-BJ98</f>
        <v>#VALUE!</v>
      </c>
      <c r="BM98" s="72">
        <v>-52.039019000000003</v>
      </c>
      <c r="BN98" s="73">
        <v>-70923.100000000006</v>
      </c>
      <c r="BO98" s="73">
        <f>BN98-BM98</f>
        <v>-70871.060981000002</v>
      </c>
      <c r="BP98" s="72">
        <v>84.039018999999996</v>
      </c>
      <c r="BQ98" s="73">
        <v>71062.8</v>
      </c>
      <c r="BR98" s="73">
        <f>BQ98-BP98</f>
        <v>70978.760980999999</v>
      </c>
      <c r="BS98" s="71"/>
      <c r="BT98" s="71"/>
      <c r="BU98" s="71"/>
      <c r="BV98" s="71"/>
      <c r="BW98" s="62" t="s">
        <v>215</v>
      </c>
      <c r="BX98" s="5">
        <v>0</v>
      </c>
      <c r="BY98" s="5" t="s">
        <v>112</v>
      </c>
      <c r="BZ98" s="5">
        <v>0</v>
      </c>
      <c r="CA98" s="5">
        <v>0</v>
      </c>
      <c r="CB98" s="5">
        <v>0</v>
      </c>
      <c r="CC98" s="5">
        <v>0</v>
      </c>
      <c r="CD98" s="5" t="s">
        <v>112</v>
      </c>
      <c r="CE98" s="5">
        <v>0</v>
      </c>
      <c r="CF98" s="5">
        <v>0</v>
      </c>
      <c r="CG98" s="5" t="s">
        <v>112</v>
      </c>
      <c r="CH98" s="5" t="s">
        <v>112</v>
      </c>
      <c r="CI98" s="5" t="s">
        <v>112</v>
      </c>
    </row>
    <row r="99" spans="1:87" ht="15" customHeight="1" x14ac:dyDescent="0.2">
      <c r="A99" s="51" t="s">
        <v>235</v>
      </c>
      <c r="B99" s="52"/>
      <c r="C99" s="52"/>
      <c r="D99" s="53"/>
      <c r="E99" s="52"/>
      <c r="F99" s="52"/>
      <c r="G99" s="53"/>
      <c r="H99" s="53"/>
      <c r="I99" s="53"/>
      <c r="J99" s="53"/>
      <c r="K99" s="53"/>
      <c r="L99" s="53"/>
      <c r="M99" s="53"/>
      <c r="N99" s="53"/>
      <c r="O99" s="53"/>
      <c r="P99" s="54"/>
      <c r="Q99" s="55"/>
      <c r="R99" s="52"/>
      <c r="S99" s="52"/>
      <c r="T99" s="52"/>
      <c r="U99" s="52"/>
      <c r="V99" s="56"/>
      <c r="W99" s="56"/>
      <c r="X99" s="52"/>
      <c r="Y99" s="52"/>
      <c r="Z99" s="56"/>
      <c r="AA99" s="56"/>
      <c r="AB99" s="52"/>
      <c r="AC99" s="52"/>
      <c r="AD99" s="56"/>
      <c r="AE99" s="56"/>
      <c r="AF99" s="52"/>
      <c r="AG99" s="52"/>
      <c r="AH99" s="52"/>
      <c r="AI99" s="52"/>
      <c r="AJ99" s="52"/>
      <c r="AK99" s="52"/>
      <c r="AL99" s="56"/>
      <c r="AM99" s="56"/>
      <c r="AN99" s="52"/>
      <c r="AO99" s="52"/>
      <c r="AP99" s="52"/>
      <c r="AQ99" s="52"/>
      <c r="AR99" s="52"/>
      <c r="AS99" s="52"/>
      <c r="AT99" s="52"/>
      <c r="AU99" s="52"/>
      <c r="AV99" s="52"/>
      <c r="AW99" s="52"/>
      <c r="AX99" s="52"/>
      <c r="AY99" s="52"/>
      <c r="AZ99" s="52"/>
      <c r="BA99" s="52"/>
      <c r="BB99" s="52"/>
      <c r="BC99" s="52"/>
      <c r="BD99" s="52"/>
      <c r="BE99" s="52"/>
      <c r="BF99" s="52"/>
      <c r="BG99" s="52"/>
      <c r="BH99" s="52"/>
      <c r="BI99" s="52"/>
      <c r="BJ99" s="52"/>
      <c r="BK99" s="52"/>
      <c r="BL99" s="57"/>
    </row>
    <row r="100" spans="1:87" ht="15" customHeight="1" x14ac:dyDescent="0.2">
      <c r="A100" s="58">
        <v>62009024</v>
      </c>
      <c r="B100" s="58" t="s">
        <v>113</v>
      </c>
      <c r="C100" s="58" t="s">
        <v>98</v>
      </c>
      <c r="D100" s="59" t="s">
        <v>114</v>
      </c>
      <c r="E100" s="60" t="s">
        <v>236</v>
      </c>
      <c r="F100" s="61" t="str">
        <f t="shared" si="87"/>
        <v>09/17/20</v>
      </c>
      <c r="G100" s="62" t="s">
        <v>237</v>
      </c>
      <c r="H100" s="62" t="s">
        <v>110</v>
      </c>
      <c r="I100" s="63"/>
      <c r="J100" s="64">
        <v>23.104479000000001</v>
      </c>
      <c r="K100" s="64">
        <v>43.594186000000001</v>
      </c>
      <c r="L100" s="64">
        <v>29.395071999999999</v>
      </c>
      <c r="M100" s="64">
        <v>25.131495999999999</v>
      </c>
      <c r="N100" s="65">
        <v>3875</v>
      </c>
      <c r="O100" s="65">
        <v>28.39</v>
      </c>
      <c r="P100" s="65">
        <v>0.20169999999999999</v>
      </c>
      <c r="Q100" s="65">
        <v>1.932E-2</v>
      </c>
      <c r="R100" s="66">
        <v>3.5739314599999998</v>
      </c>
      <c r="S100" s="66">
        <f>R100+R99</f>
        <v>3.5739314599999998</v>
      </c>
      <c r="T100" s="67">
        <v>97.382937999999996</v>
      </c>
      <c r="U100" s="67">
        <v>96.415516999999994</v>
      </c>
      <c r="V100" s="68">
        <v>-1</v>
      </c>
      <c r="W100" s="68">
        <v>742</v>
      </c>
      <c r="X100" s="68">
        <f>W100-V100</f>
        <v>743</v>
      </c>
      <c r="Y100" s="68">
        <f t="shared" ref="Y100:Y122" si="100">X100/$R100</f>
        <v>207.89430584099674</v>
      </c>
      <c r="Z100" s="69">
        <v>21.5</v>
      </c>
      <c r="AA100" s="68">
        <v>42.2</v>
      </c>
      <c r="AB100" s="68">
        <f>AA100-Z100</f>
        <v>20.700000000000003</v>
      </c>
      <c r="AC100" s="68">
        <f t="shared" ref="AC100:AC122" si="101">AB100/$R100</f>
        <v>5.7919409568083893</v>
      </c>
      <c r="AD100" s="69">
        <v>18.856397000000001</v>
      </c>
      <c r="AE100" s="68">
        <v>36.51</v>
      </c>
      <c r="AF100" s="68">
        <f>AE100-AD100</f>
        <v>17.653602999999997</v>
      </c>
      <c r="AG100" s="68">
        <f t="shared" ref="AG100:AG122" si="102">AF100/$R100</f>
        <v>4.9395471618809381</v>
      </c>
      <c r="AH100" s="69">
        <v>-3.726397</v>
      </c>
      <c r="AI100" s="68">
        <v>-0.64</v>
      </c>
      <c r="AJ100" s="68">
        <f>AI100-AH100</f>
        <v>3.0863969999999998</v>
      </c>
      <c r="AK100" s="70">
        <f t="shared" ref="AK100:AK122" si="103">AJ100/$R100</f>
        <v>0.86358595136572647</v>
      </c>
      <c r="AL100" s="69">
        <v>-0.1</v>
      </c>
      <c r="AM100" s="68">
        <v>-2.2000000000000002</v>
      </c>
      <c r="AN100" s="68">
        <f>AM100-AL100</f>
        <v>-2.1</v>
      </c>
      <c r="AO100" s="70">
        <f t="shared" ref="AO100:AO122" si="104">AN100/$R100</f>
        <v>-0.58758821300954667</v>
      </c>
      <c r="AP100" s="69">
        <v>0.1</v>
      </c>
      <c r="AQ100" s="68">
        <v>-2.6</v>
      </c>
      <c r="AR100" s="68">
        <f>AQ100-AP100</f>
        <v>-2.7</v>
      </c>
      <c r="AS100" s="70">
        <f t="shared" ref="AS100:AS122" si="105">AR100/$R100</f>
        <v>-0.75547055958370291</v>
      </c>
      <c r="AT100" s="69">
        <v>0.7</v>
      </c>
      <c r="AU100" s="68">
        <v>1.6</v>
      </c>
      <c r="AV100" s="68">
        <f>AU100-AT100</f>
        <v>0.90000000000000013</v>
      </c>
      <c r="AW100" s="70">
        <f t="shared" ref="AW100:AW122" si="106">AV100/$R100</f>
        <v>0.2518235198612343</v>
      </c>
      <c r="AX100" s="69">
        <v>-470</v>
      </c>
      <c r="AY100" s="68">
        <v>271</v>
      </c>
      <c r="AZ100" s="68">
        <f>AY100-AX100</f>
        <v>741</v>
      </c>
      <c r="BA100" s="70">
        <f t="shared" ref="BA100:BA122" si="107">AZ100/$R100</f>
        <v>207.33469801908291</v>
      </c>
      <c r="BB100" s="69">
        <v>522.29999999999995</v>
      </c>
      <c r="BC100" s="68">
        <v>523</v>
      </c>
      <c r="BD100" s="68">
        <f>BC100-BB100</f>
        <v>0.70000000000004547</v>
      </c>
      <c r="BE100" s="70">
        <f t="shared" ref="BE100:BE122" si="108">BD100/$R100</f>
        <v>0.19586273766986162</v>
      </c>
      <c r="BF100" s="69">
        <v>-521.20000000000005</v>
      </c>
      <c r="BG100" s="68">
        <v>-521.20000000000005</v>
      </c>
      <c r="BH100" s="68">
        <f>BG100-BF100</f>
        <v>0</v>
      </c>
      <c r="BI100" s="70">
        <f t="shared" ref="BI100:BI122" si="109">BH100/$R100</f>
        <v>0</v>
      </c>
      <c r="BJ100" s="71">
        <v>97.382937999999996</v>
      </c>
      <c r="BK100" s="71">
        <v>96.415516999999994</v>
      </c>
      <c r="BL100" s="71">
        <f>BK100-BJ100</f>
        <v>-0.96742100000000164</v>
      </c>
      <c r="BM100" s="72">
        <v>-521.20000000000005</v>
      </c>
      <c r="BN100" s="73">
        <v>-521.20000000000005</v>
      </c>
      <c r="BO100" s="73">
        <f>BN100-BM100</f>
        <v>0</v>
      </c>
      <c r="BP100" s="72">
        <v>522.29999999999995</v>
      </c>
      <c r="BQ100" s="73">
        <v>523</v>
      </c>
      <c r="BR100" s="73">
        <f>BQ100-BP100</f>
        <v>0.70000000000004547</v>
      </c>
      <c r="BS100" s="71"/>
      <c r="BT100" s="71"/>
      <c r="BU100" s="71"/>
      <c r="BV100" s="71"/>
      <c r="BW100" s="62" t="s">
        <v>215</v>
      </c>
      <c r="BX100" s="5">
        <v>2203.1761932600002</v>
      </c>
      <c r="BY100" s="5">
        <v>1.19050722</v>
      </c>
      <c r="BZ100" s="5">
        <v>2073.21640966</v>
      </c>
      <c r="CA100" s="5">
        <v>2048.8250000600001</v>
      </c>
      <c r="CB100" s="5">
        <v>2.9492919899999999</v>
      </c>
      <c r="CC100" s="5">
        <v>2.9658834000000001</v>
      </c>
      <c r="CD100" s="5">
        <v>-0.47729184000000002</v>
      </c>
      <c r="CE100" s="5">
        <v>3.57384075</v>
      </c>
      <c r="CF100" s="5">
        <v>3.5909802100000001</v>
      </c>
      <c r="CG100" s="5">
        <v>-8.2578750000000006E-2</v>
      </c>
      <c r="CH100" s="5">
        <v>-0.55940864000000001</v>
      </c>
      <c r="CI100" s="5">
        <v>0.59141021000000005</v>
      </c>
    </row>
    <row r="101" spans="1:87" ht="15" customHeight="1" x14ac:dyDescent="0.2">
      <c r="A101" s="58">
        <f>A100</f>
        <v>62009024</v>
      </c>
      <c r="B101" s="58" t="s">
        <v>117</v>
      </c>
      <c r="C101" s="58" t="s">
        <v>104</v>
      </c>
      <c r="D101" s="59" t="s">
        <v>114</v>
      </c>
      <c r="E101" s="60" t="s">
        <v>236</v>
      </c>
      <c r="F101" s="61" t="str">
        <f t="shared" si="87"/>
        <v>09/17/20</v>
      </c>
      <c r="G101" s="62" t="s">
        <v>237</v>
      </c>
      <c r="H101" s="62" t="s">
        <v>110</v>
      </c>
      <c r="I101" s="63"/>
      <c r="J101" s="64">
        <v>20.628426000000001</v>
      </c>
      <c r="K101" s="64">
        <v>50.389842999999999</v>
      </c>
      <c r="L101" s="64">
        <v>29.395864</v>
      </c>
      <c r="M101" s="64">
        <v>26.568296</v>
      </c>
      <c r="N101" s="65">
        <v>3875</v>
      </c>
      <c r="O101" s="65">
        <v>28.39</v>
      </c>
      <c r="P101" s="65">
        <v>0.20169999999999999</v>
      </c>
      <c r="Q101" s="65">
        <v>1.932E-2</v>
      </c>
      <c r="R101" s="66">
        <v>3.84363491</v>
      </c>
      <c r="S101" s="66">
        <f>R101+R100</f>
        <v>7.4175663699999994</v>
      </c>
      <c r="T101" s="67">
        <v>96.415516999999994</v>
      </c>
      <c r="U101" s="67">
        <v>95.651042000000004</v>
      </c>
      <c r="V101" s="68">
        <v>742</v>
      </c>
      <c r="W101" s="68">
        <v>1318</v>
      </c>
      <c r="X101" s="68">
        <f>W101-V101</f>
        <v>576</v>
      </c>
      <c r="Y101" s="68">
        <f t="shared" si="100"/>
        <v>149.85814560623814</v>
      </c>
      <c r="Z101" s="69">
        <v>42.3</v>
      </c>
      <c r="AA101" s="68">
        <v>78.599999999999994</v>
      </c>
      <c r="AB101" s="68">
        <f>AA101-Z101</f>
        <v>36.299999999999997</v>
      </c>
      <c r="AC101" s="68">
        <f t="shared" si="101"/>
        <v>9.444185217893132</v>
      </c>
      <c r="AD101" s="69">
        <v>36.520000000000003</v>
      </c>
      <c r="AE101" s="68">
        <v>67.375670999999997</v>
      </c>
      <c r="AF101" s="68">
        <f>AE101-AD101</f>
        <v>30.855670999999994</v>
      </c>
      <c r="AG101" s="68">
        <f t="shared" si="102"/>
        <v>8.0277320095419764</v>
      </c>
      <c r="AH101" s="69">
        <v>-0.64</v>
      </c>
      <c r="AI101" s="68">
        <v>1.77</v>
      </c>
      <c r="AJ101" s="68">
        <f>AI101-AH101</f>
        <v>2.41</v>
      </c>
      <c r="AK101" s="70">
        <f t="shared" si="103"/>
        <v>0.62701064394276718</v>
      </c>
      <c r="AL101" s="69">
        <v>-2.2000000000000002</v>
      </c>
      <c r="AM101" s="68">
        <v>-6</v>
      </c>
      <c r="AN101" s="68">
        <f>AM101-AL101</f>
        <v>-3.8</v>
      </c>
      <c r="AO101" s="70">
        <f t="shared" si="104"/>
        <v>-0.98864748837448768</v>
      </c>
      <c r="AP101" s="69">
        <v>-2.6</v>
      </c>
      <c r="AQ101" s="68">
        <v>-7.4</v>
      </c>
      <c r="AR101" s="68">
        <f>AQ101-AP101</f>
        <v>-4.8000000000000007</v>
      </c>
      <c r="AS101" s="70">
        <f t="shared" si="105"/>
        <v>-1.2488178800519847</v>
      </c>
      <c r="AT101" s="69">
        <v>1.6</v>
      </c>
      <c r="AU101" s="68">
        <v>3.1</v>
      </c>
      <c r="AV101" s="68">
        <f>AU101-AT101</f>
        <v>1.5</v>
      </c>
      <c r="AW101" s="70">
        <f t="shared" si="106"/>
        <v>0.39025558751624512</v>
      </c>
      <c r="AX101" s="69">
        <v>271</v>
      </c>
      <c r="AY101" s="68">
        <v>846</v>
      </c>
      <c r="AZ101" s="68">
        <f>AY101-AX101</f>
        <v>575</v>
      </c>
      <c r="BA101" s="70">
        <f t="shared" si="107"/>
        <v>149.59797521456065</v>
      </c>
      <c r="BB101" s="69">
        <v>523</v>
      </c>
      <c r="BC101" s="68">
        <v>524.20000000000005</v>
      </c>
      <c r="BD101" s="68">
        <f>BC101-BB101</f>
        <v>1.2000000000000455</v>
      </c>
      <c r="BE101" s="70">
        <f t="shared" si="108"/>
        <v>0.31220447001300794</v>
      </c>
      <c r="BF101" s="69">
        <v>-521.20000000000005</v>
      </c>
      <c r="BG101" s="68">
        <v>-521.20000000000005</v>
      </c>
      <c r="BH101" s="68">
        <f>BG101-BF101</f>
        <v>0</v>
      </c>
      <c r="BI101" s="70">
        <f t="shared" si="109"/>
        <v>0</v>
      </c>
      <c r="BJ101" s="71">
        <v>96.415516999999994</v>
      </c>
      <c r="BK101" s="71">
        <v>95.651042000000004</v>
      </c>
      <c r="BL101" s="71">
        <f>BK101-BJ101</f>
        <v>-0.76447499999999025</v>
      </c>
      <c r="BM101" s="72">
        <v>-521.20000000000005</v>
      </c>
      <c r="BN101" s="73">
        <v>-521.20000000000005</v>
      </c>
      <c r="BO101" s="73">
        <f>BN101-BM101</f>
        <v>0</v>
      </c>
      <c r="BP101" s="72">
        <v>523</v>
      </c>
      <c r="BQ101" s="73">
        <v>524.20000000000005</v>
      </c>
      <c r="BR101" s="73">
        <f>BQ101-BP101</f>
        <v>1.2000000000000455</v>
      </c>
      <c r="BS101" s="71"/>
      <c r="BT101" s="71"/>
      <c r="BU101" s="71"/>
      <c r="BV101" s="71"/>
      <c r="BW101" s="62" t="s">
        <v>215</v>
      </c>
      <c r="BX101" s="5">
        <v>1349.2370828400001</v>
      </c>
      <c r="BY101" s="5">
        <v>-1.46427569</v>
      </c>
      <c r="BZ101" s="5">
        <v>3366.12701388</v>
      </c>
      <c r="CA101" s="5">
        <v>3416.14885116</v>
      </c>
      <c r="CB101" s="5">
        <v>2.69917177</v>
      </c>
      <c r="CC101" s="5">
        <v>2.7416949800000001</v>
      </c>
      <c r="CD101" s="5">
        <v>-0.42286170000000001</v>
      </c>
      <c r="CE101" s="5">
        <v>3.84350864</v>
      </c>
      <c r="CF101" s="5">
        <v>3.8598303899999999</v>
      </c>
      <c r="CG101" s="5">
        <v>-1.14589366</v>
      </c>
      <c r="CH101" s="5">
        <v>-1.55098275</v>
      </c>
      <c r="CI101" s="5">
        <v>0.71727032000000002</v>
      </c>
    </row>
    <row r="102" spans="1:87" ht="15" customHeight="1" x14ac:dyDescent="0.2">
      <c r="A102" s="58">
        <f>A101</f>
        <v>62009024</v>
      </c>
      <c r="B102" s="58" t="s">
        <v>118</v>
      </c>
      <c r="C102" s="58" t="s">
        <v>119</v>
      </c>
      <c r="D102" s="59" t="s">
        <v>114</v>
      </c>
      <c r="E102" s="60" t="s">
        <v>236</v>
      </c>
      <c r="F102" s="61" t="str">
        <f t="shared" si="87"/>
        <v>09/17/20</v>
      </c>
      <c r="G102" s="62" t="s">
        <v>237</v>
      </c>
      <c r="H102" s="62" t="s">
        <v>110</v>
      </c>
      <c r="I102" s="63"/>
      <c r="J102" s="74">
        <f>AVERAGE(J100:J101)</f>
        <v>21.866452500000001</v>
      </c>
      <c r="K102" s="74">
        <f>AVERAGE(K100:K101)</f>
        <v>46.992014499999996</v>
      </c>
      <c r="L102" s="74">
        <f>AVERAGE(L100:L101)</f>
        <v>29.395468000000001</v>
      </c>
      <c r="M102" s="74">
        <f>AVERAGE(M100:M101)</f>
        <v>25.849896000000001</v>
      </c>
      <c r="N102" s="75"/>
      <c r="O102" s="65"/>
      <c r="P102" s="76"/>
      <c r="Q102" s="77"/>
      <c r="R102" s="78">
        <f>R101+R100</f>
        <v>7.4175663699999994</v>
      </c>
      <c r="S102" s="78">
        <f>S101</f>
        <v>7.4175663699999994</v>
      </c>
      <c r="T102" s="79">
        <f>T100</f>
        <v>97.382937999999996</v>
      </c>
      <c r="U102" s="79">
        <f>U101</f>
        <v>95.651042000000004</v>
      </c>
      <c r="V102" s="80">
        <f>V100</f>
        <v>-1</v>
      </c>
      <c r="W102" s="80">
        <f>W101</f>
        <v>1318</v>
      </c>
      <c r="X102" s="80">
        <f>SUM(X100:X101)</f>
        <v>1319</v>
      </c>
      <c r="Y102" s="80">
        <f t="shared" si="100"/>
        <v>177.82112544818389</v>
      </c>
      <c r="Z102" s="80">
        <f>Z100</f>
        <v>21.5</v>
      </c>
      <c r="AA102" s="80">
        <f>AA101</f>
        <v>78.599999999999994</v>
      </c>
      <c r="AB102" s="80">
        <f>SUM(AB100:AB101)</f>
        <v>57</v>
      </c>
      <c r="AC102" s="80">
        <f t="shared" si="101"/>
        <v>7.6844610694059758</v>
      </c>
      <c r="AD102" s="80">
        <f>AD100</f>
        <v>18.856397000000001</v>
      </c>
      <c r="AE102" s="80">
        <f>AE101</f>
        <v>67.375670999999997</v>
      </c>
      <c r="AF102" s="80">
        <f>SUM(AF100:AF101)</f>
        <v>48.509273999999991</v>
      </c>
      <c r="AG102" s="80">
        <f t="shared" si="102"/>
        <v>6.5397829396166216</v>
      </c>
      <c r="AH102" s="80">
        <f>AH100</f>
        <v>-3.726397</v>
      </c>
      <c r="AI102" s="80">
        <f>AI101</f>
        <v>1.77</v>
      </c>
      <c r="AJ102" s="80">
        <f>SUM(AJ100:AJ101)</f>
        <v>5.496397</v>
      </c>
      <c r="AK102" s="81">
        <f t="shared" si="103"/>
        <v>0.740997346815786</v>
      </c>
      <c r="AL102" s="80">
        <f>AL100</f>
        <v>-0.1</v>
      </c>
      <c r="AM102" s="80">
        <f>AM101</f>
        <v>-6</v>
      </c>
      <c r="AN102" s="80">
        <f>SUM(AN100:AN101)</f>
        <v>-5.9</v>
      </c>
      <c r="AO102" s="81">
        <f t="shared" si="104"/>
        <v>-0.79540912823675902</v>
      </c>
      <c r="AP102" s="80">
        <f>AP100</f>
        <v>0.1</v>
      </c>
      <c r="AQ102" s="80">
        <f>AQ101</f>
        <v>-7.4</v>
      </c>
      <c r="AR102" s="80">
        <f>SUM(AR100:AR101)</f>
        <v>-7.5000000000000009</v>
      </c>
      <c r="AS102" s="81">
        <f t="shared" si="105"/>
        <v>-1.0111132986060496</v>
      </c>
      <c r="AT102" s="80">
        <f>AT100</f>
        <v>0.7</v>
      </c>
      <c r="AU102" s="80">
        <f>AU101</f>
        <v>3.1</v>
      </c>
      <c r="AV102" s="80">
        <f>SUM(AV100:AV101)</f>
        <v>2.4000000000000004</v>
      </c>
      <c r="AW102" s="81">
        <f t="shared" si="106"/>
        <v>0.32355625555393591</v>
      </c>
      <c r="AX102" s="80">
        <f>AX100</f>
        <v>-470</v>
      </c>
      <c r="AY102" s="80">
        <f>AY101</f>
        <v>846</v>
      </c>
      <c r="AZ102" s="80">
        <f>SUM(AZ100:AZ101)</f>
        <v>1316</v>
      </c>
      <c r="BA102" s="81">
        <f t="shared" si="107"/>
        <v>177.41668012874149</v>
      </c>
      <c r="BB102" s="80">
        <f>BB100</f>
        <v>522.29999999999995</v>
      </c>
      <c r="BC102" s="80">
        <f>BC101</f>
        <v>524.20000000000005</v>
      </c>
      <c r="BD102" s="80">
        <f>SUM(BD100:BD101)</f>
        <v>1.9000000000000909</v>
      </c>
      <c r="BE102" s="81">
        <f t="shared" si="108"/>
        <v>0.25614870231354481</v>
      </c>
      <c r="BF102" s="80">
        <f>BF100</f>
        <v>-521.20000000000005</v>
      </c>
      <c r="BG102" s="80">
        <f>BG101</f>
        <v>-521.20000000000005</v>
      </c>
      <c r="BH102" s="80">
        <f>SUM(BH100:BH101)</f>
        <v>0</v>
      </c>
      <c r="BI102" s="81">
        <f t="shared" si="109"/>
        <v>0</v>
      </c>
      <c r="BJ102" s="82"/>
      <c r="BK102" s="82"/>
      <c r="BL102" s="82">
        <f>SUM(BL100:BL101)</f>
        <v>-1.7318959999999919</v>
      </c>
      <c r="BM102" s="83">
        <f>BM100</f>
        <v>-521.20000000000005</v>
      </c>
      <c r="BN102" s="83">
        <f>BN101</f>
        <v>-521.20000000000005</v>
      </c>
      <c r="BO102" s="83">
        <f>SUM(BO100:BO101)</f>
        <v>0</v>
      </c>
      <c r="BP102" s="83">
        <f>BP100</f>
        <v>522.29999999999995</v>
      </c>
      <c r="BQ102" s="83">
        <f>BQ101</f>
        <v>524.20000000000005</v>
      </c>
      <c r="BR102" s="83">
        <f>SUM(BR100:BR101)</f>
        <v>1.9000000000000909</v>
      </c>
      <c r="BS102" s="82"/>
      <c r="BT102" s="82"/>
      <c r="BU102" s="82"/>
      <c r="BV102" s="82"/>
      <c r="BW102" s="62" t="s">
        <v>215</v>
      </c>
    </row>
    <row r="103" spans="1:87" ht="15" customHeight="1" x14ac:dyDescent="0.2">
      <c r="A103" s="58">
        <f t="shared" ref="A103:A109" si="110">A102</f>
        <v>62009024</v>
      </c>
      <c r="B103" s="58" t="s">
        <v>120</v>
      </c>
      <c r="C103" s="58" t="s">
        <v>105</v>
      </c>
      <c r="D103" s="59" t="s">
        <v>114</v>
      </c>
      <c r="E103" s="60" t="s">
        <v>236</v>
      </c>
      <c r="F103" s="61" t="str">
        <f t="shared" si="87"/>
        <v>09/17/20</v>
      </c>
      <c r="G103" s="62" t="s">
        <v>237</v>
      </c>
      <c r="H103" s="62" t="s">
        <v>110</v>
      </c>
      <c r="I103" s="63"/>
      <c r="J103" s="64">
        <v>24.933250000000001</v>
      </c>
      <c r="K103" s="64">
        <v>39.218299999999999</v>
      </c>
      <c r="L103" s="64">
        <v>29.410008999999999</v>
      </c>
      <c r="M103" s="64">
        <v>28.173645</v>
      </c>
      <c r="N103" s="65">
        <v>3875</v>
      </c>
      <c r="O103" s="65">
        <v>28.39</v>
      </c>
      <c r="P103" s="65">
        <v>0.20169999999999999</v>
      </c>
      <c r="Q103" s="65">
        <v>1.932E-2</v>
      </c>
      <c r="R103" s="66">
        <v>10.24739578</v>
      </c>
      <c r="S103" s="66">
        <f>R103+R102</f>
        <v>17.664962150000001</v>
      </c>
      <c r="T103" s="67">
        <v>95.651042000000004</v>
      </c>
      <c r="U103" s="67">
        <v>92.889161999999999</v>
      </c>
      <c r="V103" s="68">
        <v>1319</v>
      </c>
      <c r="W103" s="68">
        <v>3384</v>
      </c>
      <c r="X103" s="68">
        <f>W103-V103</f>
        <v>2065</v>
      </c>
      <c r="Y103" s="68">
        <f t="shared" si="100"/>
        <v>201.51461350114849</v>
      </c>
      <c r="Z103" s="69">
        <v>79.3</v>
      </c>
      <c r="AA103" s="68">
        <v>113.2</v>
      </c>
      <c r="AB103" s="68">
        <f>AA103-Z103</f>
        <v>33.900000000000006</v>
      </c>
      <c r="AC103" s="68">
        <f t="shared" si="101"/>
        <v>3.3081575775733341</v>
      </c>
      <c r="AD103" s="69">
        <v>67.989999999999995</v>
      </c>
      <c r="AE103" s="68">
        <v>96.905427000000003</v>
      </c>
      <c r="AF103" s="68">
        <f>AE103-AD103</f>
        <v>28.915427000000008</v>
      </c>
      <c r="AG103" s="68">
        <f t="shared" si="102"/>
        <v>2.821734186985799</v>
      </c>
      <c r="AH103" s="69">
        <v>1.81</v>
      </c>
      <c r="AI103" s="68">
        <v>3.59</v>
      </c>
      <c r="AJ103" s="68">
        <f>AI103-AH103</f>
        <v>1.7799999999999998</v>
      </c>
      <c r="AK103" s="70">
        <f t="shared" si="103"/>
        <v>0.17370266926491248</v>
      </c>
      <c r="AL103" s="69">
        <v>-6.1</v>
      </c>
      <c r="AM103" s="68">
        <v>-9.4</v>
      </c>
      <c r="AN103" s="68">
        <f>AM103-AL103</f>
        <v>-3.3000000000000007</v>
      </c>
      <c r="AO103" s="70">
        <f t="shared" si="104"/>
        <v>-0.32203303852483783</v>
      </c>
      <c r="AP103" s="69">
        <v>-7.5</v>
      </c>
      <c r="AQ103" s="68">
        <v>-11.6</v>
      </c>
      <c r="AR103" s="68">
        <f>AQ103-AP103</f>
        <v>-4.0999999999999996</v>
      </c>
      <c r="AS103" s="70">
        <f t="shared" si="105"/>
        <v>-0.40010165392479841</v>
      </c>
      <c r="AT103" s="69">
        <v>3.1</v>
      </c>
      <c r="AU103" s="68">
        <v>4.5</v>
      </c>
      <c r="AV103" s="68">
        <f>AU103-AT103</f>
        <v>1.4</v>
      </c>
      <c r="AW103" s="70">
        <f t="shared" si="106"/>
        <v>0.13662007694993117</v>
      </c>
      <c r="AX103" s="69">
        <v>846</v>
      </c>
      <c r="AY103" s="68">
        <v>2911</v>
      </c>
      <c r="AZ103" s="68">
        <f>AY103-AX103</f>
        <v>2065</v>
      </c>
      <c r="BA103" s="70">
        <f t="shared" si="107"/>
        <v>201.51461350114849</v>
      </c>
      <c r="BB103" s="69">
        <v>524.20000000000005</v>
      </c>
      <c r="BC103" s="68">
        <v>525.29999999999995</v>
      </c>
      <c r="BD103" s="68">
        <f>BC103-BB103</f>
        <v>1.0999999999999091</v>
      </c>
      <c r="BE103" s="70">
        <f t="shared" si="108"/>
        <v>0.10734434617493704</v>
      </c>
      <c r="BF103" s="69">
        <v>-521.20000000000005</v>
      </c>
      <c r="BG103" s="68">
        <v>-521.20000000000005</v>
      </c>
      <c r="BH103" s="68">
        <f>BG103-BF103</f>
        <v>0</v>
      </c>
      <c r="BI103" s="70">
        <f t="shared" si="109"/>
        <v>0</v>
      </c>
      <c r="BJ103" s="71">
        <v>95.651042000000004</v>
      </c>
      <c r="BK103" s="71">
        <v>92.889161999999999</v>
      </c>
      <c r="BL103" s="71">
        <f>BK103-BJ103</f>
        <v>-2.761880000000005</v>
      </c>
      <c r="BM103" s="72">
        <v>-521.20000000000005</v>
      </c>
      <c r="BN103" s="73">
        <v>-521.20000000000005</v>
      </c>
      <c r="BO103" s="73">
        <f>BN103-BM103</f>
        <v>0</v>
      </c>
      <c r="BP103" s="72">
        <v>524.20000000000005</v>
      </c>
      <c r="BQ103" s="73">
        <v>525.29999999999995</v>
      </c>
      <c r="BR103" s="73">
        <f>BQ103-BP103</f>
        <v>1.0999999999999091</v>
      </c>
      <c r="BS103" s="71"/>
      <c r="BT103" s="71"/>
      <c r="BU103" s="71"/>
      <c r="BV103" s="71"/>
      <c r="BW103" s="62" t="s">
        <v>215</v>
      </c>
      <c r="BX103" s="5">
        <v>1773.12744344</v>
      </c>
      <c r="BY103" s="5">
        <v>1.55223964</v>
      </c>
      <c r="BZ103" s="5">
        <v>1327.0069167900001</v>
      </c>
      <c r="CA103" s="5">
        <v>1306.7234376599999</v>
      </c>
      <c r="CB103" s="5">
        <v>7.3010685799999999</v>
      </c>
      <c r="CC103" s="5">
        <v>7.31539465</v>
      </c>
      <c r="CD103" s="5">
        <v>-8.9804620000000002E-2</v>
      </c>
      <c r="CE103" s="5">
        <v>10.24746921</v>
      </c>
      <c r="CF103" s="5">
        <v>10.256680190000001</v>
      </c>
      <c r="CG103" s="5">
        <v>-0.10623803</v>
      </c>
      <c r="CH103" s="5">
        <v>-0.19583459</v>
      </c>
      <c r="CI103" s="5">
        <v>0.28265097</v>
      </c>
    </row>
    <row r="104" spans="1:87" ht="15" customHeight="1" x14ac:dyDescent="0.2">
      <c r="A104" s="58">
        <f t="shared" si="110"/>
        <v>62009024</v>
      </c>
      <c r="B104" s="58" t="s">
        <v>121</v>
      </c>
      <c r="C104" s="58" t="s">
        <v>122</v>
      </c>
      <c r="D104" s="59" t="s">
        <v>114</v>
      </c>
      <c r="E104" s="60" t="s">
        <v>236</v>
      </c>
      <c r="F104" s="61" t="str">
        <f t="shared" si="87"/>
        <v>09/17/20</v>
      </c>
      <c r="G104" s="62" t="s">
        <v>237</v>
      </c>
      <c r="H104" s="62" t="s">
        <v>110</v>
      </c>
      <c r="I104" s="63"/>
      <c r="J104" s="64">
        <v>20.509048</v>
      </c>
      <c r="K104" s="64">
        <v>51.322239000000003</v>
      </c>
      <c r="L104" s="64">
        <v>29.407467</v>
      </c>
      <c r="M104" s="64">
        <v>27.802543</v>
      </c>
      <c r="N104" s="65">
        <v>3875</v>
      </c>
      <c r="O104" s="65">
        <v>28.39</v>
      </c>
      <c r="P104" s="65">
        <v>0.20169999999999999</v>
      </c>
      <c r="Q104" s="65">
        <v>1.932E-2</v>
      </c>
      <c r="R104" s="66">
        <v>3.5825137699999998</v>
      </c>
      <c r="S104" s="66">
        <f>R104+R103</f>
        <v>13.82990955</v>
      </c>
      <c r="T104" s="67">
        <v>92.884585000000001</v>
      </c>
      <c r="U104" s="67">
        <v>92.002615000000006</v>
      </c>
      <c r="V104" s="68">
        <v>3389</v>
      </c>
      <c r="W104" s="68">
        <v>4042</v>
      </c>
      <c r="X104" s="68">
        <f>W104-V104</f>
        <v>653</v>
      </c>
      <c r="Y104" s="68">
        <f t="shared" si="100"/>
        <v>182.27424705753469</v>
      </c>
      <c r="Z104" s="69">
        <v>117.4</v>
      </c>
      <c r="AA104" s="68">
        <v>138.69999999999999</v>
      </c>
      <c r="AB104" s="68">
        <f>AA104-Z104</f>
        <v>21.299999999999983</v>
      </c>
      <c r="AC104" s="68">
        <f t="shared" si="101"/>
        <v>5.9455458841125362</v>
      </c>
      <c r="AD104" s="69">
        <v>100.53</v>
      </c>
      <c r="AE104" s="68">
        <v>118.73</v>
      </c>
      <c r="AF104" s="68">
        <f>AE104-AD104</f>
        <v>18.200000000000003</v>
      </c>
      <c r="AG104" s="68">
        <f t="shared" si="102"/>
        <v>5.0802316944060211</v>
      </c>
      <c r="AH104" s="69">
        <v>14.68</v>
      </c>
      <c r="AI104" s="68">
        <v>16.43</v>
      </c>
      <c r="AJ104" s="68">
        <f>AI104-AH104</f>
        <v>1.75</v>
      </c>
      <c r="AK104" s="70">
        <f t="shared" si="103"/>
        <v>0.48848381676980968</v>
      </c>
      <c r="AL104" s="69">
        <v>-9.6</v>
      </c>
      <c r="AM104" s="68">
        <v>-11.8</v>
      </c>
      <c r="AN104" s="68">
        <f>AM104-AL104</f>
        <v>-2.2000000000000011</v>
      </c>
      <c r="AO104" s="70">
        <f t="shared" si="104"/>
        <v>-0.61409394108204673</v>
      </c>
      <c r="AP104" s="69">
        <v>-11.6</v>
      </c>
      <c r="AQ104" s="68">
        <v>-14.3</v>
      </c>
      <c r="AR104" s="68">
        <f>AQ104-AP104</f>
        <v>-2.7000000000000011</v>
      </c>
      <c r="AS104" s="70">
        <f t="shared" si="105"/>
        <v>-0.75366074587342091</v>
      </c>
      <c r="AT104" s="69">
        <v>4.5</v>
      </c>
      <c r="AU104" s="68">
        <v>5.4</v>
      </c>
      <c r="AV104" s="68">
        <f>AU104-AT104</f>
        <v>0.90000000000000036</v>
      </c>
      <c r="AW104" s="70">
        <f t="shared" si="106"/>
        <v>0.25122024862447367</v>
      </c>
      <c r="AX104" s="69">
        <v>2916</v>
      </c>
      <c r="AY104" s="68">
        <v>3568</v>
      </c>
      <c r="AZ104" s="68">
        <f>AY104-AX104</f>
        <v>652</v>
      </c>
      <c r="BA104" s="70">
        <f t="shared" si="107"/>
        <v>181.99511344795195</v>
      </c>
      <c r="BB104" s="69">
        <v>526.1</v>
      </c>
      <c r="BC104" s="68">
        <v>526.79999999999995</v>
      </c>
      <c r="BD104" s="68">
        <f>BC104-BB104</f>
        <v>0.69999999999993179</v>
      </c>
      <c r="BE104" s="70">
        <f t="shared" si="108"/>
        <v>0.19539352670790483</v>
      </c>
      <c r="BF104" s="69">
        <v>-521.20000000000005</v>
      </c>
      <c r="BG104" s="68">
        <v>-521.20000000000005</v>
      </c>
      <c r="BH104" s="68">
        <f>BG104-BF104</f>
        <v>0</v>
      </c>
      <c r="BI104" s="70">
        <f t="shared" si="109"/>
        <v>0</v>
      </c>
      <c r="BJ104" s="71">
        <v>92.884585000000001</v>
      </c>
      <c r="BK104" s="71">
        <v>92.002615000000006</v>
      </c>
      <c r="BL104" s="71">
        <f>BK104-BJ104</f>
        <v>-0.88196999999999548</v>
      </c>
      <c r="BM104" s="72">
        <v>-521.20000000000005</v>
      </c>
      <c r="BN104" s="73">
        <v>-521.20000000000005</v>
      </c>
      <c r="BO104" s="73">
        <f>BN104-BM104</f>
        <v>0</v>
      </c>
      <c r="BP104" s="72">
        <v>526.1</v>
      </c>
      <c r="BQ104" s="73">
        <v>526.79999999999995</v>
      </c>
      <c r="BR104" s="73">
        <f>BQ104-BP104</f>
        <v>0.69999999999993179</v>
      </c>
      <c r="BS104" s="71"/>
      <c r="BT104" s="71"/>
      <c r="BU104" s="71"/>
      <c r="BV104" s="71"/>
      <c r="BW104" s="62" t="s">
        <v>215</v>
      </c>
      <c r="BX104" s="5">
        <v>2196.1370106499999</v>
      </c>
      <c r="BY104" s="5">
        <v>-1.1331953299999999</v>
      </c>
      <c r="BZ104" s="5">
        <v>2025.4323612799999</v>
      </c>
      <c r="CA104" s="5">
        <v>2048.6475395699999</v>
      </c>
      <c r="CB104" s="5">
        <v>2.9306209700000001</v>
      </c>
      <c r="CC104" s="5">
        <v>2.9656559699999998</v>
      </c>
      <c r="CD104" s="5">
        <v>-0.23714478</v>
      </c>
      <c r="CE104" s="5">
        <v>3.5824636700000001</v>
      </c>
      <c r="CF104" s="5">
        <v>3.5909794900000001</v>
      </c>
      <c r="CG104" s="5">
        <v>-0.95550080000000004</v>
      </c>
      <c r="CH104" s="5">
        <v>-1.1813577</v>
      </c>
      <c r="CI104" s="5">
        <v>0.59138133999999998</v>
      </c>
    </row>
    <row r="105" spans="1:87" ht="15" customHeight="1" x14ac:dyDescent="0.2">
      <c r="A105" s="58">
        <f t="shared" si="110"/>
        <v>62009024</v>
      </c>
      <c r="B105" s="58" t="s">
        <v>123</v>
      </c>
      <c r="C105" s="58" t="s">
        <v>124</v>
      </c>
      <c r="D105" s="59" t="s">
        <v>114</v>
      </c>
      <c r="E105" s="60" t="s">
        <v>236</v>
      </c>
      <c r="F105" s="61" t="str">
        <f t="shared" si="87"/>
        <v>09/17/20</v>
      </c>
      <c r="G105" s="62" t="s">
        <v>237</v>
      </c>
      <c r="H105" s="62" t="s">
        <v>110</v>
      </c>
      <c r="I105" s="63"/>
      <c r="J105" s="64">
        <v>19.810441000000001</v>
      </c>
      <c r="K105" s="64">
        <v>53.845021000000003</v>
      </c>
      <c r="L105" s="64">
        <v>29.411860000000001</v>
      </c>
      <c r="M105" s="64">
        <v>27.200109999999999</v>
      </c>
      <c r="N105" s="65">
        <v>3875</v>
      </c>
      <c r="O105" s="65">
        <v>28.39</v>
      </c>
      <c r="P105" s="65">
        <v>0.20169999999999999</v>
      </c>
      <c r="Q105" s="65">
        <v>1.932E-2</v>
      </c>
      <c r="R105" s="66">
        <v>3.8453412299999998</v>
      </c>
      <c r="S105" s="66">
        <f>R105+R104</f>
        <v>7.4278549999999992</v>
      </c>
      <c r="T105" s="67">
        <v>92.002615000000006</v>
      </c>
      <c r="U105" s="67">
        <v>91.242716000000001</v>
      </c>
      <c r="V105" s="68">
        <v>4042</v>
      </c>
      <c r="W105" s="68">
        <v>4603</v>
      </c>
      <c r="X105" s="68">
        <f>W105-V105</f>
        <v>561</v>
      </c>
      <c r="Y105" s="68">
        <f t="shared" si="100"/>
        <v>145.8908238424396</v>
      </c>
      <c r="Z105" s="69">
        <v>138.69999999999999</v>
      </c>
      <c r="AA105" s="68">
        <v>176.3</v>
      </c>
      <c r="AB105" s="68">
        <f>AA105-Z105</f>
        <v>37.600000000000023</v>
      </c>
      <c r="AC105" s="68">
        <f t="shared" si="101"/>
        <v>9.7780659117214483</v>
      </c>
      <c r="AD105" s="69">
        <v>118.73478</v>
      </c>
      <c r="AE105" s="68">
        <v>150.76442800000001</v>
      </c>
      <c r="AF105" s="68">
        <f>AE105-AD105</f>
        <v>32.029648000000009</v>
      </c>
      <c r="AG105" s="68">
        <f t="shared" si="102"/>
        <v>8.3294683317350255</v>
      </c>
      <c r="AH105" s="69">
        <v>16.43</v>
      </c>
      <c r="AI105" s="68">
        <v>17.510000000000002</v>
      </c>
      <c r="AJ105" s="68">
        <f>AI105-AH105</f>
        <v>1.0800000000000018</v>
      </c>
      <c r="AK105" s="70">
        <f t="shared" si="103"/>
        <v>0.28085934001753127</v>
      </c>
      <c r="AL105" s="69">
        <v>-11.8</v>
      </c>
      <c r="AM105" s="68">
        <v>-15.6</v>
      </c>
      <c r="AN105" s="68">
        <f>AM105-AL105</f>
        <v>-3.7999999999999989</v>
      </c>
      <c r="AO105" s="70">
        <f t="shared" si="104"/>
        <v>-0.98820878895057096</v>
      </c>
      <c r="AP105" s="69">
        <v>-14.3</v>
      </c>
      <c r="AQ105" s="68">
        <v>-18.899999999999999</v>
      </c>
      <c r="AR105" s="68">
        <f>AQ105-AP105</f>
        <v>-4.5999999999999979</v>
      </c>
      <c r="AS105" s="70">
        <f t="shared" si="105"/>
        <v>-1.196252744519112</v>
      </c>
      <c r="AT105" s="69">
        <v>5.4</v>
      </c>
      <c r="AU105" s="68">
        <v>6.9</v>
      </c>
      <c r="AV105" s="68">
        <f>AU105-AT105</f>
        <v>1.5</v>
      </c>
      <c r="AW105" s="70">
        <f t="shared" si="106"/>
        <v>0.39008241669101495</v>
      </c>
      <c r="AX105" s="69">
        <v>3568</v>
      </c>
      <c r="AY105" s="68">
        <v>4128</v>
      </c>
      <c r="AZ105" s="68">
        <f>AY105-AX105</f>
        <v>560</v>
      </c>
      <c r="BA105" s="70">
        <f t="shared" si="107"/>
        <v>145.63076889797892</v>
      </c>
      <c r="BB105" s="69">
        <v>526.79999999999995</v>
      </c>
      <c r="BC105" s="68">
        <v>528</v>
      </c>
      <c r="BD105" s="68">
        <f>BC105-BB105</f>
        <v>1.2000000000000455</v>
      </c>
      <c r="BE105" s="70">
        <f t="shared" si="108"/>
        <v>0.31206593335282379</v>
      </c>
      <c r="BF105" s="69">
        <v>-521.20000000000005</v>
      </c>
      <c r="BG105" s="68">
        <v>-521.20000000000005</v>
      </c>
      <c r="BH105" s="68">
        <f>BG105-BF105</f>
        <v>0</v>
      </c>
      <c r="BI105" s="70">
        <f t="shared" si="109"/>
        <v>0</v>
      </c>
      <c r="BJ105" s="71">
        <v>92.002615000000006</v>
      </c>
      <c r="BK105" s="71">
        <v>91.242716000000001</v>
      </c>
      <c r="BL105" s="71">
        <f>BK105-BJ105</f>
        <v>-0.75989900000000432</v>
      </c>
      <c r="BM105" s="72">
        <v>-521.20000000000005</v>
      </c>
      <c r="BN105" s="73">
        <v>-521.20000000000005</v>
      </c>
      <c r="BO105" s="73">
        <f>BN105-BM105</f>
        <v>0</v>
      </c>
      <c r="BP105" s="72">
        <v>526.79999999999995</v>
      </c>
      <c r="BQ105" s="73">
        <v>528</v>
      </c>
      <c r="BR105" s="73">
        <f>BQ105-BP105</f>
        <v>1.2000000000000455</v>
      </c>
      <c r="BS105" s="71"/>
      <c r="BT105" s="71"/>
      <c r="BU105" s="71"/>
      <c r="BV105" s="71"/>
      <c r="BW105" s="62" t="s">
        <v>215</v>
      </c>
      <c r="BX105" s="5">
        <v>1348.1864418600001</v>
      </c>
      <c r="BY105" s="5">
        <v>-1.2234171899999999</v>
      </c>
      <c r="BZ105" s="5">
        <v>3374.2004428199998</v>
      </c>
      <c r="CA105" s="5">
        <v>3415.9922795399998</v>
      </c>
      <c r="CB105" s="5">
        <v>2.70174475</v>
      </c>
      <c r="CC105" s="5">
        <v>2.7414799699999999</v>
      </c>
      <c r="CD105" s="5">
        <v>-0.38025027</v>
      </c>
      <c r="CE105" s="5">
        <v>3.8451506800000002</v>
      </c>
      <c r="CF105" s="5">
        <v>3.8598276899999999</v>
      </c>
      <c r="CG105" s="5">
        <v>-1.0848815599999999</v>
      </c>
      <c r="CH105" s="5">
        <v>-1.4494074800000001</v>
      </c>
      <c r="CI105" s="5">
        <v>0.71728190999999997</v>
      </c>
    </row>
    <row r="106" spans="1:87" ht="15" customHeight="1" x14ac:dyDescent="0.2">
      <c r="A106" s="58">
        <f t="shared" si="110"/>
        <v>62009024</v>
      </c>
      <c r="B106" s="58" t="s">
        <v>125</v>
      </c>
      <c r="C106" s="58" t="s">
        <v>126</v>
      </c>
      <c r="D106" s="59" t="s">
        <v>114</v>
      </c>
      <c r="E106" s="60" t="s">
        <v>236</v>
      </c>
      <c r="F106" s="61" t="str">
        <f t="shared" si="87"/>
        <v>09/17/20</v>
      </c>
      <c r="G106" s="62" t="s">
        <v>237</v>
      </c>
      <c r="H106" s="62" t="s">
        <v>110</v>
      </c>
      <c r="I106" s="63"/>
      <c r="J106" s="74">
        <f>AVERAGE(J104:J105)</f>
        <v>20.159744500000002</v>
      </c>
      <c r="K106" s="74">
        <f>AVERAGE(K104:K105)</f>
        <v>52.583629999999999</v>
      </c>
      <c r="L106" s="74">
        <f>AVERAGE(L104:L105)</f>
        <v>29.409663500000001</v>
      </c>
      <c r="M106" s="74">
        <f>AVERAGE(M104:M105)</f>
        <v>27.501326499999998</v>
      </c>
      <c r="N106" s="75"/>
      <c r="O106" s="65"/>
      <c r="P106" s="76"/>
      <c r="Q106" s="77"/>
      <c r="R106" s="78">
        <f>R105+R104</f>
        <v>7.4278549999999992</v>
      </c>
      <c r="S106" s="78">
        <f>S105</f>
        <v>7.4278549999999992</v>
      </c>
      <c r="T106" s="79">
        <f>T104</f>
        <v>92.884585000000001</v>
      </c>
      <c r="U106" s="79">
        <f>U105</f>
        <v>91.242716000000001</v>
      </c>
      <c r="V106" s="80">
        <f>V104</f>
        <v>3389</v>
      </c>
      <c r="W106" s="80">
        <f>W105</f>
        <v>4603</v>
      </c>
      <c r="X106" s="80">
        <f>SUM(X104:X105)</f>
        <v>1214</v>
      </c>
      <c r="Y106" s="80">
        <f t="shared" si="100"/>
        <v>163.43883934190961</v>
      </c>
      <c r="Z106" s="80">
        <f>Z104</f>
        <v>117.4</v>
      </c>
      <c r="AA106" s="80">
        <f>AA105</f>
        <v>176.3</v>
      </c>
      <c r="AB106" s="80">
        <f>SUM(AB104:AB105)</f>
        <v>58.900000000000006</v>
      </c>
      <c r="AC106" s="80">
        <f t="shared" si="101"/>
        <v>7.929610903820822</v>
      </c>
      <c r="AD106" s="80">
        <f>AD104</f>
        <v>100.53</v>
      </c>
      <c r="AE106" s="80">
        <f>AE105</f>
        <v>150.76442800000001</v>
      </c>
      <c r="AF106" s="80">
        <f>SUM(AF104:AF105)</f>
        <v>50.229648000000012</v>
      </c>
      <c r="AG106" s="80">
        <f t="shared" si="102"/>
        <v>6.7623355598621702</v>
      </c>
      <c r="AH106" s="80">
        <f>AH104</f>
        <v>14.68</v>
      </c>
      <c r="AI106" s="80">
        <f>AI105</f>
        <v>17.510000000000002</v>
      </c>
      <c r="AJ106" s="80">
        <f>SUM(AJ104:AJ105)</f>
        <v>2.8300000000000018</v>
      </c>
      <c r="AK106" s="81">
        <f t="shared" si="103"/>
        <v>0.38099828281516024</v>
      </c>
      <c r="AL106" s="80">
        <f>AL104</f>
        <v>-9.6</v>
      </c>
      <c r="AM106" s="80">
        <f>AM105</f>
        <v>-15.6</v>
      </c>
      <c r="AN106" s="80">
        <f>SUM(AN104:AN105)</f>
        <v>-6</v>
      </c>
      <c r="AO106" s="81">
        <f t="shared" si="104"/>
        <v>-0.80777021091553358</v>
      </c>
      <c r="AP106" s="80">
        <f>AP104</f>
        <v>-11.6</v>
      </c>
      <c r="AQ106" s="80">
        <f>AQ105</f>
        <v>-18.899999999999999</v>
      </c>
      <c r="AR106" s="80">
        <f>SUM(AR104:AR105)</f>
        <v>-7.2999999999999989</v>
      </c>
      <c r="AS106" s="81">
        <f t="shared" si="105"/>
        <v>-0.98278708994723241</v>
      </c>
      <c r="AT106" s="80">
        <f>AT104</f>
        <v>4.5</v>
      </c>
      <c r="AU106" s="80">
        <f>AU105</f>
        <v>6.9</v>
      </c>
      <c r="AV106" s="80">
        <f>SUM(AV104:AV105)</f>
        <v>2.4000000000000004</v>
      </c>
      <c r="AW106" s="81">
        <f t="shared" si="106"/>
        <v>0.32310808436621347</v>
      </c>
      <c r="AX106" s="80">
        <f>AX104</f>
        <v>2916</v>
      </c>
      <c r="AY106" s="80">
        <f>AY105</f>
        <v>4128</v>
      </c>
      <c r="AZ106" s="80">
        <f>SUM(AZ104:AZ105)</f>
        <v>1212</v>
      </c>
      <c r="BA106" s="81">
        <f t="shared" si="107"/>
        <v>163.16958260493777</v>
      </c>
      <c r="BB106" s="80">
        <f>BB104</f>
        <v>526.1</v>
      </c>
      <c r="BC106" s="80">
        <f>BC105</f>
        <v>528</v>
      </c>
      <c r="BD106" s="80">
        <f>SUM(BD104:BD105)</f>
        <v>1.8999999999999773</v>
      </c>
      <c r="BE106" s="81">
        <f t="shared" si="108"/>
        <v>0.25579390012324926</v>
      </c>
      <c r="BF106" s="80">
        <f>BF104</f>
        <v>-521.20000000000005</v>
      </c>
      <c r="BG106" s="80">
        <f>BG105</f>
        <v>-521.20000000000005</v>
      </c>
      <c r="BH106" s="80">
        <f>SUM(BH104:BH105)</f>
        <v>0</v>
      </c>
      <c r="BI106" s="81">
        <f t="shared" si="109"/>
        <v>0</v>
      </c>
      <c r="BJ106" s="82"/>
      <c r="BK106" s="82"/>
      <c r="BL106" s="82">
        <f>SUM(BL104:BL105)</f>
        <v>-1.6418689999999998</v>
      </c>
      <c r="BM106" s="83">
        <f>BM104</f>
        <v>-521.20000000000005</v>
      </c>
      <c r="BN106" s="83">
        <f>BN105</f>
        <v>-521.20000000000005</v>
      </c>
      <c r="BO106" s="83">
        <f>SUM(BO104:BO105)</f>
        <v>0</v>
      </c>
      <c r="BP106" s="83">
        <f>BP104</f>
        <v>526.1</v>
      </c>
      <c r="BQ106" s="83">
        <f>BQ105</f>
        <v>528</v>
      </c>
      <c r="BR106" s="83">
        <f>SUM(BR104:BR105)</f>
        <v>1.8999999999999773</v>
      </c>
      <c r="BS106" s="82"/>
      <c r="BT106" s="82"/>
      <c r="BU106" s="82"/>
      <c r="BV106" s="82"/>
      <c r="BW106" s="62" t="s">
        <v>215</v>
      </c>
    </row>
    <row r="107" spans="1:87" ht="15" customHeight="1" x14ac:dyDescent="0.2">
      <c r="A107" s="58">
        <f t="shared" si="110"/>
        <v>62009024</v>
      </c>
      <c r="B107" s="58" t="s">
        <v>127</v>
      </c>
      <c r="C107" s="58" t="s">
        <v>128</v>
      </c>
      <c r="D107" s="59" t="s">
        <v>114</v>
      </c>
      <c r="E107" s="60" t="s">
        <v>236</v>
      </c>
      <c r="F107" s="61" t="str">
        <f t="shared" si="87"/>
        <v>09/17/20</v>
      </c>
      <c r="G107" s="62" t="s">
        <v>237</v>
      </c>
      <c r="H107" s="62" t="s">
        <v>110</v>
      </c>
      <c r="I107" s="63"/>
      <c r="J107" s="64">
        <v>23.058156</v>
      </c>
      <c r="K107" s="64">
        <v>43.545465999999998</v>
      </c>
      <c r="L107" s="64">
        <v>29.416482999999999</v>
      </c>
      <c r="M107" s="64">
        <v>29.417560000000002</v>
      </c>
      <c r="N107" s="65">
        <v>3875</v>
      </c>
      <c r="O107" s="65">
        <v>28.39</v>
      </c>
      <c r="P107" s="65">
        <v>0.20169999999999999</v>
      </c>
      <c r="Q107" s="65">
        <v>1.932E-2</v>
      </c>
      <c r="R107" s="66">
        <v>1.7645642800000001</v>
      </c>
      <c r="S107" s="66">
        <f>R107+R106</f>
        <v>9.1924192799999993</v>
      </c>
      <c r="T107" s="67">
        <v>91.236613000000006</v>
      </c>
      <c r="U107" s="67">
        <v>88.287047999999999</v>
      </c>
      <c r="V107" s="68">
        <v>4608</v>
      </c>
      <c r="W107" s="68">
        <v>6766</v>
      </c>
      <c r="X107" s="68">
        <f>W107-V107-X108</f>
        <v>460</v>
      </c>
      <c r="Y107" s="68">
        <f t="shared" si="100"/>
        <v>260.6875845860373</v>
      </c>
      <c r="Z107" s="69">
        <v>180.5</v>
      </c>
      <c r="AA107" s="68">
        <v>207.9</v>
      </c>
      <c r="AB107" s="68">
        <f>AA107-Z107-AB108</f>
        <v>10.600000000000023</v>
      </c>
      <c r="AC107" s="68">
        <f t="shared" si="101"/>
        <v>6.0071486882869589</v>
      </c>
      <c r="AD107" s="69">
        <v>154.38999999999999</v>
      </c>
      <c r="AE107" s="68">
        <v>177.91765599999999</v>
      </c>
      <c r="AF107" s="68">
        <f>AE107-AD107-AF108</f>
        <v>9.1333979999999997</v>
      </c>
      <c r="AG107" s="68">
        <f t="shared" si="102"/>
        <v>5.1760075297455295</v>
      </c>
      <c r="AH107" s="69">
        <v>17.61</v>
      </c>
      <c r="AI107" s="68">
        <v>18.21</v>
      </c>
      <c r="AJ107" s="68">
        <f>AI107-AH107-AJ108</f>
        <v>0.24000000000000199</v>
      </c>
      <c r="AK107" s="70">
        <f t="shared" si="103"/>
        <v>0.13601091369706406</v>
      </c>
      <c r="AL107" s="69">
        <v>-16</v>
      </c>
      <c r="AM107" s="68">
        <v>-18.600000000000001</v>
      </c>
      <c r="AN107" s="68">
        <f>AM107-AL107-AN108</f>
        <v>-1.1000000000000014</v>
      </c>
      <c r="AO107" s="70">
        <f t="shared" si="104"/>
        <v>-0.62338335444487258</v>
      </c>
      <c r="AP107" s="69">
        <v>-19.399999999999999</v>
      </c>
      <c r="AQ107" s="68">
        <v>-22.6</v>
      </c>
      <c r="AR107" s="68">
        <f>AQ107-AP107-AR108</f>
        <v>-1.3000000000000043</v>
      </c>
      <c r="AS107" s="70">
        <f t="shared" si="105"/>
        <v>-0.73672578252575993</v>
      </c>
      <c r="AT107" s="69">
        <v>7.1</v>
      </c>
      <c r="AU107" s="68">
        <v>8.1999999999999993</v>
      </c>
      <c r="AV107" s="68">
        <f>AU107-AT107-AV108</f>
        <v>0.39999999999999947</v>
      </c>
      <c r="AW107" s="70">
        <f t="shared" si="106"/>
        <v>0.22668485616177125</v>
      </c>
      <c r="AX107" s="69">
        <v>4132</v>
      </c>
      <c r="AY107" s="68">
        <v>6292</v>
      </c>
      <c r="AZ107" s="68">
        <f>AY107-AX107-AZ108</f>
        <v>462</v>
      </c>
      <c r="BA107" s="70">
        <f t="shared" si="107"/>
        <v>261.82100886684611</v>
      </c>
      <c r="BB107" s="69">
        <v>528.20000000000005</v>
      </c>
      <c r="BC107" s="68">
        <v>529</v>
      </c>
      <c r="BD107" s="68">
        <f>BC107-BB107-BD108</f>
        <v>0.29999999999995453</v>
      </c>
      <c r="BE107" s="70">
        <f t="shared" si="108"/>
        <v>0.1700136421213029</v>
      </c>
      <c r="BF107" s="69">
        <v>-521.20000000000005</v>
      </c>
      <c r="BG107" s="68">
        <v>-521.20000000000005</v>
      </c>
      <c r="BH107" s="68">
        <f>BG107-BF107-BH108</f>
        <v>0</v>
      </c>
      <c r="BI107" s="70">
        <f t="shared" si="109"/>
        <v>0</v>
      </c>
      <c r="BJ107" s="71">
        <v>91.236613000000006</v>
      </c>
      <c r="BK107" s="71">
        <v>88.287047999999999</v>
      </c>
      <c r="BL107" s="71">
        <f>BK107-BJ107-BL108</f>
        <v>-0.637826000000004</v>
      </c>
      <c r="BM107" s="72">
        <v>-521.20000000000005</v>
      </c>
      <c r="BN107" s="73">
        <v>-521.20000000000005</v>
      </c>
      <c r="BO107" s="73">
        <f>BN107-BM107-BO108</f>
        <v>0</v>
      </c>
      <c r="BP107" s="72">
        <v>528.20000000000005</v>
      </c>
      <c r="BQ107" s="73">
        <v>529</v>
      </c>
      <c r="BR107" s="73">
        <f>BQ107-BP107-BR108</f>
        <v>0.29999999999995453</v>
      </c>
      <c r="BS107" s="71"/>
      <c r="BT107" s="71"/>
      <c r="BU107" s="71"/>
      <c r="BV107" s="71"/>
      <c r="BW107" s="62" t="s">
        <v>215</v>
      </c>
      <c r="BX107" s="5">
        <v>5068.8812887900003</v>
      </c>
      <c r="BY107" s="5">
        <v>-2.9018849599999998</v>
      </c>
      <c r="BZ107" s="5">
        <v>2387.9116012700001</v>
      </c>
      <c r="CA107" s="5">
        <v>2459.2769905</v>
      </c>
      <c r="CB107" s="5">
        <v>2.85350415</v>
      </c>
      <c r="CC107" s="5">
        <v>2.9252009000000001</v>
      </c>
      <c r="CD107" s="5">
        <v>-0.42877755000000001</v>
      </c>
      <c r="CE107" s="5">
        <v>1.7645061799999999</v>
      </c>
      <c r="CF107" s="5">
        <v>1.77210457</v>
      </c>
      <c r="CG107" s="5">
        <v>-2.0730352700000001</v>
      </c>
      <c r="CH107" s="5">
        <v>-2.4510026599999999</v>
      </c>
      <c r="CI107" s="5">
        <v>0.8146371</v>
      </c>
    </row>
    <row r="108" spans="1:87" ht="15" customHeight="1" x14ac:dyDescent="0.2">
      <c r="A108" s="58">
        <f t="shared" si="110"/>
        <v>62009024</v>
      </c>
      <c r="B108" s="58" t="s">
        <v>129</v>
      </c>
      <c r="C108" s="58" t="s">
        <v>130</v>
      </c>
      <c r="D108" s="59" t="s">
        <v>114</v>
      </c>
      <c r="E108" s="60" t="s">
        <v>236</v>
      </c>
      <c r="F108" s="61" t="str">
        <f t="shared" si="87"/>
        <v>09/17/20</v>
      </c>
      <c r="G108" s="62" t="s">
        <v>237</v>
      </c>
      <c r="H108" s="62" t="s">
        <v>110</v>
      </c>
      <c r="I108" s="63"/>
      <c r="J108" s="64">
        <v>27.036086000000001</v>
      </c>
      <c r="K108" s="64">
        <v>34.558219000000001</v>
      </c>
      <c r="L108" s="64">
        <v>29.445720999999999</v>
      </c>
      <c r="M108" s="64">
        <v>29.620059000000001</v>
      </c>
      <c r="N108" s="65">
        <v>3875</v>
      </c>
      <c r="O108" s="65">
        <v>28.39</v>
      </c>
      <c r="P108" s="65">
        <v>0.20169999999999999</v>
      </c>
      <c r="Q108" s="65">
        <v>1.932E-2</v>
      </c>
      <c r="R108" s="66">
        <v>6.2273579699999999</v>
      </c>
      <c r="S108" s="66">
        <f>R108+R107</f>
        <v>7.99192225</v>
      </c>
      <c r="T108" s="67">
        <v>90.797154000000006</v>
      </c>
      <c r="U108" s="67">
        <v>88.485415000000003</v>
      </c>
      <c r="V108" s="68">
        <v>4928</v>
      </c>
      <c r="W108" s="68">
        <v>6626</v>
      </c>
      <c r="X108" s="68">
        <f>W108-V108</f>
        <v>1698</v>
      </c>
      <c r="Y108" s="68">
        <f t="shared" si="100"/>
        <v>272.66780040268026</v>
      </c>
      <c r="Z108" s="69">
        <v>186.4</v>
      </c>
      <c r="AA108" s="68">
        <v>203.2</v>
      </c>
      <c r="AB108" s="68">
        <f>AA108-Z108</f>
        <v>16.799999999999983</v>
      </c>
      <c r="AC108" s="68">
        <f t="shared" si="101"/>
        <v>2.6977732902031941</v>
      </c>
      <c r="AD108" s="69">
        <v>159.44999999999999</v>
      </c>
      <c r="AE108" s="68">
        <v>173.844258</v>
      </c>
      <c r="AF108" s="68">
        <f>AE108-AD108</f>
        <v>14.394258000000008</v>
      </c>
      <c r="AG108" s="68">
        <f t="shared" si="102"/>
        <v>2.3114550455174827</v>
      </c>
      <c r="AH108" s="69">
        <v>17.75</v>
      </c>
      <c r="AI108" s="68">
        <v>18.11</v>
      </c>
      <c r="AJ108" s="68">
        <f>AI108-AH108</f>
        <v>0.35999999999999943</v>
      </c>
      <c r="AK108" s="70">
        <f t="shared" si="103"/>
        <v>5.7809427647211267E-2</v>
      </c>
      <c r="AL108" s="69">
        <v>-16.600000000000001</v>
      </c>
      <c r="AM108" s="68">
        <v>-18.100000000000001</v>
      </c>
      <c r="AN108" s="68">
        <f>AM108-AL108</f>
        <v>-1.5</v>
      </c>
      <c r="AO108" s="70">
        <f t="shared" si="104"/>
        <v>-0.24087261519671399</v>
      </c>
      <c r="AP108" s="69">
        <v>-20.100000000000001</v>
      </c>
      <c r="AQ108" s="68">
        <v>-22</v>
      </c>
      <c r="AR108" s="68">
        <f>AQ108-AP108</f>
        <v>-1.8999999999999986</v>
      </c>
      <c r="AS108" s="70">
        <f t="shared" si="105"/>
        <v>-0.30510531258250417</v>
      </c>
      <c r="AT108" s="69">
        <v>7.3</v>
      </c>
      <c r="AU108" s="68">
        <v>8</v>
      </c>
      <c r="AV108" s="68">
        <f>AU108-AT108</f>
        <v>0.70000000000000018</v>
      </c>
      <c r="AW108" s="70">
        <f t="shared" si="106"/>
        <v>0.11240722042513322</v>
      </c>
      <c r="AX108" s="69">
        <v>4453</v>
      </c>
      <c r="AY108" s="68">
        <v>6151</v>
      </c>
      <c r="AZ108" s="68">
        <f>AY108-AX108</f>
        <v>1698</v>
      </c>
      <c r="BA108" s="70">
        <f t="shared" si="107"/>
        <v>272.66780040268026</v>
      </c>
      <c r="BB108" s="69">
        <v>528.4</v>
      </c>
      <c r="BC108" s="68">
        <v>528.9</v>
      </c>
      <c r="BD108" s="68">
        <f>BC108-BB108</f>
        <v>0.5</v>
      </c>
      <c r="BE108" s="70">
        <f t="shared" si="108"/>
        <v>8.0290871732237992E-2</v>
      </c>
      <c r="BF108" s="69">
        <v>-521.20000000000005</v>
      </c>
      <c r="BG108" s="68">
        <v>-521.20000000000005</v>
      </c>
      <c r="BH108" s="68">
        <f>BG108-BF108</f>
        <v>0</v>
      </c>
      <c r="BI108" s="70">
        <f t="shared" si="109"/>
        <v>0</v>
      </c>
      <c r="BJ108" s="71">
        <v>90.797154000000006</v>
      </c>
      <c r="BK108" s="71">
        <v>88.485415000000003</v>
      </c>
      <c r="BL108" s="71">
        <f>BK108-BJ108</f>
        <v>-2.3117390000000029</v>
      </c>
      <c r="BM108" s="72">
        <v>-521.20000000000005</v>
      </c>
      <c r="BN108" s="73">
        <v>-521.20000000000005</v>
      </c>
      <c r="BO108" s="73">
        <f>BN108-BM108</f>
        <v>0</v>
      </c>
      <c r="BP108" s="72">
        <v>528.4</v>
      </c>
      <c r="BQ108" s="73">
        <v>528.9</v>
      </c>
      <c r="BR108" s="73">
        <f>BQ108-BP108</f>
        <v>0.5</v>
      </c>
      <c r="BS108" s="71"/>
      <c r="BT108" s="71"/>
      <c r="BU108" s="71"/>
      <c r="BV108" s="71"/>
      <c r="BW108" s="62" t="s">
        <v>215</v>
      </c>
      <c r="BX108" s="5">
        <v>10789.368042300001</v>
      </c>
      <c r="BY108" s="5">
        <v>-6.8943561600000001</v>
      </c>
      <c r="BZ108" s="5">
        <v>1059.81685298</v>
      </c>
      <c r="CA108" s="5">
        <v>1138.29496182</v>
      </c>
      <c r="CB108" s="5">
        <v>6.38565206</v>
      </c>
      <c r="CC108" s="5">
        <v>6.5095432500000001</v>
      </c>
      <c r="CD108" s="5">
        <v>-0.11989245</v>
      </c>
      <c r="CE108" s="5">
        <v>6.2273831700000004</v>
      </c>
      <c r="CF108" s="5">
        <v>6.23485829</v>
      </c>
      <c r="CG108" s="5">
        <v>-1.81793096</v>
      </c>
      <c r="CH108" s="5">
        <v>-1.90322411</v>
      </c>
      <c r="CI108" s="5">
        <v>0.34621491999999998</v>
      </c>
    </row>
    <row r="109" spans="1:87" ht="15" customHeight="1" x14ac:dyDescent="0.2">
      <c r="A109" s="58">
        <f t="shared" si="110"/>
        <v>62009024</v>
      </c>
      <c r="B109" s="58" t="s">
        <v>131</v>
      </c>
      <c r="C109" s="58" t="s">
        <v>132</v>
      </c>
      <c r="D109" s="59" t="s">
        <v>114</v>
      </c>
      <c r="E109" s="60" t="s">
        <v>236</v>
      </c>
      <c r="F109" s="61" t="str">
        <f t="shared" si="87"/>
        <v>09/17/20</v>
      </c>
      <c r="G109" s="62" t="s">
        <v>237</v>
      </c>
      <c r="H109" s="62" t="s">
        <v>110</v>
      </c>
      <c r="I109" s="63"/>
      <c r="J109" s="74">
        <f>AVERAGE(J107:J108)</f>
        <v>25.047121000000001</v>
      </c>
      <c r="K109" s="74">
        <f>AVERAGE(K107:K108)</f>
        <v>39.051842499999999</v>
      </c>
      <c r="L109" s="74">
        <f>AVERAGE(L107:L108)</f>
        <v>29.431101999999999</v>
      </c>
      <c r="M109" s="74">
        <f>AVERAGE(M107:M108)</f>
        <v>29.518809500000003</v>
      </c>
      <c r="N109" s="75"/>
      <c r="O109" s="65"/>
      <c r="P109" s="76"/>
      <c r="Q109" s="77"/>
      <c r="R109" s="78">
        <f>R108+R107</f>
        <v>7.99192225</v>
      </c>
      <c r="S109" s="78">
        <f>S108</f>
        <v>7.99192225</v>
      </c>
      <c r="T109" s="79">
        <f>T107</f>
        <v>91.236613000000006</v>
      </c>
      <c r="U109" s="79">
        <f>U108</f>
        <v>88.485415000000003</v>
      </c>
      <c r="V109" s="80">
        <f>V107</f>
        <v>4608</v>
      </c>
      <c r="W109" s="80">
        <f>W108</f>
        <v>6626</v>
      </c>
      <c r="X109" s="80">
        <f>SUM(X107:X108)</f>
        <v>2158</v>
      </c>
      <c r="Y109" s="80">
        <f t="shared" si="100"/>
        <v>270.0226469295294</v>
      </c>
      <c r="Z109" s="80">
        <f>Z107</f>
        <v>180.5</v>
      </c>
      <c r="AA109" s="80">
        <f>AA108</f>
        <v>203.2</v>
      </c>
      <c r="AB109" s="80">
        <f>SUM(AB107:AB108)</f>
        <v>27.400000000000006</v>
      </c>
      <c r="AC109" s="80">
        <f t="shared" si="101"/>
        <v>3.4284617821450909</v>
      </c>
      <c r="AD109" s="80">
        <f>AD107</f>
        <v>154.38999999999999</v>
      </c>
      <c r="AE109" s="80">
        <f>AE108</f>
        <v>173.844258</v>
      </c>
      <c r="AF109" s="80">
        <f>SUM(AF107:AF108)</f>
        <v>23.527656000000007</v>
      </c>
      <c r="AG109" s="80">
        <f t="shared" si="102"/>
        <v>2.9439295408560824</v>
      </c>
      <c r="AH109" s="80">
        <f>AH107</f>
        <v>17.61</v>
      </c>
      <c r="AI109" s="80">
        <f>AI108</f>
        <v>18.11</v>
      </c>
      <c r="AJ109" s="80">
        <f>SUM(AJ107:AJ108)</f>
        <v>0.60000000000000142</v>
      </c>
      <c r="AK109" s="81">
        <f t="shared" si="103"/>
        <v>7.5075805448432814E-2</v>
      </c>
      <c r="AL109" s="80">
        <f>AL107</f>
        <v>-16</v>
      </c>
      <c r="AM109" s="80">
        <f>AM108</f>
        <v>-18.100000000000001</v>
      </c>
      <c r="AN109" s="80">
        <f>SUM(AN107:AN108)</f>
        <v>-2.6000000000000014</v>
      </c>
      <c r="AO109" s="81">
        <f t="shared" si="104"/>
        <v>-0.32532849027654159</v>
      </c>
      <c r="AP109" s="80">
        <f>AP107</f>
        <v>-19.399999999999999</v>
      </c>
      <c r="AQ109" s="80">
        <f>AQ108</f>
        <v>-22</v>
      </c>
      <c r="AR109" s="80">
        <f>SUM(AR107:AR108)</f>
        <v>-3.2000000000000028</v>
      </c>
      <c r="AS109" s="81">
        <f t="shared" si="105"/>
        <v>-0.40040429572497438</v>
      </c>
      <c r="AT109" s="80">
        <f>AT107</f>
        <v>7.1</v>
      </c>
      <c r="AU109" s="80">
        <f>AU108</f>
        <v>8</v>
      </c>
      <c r="AV109" s="80">
        <f>SUM(AV107:AV108)</f>
        <v>1.0999999999999996</v>
      </c>
      <c r="AW109" s="81">
        <f t="shared" si="106"/>
        <v>0.13763897665545979</v>
      </c>
      <c r="AX109" s="80">
        <f>AX107</f>
        <v>4132</v>
      </c>
      <c r="AY109" s="80">
        <f>AY108</f>
        <v>6151</v>
      </c>
      <c r="AZ109" s="80">
        <f>SUM(AZ107:AZ108)</f>
        <v>2160</v>
      </c>
      <c r="BA109" s="81">
        <f t="shared" si="107"/>
        <v>270.27289961435747</v>
      </c>
      <c r="BB109" s="80">
        <f>BB107</f>
        <v>528.20000000000005</v>
      </c>
      <c r="BC109" s="80">
        <f>BC108</f>
        <v>528.9</v>
      </c>
      <c r="BD109" s="80">
        <f>SUM(BD107:BD108)</f>
        <v>0.79999999999995453</v>
      </c>
      <c r="BE109" s="81">
        <f t="shared" si="108"/>
        <v>0.10010107393123782</v>
      </c>
      <c r="BF109" s="80">
        <f>BF107</f>
        <v>-521.20000000000005</v>
      </c>
      <c r="BG109" s="80">
        <f>BG108</f>
        <v>-521.20000000000005</v>
      </c>
      <c r="BH109" s="80">
        <f>SUM(BH107:BH108)</f>
        <v>0</v>
      </c>
      <c r="BI109" s="81">
        <f t="shared" si="109"/>
        <v>0</v>
      </c>
      <c r="BJ109" s="82"/>
      <c r="BK109" s="82"/>
      <c r="BL109" s="82">
        <f>SUM(BL107:BL108)</f>
        <v>-2.9495650000000069</v>
      </c>
      <c r="BM109" s="83">
        <f>BM107</f>
        <v>-521.20000000000005</v>
      </c>
      <c r="BN109" s="83">
        <f>BN108</f>
        <v>-521.20000000000005</v>
      </c>
      <c r="BO109" s="83">
        <f>SUM(BO107:BO108)</f>
        <v>0</v>
      </c>
      <c r="BP109" s="83">
        <f>BP107</f>
        <v>528.20000000000005</v>
      </c>
      <c r="BQ109" s="83">
        <f>BQ108</f>
        <v>528.9</v>
      </c>
      <c r="BR109" s="83">
        <f>SUM(BR107:BR108)</f>
        <v>0.79999999999995453</v>
      </c>
      <c r="BS109" s="82"/>
      <c r="BT109" s="82"/>
      <c r="BU109" s="82"/>
      <c r="BV109" s="82"/>
      <c r="BW109" s="62" t="s">
        <v>215</v>
      </c>
    </row>
    <row r="110" spans="1:87" ht="15" customHeight="1" x14ac:dyDescent="0.2">
      <c r="A110" s="58">
        <f>A109+1</f>
        <v>62009025</v>
      </c>
      <c r="B110" s="58" t="s">
        <v>205</v>
      </c>
      <c r="C110" s="58" t="s">
        <v>98</v>
      </c>
      <c r="D110" s="59" t="s">
        <v>206</v>
      </c>
      <c r="E110" s="60" t="s">
        <v>238</v>
      </c>
      <c r="F110" s="61" t="str">
        <f t="shared" si="87"/>
        <v>09/17/20</v>
      </c>
      <c r="G110" s="62" t="s">
        <v>239</v>
      </c>
      <c r="H110" s="62" t="s">
        <v>110</v>
      </c>
      <c r="I110" s="63"/>
      <c r="J110" s="64">
        <v>-86.449078999999998</v>
      </c>
      <c r="K110" s="64">
        <v>-113.13144</v>
      </c>
      <c r="L110" s="64">
        <v>-95.870644999999996</v>
      </c>
      <c r="M110" s="64">
        <v>-101.112042</v>
      </c>
      <c r="N110" s="65">
        <v>3875</v>
      </c>
      <c r="O110" s="65">
        <v>28.39</v>
      </c>
      <c r="P110" s="65">
        <v>0.20169999999999999</v>
      </c>
      <c r="Q110" s="65">
        <v>1.932E-2</v>
      </c>
      <c r="R110" s="66">
        <v>180.21899589</v>
      </c>
      <c r="S110" s="66">
        <f>R110+R109</f>
        <v>188.21091813999999</v>
      </c>
      <c r="T110" s="67">
        <v>88.282470000000004</v>
      </c>
      <c r="U110" s="67">
        <v>20.213597</v>
      </c>
      <c r="V110" s="68">
        <v>6769</v>
      </c>
      <c r="W110" s="68">
        <v>52656</v>
      </c>
      <c r="X110" s="68">
        <f>W110-V110</f>
        <v>45887</v>
      </c>
      <c r="Y110" s="68">
        <f t="shared" si="100"/>
        <v>254.61799836021714</v>
      </c>
      <c r="Z110" s="69">
        <v>210.3</v>
      </c>
      <c r="AA110" s="68">
        <v>695.7</v>
      </c>
      <c r="AB110" s="68">
        <f>AA110-Z110</f>
        <v>485.40000000000003</v>
      </c>
      <c r="AC110" s="68">
        <f t="shared" si="101"/>
        <v>2.6933897706114891</v>
      </c>
      <c r="AD110" s="69">
        <v>179.83397299999999</v>
      </c>
      <c r="AE110" s="68">
        <v>602.36</v>
      </c>
      <c r="AF110" s="68">
        <f>AE110-AD110</f>
        <v>422.526027</v>
      </c>
      <c r="AG110" s="68">
        <f t="shared" si="102"/>
        <v>2.3445143777068682</v>
      </c>
      <c r="AH110" s="69">
        <v>31.487351</v>
      </c>
      <c r="AI110" s="68">
        <v>13.97</v>
      </c>
      <c r="AJ110" s="68">
        <f>AI110-AH110</f>
        <v>-17.517350999999998</v>
      </c>
      <c r="AK110" s="70">
        <f t="shared" si="103"/>
        <v>-9.7200358449960722E-2</v>
      </c>
      <c r="AL110" s="69">
        <v>-18.7</v>
      </c>
      <c r="AM110" s="68">
        <v>-57.1</v>
      </c>
      <c r="AN110" s="68">
        <f>AM110-AL110</f>
        <v>-38.400000000000006</v>
      </c>
      <c r="AO110" s="70">
        <f t="shared" si="104"/>
        <v>-0.21307409804590274</v>
      </c>
      <c r="AP110" s="69">
        <v>-22.5</v>
      </c>
      <c r="AQ110" s="68">
        <v>-70.3</v>
      </c>
      <c r="AR110" s="68">
        <f>AQ110-AP110</f>
        <v>-47.8</v>
      </c>
      <c r="AS110" s="70">
        <f t="shared" si="105"/>
        <v>-0.26523286163005599</v>
      </c>
      <c r="AT110" s="69">
        <v>8.1999999999999993</v>
      </c>
      <c r="AU110" s="68">
        <v>24.1</v>
      </c>
      <c r="AV110" s="68">
        <f>AU110-AT110</f>
        <v>15.900000000000002</v>
      </c>
      <c r="AW110" s="70">
        <f t="shared" si="106"/>
        <v>8.8225993722131607E-2</v>
      </c>
      <c r="AX110" s="69">
        <v>6294</v>
      </c>
      <c r="AY110" s="68">
        <v>52188</v>
      </c>
      <c r="AZ110" s="68">
        <f>AY110-AX110</f>
        <v>45894</v>
      </c>
      <c r="BA110" s="70">
        <f t="shared" si="107"/>
        <v>254.65683999267341</v>
      </c>
      <c r="BB110" s="69">
        <v>531</v>
      </c>
      <c r="BC110" s="68">
        <v>544.9</v>
      </c>
      <c r="BD110" s="68">
        <f>BC110-BB110</f>
        <v>13.899999999999977</v>
      </c>
      <c r="BE110" s="70">
        <f t="shared" si="108"/>
        <v>7.7128384448907364E-2</v>
      </c>
      <c r="BF110" s="69">
        <v>-521.20000000000005</v>
      </c>
      <c r="BG110" s="68">
        <v>-521.20000000000005</v>
      </c>
      <c r="BH110" s="68">
        <f>BG110-BF110</f>
        <v>0</v>
      </c>
      <c r="BI110" s="70">
        <f t="shared" si="109"/>
        <v>0</v>
      </c>
      <c r="BJ110" s="71">
        <v>88.282470000000004</v>
      </c>
      <c r="BK110" s="71">
        <v>20.213597</v>
      </c>
      <c r="BL110" s="71">
        <f>BK110-BJ110</f>
        <v>-68.068872999999996</v>
      </c>
      <c r="BM110" s="72">
        <v>-521.20000000000005</v>
      </c>
      <c r="BN110" s="73">
        <v>-521.20000000000005</v>
      </c>
      <c r="BO110" s="73">
        <f>BN110-BM110</f>
        <v>0</v>
      </c>
      <c r="BP110" s="72">
        <v>531</v>
      </c>
      <c r="BQ110" s="73">
        <v>544.9</v>
      </c>
      <c r="BR110" s="73">
        <f>BQ110-BP110</f>
        <v>13.899999999999977</v>
      </c>
      <c r="BS110" s="71"/>
      <c r="BT110" s="71"/>
      <c r="BU110" s="71"/>
      <c r="BV110" s="71"/>
      <c r="BW110" s="62" t="s">
        <v>215</v>
      </c>
      <c r="BX110" s="5">
        <v>12.2508298</v>
      </c>
      <c r="BY110" s="5">
        <v>255.84576607</v>
      </c>
      <c r="BZ110" s="5">
        <v>2068.0047864600001</v>
      </c>
      <c r="CA110" s="5">
        <v>581.15200000000004</v>
      </c>
      <c r="CB110" s="5">
        <v>159.11056486999999</v>
      </c>
      <c r="CC110" s="5">
        <v>159.48410000000001</v>
      </c>
      <c r="CD110" s="5">
        <v>-9.5739080000000004E-2</v>
      </c>
      <c r="CE110" s="5">
        <v>180.22051757</v>
      </c>
      <c r="CF110" s="5">
        <v>180.39322439</v>
      </c>
      <c r="CG110" s="5">
        <v>-0.13880065999999999</v>
      </c>
      <c r="CH110" s="5">
        <v>-0.23421465</v>
      </c>
      <c r="CI110" s="5">
        <v>4.7226200000000003E-3</v>
      </c>
    </row>
    <row r="111" spans="1:87" ht="15" customHeight="1" x14ac:dyDescent="0.2">
      <c r="A111" s="58">
        <f>A110+1</f>
        <v>62009026</v>
      </c>
      <c r="B111" s="58" t="s">
        <v>210</v>
      </c>
      <c r="C111" s="58" t="s">
        <v>211</v>
      </c>
      <c r="D111" s="59" t="s">
        <v>212</v>
      </c>
      <c r="E111" s="60" t="s">
        <v>240</v>
      </c>
      <c r="F111" s="61" t="str">
        <f t="shared" si="87"/>
        <v>09/17/20</v>
      </c>
      <c r="G111" s="62" t="s">
        <v>241</v>
      </c>
      <c r="H111" s="62" t="s">
        <v>110</v>
      </c>
      <c r="I111" s="63"/>
      <c r="J111" s="64">
        <v>22.234110999999999</v>
      </c>
      <c r="K111" s="64">
        <v>47.696827999999996</v>
      </c>
      <c r="L111" s="64">
        <v>29.427522</v>
      </c>
      <c r="M111" s="64">
        <v>31.907768000000001</v>
      </c>
      <c r="N111" s="65">
        <v>3875</v>
      </c>
      <c r="O111" s="65">
        <v>28.39</v>
      </c>
      <c r="P111" s="65">
        <v>0.20169999999999999</v>
      </c>
      <c r="Q111" s="65">
        <v>1.932E-2</v>
      </c>
      <c r="R111" s="66">
        <v>1.7643866800000001</v>
      </c>
      <c r="S111" s="66">
        <f>R111+R110</f>
        <v>181.98338257</v>
      </c>
      <c r="T111" s="67">
        <v>20.212071000000002</v>
      </c>
      <c r="U111" s="67">
        <v>16.778796</v>
      </c>
      <c r="V111" s="68">
        <v>52658</v>
      </c>
      <c r="W111" s="68">
        <v>54802</v>
      </c>
      <c r="X111" s="68">
        <f>W111-V111-X112</f>
        <v>457</v>
      </c>
      <c r="Y111" s="68">
        <f t="shared" si="100"/>
        <v>259.01351737704118</v>
      </c>
      <c r="Z111" s="69">
        <v>697.9</v>
      </c>
      <c r="AA111" s="68">
        <v>733.99681599999997</v>
      </c>
      <c r="AB111" s="68">
        <f>AA111-Z111-AB112</f>
        <v>18.196816000000013</v>
      </c>
      <c r="AC111" s="68">
        <f t="shared" si="101"/>
        <v>10.313394567227187</v>
      </c>
      <c r="AD111" s="69">
        <v>604.30069900000001</v>
      </c>
      <c r="AE111" s="68">
        <v>636.30968199999995</v>
      </c>
      <c r="AF111" s="68">
        <f>AE111-AD111-AF112</f>
        <v>16.138954000000012</v>
      </c>
      <c r="AG111" s="68">
        <f t="shared" si="102"/>
        <v>9.1470617994010315</v>
      </c>
      <c r="AH111" s="69">
        <v>23.03</v>
      </c>
      <c r="AI111" s="68">
        <v>16.190000000000001</v>
      </c>
      <c r="AJ111" s="68">
        <f>AI111-AH111-AJ112</f>
        <v>-6.3005610000000001</v>
      </c>
      <c r="AK111" s="70">
        <f t="shared" si="103"/>
        <v>-3.5709638206971728</v>
      </c>
      <c r="AL111" s="69">
        <v>-57.3</v>
      </c>
      <c r="AM111" s="68">
        <v>-59.4</v>
      </c>
      <c r="AN111" s="68">
        <f>AM111-AL111-AN112</f>
        <v>-0.80000000000000426</v>
      </c>
      <c r="AO111" s="70">
        <f t="shared" si="104"/>
        <v>-0.45341534770598257</v>
      </c>
      <c r="AP111" s="69">
        <v>-70.3</v>
      </c>
      <c r="AQ111" s="68">
        <v>-73</v>
      </c>
      <c r="AR111" s="68">
        <f>AQ111-AP111-AR112</f>
        <v>-1.1000000000000085</v>
      </c>
      <c r="AS111" s="70">
        <f t="shared" si="105"/>
        <v>-0.62344610309572757</v>
      </c>
      <c r="AT111" s="69">
        <v>24.2</v>
      </c>
      <c r="AU111" s="68">
        <v>25</v>
      </c>
      <c r="AV111" s="68">
        <f>AU111-AT111-AV112</f>
        <v>0.30000000000000071</v>
      </c>
      <c r="AW111" s="70">
        <f t="shared" si="106"/>
        <v>0.17003075538974297</v>
      </c>
      <c r="AX111" s="69">
        <v>52191</v>
      </c>
      <c r="AY111" s="68">
        <v>54336</v>
      </c>
      <c r="AZ111" s="68">
        <f>AY111-AX111-AZ112</f>
        <v>457</v>
      </c>
      <c r="BA111" s="70">
        <f t="shared" si="107"/>
        <v>259.01351737704118</v>
      </c>
      <c r="BB111" s="69">
        <v>545.6</v>
      </c>
      <c r="BC111" s="68">
        <v>546.4</v>
      </c>
      <c r="BD111" s="68">
        <f>BC111-BB111-BD112</f>
        <v>0.29999999999995453</v>
      </c>
      <c r="BE111" s="70">
        <f t="shared" si="108"/>
        <v>0.17003075538971679</v>
      </c>
      <c r="BF111" s="69">
        <v>-521.20000000000005</v>
      </c>
      <c r="BG111" s="68">
        <v>-521.20000000000005</v>
      </c>
      <c r="BH111" s="68">
        <f>BG111-BF111-BH112</f>
        <v>0</v>
      </c>
      <c r="BI111" s="70">
        <f t="shared" si="109"/>
        <v>0</v>
      </c>
      <c r="BJ111" s="71">
        <v>20.212071000000002</v>
      </c>
      <c r="BK111" s="71">
        <v>16.778796</v>
      </c>
      <c r="BL111" s="71">
        <f>BK111-BJ111-BL112</f>
        <v>-0.74463899999999938</v>
      </c>
      <c r="BM111" s="72">
        <v>-521.20000000000005</v>
      </c>
      <c r="BN111" s="73">
        <v>-521.20000000000005</v>
      </c>
      <c r="BO111" s="73">
        <f>BN111-BM111-BO112</f>
        <v>0</v>
      </c>
      <c r="BP111" s="72">
        <v>545.6</v>
      </c>
      <c r="BQ111" s="73">
        <v>546.4</v>
      </c>
      <c r="BR111" s="73">
        <f>BQ111-BP111-BR112</f>
        <v>0.29999999999995453</v>
      </c>
      <c r="BS111" s="71"/>
      <c r="BT111" s="71"/>
      <c r="BU111" s="71"/>
      <c r="BV111" s="71"/>
      <c r="BW111" s="62" t="s">
        <v>215</v>
      </c>
      <c r="BX111" s="5">
        <v>5056.8613808600003</v>
      </c>
      <c r="BY111" s="5">
        <v>-2.67988749</v>
      </c>
      <c r="BZ111" s="5">
        <v>2393.8015448000001</v>
      </c>
      <c r="CA111" s="5">
        <v>2459.7192533699999</v>
      </c>
      <c r="CB111" s="5">
        <v>2.8564951000000001</v>
      </c>
      <c r="CC111" s="5">
        <v>2.9259914199999999</v>
      </c>
      <c r="CD111" s="5">
        <v>-0.44365704</v>
      </c>
      <c r="CE111" s="5">
        <v>1.7643367299999999</v>
      </c>
      <c r="CF111" s="5">
        <v>1.7721992200000001</v>
      </c>
      <c r="CG111" s="5">
        <v>-1.9784716099999999</v>
      </c>
      <c r="CH111" s="5">
        <v>-2.3751372399999999</v>
      </c>
      <c r="CI111" s="5">
        <v>0.81466769000000006</v>
      </c>
    </row>
    <row r="112" spans="1:87" ht="15" customHeight="1" x14ac:dyDescent="0.2">
      <c r="A112" s="58">
        <f>A111</f>
        <v>62009026</v>
      </c>
      <c r="B112" s="58" t="s">
        <v>216</v>
      </c>
      <c r="C112" s="58" t="s">
        <v>104</v>
      </c>
      <c r="D112" s="59" t="s">
        <v>212</v>
      </c>
      <c r="E112" s="60" t="s">
        <v>240</v>
      </c>
      <c r="F112" s="61" t="str">
        <f t="shared" si="87"/>
        <v>09/17/20</v>
      </c>
      <c r="G112" s="62" t="s">
        <v>241</v>
      </c>
      <c r="H112" s="62" t="s">
        <v>110</v>
      </c>
      <c r="I112" s="63"/>
      <c r="J112" s="64">
        <v>25.925011000000001</v>
      </c>
      <c r="K112" s="64">
        <v>38.801290999999999</v>
      </c>
      <c r="L112" s="64">
        <v>29.443754999999999</v>
      </c>
      <c r="M112" s="64">
        <v>30.60661</v>
      </c>
      <c r="N112" s="65">
        <v>3875</v>
      </c>
      <c r="O112" s="65">
        <v>28.39</v>
      </c>
      <c r="P112" s="65">
        <v>0.20169999999999999</v>
      </c>
      <c r="Q112" s="65">
        <v>1.932E-2</v>
      </c>
      <c r="R112" s="66">
        <v>6.2278700200000001</v>
      </c>
      <c r="S112" s="66">
        <f>R112+R111</f>
        <v>7.9922567000000004</v>
      </c>
      <c r="T112" s="67">
        <v>19.699369000000001</v>
      </c>
      <c r="U112" s="67">
        <v>17.010732999999998</v>
      </c>
      <c r="V112" s="68">
        <v>52976</v>
      </c>
      <c r="W112" s="68">
        <v>54663</v>
      </c>
      <c r="X112" s="68">
        <f>W112-V112</f>
        <v>1687</v>
      </c>
      <c r="Y112" s="68">
        <f t="shared" si="100"/>
        <v>270.87912794943014</v>
      </c>
      <c r="Z112" s="69">
        <v>712.2</v>
      </c>
      <c r="AA112" s="68">
        <v>730.1</v>
      </c>
      <c r="AB112" s="68">
        <f>AA112-Z112</f>
        <v>17.899999999999977</v>
      </c>
      <c r="AC112" s="68">
        <f t="shared" si="101"/>
        <v>2.8741768762861843</v>
      </c>
      <c r="AD112" s="69">
        <v>617.15056100000004</v>
      </c>
      <c r="AE112" s="68">
        <v>633.02058999999997</v>
      </c>
      <c r="AF112" s="68">
        <f>AE112-AD112</f>
        <v>15.870028999999931</v>
      </c>
      <c r="AG112" s="68">
        <f t="shared" si="102"/>
        <v>2.5482273954073196</v>
      </c>
      <c r="AH112" s="69">
        <v>15.729438999999999</v>
      </c>
      <c r="AI112" s="68">
        <v>15.19</v>
      </c>
      <c r="AJ112" s="68">
        <f>AI112-AH112</f>
        <v>-0.53943899999999978</v>
      </c>
      <c r="AK112" s="70">
        <f t="shared" si="103"/>
        <v>-8.6616932959047169E-2</v>
      </c>
      <c r="AL112" s="69">
        <v>-57.7</v>
      </c>
      <c r="AM112" s="68">
        <v>-59</v>
      </c>
      <c r="AN112" s="68">
        <f>AM112-AL112</f>
        <v>-1.2999999999999972</v>
      </c>
      <c r="AO112" s="70">
        <f t="shared" si="104"/>
        <v>-0.20873910274704113</v>
      </c>
      <c r="AP112" s="69">
        <v>-70.900000000000006</v>
      </c>
      <c r="AQ112" s="68">
        <v>-72.5</v>
      </c>
      <c r="AR112" s="68">
        <f>AQ112-AP112</f>
        <v>-1.5999999999999943</v>
      </c>
      <c r="AS112" s="70">
        <f t="shared" si="105"/>
        <v>-0.2569096649194349</v>
      </c>
      <c r="AT112" s="69">
        <v>24.4</v>
      </c>
      <c r="AU112" s="68">
        <v>24.9</v>
      </c>
      <c r="AV112" s="68">
        <f>AU112-AT112</f>
        <v>0.5</v>
      </c>
      <c r="AW112" s="70">
        <f t="shared" si="106"/>
        <v>8.0284270287323684E-2</v>
      </c>
      <c r="AX112" s="69">
        <v>52509</v>
      </c>
      <c r="AY112" s="68">
        <v>54197</v>
      </c>
      <c r="AZ112" s="68">
        <f>AY112-AX112</f>
        <v>1688</v>
      </c>
      <c r="BA112" s="70">
        <f t="shared" si="107"/>
        <v>271.03969649000476</v>
      </c>
      <c r="BB112" s="69">
        <v>545.70000000000005</v>
      </c>
      <c r="BC112" s="68">
        <v>546.20000000000005</v>
      </c>
      <c r="BD112" s="68">
        <f>BC112-BB112</f>
        <v>0.5</v>
      </c>
      <c r="BE112" s="70">
        <f t="shared" si="108"/>
        <v>8.0284270287323684E-2</v>
      </c>
      <c r="BF112" s="69">
        <v>-521.20000000000005</v>
      </c>
      <c r="BG112" s="68">
        <v>-521.20000000000005</v>
      </c>
      <c r="BH112" s="68">
        <f>BG112-BF112</f>
        <v>0</v>
      </c>
      <c r="BI112" s="70">
        <f t="shared" si="109"/>
        <v>0</v>
      </c>
      <c r="BJ112" s="71">
        <v>19.699369000000001</v>
      </c>
      <c r="BK112" s="71">
        <v>17.010732999999998</v>
      </c>
      <c r="BL112" s="71">
        <f>BK112-BJ112</f>
        <v>-2.6886360000000025</v>
      </c>
      <c r="BM112" s="72">
        <v>-521.20000000000005</v>
      </c>
      <c r="BN112" s="73">
        <v>-521.20000000000005</v>
      </c>
      <c r="BO112" s="73">
        <f>BN112-BM112</f>
        <v>0</v>
      </c>
      <c r="BP112" s="72">
        <v>545.70000000000005</v>
      </c>
      <c r="BQ112" s="73">
        <v>546.20000000000005</v>
      </c>
      <c r="BR112" s="73">
        <f>BQ112-BP112</f>
        <v>0.5</v>
      </c>
      <c r="BS112" s="71"/>
      <c r="BT112" s="71"/>
      <c r="BU112" s="71"/>
      <c r="BV112" s="71"/>
      <c r="BW112" s="62" t="s">
        <v>215</v>
      </c>
      <c r="BX112" s="5">
        <v>10801.51294968</v>
      </c>
      <c r="BY112" s="5">
        <v>-7.1285816899999999</v>
      </c>
      <c r="BZ112" s="5">
        <v>1058.06450421</v>
      </c>
      <c r="CA112" s="5">
        <v>1139.2789336999999</v>
      </c>
      <c r="CB112" s="5">
        <v>6.3867350399999996</v>
      </c>
      <c r="CC112" s="5">
        <v>6.5128914900000003</v>
      </c>
      <c r="CD112" s="5">
        <v>-0.12581026000000001</v>
      </c>
      <c r="CE112" s="5">
        <v>6.22790775</v>
      </c>
      <c r="CF112" s="5">
        <v>6.2357529700000001</v>
      </c>
      <c r="CG112" s="5">
        <v>-1.8469932600000001</v>
      </c>
      <c r="CH112" s="5">
        <v>-1.93702676</v>
      </c>
      <c r="CI112" s="5">
        <v>0.34645612999999997</v>
      </c>
    </row>
    <row r="113" spans="1:87" ht="15" customHeight="1" x14ac:dyDescent="0.2">
      <c r="A113" s="58">
        <f t="shared" ref="A113:A120" si="111">A112</f>
        <v>62009026</v>
      </c>
      <c r="B113" s="58" t="s">
        <v>217</v>
      </c>
      <c r="C113" s="58" t="s">
        <v>119</v>
      </c>
      <c r="D113" s="59" t="s">
        <v>212</v>
      </c>
      <c r="E113" s="60" t="s">
        <v>240</v>
      </c>
      <c r="F113" s="61" t="str">
        <f t="shared" si="87"/>
        <v>09/17/20</v>
      </c>
      <c r="G113" s="62" t="s">
        <v>241</v>
      </c>
      <c r="H113" s="62" t="s">
        <v>110</v>
      </c>
      <c r="I113" s="63"/>
      <c r="J113" s="74">
        <f>AVERAGE(J111:J112)</f>
        <v>24.079560999999998</v>
      </c>
      <c r="K113" s="74">
        <f>AVERAGE(K111:K112)</f>
        <v>43.249059500000001</v>
      </c>
      <c r="L113" s="74">
        <f>AVERAGE(L111:L112)</f>
        <v>29.4356385</v>
      </c>
      <c r="M113" s="74">
        <f>AVERAGE(M111:M112)</f>
        <v>31.257189</v>
      </c>
      <c r="N113" s="75"/>
      <c r="O113" s="65"/>
      <c r="P113" s="76"/>
      <c r="Q113" s="77"/>
      <c r="R113" s="78">
        <f>R112+R111</f>
        <v>7.9922567000000004</v>
      </c>
      <c r="S113" s="78">
        <f>S112</f>
        <v>7.9922567000000004</v>
      </c>
      <c r="T113" s="79">
        <f>T111</f>
        <v>20.212071000000002</v>
      </c>
      <c r="U113" s="79">
        <f>U112</f>
        <v>17.010732999999998</v>
      </c>
      <c r="V113" s="80">
        <f>V111</f>
        <v>52658</v>
      </c>
      <c r="W113" s="80">
        <f>W112</f>
        <v>54663</v>
      </c>
      <c r="X113" s="80">
        <f>SUM(X111:X112)</f>
        <v>2144</v>
      </c>
      <c r="Y113" s="80">
        <f t="shared" si="100"/>
        <v>268.2596518702909</v>
      </c>
      <c r="Z113" s="80">
        <f>Z111</f>
        <v>697.9</v>
      </c>
      <c r="AA113" s="80">
        <f>AA112</f>
        <v>730.1</v>
      </c>
      <c r="AB113" s="80">
        <f>SUM(AB111:AB112)</f>
        <v>36.09681599999999</v>
      </c>
      <c r="AC113" s="80">
        <f t="shared" si="101"/>
        <v>4.51647355120613</v>
      </c>
      <c r="AD113" s="80">
        <f>AD111</f>
        <v>604.30069900000001</v>
      </c>
      <c r="AE113" s="80">
        <f>AE112</f>
        <v>633.02058999999997</v>
      </c>
      <c r="AF113" s="80">
        <f>SUM(AF111:AF112)</f>
        <v>32.008982999999944</v>
      </c>
      <c r="AG113" s="80">
        <f t="shared" si="102"/>
        <v>4.0049993639468493</v>
      </c>
      <c r="AH113" s="80">
        <f>AH111</f>
        <v>23.03</v>
      </c>
      <c r="AI113" s="80">
        <f>AI112</f>
        <v>15.19</v>
      </c>
      <c r="AJ113" s="80">
        <f>SUM(AJ111:AJ112)</f>
        <v>-6.84</v>
      </c>
      <c r="AK113" s="81">
        <f t="shared" si="103"/>
        <v>-0.85582836697424891</v>
      </c>
      <c r="AL113" s="80">
        <f>AL111</f>
        <v>-57.3</v>
      </c>
      <c r="AM113" s="80">
        <f>AM112</f>
        <v>-59</v>
      </c>
      <c r="AN113" s="80">
        <f>SUM(AN111:AN112)</f>
        <v>-2.1000000000000014</v>
      </c>
      <c r="AO113" s="81">
        <f t="shared" si="104"/>
        <v>-0.2627543231938485</v>
      </c>
      <c r="AP113" s="80">
        <f>AP111</f>
        <v>-70.3</v>
      </c>
      <c r="AQ113" s="80">
        <f>AQ112</f>
        <v>-72.5</v>
      </c>
      <c r="AR113" s="80">
        <f>SUM(AR111:AR112)</f>
        <v>-2.7000000000000028</v>
      </c>
      <c r="AS113" s="81">
        <f t="shared" si="105"/>
        <v>-0.33782698696351965</v>
      </c>
      <c r="AT113" s="80">
        <f>AT111</f>
        <v>24.2</v>
      </c>
      <c r="AU113" s="80">
        <f>AU112</f>
        <v>24.9</v>
      </c>
      <c r="AV113" s="80">
        <f>SUM(AV111:AV112)</f>
        <v>0.80000000000000071</v>
      </c>
      <c r="AW113" s="81">
        <f t="shared" si="106"/>
        <v>0.10009688502622803</v>
      </c>
      <c r="AX113" s="80">
        <f>AX111</f>
        <v>52191</v>
      </c>
      <c r="AY113" s="80">
        <f>AY112</f>
        <v>54197</v>
      </c>
      <c r="AZ113" s="80">
        <f>SUM(AZ111:AZ112)</f>
        <v>2145</v>
      </c>
      <c r="BA113" s="81">
        <f t="shared" si="107"/>
        <v>268.38477297657369</v>
      </c>
      <c r="BB113" s="80">
        <f>BB111</f>
        <v>545.6</v>
      </c>
      <c r="BC113" s="80">
        <f>BC112</f>
        <v>546.20000000000005</v>
      </c>
      <c r="BD113" s="80">
        <f>SUM(BD111:BD112)</f>
        <v>0.79999999999995453</v>
      </c>
      <c r="BE113" s="81">
        <f t="shared" si="108"/>
        <v>0.10009688502622226</v>
      </c>
      <c r="BF113" s="80">
        <f>BF111</f>
        <v>-521.20000000000005</v>
      </c>
      <c r="BG113" s="80">
        <f>BG112</f>
        <v>-521.20000000000005</v>
      </c>
      <c r="BH113" s="80">
        <f>SUM(BH111:BH112)</f>
        <v>0</v>
      </c>
      <c r="BI113" s="81">
        <f t="shared" si="109"/>
        <v>0</v>
      </c>
      <c r="BJ113" s="82"/>
      <c r="BK113" s="82"/>
      <c r="BL113" s="82">
        <f>SUM(BL111:BL112)</f>
        <v>-3.4332750000000019</v>
      </c>
      <c r="BM113" s="83">
        <f>BM111</f>
        <v>-521.20000000000005</v>
      </c>
      <c r="BN113" s="83">
        <f>BN112</f>
        <v>-521.20000000000005</v>
      </c>
      <c r="BO113" s="83">
        <f>SUM(BO111:BO112)</f>
        <v>0</v>
      </c>
      <c r="BP113" s="83">
        <f>BP111</f>
        <v>545.6</v>
      </c>
      <c r="BQ113" s="83">
        <f>BQ112</f>
        <v>546.20000000000005</v>
      </c>
      <c r="BR113" s="83">
        <f>SUM(BR111:BR112)</f>
        <v>0.79999999999995453</v>
      </c>
      <c r="BS113" s="82"/>
      <c r="BT113" s="82"/>
      <c r="BU113" s="82"/>
      <c r="BV113" s="82"/>
      <c r="BW113" s="62" t="s">
        <v>215</v>
      </c>
    </row>
    <row r="114" spans="1:87" ht="15" customHeight="1" x14ac:dyDescent="0.2">
      <c r="A114" s="58">
        <f t="shared" si="111"/>
        <v>62009026</v>
      </c>
      <c r="B114" s="58" t="s">
        <v>218</v>
      </c>
      <c r="C114" s="58" t="s">
        <v>105</v>
      </c>
      <c r="D114" s="59" t="s">
        <v>212</v>
      </c>
      <c r="E114" s="60" t="s">
        <v>240</v>
      </c>
      <c r="F114" s="61" t="str">
        <f t="shared" si="87"/>
        <v>09/17/20</v>
      </c>
      <c r="G114" s="62" t="s">
        <v>241</v>
      </c>
      <c r="H114" s="62" t="s">
        <v>110</v>
      </c>
      <c r="I114" s="63"/>
      <c r="J114" s="64">
        <v>20.862646999999999</v>
      </c>
      <c r="K114" s="64">
        <v>51.388528000000001</v>
      </c>
      <c r="L114" s="64">
        <v>29.429338000000001</v>
      </c>
      <c r="M114" s="64">
        <v>29.094515999999999</v>
      </c>
      <c r="N114" s="65">
        <v>3875</v>
      </c>
      <c r="O114" s="65">
        <v>28.39</v>
      </c>
      <c r="P114" s="65">
        <v>0.20169999999999999</v>
      </c>
      <c r="Q114" s="65">
        <v>1.932E-2</v>
      </c>
      <c r="R114" s="66">
        <v>3.5820169700000002</v>
      </c>
      <c r="S114" s="66">
        <f>R114+R113</f>
        <v>11.57427367</v>
      </c>
      <c r="T114" s="67">
        <v>16.778796</v>
      </c>
      <c r="U114" s="67">
        <v>16.778796</v>
      </c>
      <c r="V114" s="68">
        <v>54810</v>
      </c>
      <c r="W114" s="68">
        <v>55457</v>
      </c>
      <c r="X114" s="68">
        <f>W114-V114</f>
        <v>647</v>
      </c>
      <c r="Y114" s="68">
        <f t="shared" si="100"/>
        <v>180.62449324465371</v>
      </c>
      <c r="Z114" s="69">
        <v>741.3</v>
      </c>
      <c r="AA114" s="68">
        <v>776.9</v>
      </c>
      <c r="AB114" s="68">
        <f>AA114-Z114</f>
        <v>35.600000000000023</v>
      </c>
      <c r="AC114" s="68">
        <f t="shared" si="101"/>
        <v>9.9385347133070727</v>
      </c>
      <c r="AD114" s="69">
        <v>642.85020599999996</v>
      </c>
      <c r="AE114" s="68">
        <v>674.7</v>
      </c>
      <c r="AF114" s="68">
        <f>AE114-AD114</f>
        <v>31.849794000000088</v>
      </c>
      <c r="AG114" s="68">
        <f t="shared" si="102"/>
        <v>8.8915809910303381</v>
      </c>
      <c r="AH114" s="69">
        <v>24.879794</v>
      </c>
      <c r="AI114" s="68">
        <v>13.95</v>
      </c>
      <c r="AJ114" s="68">
        <f>AI114-AH114</f>
        <v>-10.929794000000001</v>
      </c>
      <c r="AK114" s="70">
        <f t="shared" si="103"/>
        <v>-3.0512959853453738</v>
      </c>
      <c r="AL114" s="69">
        <v>-59.7</v>
      </c>
      <c r="AM114" s="68">
        <v>-61.5</v>
      </c>
      <c r="AN114" s="68">
        <f>AM114-AL114</f>
        <v>-1.7999999999999972</v>
      </c>
      <c r="AO114" s="70">
        <f t="shared" si="104"/>
        <v>-0.50251018213350263</v>
      </c>
      <c r="AP114" s="69">
        <v>-73.2</v>
      </c>
      <c r="AQ114" s="68">
        <v>-75.5</v>
      </c>
      <c r="AR114" s="68">
        <f>AQ114-AP114</f>
        <v>-2.2999999999999972</v>
      </c>
      <c r="AS114" s="70">
        <f t="shared" si="105"/>
        <v>-0.64209634383725356</v>
      </c>
      <c r="AT114" s="69">
        <v>25.2</v>
      </c>
      <c r="AU114" s="68">
        <v>25.9</v>
      </c>
      <c r="AV114" s="68">
        <f>AU114-AT114</f>
        <v>0.69999999999999929</v>
      </c>
      <c r="AW114" s="70">
        <f t="shared" si="106"/>
        <v>0.19542062638525112</v>
      </c>
      <c r="AX114" s="69">
        <v>54344</v>
      </c>
      <c r="AY114" s="68">
        <v>54990</v>
      </c>
      <c r="AZ114" s="68">
        <f>AY114-AX114</f>
        <v>646</v>
      </c>
      <c r="BA114" s="70">
        <f t="shared" si="107"/>
        <v>180.34532092124621</v>
      </c>
      <c r="BB114" s="69">
        <v>547.20000000000005</v>
      </c>
      <c r="BC114" s="68">
        <v>547.9</v>
      </c>
      <c r="BD114" s="68">
        <f>BC114-BB114</f>
        <v>0.69999999999993179</v>
      </c>
      <c r="BE114" s="70">
        <f t="shared" si="108"/>
        <v>0.19542062638523228</v>
      </c>
      <c r="BF114" s="69">
        <v>-521.20000000000005</v>
      </c>
      <c r="BG114" s="68">
        <v>-521.20000000000005</v>
      </c>
      <c r="BH114" s="68">
        <f>BG114-BF114</f>
        <v>0</v>
      </c>
      <c r="BI114" s="70">
        <f t="shared" si="109"/>
        <v>0</v>
      </c>
      <c r="BJ114" s="71">
        <v>16.778796</v>
      </c>
      <c r="BK114" s="71">
        <v>16.778796</v>
      </c>
      <c r="BL114" s="71">
        <f>BK114-BJ114</f>
        <v>0</v>
      </c>
      <c r="BM114" s="72">
        <v>-521.20000000000005</v>
      </c>
      <c r="BN114" s="73">
        <v>-521.20000000000005</v>
      </c>
      <c r="BO114" s="73">
        <f>BN114-BM114</f>
        <v>0</v>
      </c>
      <c r="BP114" s="72">
        <v>547.20000000000005</v>
      </c>
      <c r="BQ114" s="73">
        <v>547.9</v>
      </c>
      <c r="BR114" s="73">
        <f>BQ114-BP114</f>
        <v>0.69999999999993179</v>
      </c>
      <c r="BS114" s="71"/>
      <c r="BT114" s="71"/>
      <c r="BU114" s="71"/>
      <c r="BV114" s="71"/>
      <c r="BW114" s="62" t="s">
        <v>215</v>
      </c>
      <c r="BX114" s="5">
        <v>2198.5680195</v>
      </c>
      <c r="BY114" s="5">
        <v>-1.2130571400000001</v>
      </c>
      <c r="BZ114" s="5">
        <v>2023.87813981</v>
      </c>
      <c r="CA114" s="5">
        <v>2048.73041023</v>
      </c>
      <c r="CB114" s="5">
        <v>2.9285038000000001</v>
      </c>
      <c r="CC114" s="5">
        <v>2.96576767</v>
      </c>
      <c r="CD114" s="5">
        <v>-0.25094267999999997</v>
      </c>
      <c r="CE114" s="5">
        <v>3.5819686700000002</v>
      </c>
      <c r="CF114" s="5">
        <v>3.5909799699999998</v>
      </c>
      <c r="CG114" s="5">
        <v>-1.0183184300000001</v>
      </c>
      <c r="CH114" s="5">
        <v>-1.2564662900000001</v>
      </c>
      <c r="CI114" s="5">
        <v>0.59139363</v>
      </c>
    </row>
    <row r="115" spans="1:87" ht="15" customHeight="1" x14ac:dyDescent="0.2">
      <c r="A115" s="58">
        <f t="shared" si="111"/>
        <v>62009026</v>
      </c>
      <c r="B115" s="58" t="s">
        <v>219</v>
      </c>
      <c r="C115" s="58" t="s">
        <v>122</v>
      </c>
      <c r="D115" s="59" t="s">
        <v>212</v>
      </c>
      <c r="E115" s="60" t="s">
        <v>240</v>
      </c>
      <c r="F115" s="61" t="str">
        <f t="shared" si="87"/>
        <v>09/17/20</v>
      </c>
      <c r="G115" s="62" t="s">
        <v>241</v>
      </c>
      <c r="H115" s="62" t="s">
        <v>110</v>
      </c>
      <c r="I115" s="63"/>
      <c r="J115" s="64">
        <v>20.567944000000001</v>
      </c>
      <c r="K115" s="64">
        <v>51.821319000000003</v>
      </c>
      <c r="L115" s="64">
        <v>29.428549</v>
      </c>
      <c r="M115" s="64">
        <v>28.532094000000001</v>
      </c>
      <c r="N115" s="65">
        <v>3875</v>
      </c>
      <c r="O115" s="65">
        <v>28.39</v>
      </c>
      <c r="P115" s="65">
        <v>0.20169999999999999</v>
      </c>
      <c r="Q115" s="65">
        <v>1.932E-2</v>
      </c>
      <c r="R115" s="66">
        <v>3.8444794999999998</v>
      </c>
      <c r="S115" s="66">
        <f>R115+R114</f>
        <v>7.42649647</v>
      </c>
      <c r="T115" s="67">
        <v>16.778796</v>
      </c>
      <c r="U115" s="67">
        <v>16.778796</v>
      </c>
      <c r="V115" s="68">
        <v>55457</v>
      </c>
      <c r="W115" s="68">
        <v>55994</v>
      </c>
      <c r="X115" s="68">
        <f>W115-V115</f>
        <v>537</v>
      </c>
      <c r="Y115" s="68">
        <f t="shared" si="100"/>
        <v>139.68080724581833</v>
      </c>
      <c r="Z115" s="69">
        <v>776.9</v>
      </c>
      <c r="AA115" s="68">
        <v>809.2</v>
      </c>
      <c r="AB115" s="68">
        <f>AA115-Z115</f>
        <v>32.300000000000068</v>
      </c>
      <c r="AC115" s="68">
        <f t="shared" si="101"/>
        <v>8.401657493556689</v>
      </c>
      <c r="AD115" s="69">
        <v>674.709968</v>
      </c>
      <c r="AE115" s="68">
        <v>702.43</v>
      </c>
      <c r="AF115" s="68">
        <f>AE115-AD115</f>
        <v>27.720031999999946</v>
      </c>
      <c r="AG115" s="68">
        <f t="shared" si="102"/>
        <v>7.2103472004467566</v>
      </c>
      <c r="AH115" s="69">
        <v>13.95</v>
      </c>
      <c r="AI115" s="68">
        <v>19.170000000000002</v>
      </c>
      <c r="AJ115" s="68">
        <f>AI115-AH115</f>
        <v>5.2200000000000024</v>
      </c>
      <c r="AK115" s="70">
        <f t="shared" si="103"/>
        <v>1.3577910871939889</v>
      </c>
      <c r="AL115" s="69">
        <v>-61.5</v>
      </c>
      <c r="AM115" s="68">
        <v>-64.7</v>
      </c>
      <c r="AN115" s="68">
        <f>AM115-AL115</f>
        <v>-3.2000000000000028</v>
      </c>
      <c r="AO115" s="70">
        <f t="shared" si="104"/>
        <v>-0.83236235230282873</v>
      </c>
      <c r="AP115" s="69">
        <v>-75.5</v>
      </c>
      <c r="AQ115" s="68">
        <v>-79.5</v>
      </c>
      <c r="AR115" s="68">
        <f>AQ115-AP115</f>
        <v>-4</v>
      </c>
      <c r="AS115" s="70">
        <f t="shared" si="105"/>
        <v>-1.040452940378535</v>
      </c>
      <c r="AT115" s="69">
        <v>25.9</v>
      </c>
      <c r="AU115" s="68">
        <v>27.2</v>
      </c>
      <c r="AV115" s="68">
        <f>AU115-AT115</f>
        <v>1.3000000000000007</v>
      </c>
      <c r="AW115" s="70">
        <f t="shared" si="106"/>
        <v>0.33814720562302408</v>
      </c>
      <c r="AX115" s="69">
        <v>54990</v>
      </c>
      <c r="AY115" s="68">
        <v>55526</v>
      </c>
      <c r="AZ115" s="68">
        <f>AY115-AX115</f>
        <v>536</v>
      </c>
      <c r="BA115" s="70">
        <f t="shared" si="107"/>
        <v>139.42069401072371</v>
      </c>
      <c r="BB115" s="69">
        <v>547.9</v>
      </c>
      <c r="BC115" s="68">
        <v>549.1</v>
      </c>
      <c r="BD115" s="68">
        <f>BC115-BB115</f>
        <v>1.2000000000000455</v>
      </c>
      <c r="BE115" s="70">
        <f t="shared" si="108"/>
        <v>0.31213588211357235</v>
      </c>
      <c r="BF115" s="69">
        <v>-521.20000000000005</v>
      </c>
      <c r="BG115" s="68">
        <v>-521.20000000000005</v>
      </c>
      <c r="BH115" s="68">
        <f>BG115-BF115</f>
        <v>0</v>
      </c>
      <c r="BI115" s="70">
        <f t="shared" si="109"/>
        <v>0</v>
      </c>
      <c r="BJ115" s="71">
        <v>16.778796</v>
      </c>
      <c r="BK115" s="71">
        <v>16.778796</v>
      </c>
      <c r="BL115" s="71">
        <f>BK115-BJ115</f>
        <v>0</v>
      </c>
      <c r="BM115" s="72">
        <v>-521.20000000000005</v>
      </c>
      <c r="BN115" s="73">
        <v>-521.20000000000005</v>
      </c>
      <c r="BO115" s="73">
        <f>BN115-BM115</f>
        <v>0</v>
      </c>
      <c r="BP115" s="72">
        <v>547.9</v>
      </c>
      <c r="BQ115" s="73">
        <v>549.1</v>
      </c>
      <c r="BR115" s="73">
        <f>BQ115-BP115</f>
        <v>1.2000000000000455</v>
      </c>
      <c r="BS115" s="71"/>
      <c r="BT115" s="71"/>
      <c r="BU115" s="71"/>
      <c r="BV115" s="71"/>
      <c r="BW115" s="62" t="s">
        <v>215</v>
      </c>
      <c r="BX115" s="5">
        <v>1348.56957405</v>
      </c>
      <c r="BY115" s="5">
        <v>-1.35108692</v>
      </c>
      <c r="BZ115" s="5">
        <v>3369.88457371</v>
      </c>
      <c r="CA115" s="5">
        <v>3416.0382193599999</v>
      </c>
      <c r="CB115" s="5">
        <v>2.7012549099999998</v>
      </c>
      <c r="CC115" s="5">
        <v>2.7415517600000001</v>
      </c>
      <c r="CD115" s="5">
        <v>-0.40201746999999999</v>
      </c>
      <c r="CE115" s="5">
        <v>3.8443120899999998</v>
      </c>
      <c r="CF115" s="5">
        <v>3.85982928</v>
      </c>
      <c r="CG115" s="5">
        <v>-1.0837678500000001</v>
      </c>
      <c r="CH115" s="5">
        <v>-1.4698555</v>
      </c>
      <c r="CI115" s="5">
        <v>0.71727554000000004</v>
      </c>
    </row>
    <row r="116" spans="1:87" ht="15" customHeight="1" x14ac:dyDescent="0.2">
      <c r="A116" s="58">
        <f t="shared" si="111"/>
        <v>62009026</v>
      </c>
      <c r="B116" s="58" t="s">
        <v>220</v>
      </c>
      <c r="C116" s="58" t="s">
        <v>221</v>
      </c>
      <c r="D116" s="59" t="s">
        <v>212</v>
      </c>
      <c r="E116" s="60" t="s">
        <v>240</v>
      </c>
      <c r="F116" s="61" t="str">
        <f t="shared" si="87"/>
        <v>09/17/20</v>
      </c>
      <c r="G116" s="62" t="s">
        <v>241</v>
      </c>
      <c r="H116" s="62" t="s">
        <v>110</v>
      </c>
      <c r="I116" s="63"/>
      <c r="J116" s="74">
        <f>AVERAGE(J114:J115)</f>
        <v>20.7152955</v>
      </c>
      <c r="K116" s="74">
        <f>AVERAGE(K114:K115)</f>
        <v>51.604923499999998</v>
      </c>
      <c r="L116" s="74">
        <f>AVERAGE(L114:L115)</f>
        <v>29.428943500000003</v>
      </c>
      <c r="M116" s="74">
        <f>AVERAGE(M114:M115)</f>
        <v>28.813305</v>
      </c>
      <c r="N116" s="75"/>
      <c r="O116" s="65"/>
      <c r="P116" s="76"/>
      <c r="Q116" s="77"/>
      <c r="R116" s="78">
        <f>R115+R114</f>
        <v>7.42649647</v>
      </c>
      <c r="S116" s="78">
        <f>S115</f>
        <v>7.42649647</v>
      </c>
      <c r="T116" s="79">
        <f>T114</f>
        <v>16.778796</v>
      </c>
      <c r="U116" s="79">
        <f>U115</f>
        <v>16.778796</v>
      </c>
      <c r="V116" s="80">
        <f>V114</f>
        <v>54810</v>
      </c>
      <c r="W116" s="80">
        <f>W115</f>
        <v>55994</v>
      </c>
      <c r="X116" s="80">
        <f>SUM(X114:X115)</f>
        <v>1184</v>
      </c>
      <c r="Y116" s="80">
        <f t="shared" si="100"/>
        <v>159.42914734866898</v>
      </c>
      <c r="Z116" s="80">
        <f>Z114</f>
        <v>741.3</v>
      </c>
      <c r="AA116" s="80">
        <f>AA115</f>
        <v>809.2</v>
      </c>
      <c r="AB116" s="80">
        <f>SUM(AB114:AB115)</f>
        <v>67.900000000000091</v>
      </c>
      <c r="AC116" s="80">
        <f t="shared" si="101"/>
        <v>9.1429384332556065</v>
      </c>
      <c r="AD116" s="80">
        <f>AD114</f>
        <v>642.85020599999996</v>
      </c>
      <c r="AE116" s="80">
        <f>AE115</f>
        <v>702.43</v>
      </c>
      <c r="AF116" s="80">
        <f>SUM(AF114:AF115)</f>
        <v>59.569826000000035</v>
      </c>
      <c r="AG116" s="80">
        <f t="shared" si="102"/>
        <v>8.0212555463585957</v>
      </c>
      <c r="AH116" s="80">
        <f>AH114</f>
        <v>24.879794</v>
      </c>
      <c r="AI116" s="80">
        <f>AI115</f>
        <v>19.170000000000002</v>
      </c>
      <c r="AJ116" s="80">
        <f>SUM(AJ114:AJ115)</f>
        <v>-5.7097939999999987</v>
      </c>
      <c r="AK116" s="81">
        <f t="shared" si="103"/>
        <v>-0.76884086905113669</v>
      </c>
      <c r="AL116" s="80">
        <f>AL114</f>
        <v>-59.7</v>
      </c>
      <c r="AM116" s="80">
        <f>AM115</f>
        <v>-64.7</v>
      </c>
      <c r="AN116" s="80">
        <f>SUM(AN114:AN115)</f>
        <v>-5</v>
      </c>
      <c r="AO116" s="81">
        <f t="shared" si="104"/>
        <v>-0.67326498035755478</v>
      </c>
      <c r="AP116" s="80">
        <f>AP114</f>
        <v>-73.2</v>
      </c>
      <c r="AQ116" s="80">
        <f>AQ115</f>
        <v>-79.5</v>
      </c>
      <c r="AR116" s="80">
        <f>SUM(AR114:AR115)</f>
        <v>-6.2999999999999972</v>
      </c>
      <c r="AS116" s="81">
        <f t="shared" si="105"/>
        <v>-0.8483138752505186</v>
      </c>
      <c r="AT116" s="80">
        <f>AT114</f>
        <v>25.2</v>
      </c>
      <c r="AU116" s="80">
        <f>AU115</f>
        <v>27.2</v>
      </c>
      <c r="AV116" s="80">
        <f>SUM(AV114:AV115)</f>
        <v>2</v>
      </c>
      <c r="AW116" s="81">
        <f t="shared" si="106"/>
        <v>0.26930599214302192</v>
      </c>
      <c r="AX116" s="80">
        <f>AX114</f>
        <v>54344</v>
      </c>
      <c r="AY116" s="80">
        <f>AY115</f>
        <v>55526</v>
      </c>
      <c r="AZ116" s="80">
        <f>SUM(AZ114:AZ115)</f>
        <v>1182</v>
      </c>
      <c r="BA116" s="81">
        <f t="shared" si="107"/>
        <v>159.15984135652596</v>
      </c>
      <c r="BB116" s="80">
        <f>BB114</f>
        <v>547.20000000000005</v>
      </c>
      <c r="BC116" s="80">
        <f>BC115</f>
        <v>549.1</v>
      </c>
      <c r="BD116" s="80">
        <f>SUM(BD114:BD115)</f>
        <v>1.8999999999999773</v>
      </c>
      <c r="BE116" s="81">
        <f t="shared" si="108"/>
        <v>0.25584069253586778</v>
      </c>
      <c r="BF116" s="80">
        <f>BF114</f>
        <v>-521.20000000000005</v>
      </c>
      <c r="BG116" s="80">
        <f>BG115</f>
        <v>-521.20000000000005</v>
      </c>
      <c r="BH116" s="80">
        <f>SUM(BH114:BH115)</f>
        <v>0</v>
      </c>
      <c r="BI116" s="81">
        <f t="shared" si="109"/>
        <v>0</v>
      </c>
      <c r="BJ116" s="82"/>
      <c r="BK116" s="82"/>
      <c r="BL116" s="82">
        <f>SUM(BL114:BL115)</f>
        <v>0</v>
      </c>
      <c r="BM116" s="83">
        <f>BM114</f>
        <v>-521.20000000000005</v>
      </c>
      <c r="BN116" s="83">
        <f>BN115</f>
        <v>-521.20000000000005</v>
      </c>
      <c r="BO116" s="83">
        <f>SUM(BO114:BO115)</f>
        <v>0</v>
      </c>
      <c r="BP116" s="83">
        <f>BP114</f>
        <v>547.20000000000005</v>
      </c>
      <c r="BQ116" s="83">
        <f>BQ115</f>
        <v>549.1</v>
      </c>
      <c r="BR116" s="83">
        <f>SUM(BR114:BR115)</f>
        <v>1.8999999999999773</v>
      </c>
      <c r="BS116" s="82"/>
      <c r="BT116" s="82"/>
      <c r="BU116" s="82"/>
      <c r="BV116" s="82"/>
      <c r="BW116" s="62" t="s">
        <v>215</v>
      </c>
    </row>
    <row r="117" spans="1:87" ht="15" customHeight="1" x14ac:dyDescent="0.2">
      <c r="A117" s="58">
        <f t="shared" si="111"/>
        <v>62009026</v>
      </c>
      <c r="B117" s="58" t="s">
        <v>222</v>
      </c>
      <c r="C117" s="58" t="s">
        <v>124</v>
      </c>
      <c r="D117" s="59" t="s">
        <v>212</v>
      </c>
      <c r="E117" s="60" t="s">
        <v>240</v>
      </c>
      <c r="F117" s="61" t="str">
        <f t="shared" si="87"/>
        <v>09/17/20</v>
      </c>
      <c r="G117" s="62" t="s">
        <v>241</v>
      </c>
      <c r="H117" s="62" t="s">
        <v>110</v>
      </c>
      <c r="I117" s="63"/>
      <c r="J117" s="64">
        <v>25.616880999999999</v>
      </c>
      <c r="K117" s="64">
        <v>37.363123000000002</v>
      </c>
      <c r="L117" s="64">
        <v>29.439450000000001</v>
      </c>
      <c r="M117" s="64">
        <v>29.706289999999999</v>
      </c>
      <c r="N117" s="65">
        <v>3875</v>
      </c>
      <c r="O117" s="65">
        <v>28.39</v>
      </c>
      <c r="P117" s="65">
        <v>0.20169999999999999</v>
      </c>
      <c r="Q117" s="65">
        <v>1.932E-2</v>
      </c>
      <c r="R117" s="66">
        <v>10.24705309</v>
      </c>
      <c r="S117" s="66">
        <f>R117+R116</f>
        <v>17.673549559999998</v>
      </c>
      <c r="T117" s="67">
        <v>16.778796</v>
      </c>
      <c r="U117" s="67">
        <v>16.778796</v>
      </c>
      <c r="V117" s="68">
        <v>55995</v>
      </c>
      <c r="W117" s="68">
        <v>57999</v>
      </c>
      <c r="X117" s="68">
        <f>W117-V117</f>
        <v>2004</v>
      </c>
      <c r="Y117" s="68">
        <f t="shared" si="100"/>
        <v>195.56842171098774</v>
      </c>
      <c r="Z117" s="69">
        <v>809.9</v>
      </c>
      <c r="AA117" s="68">
        <v>843.7</v>
      </c>
      <c r="AB117" s="68">
        <f>AA117-Z117</f>
        <v>33.800000000000068</v>
      </c>
      <c r="AC117" s="68">
        <f t="shared" si="101"/>
        <v>3.2985093082991015</v>
      </c>
      <c r="AD117" s="69">
        <v>703.06</v>
      </c>
      <c r="AE117" s="68">
        <v>732.44915500000002</v>
      </c>
      <c r="AF117" s="68">
        <f>AE117-AD117</f>
        <v>29.389155000000073</v>
      </c>
      <c r="AG117" s="68">
        <f t="shared" si="102"/>
        <v>2.8680592109628735</v>
      </c>
      <c r="AH117" s="69">
        <v>19.2</v>
      </c>
      <c r="AI117" s="68">
        <v>19.88</v>
      </c>
      <c r="AJ117" s="68">
        <f>AI117-AH117</f>
        <v>0.67999999999999972</v>
      </c>
      <c r="AK117" s="70">
        <f t="shared" si="103"/>
        <v>6.6360542297141528E-2</v>
      </c>
      <c r="AL117" s="69">
        <v>-64.8</v>
      </c>
      <c r="AM117" s="68">
        <v>-67.5</v>
      </c>
      <c r="AN117" s="68">
        <f>AM117-AL117</f>
        <v>-2.7000000000000028</v>
      </c>
      <c r="AO117" s="70">
        <f t="shared" si="104"/>
        <v>-0.26349038853276818</v>
      </c>
      <c r="AP117" s="69">
        <v>-79.5</v>
      </c>
      <c r="AQ117" s="68">
        <v>-82.9</v>
      </c>
      <c r="AR117" s="68">
        <f>AQ117-AP117</f>
        <v>-3.4000000000000057</v>
      </c>
      <c r="AS117" s="70">
        <f t="shared" si="105"/>
        <v>-0.33180271148570833</v>
      </c>
      <c r="AT117" s="69">
        <v>27.2</v>
      </c>
      <c r="AU117" s="68">
        <v>28.3</v>
      </c>
      <c r="AV117" s="68">
        <f>AU117-AT117</f>
        <v>1.1000000000000014</v>
      </c>
      <c r="AW117" s="70">
        <f t="shared" si="106"/>
        <v>0.10734793606890559</v>
      </c>
      <c r="AX117" s="69">
        <v>55527</v>
      </c>
      <c r="AY117" s="68">
        <v>57531</v>
      </c>
      <c r="AZ117" s="68">
        <f>AY117-AX117</f>
        <v>2004</v>
      </c>
      <c r="BA117" s="70">
        <f t="shared" si="107"/>
        <v>195.56842171098774</v>
      </c>
      <c r="BB117" s="69">
        <v>549.1</v>
      </c>
      <c r="BC117" s="68">
        <v>550.20000000000005</v>
      </c>
      <c r="BD117" s="68">
        <f>BC117-BB117</f>
        <v>1.1000000000000227</v>
      </c>
      <c r="BE117" s="70">
        <f t="shared" si="108"/>
        <v>0.10734793606890766</v>
      </c>
      <c r="BF117" s="69">
        <v>-521.20000000000005</v>
      </c>
      <c r="BG117" s="68">
        <v>-521.20000000000005</v>
      </c>
      <c r="BH117" s="68">
        <f>BG117-BF117</f>
        <v>0</v>
      </c>
      <c r="BI117" s="70">
        <f t="shared" si="109"/>
        <v>0</v>
      </c>
      <c r="BJ117" s="71">
        <v>16.778796</v>
      </c>
      <c r="BK117" s="71">
        <v>16.778796</v>
      </c>
      <c r="BL117" s="71">
        <f>BK117-BJ117</f>
        <v>0</v>
      </c>
      <c r="BM117" s="72">
        <v>-521.20000000000005</v>
      </c>
      <c r="BN117" s="73">
        <v>-521.20000000000005</v>
      </c>
      <c r="BO117" s="73">
        <f>BN117-BM117</f>
        <v>0</v>
      </c>
      <c r="BP117" s="72">
        <v>549.1</v>
      </c>
      <c r="BQ117" s="73">
        <v>550.20000000000005</v>
      </c>
      <c r="BR117" s="73">
        <f>BQ117-BP117</f>
        <v>1.1000000000000227</v>
      </c>
      <c r="BS117" s="71"/>
      <c r="BT117" s="71"/>
      <c r="BU117" s="71"/>
      <c r="BV117" s="71"/>
      <c r="BW117" s="62" t="s">
        <v>215</v>
      </c>
      <c r="BX117" s="5">
        <v>1772.9867340599999</v>
      </c>
      <c r="BY117" s="5">
        <v>1.4769913699999999</v>
      </c>
      <c r="BZ117" s="5">
        <v>1326.0055553</v>
      </c>
      <c r="CA117" s="5">
        <v>1306.70562595</v>
      </c>
      <c r="CB117" s="5">
        <v>7.3017477399999997</v>
      </c>
      <c r="CC117" s="5">
        <v>7.31534832</v>
      </c>
      <c r="CD117" s="5">
        <v>-9.3168409999999993E-2</v>
      </c>
      <c r="CE117" s="5">
        <v>10.247124299999999</v>
      </c>
      <c r="CF117" s="5">
        <v>10.25668029</v>
      </c>
      <c r="CG117" s="5">
        <v>-9.2922770000000002E-2</v>
      </c>
      <c r="CH117" s="5">
        <v>-0.18591842</v>
      </c>
      <c r="CI117" s="5">
        <v>0.28264850000000002</v>
      </c>
    </row>
    <row r="118" spans="1:87" ht="15" customHeight="1" x14ac:dyDescent="0.2">
      <c r="A118" s="58">
        <f t="shared" si="111"/>
        <v>62009026</v>
      </c>
      <c r="B118" s="58" t="s">
        <v>223</v>
      </c>
      <c r="C118" s="58" t="s">
        <v>182</v>
      </c>
      <c r="D118" s="59" t="s">
        <v>212</v>
      </c>
      <c r="E118" s="60" t="s">
        <v>240</v>
      </c>
      <c r="F118" s="61" t="str">
        <f t="shared" si="87"/>
        <v>09/17/20</v>
      </c>
      <c r="G118" s="62" t="s">
        <v>241</v>
      </c>
      <c r="H118" s="62" t="s">
        <v>110</v>
      </c>
      <c r="I118" s="63"/>
      <c r="J118" s="64">
        <v>21.096990999999999</v>
      </c>
      <c r="K118" s="64">
        <v>49.944592999999998</v>
      </c>
      <c r="L118" s="64">
        <v>29.424292999999999</v>
      </c>
      <c r="M118" s="64">
        <v>29.034085000000001</v>
      </c>
      <c r="N118" s="65">
        <v>3875</v>
      </c>
      <c r="O118" s="65">
        <v>28.39</v>
      </c>
      <c r="P118" s="65">
        <v>0.20169999999999999</v>
      </c>
      <c r="Q118" s="65">
        <v>1.932E-2</v>
      </c>
      <c r="R118" s="66">
        <v>3.5831083499999998</v>
      </c>
      <c r="S118" s="66">
        <f>R118+R117</f>
        <v>13.830161439999999</v>
      </c>
      <c r="T118" s="67">
        <v>16.778796</v>
      </c>
      <c r="U118" s="67">
        <v>16.778796</v>
      </c>
      <c r="V118" s="68">
        <v>58002</v>
      </c>
      <c r="W118" s="68">
        <v>58665</v>
      </c>
      <c r="X118" s="68">
        <f>W118-V118</f>
        <v>663</v>
      </c>
      <c r="Y118" s="68">
        <f t="shared" si="100"/>
        <v>185.03487342212244</v>
      </c>
      <c r="Z118" s="69">
        <v>846.2</v>
      </c>
      <c r="AA118" s="68">
        <v>896</v>
      </c>
      <c r="AB118" s="68">
        <f>AA118-Z118</f>
        <v>49.799999999999955</v>
      </c>
      <c r="AC118" s="68">
        <f t="shared" si="101"/>
        <v>13.89854705342638</v>
      </c>
      <c r="AD118" s="69">
        <v>734.66904899999997</v>
      </c>
      <c r="AE118" s="68">
        <v>779.65</v>
      </c>
      <c r="AF118" s="68">
        <f>AE118-AD118</f>
        <v>44.980951000000005</v>
      </c>
      <c r="AG118" s="68">
        <f t="shared" si="102"/>
        <v>12.553611726533473</v>
      </c>
      <c r="AH118" s="69">
        <v>32.090000000000003</v>
      </c>
      <c r="AI118" s="68">
        <v>8.42</v>
      </c>
      <c r="AJ118" s="68">
        <f>AI118-AH118</f>
        <v>-23.67</v>
      </c>
      <c r="AK118" s="70">
        <f t="shared" si="103"/>
        <v>-6.6059961597309789</v>
      </c>
      <c r="AL118" s="69">
        <v>-67.599999999999994</v>
      </c>
      <c r="AM118" s="68">
        <v>-69.400000000000006</v>
      </c>
      <c r="AN118" s="68">
        <f>AM118-AL118</f>
        <v>-1.8000000000000114</v>
      </c>
      <c r="AO118" s="70">
        <f t="shared" si="104"/>
        <v>-0.50235712241300534</v>
      </c>
      <c r="AP118" s="69">
        <v>-82.9</v>
      </c>
      <c r="AQ118" s="68">
        <v>-85.2</v>
      </c>
      <c r="AR118" s="68">
        <f>AQ118-AP118</f>
        <v>-2.2999999999999972</v>
      </c>
      <c r="AS118" s="70">
        <f t="shared" si="105"/>
        <v>-0.64190076752772418</v>
      </c>
      <c r="AT118" s="69">
        <v>28.4</v>
      </c>
      <c r="AU118" s="68">
        <v>29.1</v>
      </c>
      <c r="AV118" s="68">
        <f>AU118-AT118</f>
        <v>0.70000000000000284</v>
      </c>
      <c r="AW118" s="70">
        <f t="shared" si="106"/>
        <v>0.19536110316061273</v>
      </c>
      <c r="AX118" s="69">
        <v>57534</v>
      </c>
      <c r="AY118" s="68">
        <v>58196</v>
      </c>
      <c r="AZ118" s="68">
        <f>AY118-AX118</f>
        <v>662</v>
      </c>
      <c r="BA118" s="70">
        <f t="shared" si="107"/>
        <v>184.75578613189302</v>
      </c>
      <c r="BB118" s="69">
        <v>551</v>
      </c>
      <c r="BC118" s="68">
        <v>551.70000000000005</v>
      </c>
      <c r="BD118" s="68">
        <f>BC118-BB118</f>
        <v>0.70000000000004547</v>
      </c>
      <c r="BE118" s="70">
        <f t="shared" si="108"/>
        <v>0.19536110316062463</v>
      </c>
      <c r="BF118" s="69">
        <v>-521.20000000000005</v>
      </c>
      <c r="BG118" s="68">
        <v>-521.20000000000005</v>
      </c>
      <c r="BH118" s="68">
        <f>BG118-BF118</f>
        <v>0</v>
      </c>
      <c r="BI118" s="70">
        <f t="shared" si="109"/>
        <v>0</v>
      </c>
      <c r="BJ118" s="71">
        <v>16.778796</v>
      </c>
      <c r="BK118" s="71">
        <v>16.778796</v>
      </c>
      <c r="BL118" s="71">
        <f>BK118-BJ118</f>
        <v>0</v>
      </c>
      <c r="BM118" s="72">
        <v>-521.20000000000005</v>
      </c>
      <c r="BN118" s="73">
        <v>-521.20000000000005</v>
      </c>
      <c r="BO118" s="73">
        <f>BN118-BM118</f>
        <v>0</v>
      </c>
      <c r="BP118" s="72">
        <v>551</v>
      </c>
      <c r="BQ118" s="73">
        <v>551.70000000000005</v>
      </c>
      <c r="BR118" s="73">
        <f>BQ118-BP118</f>
        <v>0.70000000000004547</v>
      </c>
      <c r="BS118" s="71"/>
      <c r="BT118" s="71"/>
      <c r="BU118" s="71"/>
      <c r="BV118" s="71"/>
      <c r="BW118" s="62" t="s">
        <v>215</v>
      </c>
      <c r="BX118" s="5">
        <v>2196.3294521500002</v>
      </c>
      <c r="BY118" s="5">
        <v>-1.1471601199999999</v>
      </c>
      <c r="BZ118" s="5">
        <v>2025.15993129</v>
      </c>
      <c r="CA118" s="5">
        <v>2048.66135738</v>
      </c>
      <c r="CB118" s="5">
        <v>2.9305258699999999</v>
      </c>
      <c r="CC118" s="5">
        <v>2.9656636700000001</v>
      </c>
      <c r="CD118" s="5">
        <v>-0.22044874</v>
      </c>
      <c r="CE118" s="5">
        <v>3.5830631199999998</v>
      </c>
      <c r="CF118" s="5">
        <v>3.5909793900000002</v>
      </c>
      <c r="CG118" s="5">
        <v>-0.97593496999999996</v>
      </c>
      <c r="CH118" s="5">
        <v>-1.1848206299999999</v>
      </c>
      <c r="CI118" s="5">
        <v>0.59138592000000001</v>
      </c>
    </row>
    <row r="119" spans="1:87" ht="15" customHeight="1" x14ac:dyDescent="0.2">
      <c r="A119" s="58">
        <f t="shared" si="111"/>
        <v>62009026</v>
      </c>
      <c r="B119" s="58" t="s">
        <v>224</v>
      </c>
      <c r="C119" s="58" t="s">
        <v>130</v>
      </c>
      <c r="D119" s="59" t="s">
        <v>212</v>
      </c>
      <c r="E119" s="60" t="s">
        <v>240</v>
      </c>
      <c r="F119" s="61" t="str">
        <f t="shared" si="87"/>
        <v>09/17/20</v>
      </c>
      <c r="G119" s="62" t="s">
        <v>241</v>
      </c>
      <c r="H119" s="62" t="s">
        <v>110</v>
      </c>
      <c r="I119" s="63"/>
      <c r="J119" s="64">
        <v>18.928462</v>
      </c>
      <c r="K119" s="64">
        <v>57.104053999999998</v>
      </c>
      <c r="L119" s="64">
        <v>29.423812999999999</v>
      </c>
      <c r="M119" s="64">
        <v>28.102708</v>
      </c>
      <c r="N119" s="65">
        <v>3875</v>
      </c>
      <c r="O119" s="65">
        <v>28.39</v>
      </c>
      <c r="P119" s="65">
        <v>0.20169999999999999</v>
      </c>
      <c r="Q119" s="65">
        <v>1.932E-2</v>
      </c>
      <c r="R119" s="66">
        <v>3.8448743099999998</v>
      </c>
      <c r="S119" s="66">
        <f>R119+R118</f>
        <v>7.4279826599999996</v>
      </c>
      <c r="T119" s="67">
        <v>16.778796</v>
      </c>
      <c r="U119" s="67">
        <v>16.778796</v>
      </c>
      <c r="V119" s="68">
        <v>58665</v>
      </c>
      <c r="W119" s="68">
        <v>59197</v>
      </c>
      <c r="X119" s="68">
        <f>W119-V119</f>
        <v>532</v>
      </c>
      <c r="Y119" s="68">
        <f t="shared" si="100"/>
        <v>138.36603152834925</v>
      </c>
      <c r="Z119" s="69">
        <v>896</v>
      </c>
      <c r="AA119" s="68">
        <v>922.2</v>
      </c>
      <c r="AB119" s="68">
        <f>AA119-Z119</f>
        <v>26.200000000000045</v>
      </c>
      <c r="AC119" s="68">
        <f t="shared" si="101"/>
        <v>6.8142669662457829</v>
      </c>
      <c r="AD119" s="69">
        <v>779.65</v>
      </c>
      <c r="AE119" s="68">
        <v>801.77</v>
      </c>
      <c r="AF119" s="68">
        <f>AE119-AD119</f>
        <v>22.120000000000005</v>
      </c>
      <c r="AG119" s="68">
        <f t="shared" si="102"/>
        <v>5.7531139424945223</v>
      </c>
      <c r="AH119" s="69">
        <v>8.43</v>
      </c>
      <c r="AI119" s="68">
        <v>19.489999999999998</v>
      </c>
      <c r="AJ119" s="68">
        <f>AI119-AH119</f>
        <v>11.059999999999999</v>
      </c>
      <c r="AK119" s="70">
        <f t="shared" si="103"/>
        <v>2.8765569712472603</v>
      </c>
      <c r="AL119" s="69">
        <v>-69.400000000000006</v>
      </c>
      <c r="AM119" s="68">
        <v>-72.599999999999994</v>
      </c>
      <c r="AN119" s="68">
        <f>AM119-AL119</f>
        <v>-3.1999999999999886</v>
      </c>
      <c r="AO119" s="70">
        <f t="shared" si="104"/>
        <v>-0.83227688137352629</v>
      </c>
      <c r="AP119" s="69">
        <v>-85.2</v>
      </c>
      <c r="AQ119" s="68">
        <v>-89.1</v>
      </c>
      <c r="AR119" s="68">
        <f>AQ119-AP119</f>
        <v>-3.8999999999999915</v>
      </c>
      <c r="AS119" s="70">
        <f t="shared" si="105"/>
        <v>-1.0143374491739865</v>
      </c>
      <c r="AT119" s="69">
        <v>29.1</v>
      </c>
      <c r="AU119" s="68">
        <v>30.4</v>
      </c>
      <c r="AV119" s="68">
        <f>AU119-AT119</f>
        <v>1.2999999999999972</v>
      </c>
      <c r="AW119" s="70">
        <f t="shared" si="106"/>
        <v>0.33811248305799552</v>
      </c>
      <c r="AX119" s="69">
        <v>58196</v>
      </c>
      <c r="AY119" s="68">
        <v>58726</v>
      </c>
      <c r="AZ119" s="68">
        <f>AY119-AX119</f>
        <v>530</v>
      </c>
      <c r="BA119" s="70">
        <f t="shared" si="107"/>
        <v>137.84585847749079</v>
      </c>
      <c r="BB119" s="69">
        <v>551.70000000000005</v>
      </c>
      <c r="BC119" s="68">
        <v>552.9</v>
      </c>
      <c r="BD119" s="68">
        <f>BC119-BB119</f>
        <v>1.1999999999999318</v>
      </c>
      <c r="BE119" s="70">
        <f t="shared" si="108"/>
        <v>0.31210383051505575</v>
      </c>
      <c r="BF119" s="69">
        <v>-521.20000000000005</v>
      </c>
      <c r="BG119" s="68">
        <v>-521.20000000000005</v>
      </c>
      <c r="BH119" s="68">
        <f>BG119-BF119</f>
        <v>0</v>
      </c>
      <c r="BI119" s="70">
        <f t="shared" si="109"/>
        <v>0</v>
      </c>
      <c r="BJ119" s="71">
        <v>16.778796</v>
      </c>
      <c r="BK119" s="71">
        <v>16.778796</v>
      </c>
      <c r="BL119" s="71">
        <f>BK119-BJ119</f>
        <v>0</v>
      </c>
      <c r="BM119" s="72">
        <v>-521.20000000000005</v>
      </c>
      <c r="BN119" s="73">
        <v>-521.20000000000005</v>
      </c>
      <c r="BO119" s="73">
        <f>BN119-BM119</f>
        <v>0</v>
      </c>
      <c r="BP119" s="72">
        <v>551.70000000000005</v>
      </c>
      <c r="BQ119" s="73">
        <v>552.9</v>
      </c>
      <c r="BR119" s="73">
        <f>BQ119-BP119</f>
        <v>1.1999999999999318</v>
      </c>
      <c r="BS119" s="71"/>
      <c r="BT119" s="71"/>
      <c r="BU119" s="71"/>
      <c r="BV119" s="71"/>
      <c r="BW119" s="62" t="s">
        <v>215</v>
      </c>
      <c r="BX119" s="5">
        <v>1348.6732896200001</v>
      </c>
      <c r="BY119" s="5">
        <v>-1.33140529</v>
      </c>
      <c r="BZ119" s="5">
        <v>3370.5673162200001</v>
      </c>
      <c r="CA119" s="5">
        <v>3416.0487703099998</v>
      </c>
      <c r="CB119" s="5">
        <v>2.7012119600000002</v>
      </c>
      <c r="CC119" s="5">
        <v>2.7415452899999999</v>
      </c>
      <c r="CD119" s="5">
        <v>-0.39177504000000002</v>
      </c>
      <c r="CE119" s="5">
        <v>3.8447080800000002</v>
      </c>
      <c r="CF119" s="5">
        <v>3.8598299300000001</v>
      </c>
      <c r="CG119" s="5">
        <v>-1.0955322300000001</v>
      </c>
      <c r="CH119" s="5">
        <v>-1.4711899100000001</v>
      </c>
      <c r="CI119" s="5">
        <v>0.71728154</v>
      </c>
    </row>
    <row r="120" spans="1:87" ht="15" customHeight="1" x14ac:dyDescent="0.2">
      <c r="A120" s="58">
        <f t="shared" si="111"/>
        <v>62009026</v>
      </c>
      <c r="B120" s="58" t="s">
        <v>225</v>
      </c>
      <c r="C120" s="58" t="s">
        <v>132</v>
      </c>
      <c r="D120" s="59" t="s">
        <v>212</v>
      </c>
      <c r="E120" s="60" t="s">
        <v>240</v>
      </c>
      <c r="F120" s="61" t="str">
        <f t="shared" si="87"/>
        <v>09/17/20</v>
      </c>
      <c r="G120" s="62" t="s">
        <v>241</v>
      </c>
      <c r="H120" s="62" t="s">
        <v>110</v>
      </c>
      <c r="I120" s="63"/>
      <c r="J120" s="74">
        <f>AVERAGE(J118:J119)</f>
        <v>20.012726499999999</v>
      </c>
      <c r="K120" s="74">
        <f>AVERAGE(K118:K119)</f>
        <v>53.524323499999994</v>
      </c>
      <c r="L120" s="74">
        <f>AVERAGE(L118:L119)</f>
        <v>29.424053000000001</v>
      </c>
      <c r="M120" s="74">
        <f>AVERAGE(M118:M119)</f>
        <v>28.568396499999999</v>
      </c>
      <c r="N120" s="75"/>
      <c r="O120" s="65"/>
      <c r="P120" s="76"/>
      <c r="Q120" s="77"/>
      <c r="R120" s="78">
        <f>R119+R118</f>
        <v>7.4279826599999996</v>
      </c>
      <c r="S120" s="78">
        <f>S119</f>
        <v>7.4279826599999996</v>
      </c>
      <c r="T120" s="79">
        <f>T118</f>
        <v>16.778796</v>
      </c>
      <c r="U120" s="79">
        <f>U119</f>
        <v>16.778796</v>
      </c>
      <c r="V120" s="80">
        <f>V118</f>
        <v>58002</v>
      </c>
      <c r="W120" s="80">
        <f>W119</f>
        <v>59197</v>
      </c>
      <c r="X120" s="80">
        <f>SUM(X118:X119)</f>
        <v>1195</v>
      </c>
      <c r="Y120" s="80">
        <f t="shared" si="100"/>
        <v>160.87813538326165</v>
      </c>
      <c r="Z120" s="80">
        <f>Z118</f>
        <v>846.2</v>
      </c>
      <c r="AA120" s="80">
        <f>AA119</f>
        <v>922.2</v>
      </c>
      <c r="AB120" s="80">
        <f>SUM(AB118:AB119)</f>
        <v>76</v>
      </c>
      <c r="AC120" s="80">
        <f t="shared" si="101"/>
        <v>10.231580158266013</v>
      </c>
      <c r="AD120" s="80">
        <f>AD118</f>
        <v>734.66904899999997</v>
      </c>
      <c r="AE120" s="80">
        <f>AE119</f>
        <v>801.77</v>
      </c>
      <c r="AF120" s="80">
        <f>SUM(AF118:AF119)</f>
        <v>67.100951000000009</v>
      </c>
      <c r="AG120" s="80">
        <f t="shared" si="102"/>
        <v>9.033536300689212</v>
      </c>
      <c r="AH120" s="80">
        <f>AH118</f>
        <v>32.090000000000003</v>
      </c>
      <c r="AI120" s="80">
        <f>AI119</f>
        <v>19.489999999999998</v>
      </c>
      <c r="AJ120" s="80">
        <f>SUM(AJ118:AJ119)</f>
        <v>-12.610000000000003</v>
      </c>
      <c r="AK120" s="81">
        <f t="shared" si="103"/>
        <v>-1.6976345499438745</v>
      </c>
      <c r="AL120" s="80">
        <f>AL118</f>
        <v>-67.599999999999994</v>
      </c>
      <c r="AM120" s="80">
        <f>AM119</f>
        <v>-72.599999999999994</v>
      </c>
      <c r="AN120" s="80">
        <f>SUM(AN118:AN119)</f>
        <v>-5</v>
      </c>
      <c r="AO120" s="81">
        <f t="shared" si="104"/>
        <v>-0.67313027357013244</v>
      </c>
      <c r="AP120" s="80">
        <f>AP118</f>
        <v>-82.9</v>
      </c>
      <c r="AQ120" s="80">
        <f>AQ119</f>
        <v>-89.1</v>
      </c>
      <c r="AR120" s="80">
        <f>SUM(AR118:AR119)</f>
        <v>-6.1999999999999886</v>
      </c>
      <c r="AS120" s="81">
        <f t="shared" si="105"/>
        <v>-0.83468153922696275</v>
      </c>
      <c r="AT120" s="80">
        <f>AT118</f>
        <v>28.4</v>
      </c>
      <c r="AU120" s="80">
        <f>AU119</f>
        <v>30.4</v>
      </c>
      <c r="AV120" s="80">
        <f>SUM(AV118:AV119)</f>
        <v>2</v>
      </c>
      <c r="AW120" s="81">
        <f t="shared" si="106"/>
        <v>0.269252109428053</v>
      </c>
      <c r="AX120" s="80">
        <f>AX118</f>
        <v>57534</v>
      </c>
      <c r="AY120" s="80">
        <f>AY119</f>
        <v>58726</v>
      </c>
      <c r="AZ120" s="80">
        <f>SUM(AZ118:AZ119)</f>
        <v>1192</v>
      </c>
      <c r="BA120" s="81">
        <f t="shared" si="107"/>
        <v>160.47425721911958</v>
      </c>
      <c r="BB120" s="80">
        <f>BB118</f>
        <v>551</v>
      </c>
      <c r="BC120" s="80">
        <f>BC119</f>
        <v>552.9</v>
      </c>
      <c r="BD120" s="80">
        <f>SUM(BD118:BD119)</f>
        <v>1.8999999999999773</v>
      </c>
      <c r="BE120" s="81">
        <f t="shared" si="108"/>
        <v>0.25578950395664729</v>
      </c>
      <c r="BF120" s="80">
        <f>BF118</f>
        <v>-521.20000000000005</v>
      </c>
      <c r="BG120" s="80">
        <f>BG119</f>
        <v>-521.20000000000005</v>
      </c>
      <c r="BH120" s="80">
        <f>SUM(BH118:BH119)</f>
        <v>0</v>
      </c>
      <c r="BI120" s="81">
        <f t="shared" si="109"/>
        <v>0</v>
      </c>
      <c r="BJ120" s="82"/>
      <c r="BK120" s="82"/>
      <c r="BL120" s="82">
        <f>SUM(BL118:BL119)</f>
        <v>0</v>
      </c>
      <c r="BM120" s="83">
        <f>BM118</f>
        <v>-521.20000000000005</v>
      </c>
      <c r="BN120" s="83">
        <f>BN119</f>
        <v>-521.20000000000005</v>
      </c>
      <c r="BO120" s="83">
        <f>SUM(BO118:BO119)</f>
        <v>0</v>
      </c>
      <c r="BP120" s="83">
        <f>BP118</f>
        <v>551</v>
      </c>
      <c r="BQ120" s="83">
        <f>BQ119</f>
        <v>552.9</v>
      </c>
      <c r="BR120" s="83">
        <f>SUM(BR118:BR119)</f>
        <v>1.8999999999999773</v>
      </c>
      <c r="BS120" s="82"/>
      <c r="BT120" s="82"/>
      <c r="BU120" s="82"/>
      <c r="BV120" s="82"/>
      <c r="BW120" s="62" t="s">
        <v>215</v>
      </c>
    </row>
    <row r="121" spans="1:87" ht="15" customHeight="1" x14ac:dyDescent="0.2">
      <c r="A121" s="58">
        <f>A120+1</f>
        <v>62009027</v>
      </c>
      <c r="B121" s="58" t="s">
        <v>205</v>
      </c>
      <c r="C121" s="58" t="s">
        <v>98</v>
      </c>
      <c r="D121" s="59" t="s">
        <v>134</v>
      </c>
      <c r="E121" s="60" t="s">
        <v>242</v>
      </c>
      <c r="F121" s="61" t="str">
        <f t="shared" si="87"/>
        <v>09/17/20</v>
      </c>
      <c r="G121" s="62" t="s">
        <v>243</v>
      </c>
      <c r="H121" s="62" t="s">
        <v>110</v>
      </c>
      <c r="I121" s="63"/>
      <c r="J121" s="64">
        <v>26.094743999999999</v>
      </c>
      <c r="K121" s="64">
        <v>36.233285000000002</v>
      </c>
      <c r="L121" s="64">
        <v>29.440189</v>
      </c>
      <c r="M121" s="64">
        <v>30.994382000000002</v>
      </c>
      <c r="N121" s="65">
        <v>3875</v>
      </c>
      <c r="O121" s="65">
        <v>28.39</v>
      </c>
      <c r="P121" s="65">
        <v>0.20169999999999999</v>
      </c>
      <c r="Q121" s="65">
        <v>1.932E-2</v>
      </c>
      <c r="R121" s="66">
        <v>20.848594030000001</v>
      </c>
      <c r="S121" s="66">
        <f>R121+R120</f>
        <v>28.276576689999999</v>
      </c>
      <c r="T121" s="67">
        <v>9.6970949999999991</v>
      </c>
      <c r="U121" s="67">
        <v>0.10070900000000001</v>
      </c>
      <c r="V121" s="68">
        <v>59199</v>
      </c>
      <c r="W121" s="68">
        <v>64594</v>
      </c>
      <c r="X121" s="68">
        <f>W121-V121</f>
        <v>5395</v>
      </c>
      <c r="Y121" s="68">
        <f t="shared" si="100"/>
        <v>258.77044716957346</v>
      </c>
      <c r="Z121" s="69">
        <v>924.48827400000005</v>
      </c>
      <c r="AA121" s="68">
        <v>994.8</v>
      </c>
      <c r="AB121" s="68">
        <f>AA121-Z121</f>
        <v>70.311725999999908</v>
      </c>
      <c r="AC121" s="68">
        <f t="shared" si="101"/>
        <v>3.3724924519526414</v>
      </c>
      <c r="AD121" s="69">
        <v>803.72765500000003</v>
      </c>
      <c r="AE121" s="68">
        <v>866.13</v>
      </c>
      <c r="AF121" s="68">
        <f>AE121-AD121</f>
        <v>62.402344999999968</v>
      </c>
      <c r="AG121" s="68">
        <f t="shared" si="102"/>
        <v>2.9931200593290064</v>
      </c>
      <c r="AH121" s="69">
        <v>26.611173000000001</v>
      </c>
      <c r="AI121" s="68">
        <v>18.010000000000002</v>
      </c>
      <c r="AJ121" s="68">
        <f>AI121-AH121</f>
        <v>-8.6011729999999993</v>
      </c>
      <c r="AK121" s="70">
        <f t="shared" si="103"/>
        <v>-0.41255410257513653</v>
      </c>
      <c r="AL121" s="69">
        <v>-72.7</v>
      </c>
      <c r="AM121" s="68">
        <v>-76.900000000000006</v>
      </c>
      <c r="AN121" s="68">
        <f>AM121-AL121</f>
        <v>-4.2000000000000028</v>
      </c>
      <c r="AO121" s="70">
        <f t="shared" si="104"/>
        <v>-0.20145243338502489</v>
      </c>
      <c r="AP121" s="69">
        <v>-89</v>
      </c>
      <c r="AQ121" s="68">
        <v>-94.3</v>
      </c>
      <c r="AR121" s="68">
        <f>AQ121-AP121</f>
        <v>-5.2999999999999972</v>
      </c>
      <c r="AS121" s="70">
        <f t="shared" si="105"/>
        <v>-0.25421378498586444</v>
      </c>
      <c r="AT121" s="69">
        <v>30.4</v>
      </c>
      <c r="AU121" s="68">
        <v>32.200000000000003</v>
      </c>
      <c r="AV121" s="68">
        <f>AU121-AT121</f>
        <v>1.8000000000000043</v>
      </c>
      <c r="AW121" s="70">
        <f t="shared" si="106"/>
        <v>8.6336757165010811E-2</v>
      </c>
      <c r="AX121" s="69">
        <v>58729</v>
      </c>
      <c r="AY121" s="68">
        <v>64125</v>
      </c>
      <c r="AZ121" s="68">
        <f>AY121-AX121</f>
        <v>5396</v>
      </c>
      <c r="BA121" s="70">
        <f t="shared" si="107"/>
        <v>258.81841203466513</v>
      </c>
      <c r="BB121" s="69">
        <v>553.4</v>
      </c>
      <c r="BC121" s="68">
        <v>555.20000000000005</v>
      </c>
      <c r="BD121" s="68">
        <f>BC121-BB121</f>
        <v>1.8000000000000682</v>
      </c>
      <c r="BE121" s="70">
        <f t="shared" si="108"/>
        <v>8.6336757165013878E-2</v>
      </c>
      <c r="BF121" s="69">
        <v>-521.20000000000005</v>
      </c>
      <c r="BG121" s="68">
        <v>-521.20000000000005</v>
      </c>
      <c r="BH121" s="68">
        <f>BG121-BF121</f>
        <v>0</v>
      </c>
      <c r="BI121" s="70">
        <f t="shared" si="109"/>
        <v>0</v>
      </c>
      <c r="BJ121" s="71">
        <v>9.6970949999999991</v>
      </c>
      <c r="BK121" s="71">
        <v>0.10070900000000001</v>
      </c>
      <c r="BL121" s="71">
        <f>BK121-BJ121</f>
        <v>-9.596385999999999</v>
      </c>
      <c r="BM121" s="72">
        <v>-521.20000000000005</v>
      </c>
      <c r="BN121" s="73">
        <v>-521.20000000000005</v>
      </c>
      <c r="BO121" s="73">
        <f>BN121-BM121</f>
        <v>0</v>
      </c>
      <c r="BP121" s="72">
        <v>553.4</v>
      </c>
      <c r="BQ121" s="73">
        <v>555.20000000000005</v>
      </c>
      <c r="BR121" s="73">
        <f>BQ121-BP121</f>
        <v>1.8000000000000682</v>
      </c>
      <c r="BS121" s="71"/>
      <c r="BT121" s="71"/>
      <c r="BU121" s="71"/>
      <c r="BV121" s="71"/>
      <c r="BW121" s="62" t="s">
        <v>215</v>
      </c>
      <c r="BX121" s="5">
        <v>91.214678789999994</v>
      </c>
      <c r="BY121" s="5">
        <v>35.886628459999997</v>
      </c>
      <c r="BZ121" s="5">
        <v>789.70785900999999</v>
      </c>
      <c r="CA121" s="5">
        <v>581.15200000000004</v>
      </c>
      <c r="CB121" s="5">
        <v>17.828005539999999</v>
      </c>
      <c r="CC121" s="5">
        <v>21.767074600000001</v>
      </c>
      <c r="CD121" s="5">
        <v>-12.96124644</v>
      </c>
      <c r="CE121" s="5">
        <v>20.848741449999999</v>
      </c>
      <c r="CF121" s="5">
        <v>23.95340075</v>
      </c>
      <c r="CG121" s="5">
        <v>-6.2698256800000003</v>
      </c>
      <c r="CH121" s="5">
        <v>-18.096455880000001</v>
      </c>
      <c r="CI121" s="5">
        <v>3.4601920000000001E-2</v>
      </c>
    </row>
    <row r="122" spans="1:87" ht="15" customHeight="1" x14ac:dyDescent="0.2">
      <c r="A122" s="58">
        <f>A121+1</f>
        <v>62009028</v>
      </c>
      <c r="B122" s="84" t="s">
        <v>141</v>
      </c>
      <c r="C122" s="84" t="s">
        <v>98</v>
      </c>
      <c r="D122" s="59" t="s">
        <v>228</v>
      </c>
      <c r="E122" s="60" t="s">
        <v>244</v>
      </c>
      <c r="F122" s="61" t="str">
        <f t="shared" si="87"/>
        <v>09/17/20</v>
      </c>
      <c r="G122" s="62" t="s">
        <v>230</v>
      </c>
      <c r="H122" s="62" t="s">
        <v>110</v>
      </c>
      <c r="I122" s="63"/>
      <c r="J122" s="64">
        <v>1109.5461170000001</v>
      </c>
      <c r="K122" s="64">
        <v>2367.9307199999998</v>
      </c>
      <c r="L122" s="64">
        <v>1491.8867009999999</v>
      </c>
      <c r="M122" s="64">
        <v>1112.4283499999999</v>
      </c>
      <c r="N122" s="65">
        <v>3875</v>
      </c>
      <c r="O122" s="65">
        <v>28.39</v>
      </c>
      <c r="P122" s="65">
        <v>0.20169999999999999</v>
      </c>
      <c r="Q122" s="65">
        <v>1.932E-2</v>
      </c>
      <c r="R122" s="66">
        <v>2.7634929999999999E-2</v>
      </c>
      <c r="S122" s="66">
        <f>R122+R121</f>
        <v>20.876228960000002</v>
      </c>
      <c r="T122" s="67" t="s">
        <v>245</v>
      </c>
      <c r="U122" s="67" t="s">
        <v>246</v>
      </c>
      <c r="V122" s="68">
        <v>64594</v>
      </c>
      <c r="W122" s="68">
        <v>64450</v>
      </c>
      <c r="X122" s="68">
        <f>W122-V122</f>
        <v>-144</v>
      </c>
      <c r="Y122" s="68">
        <f t="shared" si="100"/>
        <v>-5210.796625864441</v>
      </c>
      <c r="Z122" s="69">
        <v>994.8</v>
      </c>
      <c r="AA122" s="68">
        <v>1565.7</v>
      </c>
      <c r="AB122" s="68">
        <f>AA122-Z122</f>
        <v>570.90000000000009</v>
      </c>
      <c r="AC122" s="68">
        <f t="shared" si="101"/>
        <v>20658.637456291734</v>
      </c>
      <c r="AD122" s="69">
        <v>866.09</v>
      </c>
      <c r="AE122" s="68">
        <v>1272.72</v>
      </c>
      <c r="AF122" s="68">
        <f>AE122-AD122</f>
        <v>406.63</v>
      </c>
      <c r="AG122" s="68">
        <f t="shared" si="102"/>
        <v>14714.34883316151</v>
      </c>
      <c r="AH122" s="69">
        <v>23.55</v>
      </c>
      <c r="AI122" s="68">
        <v>-55.94</v>
      </c>
      <c r="AJ122" s="68">
        <f>AI122-AH122</f>
        <v>-79.489999999999995</v>
      </c>
      <c r="AK122" s="70">
        <f t="shared" si="103"/>
        <v>-2876.4321096525305</v>
      </c>
      <c r="AL122" s="69">
        <v>-76.900000000000006</v>
      </c>
      <c r="AM122" s="68">
        <v>-77.3</v>
      </c>
      <c r="AN122" s="68">
        <f>AM122-AL122</f>
        <v>-0.39999999999999147</v>
      </c>
      <c r="AO122" s="70">
        <f t="shared" si="104"/>
        <v>-14.47443507184536</v>
      </c>
      <c r="AP122" s="69">
        <v>-94.3</v>
      </c>
      <c r="AQ122" s="68">
        <v>-94.7</v>
      </c>
      <c r="AR122" s="68">
        <f>AQ122-AP122</f>
        <v>-0.40000000000000568</v>
      </c>
      <c r="AS122" s="70">
        <f t="shared" si="105"/>
        <v>-14.474435071845875</v>
      </c>
      <c r="AT122" s="69">
        <v>32.200000000000003</v>
      </c>
      <c r="AU122" s="68">
        <v>125.7</v>
      </c>
      <c r="AV122" s="68">
        <f>AU122-AT122</f>
        <v>93.5</v>
      </c>
      <c r="AW122" s="70">
        <f t="shared" si="106"/>
        <v>3383.399198043925</v>
      </c>
      <c r="AX122" s="69">
        <v>64125</v>
      </c>
      <c r="AY122" s="68">
        <v>-1990</v>
      </c>
      <c r="AZ122" s="68">
        <f>AY122-AX122</f>
        <v>-66115</v>
      </c>
      <c r="BA122" s="70">
        <f t="shared" si="107"/>
        <v>-2392443.1869376907</v>
      </c>
      <c r="BB122" s="69">
        <v>555.6</v>
      </c>
      <c r="BC122" s="68">
        <v>71584.600000000006</v>
      </c>
      <c r="BD122" s="68">
        <f>BC122-BB122</f>
        <v>71029</v>
      </c>
      <c r="BE122" s="70">
        <f t="shared" si="108"/>
        <v>2570261.6217953148</v>
      </c>
      <c r="BF122" s="69">
        <v>-521.20000000000005</v>
      </c>
      <c r="BG122" s="68">
        <v>-71442.100000000006</v>
      </c>
      <c r="BH122" s="68">
        <f>BG122-BF122</f>
        <v>-70920.900000000009</v>
      </c>
      <c r="BI122" s="70">
        <f t="shared" si="109"/>
        <v>-2566349.9057171489</v>
      </c>
      <c r="BJ122" s="71" t="s">
        <v>245</v>
      </c>
      <c r="BK122" s="71" t="s">
        <v>247</v>
      </c>
      <c r="BL122" s="71" t="e">
        <f>BK122-BJ122</f>
        <v>#VALUE!</v>
      </c>
      <c r="BM122" s="72">
        <v>-521.20000000000005</v>
      </c>
      <c r="BN122" s="73">
        <v>-71442.100000000006</v>
      </c>
      <c r="BO122" s="73">
        <f>BN122-BM122</f>
        <v>-70920.900000000009</v>
      </c>
      <c r="BP122" s="72">
        <v>555.6</v>
      </c>
      <c r="BQ122" s="73">
        <v>71584.600000000006</v>
      </c>
      <c r="BR122" s="73">
        <f>BQ122-BP122</f>
        <v>71029</v>
      </c>
      <c r="BS122" s="71"/>
      <c r="BT122" s="71"/>
      <c r="BU122" s="71"/>
      <c r="BV122" s="71"/>
      <c r="BW122" s="62" t="s">
        <v>215</v>
      </c>
      <c r="BX122" s="5">
        <v>0</v>
      </c>
      <c r="BY122" s="5" t="s">
        <v>112</v>
      </c>
      <c r="BZ122" s="5">
        <v>0</v>
      </c>
      <c r="CA122" s="5">
        <v>0</v>
      </c>
      <c r="CB122" s="5">
        <v>0</v>
      </c>
      <c r="CC122" s="5">
        <v>0</v>
      </c>
      <c r="CD122" s="5" t="s">
        <v>112</v>
      </c>
      <c r="CE122" s="5">
        <v>0</v>
      </c>
      <c r="CF122" s="5">
        <v>0</v>
      </c>
      <c r="CG122" s="5" t="s">
        <v>112</v>
      </c>
      <c r="CH122" s="5" t="s">
        <v>112</v>
      </c>
      <c r="CI122" s="5" t="s">
        <v>112</v>
      </c>
    </row>
    <row r="123" spans="1:87" ht="15" customHeight="1" x14ac:dyDescent="0.2">
      <c r="A123" s="51" t="s">
        <v>248</v>
      </c>
      <c r="B123" s="52"/>
      <c r="C123" s="52"/>
      <c r="D123" s="53"/>
      <c r="E123" s="52"/>
      <c r="F123" s="52"/>
      <c r="G123" s="53"/>
      <c r="H123" s="53"/>
      <c r="I123" s="53"/>
      <c r="J123" s="53"/>
      <c r="K123" s="53"/>
      <c r="L123" s="53"/>
      <c r="M123" s="53"/>
      <c r="N123" s="53"/>
      <c r="O123" s="53"/>
      <c r="P123" s="54"/>
      <c r="Q123" s="55"/>
      <c r="R123" s="52"/>
      <c r="S123" s="52"/>
      <c r="T123" s="52"/>
      <c r="U123" s="52"/>
      <c r="V123" s="56"/>
      <c r="W123" s="56"/>
      <c r="X123" s="52"/>
      <c r="Y123" s="52"/>
      <c r="Z123" s="56"/>
      <c r="AA123" s="56"/>
      <c r="AB123" s="52"/>
      <c r="AC123" s="52"/>
      <c r="AD123" s="56"/>
      <c r="AE123" s="56"/>
      <c r="AF123" s="52"/>
      <c r="AG123" s="52"/>
      <c r="AH123" s="52"/>
      <c r="AI123" s="52"/>
      <c r="AJ123" s="52"/>
      <c r="AK123" s="52"/>
      <c r="AL123" s="56"/>
      <c r="AM123" s="56"/>
      <c r="AN123" s="52"/>
      <c r="AO123" s="52"/>
      <c r="AP123" s="52"/>
      <c r="AQ123" s="52"/>
      <c r="AR123" s="52"/>
      <c r="AS123" s="52"/>
      <c r="AT123" s="52"/>
      <c r="AU123" s="52"/>
      <c r="AV123" s="52"/>
      <c r="AW123" s="52"/>
      <c r="AX123" s="52"/>
      <c r="AY123" s="52"/>
      <c r="AZ123" s="52"/>
      <c r="BA123" s="52"/>
      <c r="BB123" s="52"/>
      <c r="BC123" s="52"/>
      <c r="BD123" s="52"/>
      <c r="BE123" s="52"/>
      <c r="BF123" s="52"/>
      <c r="BG123" s="52"/>
      <c r="BH123" s="52"/>
      <c r="BI123" s="52"/>
      <c r="BJ123" s="52"/>
      <c r="BK123" s="52"/>
      <c r="BL123" s="57"/>
    </row>
    <row r="124" spans="1:87" ht="15" customHeight="1" x14ac:dyDescent="0.2">
      <c r="A124" s="58">
        <v>62009029</v>
      </c>
      <c r="B124" s="58" t="s">
        <v>113</v>
      </c>
      <c r="C124" s="58" t="s">
        <v>98</v>
      </c>
      <c r="D124" s="59" t="s">
        <v>114</v>
      </c>
      <c r="E124" s="60" t="s">
        <v>249</v>
      </c>
      <c r="F124" s="61" t="str">
        <f t="shared" si="87"/>
        <v>09/18/20</v>
      </c>
      <c r="G124" s="62" t="s">
        <v>250</v>
      </c>
      <c r="H124" s="62" t="s">
        <v>110</v>
      </c>
      <c r="I124" s="63"/>
      <c r="J124" s="64">
        <v>23.770510999999999</v>
      </c>
      <c r="K124" s="64">
        <v>42.952683</v>
      </c>
      <c r="L124" s="64">
        <v>29.580691000000002</v>
      </c>
      <c r="M124" s="64">
        <v>25.075583000000002</v>
      </c>
      <c r="N124" s="65">
        <v>3875</v>
      </c>
      <c r="O124" s="65">
        <v>28.39</v>
      </c>
      <c r="P124" s="65">
        <v>0.20169999999999999</v>
      </c>
      <c r="Q124" s="65">
        <v>1.932E-2</v>
      </c>
      <c r="R124" s="66">
        <v>3.5739591900000001</v>
      </c>
      <c r="S124" s="66">
        <f>R124+R123</f>
        <v>3.5739591900000001</v>
      </c>
      <c r="T124" s="67">
        <v>97.492802999999995</v>
      </c>
      <c r="U124" s="67">
        <v>96.546745000000001</v>
      </c>
      <c r="V124" s="68">
        <v>4</v>
      </c>
      <c r="W124" s="68">
        <v>749</v>
      </c>
      <c r="X124" s="68">
        <f>W124-V124</f>
        <v>745</v>
      </c>
      <c r="Y124" s="68">
        <f t="shared" ref="Y124:Y153" si="112">X124/$R124</f>
        <v>208.45229628937088</v>
      </c>
      <c r="Z124" s="69">
        <v>6</v>
      </c>
      <c r="AA124" s="68">
        <v>25.9</v>
      </c>
      <c r="AB124" s="68">
        <f>AA124-Z124</f>
        <v>19.899999999999999</v>
      </c>
      <c r="AC124" s="68">
        <f t="shared" ref="AC124:AC153" si="113">AB124/$R124</f>
        <v>5.5680546257160808</v>
      </c>
      <c r="AD124" s="69">
        <v>5.21</v>
      </c>
      <c r="AE124" s="68">
        <v>21.9</v>
      </c>
      <c r="AF124" s="68">
        <f>AE124-AD124</f>
        <v>16.689999999999998</v>
      </c>
      <c r="AG124" s="68">
        <f t="shared" ref="AG124:AG153" si="114">AF124/$R124</f>
        <v>4.669891040361879</v>
      </c>
      <c r="AH124" s="69">
        <v>4.6500000000000004</v>
      </c>
      <c r="AI124" s="68">
        <v>8.0299999999999994</v>
      </c>
      <c r="AJ124" s="68">
        <f>AI124-AH124</f>
        <v>3.379999999999999</v>
      </c>
      <c r="AK124" s="70">
        <f t="shared" ref="AK124:AK153" si="115">AJ124/$R124</f>
        <v>0.94572988115177636</v>
      </c>
      <c r="AL124" s="69">
        <v>-0.4</v>
      </c>
      <c r="AM124" s="68">
        <v>-2.5</v>
      </c>
      <c r="AN124" s="68">
        <f>AM124-AL124</f>
        <v>-2.1</v>
      </c>
      <c r="AO124" s="70">
        <f t="shared" ref="AO124:AO153" si="116">AN124/$R124</f>
        <v>-0.58758365397003876</v>
      </c>
      <c r="AP124" s="69">
        <v>-0.2</v>
      </c>
      <c r="AQ124" s="68">
        <v>-3</v>
      </c>
      <c r="AR124" s="68">
        <f>AQ124-AP124</f>
        <v>-2.8</v>
      </c>
      <c r="AS124" s="70">
        <f t="shared" ref="AS124:AS153" si="117">AR124/$R124</f>
        <v>-0.78344487196005164</v>
      </c>
      <c r="AT124" s="69">
        <v>0.2</v>
      </c>
      <c r="AU124" s="68">
        <v>1.1000000000000001</v>
      </c>
      <c r="AV124" s="68">
        <f>AU124-AT124</f>
        <v>0.90000000000000013</v>
      </c>
      <c r="AW124" s="70">
        <f t="shared" ref="AW124:AW153" si="118">AV124/$R124</f>
        <v>0.25182156598715949</v>
      </c>
      <c r="AX124" s="69">
        <v>-15</v>
      </c>
      <c r="AY124" s="68">
        <v>729</v>
      </c>
      <c r="AZ124" s="68">
        <f>AY124-AX124</f>
        <v>744</v>
      </c>
      <c r="BA124" s="70">
        <f t="shared" ref="BA124:BA153" si="119">AZ124/$R124</f>
        <v>208.17249454938516</v>
      </c>
      <c r="BB124" s="69">
        <v>23.7</v>
      </c>
      <c r="BC124" s="68">
        <v>24.4</v>
      </c>
      <c r="BD124" s="68">
        <f>BC124-BB124</f>
        <v>0.69999999999999929</v>
      </c>
      <c r="BE124" s="70">
        <f t="shared" ref="BE124:BE153" si="120">BD124/$R124</f>
        <v>0.19586121799001271</v>
      </c>
      <c r="BF124" s="69">
        <v>-23.2</v>
      </c>
      <c r="BG124" s="68">
        <v>-23.2</v>
      </c>
      <c r="BH124" s="68">
        <f>BG124-BF124</f>
        <v>0</v>
      </c>
      <c r="BI124" s="70">
        <f t="shared" ref="BI124:BI153" si="121">BH124/$R124</f>
        <v>0</v>
      </c>
      <c r="BJ124" s="71">
        <v>97.492802999999995</v>
      </c>
      <c r="BK124" s="71">
        <v>96.546745000000001</v>
      </c>
      <c r="BL124" s="71">
        <f>BK124-BJ124</f>
        <v>-0.94605799999999363</v>
      </c>
      <c r="BM124" s="72">
        <v>-23.2</v>
      </c>
      <c r="BN124" s="73">
        <v>-23.2</v>
      </c>
      <c r="BO124" s="73">
        <f>BN124-BM124</f>
        <v>0</v>
      </c>
      <c r="BP124" s="72">
        <v>23.7</v>
      </c>
      <c r="BQ124" s="73">
        <v>24.4</v>
      </c>
      <c r="BR124" s="73">
        <f>BQ124-BP124</f>
        <v>0.69999999999999929</v>
      </c>
      <c r="BS124" s="71"/>
      <c r="BT124" s="71"/>
      <c r="BU124" s="71"/>
      <c r="BV124" s="71"/>
      <c r="BW124" s="62" t="s">
        <v>215</v>
      </c>
      <c r="BX124" s="5">
        <v>2204.7629731100001</v>
      </c>
      <c r="BY124" s="5">
        <v>1.2670878400000001</v>
      </c>
      <c r="BZ124" s="5">
        <v>2074.8125893900001</v>
      </c>
      <c r="CA124" s="5">
        <v>2048.8518370000002</v>
      </c>
      <c r="CB124" s="5">
        <v>2.9518423399999998</v>
      </c>
      <c r="CC124" s="5">
        <v>2.9659075800000001</v>
      </c>
      <c r="CD124" s="5">
        <v>-0.47648169000000001</v>
      </c>
      <c r="CE124" s="5">
        <v>3.5738705999999998</v>
      </c>
      <c r="CF124" s="5">
        <v>3.5909809699999999</v>
      </c>
      <c r="CG124" s="5">
        <v>2.26195E-3</v>
      </c>
      <c r="CH124" s="5">
        <v>-0.47423047000000002</v>
      </c>
      <c r="CI124" s="5">
        <v>0.59141767000000001</v>
      </c>
    </row>
    <row r="125" spans="1:87" ht="15" customHeight="1" x14ac:dyDescent="0.2">
      <c r="A125" s="58">
        <f>A124</f>
        <v>62009029</v>
      </c>
      <c r="B125" s="58" t="s">
        <v>117</v>
      </c>
      <c r="C125" s="58" t="s">
        <v>104</v>
      </c>
      <c r="D125" s="59" t="s">
        <v>114</v>
      </c>
      <c r="E125" s="60" t="s">
        <v>249</v>
      </c>
      <c r="F125" s="61" t="str">
        <f t="shared" si="87"/>
        <v>09/18/20</v>
      </c>
      <c r="G125" s="62" t="s">
        <v>250</v>
      </c>
      <c r="H125" s="62" t="s">
        <v>110</v>
      </c>
      <c r="I125" s="63"/>
      <c r="J125" s="64">
        <v>21.943736000000001</v>
      </c>
      <c r="K125" s="64">
        <v>45.266112999999997</v>
      </c>
      <c r="L125" s="64">
        <v>29.582051</v>
      </c>
      <c r="M125" s="64">
        <v>26.974813999999999</v>
      </c>
      <c r="N125" s="65">
        <v>3875</v>
      </c>
      <c r="O125" s="65">
        <v>28.39</v>
      </c>
      <c r="P125" s="65">
        <v>0.20169999999999999</v>
      </c>
      <c r="Q125" s="65">
        <v>1.932E-2</v>
      </c>
      <c r="R125" s="66">
        <v>3.8441463599999999</v>
      </c>
      <c r="S125" s="66">
        <f>R125+R124</f>
        <v>7.4181055499999999</v>
      </c>
      <c r="T125" s="67">
        <v>96.546745000000001</v>
      </c>
      <c r="U125" s="67">
        <v>95.789897999999994</v>
      </c>
      <c r="V125" s="68">
        <v>749</v>
      </c>
      <c r="W125" s="68">
        <v>1323</v>
      </c>
      <c r="X125" s="68">
        <f>W125-V125</f>
        <v>574</v>
      </c>
      <c r="Y125" s="68">
        <f t="shared" si="112"/>
        <v>149.3179359591293</v>
      </c>
      <c r="Z125" s="69">
        <v>25.9</v>
      </c>
      <c r="AA125" s="68">
        <v>62.1</v>
      </c>
      <c r="AB125" s="68">
        <f>AA125-Z125</f>
        <v>36.200000000000003</v>
      </c>
      <c r="AC125" s="68">
        <f t="shared" si="113"/>
        <v>9.4169151249485736</v>
      </c>
      <c r="AD125" s="69">
        <v>21.906735999999999</v>
      </c>
      <c r="AE125" s="68">
        <v>52.62</v>
      </c>
      <c r="AF125" s="68">
        <f>AE125-AD125</f>
        <v>30.713263999999999</v>
      </c>
      <c r="AG125" s="68">
        <f t="shared" si="114"/>
        <v>7.9896187927662563</v>
      </c>
      <c r="AH125" s="69">
        <v>8.0299999999999994</v>
      </c>
      <c r="AI125" s="68">
        <v>10.56</v>
      </c>
      <c r="AJ125" s="68">
        <f>AI125-AH125</f>
        <v>2.5300000000000011</v>
      </c>
      <c r="AK125" s="70">
        <f t="shared" si="115"/>
        <v>0.65814351563867124</v>
      </c>
      <c r="AL125" s="69">
        <v>-2.5</v>
      </c>
      <c r="AM125" s="68">
        <v>-6.3</v>
      </c>
      <c r="AN125" s="68">
        <f>AM125-AL125</f>
        <v>-3.8</v>
      </c>
      <c r="AO125" s="70">
        <f t="shared" si="116"/>
        <v>-0.98851595234266776</v>
      </c>
      <c r="AP125" s="69">
        <v>-3</v>
      </c>
      <c r="AQ125" s="68">
        <v>-7.7</v>
      </c>
      <c r="AR125" s="68">
        <f>AQ125-AP125</f>
        <v>-4.7</v>
      </c>
      <c r="AS125" s="70">
        <f t="shared" si="117"/>
        <v>-1.2226381515817208</v>
      </c>
      <c r="AT125" s="69">
        <v>1.1000000000000001</v>
      </c>
      <c r="AU125" s="68">
        <v>2.6</v>
      </c>
      <c r="AV125" s="68">
        <f>AU125-AT125</f>
        <v>1.5</v>
      </c>
      <c r="AW125" s="70">
        <f t="shared" si="118"/>
        <v>0.39020366539842155</v>
      </c>
      <c r="AX125" s="69">
        <v>729</v>
      </c>
      <c r="AY125" s="68">
        <v>1302</v>
      </c>
      <c r="AZ125" s="68">
        <f>AY125-AX125</f>
        <v>573</v>
      </c>
      <c r="BA125" s="70">
        <f t="shared" si="119"/>
        <v>149.05780018219701</v>
      </c>
      <c r="BB125" s="69">
        <v>24.4</v>
      </c>
      <c r="BC125" s="68">
        <v>25.6</v>
      </c>
      <c r="BD125" s="68">
        <f>BC125-BB125</f>
        <v>1.2000000000000028</v>
      </c>
      <c r="BE125" s="70">
        <f t="shared" si="120"/>
        <v>0.31216293231873798</v>
      </c>
      <c r="BF125" s="69">
        <v>-23.2</v>
      </c>
      <c r="BG125" s="68">
        <v>-23.2</v>
      </c>
      <c r="BH125" s="68">
        <f>BG125-BF125</f>
        <v>0</v>
      </c>
      <c r="BI125" s="70">
        <f t="shared" si="121"/>
        <v>0</v>
      </c>
      <c r="BJ125" s="71">
        <v>96.546745000000001</v>
      </c>
      <c r="BK125" s="71">
        <v>95.789897999999994</v>
      </c>
      <c r="BL125" s="71">
        <f>BK125-BJ125</f>
        <v>-0.7568470000000076</v>
      </c>
      <c r="BM125" s="72">
        <v>-23.2</v>
      </c>
      <c r="BN125" s="73">
        <v>-23.2</v>
      </c>
      <c r="BO125" s="73">
        <f>BN125-BM125</f>
        <v>0</v>
      </c>
      <c r="BP125" s="72">
        <v>24.4</v>
      </c>
      <c r="BQ125" s="73">
        <v>25.6</v>
      </c>
      <c r="BR125" s="73">
        <f>BQ125-BP125</f>
        <v>1.2000000000000028</v>
      </c>
      <c r="BS125" s="71"/>
      <c r="BT125" s="71"/>
      <c r="BU125" s="71"/>
      <c r="BV125" s="71"/>
      <c r="BW125" s="62" t="s">
        <v>215</v>
      </c>
      <c r="BX125" s="5">
        <v>1349.1241482200001</v>
      </c>
      <c r="BY125" s="5">
        <v>-1.40438441</v>
      </c>
      <c r="BZ125" s="5">
        <v>3368.1781606999998</v>
      </c>
      <c r="CA125" s="5">
        <v>3416.1540962399999</v>
      </c>
      <c r="CB125" s="5">
        <v>2.7007112100000001</v>
      </c>
      <c r="CC125" s="5">
        <v>2.7417043900000002</v>
      </c>
      <c r="CD125" s="5">
        <v>-0.41035949999999999</v>
      </c>
      <c r="CE125" s="5">
        <v>3.8439915400000002</v>
      </c>
      <c r="CF125" s="5">
        <v>3.8598307200000002</v>
      </c>
      <c r="CG125" s="5">
        <v>-1.1012779100000001</v>
      </c>
      <c r="CH125" s="5">
        <v>-1.4951714199999999</v>
      </c>
      <c r="CI125" s="5">
        <v>0.71726776999999997</v>
      </c>
    </row>
    <row r="126" spans="1:87" ht="15" customHeight="1" x14ac:dyDescent="0.2">
      <c r="A126" s="58">
        <f>A125</f>
        <v>62009029</v>
      </c>
      <c r="B126" s="58" t="s">
        <v>118</v>
      </c>
      <c r="C126" s="58" t="s">
        <v>119</v>
      </c>
      <c r="D126" s="59" t="s">
        <v>114</v>
      </c>
      <c r="E126" s="60" t="s">
        <v>249</v>
      </c>
      <c r="F126" s="61" t="str">
        <f t="shared" si="87"/>
        <v>09/18/20</v>
      </c>
      <c r="G126" s="62" t="s">
        <v>250</v>
      </c>
      <c r="H126" s="62" t="s">
        <v>110</v>
      </c>
      <c r="I126" s="63"/>
      <c r="J126" s="74">
        <f>AVERAGE(J124:J125)</f>
        <v>22.8571235</v>
      </c>
      <c r="K126" s="74">
        <f>AVERAGE(K124:K125)</f>
        <v>44.109397999999999</v>
      </c>
      <c r="L126" s="74">
        <f>AVERAGE(L124:L125)</f>
        <v>29.581371000000001</v>
      </c>
      <c r="M126" s="74">
        <f>AVERAGE(M124:M125)</f>
        <v>26.025198500000002</v>
      </c>
      <c r="N126" s="75"/>
      <c r="O126" s="65"/>
      <c r="P126" s="76"/>
      <c r="Q126" s="77"/>
      <c r="R126" s="78">
        <f>R125+R124</f>
        <v>7.4181055499999999</v>
      </c>
      <c r="S126" s="78">
        <f>S125</f>
        <v>7.4181055499999999</v>
      </c>
      <c r="T126" s="79">
        <f>T124</f>
        <v>97.492802999999995</v>
      </c>
      <c r="U126" s="79">
        <f>U125</f>
        <v>95.789897999999994</v>
      </c>
      <c r="V126" s="80">
        <f>V124</f>
        <v>4</v>
      </c>
      <c r="W126" s="80">
        <f>W125</f>
        <v>1323</v>
      </c>
      <c r="X126" s="80">
        <f>SUM(X124:X125)</f>
        <v>1319</v>
      </c>
      <c r="Y126" s="80">
        <f t="shared" si="112"/>
        <v>177.80820063958242</v>
      </c>
      <c r="Z126" s="80">
        <f>Z124</f>
        <v>6</v>
      </c>
      <c r="AA126" s="80">
        <f>AA125</f>
        <v>62.1</v>
      </c>
      <c r="AB126" s="80">
        <f>SUM(AB124:AB125)</f>
        <v>56.1</v>
      </c>
      <c r="AC126" s="80">
        <f t="shared" si="113"/>
        <v>7.5625777527525209</v>
      </c>
      <c r="AD126" s="80">
        <f>AD124</f>
        <v>5.21</v>
      </c>
      <c r="AE126" s="80">
        <f>AE125</f>
        <v>52.62</v>
      </c>
      <c r="AF126" s="80">
        <f>SUM(AF124:AF125)</f>
        <v>47.403263999999993</v>
      </c>
      <c r="AG126" s="80">
        <f t="shared" si="114"/>
        <v>6.3902115817157652</v>
      </c>
      <c r="AH126" s="80">
        <f>AH124</f>
        <v>4.6500000000000004</v>
      </c>
      <c r="AI126" s="80">
        <f>AI125</f>
        <v>10.56</v>
      </c>
      <c r="AJ126" s="80">
        <f>SUM(AJ124:AJ125)</f>
        <v>5.91</v>
      </c>
      <c r="AK126" s="81">
        <f t="shared" si="115"/>
        <v>0.79669936753596071</v>
      </c>
      <c r="AL126" s="80">
        <f>AL124</f>
        <v>-0.4</v>
      </c>
      <c r="AM126" s="80">
        <f>AM125</f>
        <v>-6.3</v>
      </c>
      <c r="AN126" s="80">
        <f>SUM(AN124:AN125)</f>
        <v>-5.9</v>
      </c>
      <c r="AO126" s="81">
        <f t="shared" si="116"/>
        <v>-0.79535131446060381</v>
      </c>
      <c r="AP126" s="80">
        <f>AP124</f>
        <v>-0.2</v>
      </c>
      <c r="AQ126" s="80">
        <f>AQ125</f>
        <v>-7.7</v>
      </c>
      <c r="AR126" s="80">
        <f>SUM(AR124:AR125)</f>
        <v>-7.5</v>
      </c>
      <c r="AS126" s="81">
        <f t="shared" si="117"/>
        <v>-1.0110398065177166</v>
      </c>
      <c r="AT126" s="80">
        <f>AT124</f>
        <v>0.2</v>
      </c>
      <c r="AU126" s="80">
        <f>AU125</f>
        <v>2.6</v>
      </c>
      <c r="AV126" s="80">
        <f>SUM(AV124:AV125)</f>
        <v>2.4000000000000004</v>
      </c>
      <c r="AW126" s="81">
        <f t="shared" si="118"/>
        <v>0.3235327380856694</v>
      </c>
      <c r="AX126" s="80">
        <f>AX124</f>
        <v>-15</v>
      </c>
      <c r="AY126" s="80">
        <f>AY125</f>
        <v>1302</v>
      </c>
      <c r="AZ126" s="80">
        <f>SUM(AZ124:AZ125)</f>
        <v>1317</v>
      </c>
      <c r="BA126" s="81">
        <f t="shared" si="119"/>
        <v>177.53859002451105</v>
      </c>
      <c r="BB126" s="80">
        <f>BB124</f>
        <v>23.7</v>
      </c>
      <c r="BC126" s="80">
        <f>BC125</f>
        <v>25.6</v>
      </c>
      <c r="BD126" s="80">
        <f>SUM(BD124:BD125)</f>
        <v>1.9000000000000021</v>
      </c>
      <c r="BE126" s="81">
        <f t="shared" si="120"/>
        <v>0.25613008431782186</v>
      </c>
      <c r="BF126" s="80">
        <f>BF124</f>
        <v>-23.2</v>
      </c>
      <c r="BG126" s="80">
        <f>BG125</f>
        <v>-23.2</v>
      </c>
      <c r="BH126" s="80">
        <f>SUM(BH124:BH125)</f>
        <v>0</v>
      </c>
      <c r="BI126" s="81">
        <f t="shared" si="121"/>
        <v>0</v>
      </c>
      <c r="BJ126" s="82"/>
      <c r="BK126" s="82"/>
      <c r="BL126" s="82">
        <f>SUM(BL124:BL125)</f>
        <v>-1.7029050000000012</v>
      </c>
      <c r="BM126" s="83">
        <f>BM124</f>
        <v>-23.2</v>
      </c>
      <c r="BN126" s="83">
        <f>BN125</f>
        <v>-23.2</v>
      </c>
      <c r="BO126" s="83">
        <f>SUM(BO124:BO125)</f>
        <v>0</v>
      </c>
      <c r="BP126" s="83">
        <f>BP124</f>
        <v>23.7</v>
      </c>
      <c r="BQ126" s="83">
        <f>BQ125</f>
        <v>25.6</v>
      </c>
      <c r="BR126" s="83">
        <f>SUM(BR124:BR125)</f>
        <v>1.9000000000000021</v>
      </c>
      <c r="BS126" s="82"/>
      <c r="BT126" s="82"/>
      <c r="BU126" s="82"/>
      <c r="BV126" s="82"/>
      <c r="BW126" s="62" t="s">
        <v>215</v>
      </c>
    </row>
    <row r="127" spans="1:87" ht="15" customHeight="1" x14ac:dyDescent="0.2">
      <c r="A127" s="58">
        <f t="shared" ref="A127:A133" si="122">A126</f>
        <v>62009029</v>
      </c>
      <c r="B127" s="58" t="s">
        <v>120</v>
      </c>
      <c r="C127" s="58" t="s">
        <v>105</v>
      </c>
      <c r="D127" s="59" t="s">
        <v>114</v>
      </c>
      <c r="E127" s="60" t="s">
        <v>249</v>
      </c>
      <c r="F127" s="61" t="str">
        <f t="shared" si="87"/>
        <v>09/18/20</v>
      </c>
      <c r="G127" s="62" t="s">
        <v>250</v>
      </c>
      <c r="H127" s="62" t="s">
        <v>110</v>
      </c>
      <c r="I127" s="63"/>
      <c r="J127" s="64">
        <v>25.009927999999999</v>
      </c>
      <c r="K127" s="64">
        <v>37.368893</v>
      </c>
      <c r="L127" s="64">
        <v>29.596093</v>
      </c>
      <c r="M127" s="64">
        <v>28.283746000000001</v>
      </c>
      <c r="N127" s="65">
        <v>3875</v>
      </c>
      <c r="O127" s="65">
        <v>28.39</v>
      </c>
      <c r="P127" s="65">
        <v>0.20169999999999999</v>
      </c>
      <c r="Q127" s="65">
        <v>1.932E-2</v>
      </c>
      <c r="R127" s="66">
        <v>10.2462009</v>
      </c>
      <c r="S127" s="66">
        <f>R127+R126</f>
        <v>17.664306449999998</v>
      </c>
      <c r="T127" s="67">
        <v>95.788371999999995</v>
      </c>
      <c r="U127" s="67">
        <v>93.046329999999998</v>
      </c>
      <c r="V127" s="68">
        <v>1324</v>
      </c>
      <c r="W127" s="68">
        <v>3387</v>
      </c>
      <c r="X127" s="68">
        <f>W127-V127</f>
        <v>2063</v>
      </c>
      <c r="Y127" s="68">
        <f t="shared" si="112"/>
        <v>201.34291920823063</v>
      </c>
      <c r="Z127" s="69">
        <v>62.8</v>
      </c>
      <c r="AA127" s="68">
        <v>96.6</v>
      </c>
      <c r="AB127" s="68">
        <f>AA127-Z127</f>
        <v>33.799999999999997</v>
      </c>
      <c r="AC127" s="68">
        <f t="shared" si="113"/>
        <v>3.2987836496549661</v>
      </c>
      <c r="AD127" s="69">
        <v>53.24</v>
      </c>
      <c r="AE127" s="68">
        <v>82.12</v>
      </c>
      <c r="AF127" s="68">
        <f>AE127-AD127</f>
        <v>28.880000000000003</v>
      </c>
      <c r="AG127" s="68">
        <f t="shared" si="114"/>
        <v>2.8186056746164332</v>
      </c>
      <c r="AH127" s="69">
        <v>10.6</v>
      </c>
      <c r="AI127" s="68">
        <v>12.37</v>
      </c>
      <c r="AJ127" s="68">
        <f>AI127-AH127</f>
        <v>1.7699999999999996</v>
      </c>
      <c r="AK127" s="70">
        <f t="shared" si="115"/>
        <v>0.17274695443459434</v>
      </c>
      <c r="AL127" s="69">
        <v>-6.4</v>
      </c>
      <c r="AM127" s="68">
        <v>-9.6999999999999993</v>
      </c>
      <c r="AN127" s="68">
        <f>AM127-AL127</f>
        <v>-3.2999999999999989</v>
      </c>
      <c r="AO127" s="70">
        <f t="shared" si="116"/>
        <v>-0.32207059301365043</v>
      </c>
      <c r="AP127" s="69">
        <v>-7.8</v>
      </c>
      <c r="AQ127" s="68">
        <v>-11.9</v>
      </c>
      <c r="AR127" s="68">
        <f>AQ127-AP127</f>
        <v>-4.1000000000000005</v>
      </c>
      <c r="AS127" s="70">
        <f t="shared" si="117"/>
        <v>-0.40014831253211136</v>
      </c>
      <c r="AT127" s="69">
        <v>2.7</v>
      </c>
      <c r="AU127" s="68">
        <v>4</v>
      </c>
      <c r="AV127" s="68">
        <f>AU127-AT127</f>
        <v>1.2999999999999998</v>
      </c>
      <c r="AW127" s="70">
        <f t="shared" si="118"/>
        <v>0.12687629421749869</v>
      </c>
      <c r="AX127" s="69">
        <v>1303</v>
      </c>
      <c r="AY127" s="68">
        <v>3365</v>
      </c>
      <c r="AZ127" s="68">
        <f>AY127-AX127</f>
        <v>2062</v>
      </c>
      <c r="BA127" s="70">
        <f t="shared" si="119"/>
        <v>201.24532205883256</v>
      </c>
      <c r="BB127" s="69">
        <v>25.6</v>
      </c>
      <c r="BC127" s="68">
        <v>26.7</v>
      </c>
      <c r="BD127" s="68">
        <f>BC127-BB127</f>
        <v>1.0999999999999979</v>
      </c>
      <c r="BE127" s="70">
        <f t="shared" si="120"/>
        <v>0.10735686433788331</v>
      </c>
      <c r="BF127" s="69">
        <v>-23.2</v>
      </c>
      <c r="BG127" s="68">
        <v>-23.2</v>
      </c>
      <c r="BH127" s="68">
        <f>BG127-BF127</f>
        <v>0</v>
      </c>
      <c r="BI127" s="70">
        <f t="shared" si="121"/>
        <v>0</v>
      </c>
      <c r="BJ127" s="71">
        <v>95.788371999999995</v>
      </c>
      <c r="BK127" s="71">
        <v>93.046329999999998</v>
      </c>
      <c r="BL127" s="71">
        <f>BK127-BJ127</f>
        <v>-2.7420419999999979</v>
      </c>
      <c r="BM127" s="72">
        <v>-23.2</v>
      </c>
      <c r="BN127" s="73">
        <v>-23.2</v>
      </c>
      <c r="BO127" s="73">
        <f>BN127-BM127</f>
        <v>0</v>
      </c>
      <c r="BP127" s="72">
        <v>25.6</v>
      </c>
      <c r="BQ127" s="73">
        <v>26.7</v>
      </c>
      <c r="BR127" s="73">
        <f>BQ127-BP127</f>
        <v>1.0999999999999979</v>
      </c>
      <c r="BS127" s="71"/>
      <c r="BT127" s="71"/>
      <c r="BU127" s="71"/>
      <c r="BV127" s="71"/>
      <c r="BW127" s="62" t="s">
        <v>215</v>
      </c>
      <c r="BX127" s="5">
        <v>1773.2912487999999</v>
      </c>
      <c r="BY127" s="5">
        <v>1.3943492200000001</v>
      </c>
      <c r="BZ127" s="5">
        <v>1324.94847996</v>
      </c>
      <c r="CA127" s="5">
        <v>1306.7281264799999</v>
      </c>
      <c r="CB127" s="5">
        <v>7.30156356</v>
      </c>
      <c r="CC127" s="5">
        <v>7.3154061099999996</v>
      </c>
      <c r="CD127" s="5">
        <v>-0.10140115</v>
      </c>
      <c r="CE127" s="5">
        <v>10.246279899999999</v>
      </c>
      <c r="CF127" s="5">
        <v>10.25668029</v>
      </c>
      <c r="CG127" s="5">
        <v>-8.7989960000000006E-2</v>
      </c>
      <c r="CH127" s="5">
        <v>-0.18922460999999999</v>
      </c>
      <c r="CI127" s="5">
        <v>0.28265169000000001</v>
      </c>
    </row>
    <row r="128" spans="1:87" ht="15" customHeight="1" x14ac:dyDescent="0.2">
      <c r="A128" s="58">
        <f t="shared" si="122"/>
        <v>62009029</v>
      </c>
      <c r="B128" s="58" t="s">
        <v>121</v>
      </c>
      <c r="C128" s="58" t="s">
        <v>122</v>
      </c>
      <c r="D128" s="59" t="s">
        <v>114</v>
      </c>
      <c r="E128" s="60" t="s">
        <v>249</v>
      </c>
      <c r="F128" s="61" t="str">
        <f t="shared" si="87"/>
        <v>09/18/20</v>
      </c>
      <c r="G128" s="62" t="s">
        <v>250</v>
      </c>
      <c r="H128" s="62" t="s">
        <v>110</v>
      </c>
      <c r="I128" s="63"/>
      <c r="J128" s="64">
        <v>20.552244999999999</v>
      </c>
      <c r="K128" s="64">
        <v>54.298893999999997</v>
      </c>
      <c r="L128" s="64">
        <v>29.593305999999998</v>
      </c>
      <c r="M128" s="64">
        <v>27.715043999999999</v>
      </c>
      <c r="N128" s="65">
        <v>3875</v>
      </c>
      <c r="O128" s="65">
        <v>28.39</v>
      </c>
      <c r="P128" s="65">
        <v>0.20169999999999999</v>
      </c>
      <c r="Q128" s="65">
        <v>1.932E-2</v>
      </c>
      <c r="R128" s="66">
        <v>3.58246742</v>
      </c>
      <c r="S128" s="66">
        <f>R128+R127</f>
        <v>13.82866832</v>
      </c>
      <c r="T128" s="67">
        <v>93.044803999999999</v>
      </c>
      <c r="U128" s="67">
        <v>93.044803999999999</v>
      </c>
      <c r="V128" s="68">
        <v>3392</v>
      </c>
      <c r="W128" s="68">
        <v>4046</v>
      </c>
      <c r="X128" s="68">
        <f>W128-V128</f>
        <v>654</v>
      </c>
      <c r="Y128" s="68">
        <f t="shared" si="112"/>
        <v>182.55574254461749</v>
      </c>
      <c r="Z128" s="69">
        <v>101.3</v>
      </c>
      <c r="AA128" s="68">
        <v>123</v>
      </c>
      <c r="AB128" s="68">
        <f>AA128-Z128</f>
        <v>21.700000000000003</v>
      </c>
      <c r="AC128" s="68">
        <f t="shared" si="113"/>
        <v>6.0572776960522932</v>
      </c>
      <c r="AD128" s="69">
        <v>86.2</v>
      </c>
      <c r="AE128" s="68">
        <v>104.76</v>
      </c>
      <c r="AF128" s="68">
        <f>AE128-AD128</f>
        <v>18.560000000000002</v>
      </c>
      <c r="AG128" s="68">
        <f t="shared" si="114"/>
        <v>5.1807868220613162</v>
      </c>
      <c r="AH128" s="69">
        <v>23.41</v>
      </c>
      <c r="AI128" s="68">
        <v>24.86</v>
      </c>
      <c r="AJ128" s="68">
        <f>AI128-AH128</f>
        <v>1.4499999999999993</v>
      </c>
      <c r="AK128" s="70">
        <f t="shared" si="115"/>
        <v>0.40474897047354008</v>
      </c>
      <c r="AL128" s="69">
        <v>-9.9</v>
      </c>
      <c r="AM128" s="68">
        <v>-12.1</v>
      </c>
      <c r="AN128" s="68">
        <f>AM128-AL128</f>
        <v>-2.1999999999999993</v>
      </c>
      <c r="AO128" s="70">
        <f t="shared" si="116"/>
        <v>-0.61410188623571604</v>
      </c>
      <c r="AP128" s="69">
        <v>-11.9</v>
      </c>
      <c r="AQ128" s="68">
        <v>-14.7</v>
      </c>
      <c r="AR128" s="68">
        <f>AQ128-AP128</f>
        <v>-2.7999999999999989</v>
      </c>
      <c r="AS128" s="70">
        <f t="shared" si="117"/>
        <v>-0.78158421884545681</v>
      </c>
      <c r="AT128" s="69">
        <v>4.0999999999999996</v>
      </c>
      <c r="AU128" s="68">
        <v>5</v>
      </c>
      <c r="AV128" s="68">
        <f>AU128-AT128</f>
        <v>0.90000000000000036</v>
      </c>
      <c r="AW128" s="70">
        <f t="shared" si="118"/>
        <v>0.25122349891461132</v>
      </c>
      <c r="AX128" s="69">
        <v>3370</v>
      </c>
      <c r="AY128" s="68">
        <v>4022.5522369999999</v>
      </c>
      <c r="AZ128" s="68">
        <f>AY128-AX128</f>
        <v>652.55223699999988</v>
      </c>
      <c r="BA128" s="70">
        <f t="shared" si="119"/>
        <v>182.15161800410732</v>
      </c>
      <c r="BB128" s="69">
        <v>27.5</v>
      </c>
      <c r="BC128" s="68">
        <v>28.2</v>
      </c>
      <c r="BD128" s="68">
        <f>BC128-BB128</f>
        <v>0.69999999999999929</v>
      </c>
      <c r="BE128" s="70">
        <f t="shared" si="120"/>
        <v>0.19539605471136406</v>
      </c>
      <c r="BF128" s="69">
        <v>-23.2</v>
      </c>
      <c r="BG128" s="68">
        <v>-23.2</v>
      </c>
      <c r="BH128" s="68">
        <f>BG128-BF128</f>
        <v>0</v>
      </c>
      <c r="BI128" s="70">
        <f t="shared" si="121"/>
        <v>0</v>
      </c>
      <c r="BJ128" s="71">
        <v>93.044803999999999</v>
      </c>
      <c r="BK128" s="71">
        <v>93.044803999999999</v>
      </c>
      <c r="BL128" s="71">
        <f>BK128-BJ128</f>
        <v>0</v>
      </c>
      <c r="BM128" s="72">
        <v>-23.2</v>
      </c>
      <c r="BN128" s="73">
        <v>-23.2</v>
      </c>
      <c r="BO128" s="73">
        <f>BN128-BM128</f>
        <v>0</v>
      </c>
      <c r="BP128" s="72">
        <v>27.5</v>
      </c>
      <c r="BQ128" s="73">
        <v>28.2</v>
      </c>
      <c r="BR128" s="73">
        <f>BQ128-BP128</f>
        <v>0.69999999999999929</v>
      </c>
      <c r="BS128" s="71"/>
      <c r="BT128" s="71"/>
      <c r="BU128" s="71"/>
      <c r="BV128" s="71"/>
      <c r="BW128" s="62" t="s">
        <v>215</v>
      </c>
      <c r="BX128" s="5">
        <v>2196.2272458699999</v>
      </c>
      <c r="BY128" s="5">
        <v>-1.03516707</v>
      </c>
      <c r="BZ128" s="5">
        <v>2027.44420124</v>
      </c>
      <c r="CA128" s="5">
        <v>2048.6511634899998</v>
      </c>
      <c r="CB128" s="5">
        <v>2.9307412400000001</v>
      </c>
      <c r="CC128" s="5">
        <v>2.96566068</v>
      </c>
      <c r="CD128" s="5">
        <v>-0.23962800000000001</v>
      </c>
      <c r="CE128" s="5">
        <v>3.5823749299999998</v>
      </c>
      <c r="CF128" s="5">
        <v>3.5909799200000001</v>
      </c>
      <c r="CG128" s="5">
        <v>-0.94900505999999996</v>
      </c>
      <c r="CH128" s="5">
        <v>-1.1774589200000001</v>
      </c>
      <c r="CI128" s="5">
        <v>0.59138173999999999</v>
      </c>
    </row>
    <row r="129" spans="1:87" ht="15" customHeight="1" x14ac:dyDescent="0.2">
      <c r="A129" s="58">
        <f t="shared" si="122"/>
        <v>62009029</v>
      </c>
      <c r="B129" s="58" t="s">
        <v>123</v>
      </c>
      <c r="C129" s="58" t="s">
        <v>124</v>
      </c>
      <c r="D129" s="59" t="s">
        <v>114</v>
      </c>
      <c r="E129" s="60" t="s">
        <v>249</v>
      </c>
      <c r="F129" s="61" t="str">
        <f t="shared" si="87"/>
        <v>09/18/20</v>
      </c>
      <c r="G129" s="62" t="s">
        <v>250</v>
      </c>
      <c r="H129" s="62" t="s">
        <v>110</v>
      </c>
      <c r="I129" s="63"/>
      <c r="J129" s="64">
        <v>19.764398</v>
      </c>
      <c r="K129" s="64">
        <v>54.546351000000001</v>
      </c>
      <c r="L129" s="64">
        <v>29.601455000000001</v>
      </c>
      <c r="M129" s="64">
        <v>27.140167000000002</v>
      </c>
      <c r="N129" s="65">
        <v>3875</v>
      </c>
      <c r="O129" s="65">
        <v>28.39</v>
      </c>
      <c r="P129" s="65">
        <v>0.20169999999999999</v>
      </c>
      <c r="Q129" s="65">
        <v>1.932E-2</v>
      </c>
      <c r="R129" s="66">
        <v>3.845072</v>
      </c>
      <c r="S129" s="66">
        <f>R129+R128</f>
        <v>7.4275394200000004</v>
      </c>
      <c r="T129" s="67">
        <v>93.044803999999999</v>
      </c>
      <c r="U129" s="67">
        <v>93.044803999999999</v>
      </c>
      <c r="V129" s="68">
        <v>4046</v>
      </c>
      <c r="W129" s="68">
        <v>4607</v>
      </c>
      <c r="X129" s="68">
        <f>W129-V129</f>
        <v>561</v>
      </c>
      <c r="Y129" s="68">
        <f t="shared" si="112"/>
        <v>145.90103904426238</v>
      </c>
      <c r="Z129" s="69">
        <v>123</v>
      </c>
      <c r="AA129" s="68">
        <v>161.1</v>
      </c>
      <c r="AB129" s="68">
        <f>AA129-Z129</f>
        <v>38.099999999999994</v>
      </c>
      <c r="AC129" s="68">
        <f t="shared" si="113"/>
        <v>9.9087871436477641</v>
      </c>
      <c r="AD129" s="69">
        <v>104.765547</v>
      </c>
      <c r="AE129" s="68">
        <v>137.285201</v>
      </c>
      <c r="AF129" s="68">
        <f>AE129-AD129</f>
        <v>32.519654000000003</v>
      </c>
      <c r="AG129" s="68">
        <f t="shared" si="114"/>
        <v>8.457488962495372</v>
      </c>
      <c r="AH129" s="69">
        <v>24.86</v>
      </c>
      <c r="AI129" s="68">
        <v>25.55</v>
      </c>
      <c r="AJ129" s="68">
        <f>AI129-AH129</f>
        <v>0.69000000000000128</v>
      </c>
      <c r="AK129" s="70">
        <f t="shared" si="115"/>
        <v>0.17945047582984175</v>
      </c>
      <c r="AL129" s="69">
        <v>-12.1</v>
      </c>
      <c r="AM129" s="68">
        <v>-15.9</v>
      </c>
      <c r="AN129" s="68">
        <f>AM129-AL129</f>
        <v>-3.8000000000000007</v>
      </c>
      <c r="AO129" s="70">
        <f t="shared" si="116"/>
        <v>-0.98827798283101087</v>
      </c>
      <c r="AP129" s="69">
        <v>-14.7</v>
      </c>
      <c r="AQ129" s="68">
        <v>-19.3</v>
      </c>
      <c r="AR129" s="68">
        <f>AQ129-AP129</f>
        <v>-4.6000000000000014</v>
      </c>
      <c r="AS129" s="70">
        <f t="shared" si="117"/>
        <v>-1.1963365055322766</v>
      </c>
      <c r="AT129" s="69">
        <v>5</v>
      </c>
      <c r="AU129" s="68">
        <v>6.5</v>
      </c>
      <c r="AV129" s="68">
        <f>AU129-AT129</f>
        <v>1.5</v>
      </c>
      <c r="AW129" s="70">
        <f t="shared" si="118"/>
        <v>0.39010973006487265</v>
      </c>
      <c r="AX129" s="69">
        <v>4023</v>
      </c>
      <c r="AY129" s="68">
        <v>4582</v>
      </c>
      <c r="AZ129" s="68">
        <f>AY129-AX129</f>
        <v>559</v>
      </c>
      <c r="BA129" s="70">
        <f t="shared" si="119"/>
        <v>145.38089273750921</v>
      </c>
      <c r="BB129" s="69">
        <v>28.2</v>
      </c>
      <c r="BC129" s="68">
        <v>29.4</v>
      </c>
      <c r="BD129" s="68">
        <f>BC129-BB129</f>
        <v>1.1999999999999993</v>
      </c>
      <c r="BE129" s="70">
        <f t="shared" si="120"/>
        <v>0.31208778405189791</v>
      </c>
      <c r="BF129" s="69">
        <v>-23.2</v>
      </c>
      <c r="BG129" s="68">
        <v>-23.2</v>
      </c>
      <c r="BH129" s="68">
        <f>BG129-BF129</f>
        <v>0</v>
      </c>
      <c r="BI129" s="70">
        <f t="shared" si="121"/>
        <v>0</v>
      </c>
      <c r="BJ129" s="71">
        <v>93.044803999999999</v>
      </c>
      <c r="BK129" s="71">
        <v>93.044803999999999</v>
      </c>
      <c r="BL129" s="71">
        <f>BK129-BJ129</f>
        <v>0</v>
      </c>
      <c r="BM129" s="72">
        <v>-23.2</v>
      </c>
      <c r="BN129" s="73">
        <v>-23.2</v>
      </c>
      <c r="BO129" s="73">
        <f>BN129-BM129</f>
        <v>0</v>
      </c>
      <c r="BP129" s="72">
        <v>28.2</v>
      </c>
      <c r="BQ129" s="73">
        <v>29.4</v>
      </c>
      <c r="BR129" s="73">
        <f>BQ129-BP129</f>
        <v>1.1999999999999993</v>
      </c>
      <c r="BS129" s="71"/>
      <c r="BT129" s="71"/>
      <c r="BU129" s="71"/>
      <c r="BV129" s="71"/>
      <c r="BW129" s="62" t="s">
        <v>215</v>
      </c>
      <c r="BX129" s="5">
        <v>1348.2505325</v>
      </c>
      <c r="BY129" s="5">
        <v>-1.3650263600000001</v>
      </c>
      <c r="BZ129" s="5">
        <v>3369.3633052700002</v>
      </c>
      <c r="CA129" s="5">
        <v>3415.9925035599999</v>
      </c>
      <c r="CB129" s="5">
        <v>2.7021424199999999</v>
      </c>
      <c r="CC129" s="5">
        <v>2.7414872300000002</v>
      </c>
      <c r="CD129" s="5">
        <v>-0.38561867</v>
      </c>
      <c r="CE129" s="5">
        <v>3.8449454799999998</v>
      </c>
      <c r="CF129" s="5">
        <v>3.8598297100000001</v>
      </c>
      <c r="CG129" s="5">
        <v>-1.0648264700000001</v>
      </c>
      <c r="CH129" s="5">
        <v>-1.43516314</v>
      </c>
      <c r="CI129" s="5">
        <v>0.71727943999999999</v>
      </c>
    </row>
    <row r="130" spans="1:87" ht="15" customHeight="1" x14ac:dyDescent="0.2">
      <c r="A130" s="58">
        <f t="shared" si="122"/>
        <v>62009029</v>
      </c>
      <c r="B130" s="58" t="s">
        <v>125</v>
      </c>
      <c r="C130" s="58" t="s">
        <v>126</v>
      </c>
      <c r="D130" s="59" t="s">
        <v>114</v>
      </c>
      <c r="E130" s="60" t="s">
        <v>249</v>
      </c>
      <c r="F130" s="61" t="str">
        <f t="shared" si="87"/>
        <v>09/18/20</v>
      </c>
      <c r="G130" s="62" t="s">
        <v>250</v>
      </c>
      <c r="H130" s="62" t="s">
        <v>110</v>
      </c>
      <c r="I130" s="63"/>
      <c r="J130" s="74">
        <f>AVERAGE(J128:J129)</f>
        <v>20.1583215</v>
      </c>
      <c r="K130" s="74">
        <f>AVERAGE(K128:K129)</f>
        <v>54.422622500000003</v>
      </c>
      <c r="L130" s="74">
        <f>AVERAGE(L128:L129)</f>
        <v>29.5973805</v>
      </c>
      <c r="M130" s="74">
        <f>AVERAGE(M128:M129)</f>
        <v>27.427605499999999</v>
      </c>
      <c r="N130" s="75"/>
      <c r="O130" s="65"/>
      <c r="P130" s="76"/>
      <c r="Q130" s="77"/>
      <c r="R130" s="78">
        <f>R129+R128</f>
        <v>7.4275394200000004</v>
      </c>
      <c r="S130" s="78">
        <f>S129</f>
        <v>7.4275394200000004</v>
      </c>
      <c r="T130" s="79">
        <f>T128</f>
        <v>93.044803999999999</v>
      </c>
      <c r="U130" s="79">
        <f>U129</f>
        <v>93.044803999999999</v>
      </c>
      <c r="V130" s="80">
        <f>V128</f>
        <v>3392</v>
      </c>
      <c r="W130" s="80">
        <f>W129</f>
        <v>4607</v>
      </c>
      <c r="X130" s="80">
        <f>SUM(X128:X129)</f>
        <v>1215</v>
      </c>
      <c r="Y130" s="80">
        <f t="shared" si="112"/>
        <v>163.5804175913751</v>
      </c>
      <c r="Z130" s="80">
        <f>Z128</f>
        <v>101.3</v>
      </c>
      <c r="AA130" s="80">
        <f>AA129</f>
        <v>161.1</v>
      </c>
      <c r="AB130" s="80">
        <f>SUM(AB128:AB129)</f>
        <v>59.8</v>
      </c>
      <c r="AC130" s="80">
        <f t="shared" si="113"/>
        <v>8.0511184954438111</v>
      </c>
      <c r="AD130" s="80">
        <f>AD128</f>
        <v>86.2</v>
      </c>
      <c r="AE130" s="80">
        <f>AE129</f>
        <v>137.285201</v>
      </c>
      <c r="AF130" s="80">
        <f>SUM(AF128:AF129)</f>
        <v>51.079654000000005</v>
      </c>
      <c r="AG130" s="80">
        <f t="shared" si="114"/>
        <v>6.8770626598707434</v>
      </c>
      <c r="AH130" s="80">
        <f>AH128</f>
        <v>23.41</v>
      </c>
      <c r="AI130" s="80">
        <f>AI129</f>
        <v>25.55</v>
      </c>
      <c r="AJ130" s="80">
        <f>SUM(AJ128:AJ129)</f>
        <v>2.1400000000000006</v>
      </c>
      <c r="AK130" s="81">
        <f t="shared" si="115"/>
        <v>0.28811694950250433</v>
      </c>
      <c r="AL130" s="80">
        <f>AL128</f>
        <v>-9.9</v>
      </c>
      <c r="AM130" s="80">
        <f>AM129</f>
        <v>-15.9</v>
      </c>
      <c r="AN130" s="80">
        <f>SUM(AN128:AN129)</f>
        <v>-6</v>
      </c>
      <c r="AO130" s="81">
        <f t="shared" si="116"/>
        <v>-0.80780453131543251</v>
      </c>
      <c r="AP130" s="80">
        <f>AP128</f>
        <v>-11.9</v>
      </c>
      <c r="AQ130" s="80">
        <f>AQ129</f>
        <v>-19.3</v>
      </c>
      <c r="AR130" s="80">
        <f>SUM(AR128:AR129)</f>
        <v>-7.4</v>
      </c>
      <c r="AS130" s="81">
        <f t="shared" si="117"/>
        <v>-0.99629225528903353</v>
      </c>
      <c r="AT130" s="80">
        <f>AT128</f>
        <v>4.0999999999999996</v>
      </c>
      <c r="AU130" s="80">
        <f>AU129</f>
        <v>6.5</v>
      </c>
      <c r="AV130" s="80">
        <f>SUM(AV128:AV129)</f>
        <v>2.4000000000000004</v>
      </c>
      <c r="AW130" s="81">
        <f t="shared" si="118"/>
        <v>0.32312181252617306</v>
      </c>
      <c r="AX130" s="80">
        <f>AX128</f>
        <v>3370</v>
      </c>
      <c r="AY130" s="80">
        <f>AY129</f>
        <v>4582</v>
      </c>
      <c r="AZ130" s="80">
        <f>SUM(AZ128:AZ129)</f>
        <v>1211.5522369999999</v>
      </c>
      <c r="BA130" s="81">
        <f t="shared" si="119"/>
        <v>163.11623116232479</v>
      </c>
      <c r="BB130" s="80">
        <f>BB128</f>
        <v>27.5</v>
      </c>
      <c r="BC130" s="80">
        <f>BC129</f>
        <v>29.4</v>
      </c>
      <c r="BD130" s="80">
        <f>SUM(BD128:BD129)</f>
        <v>1.8999999999999986</v>
      </c>
      <c r="BE130" s="81">
        <f t="shared" si="120"/>
        <v>0.25580476824988679</v>
      </c>
      <c r="BF130" s="80">
        <f>BF128</f>
        <v>-23.2</v>
      </c>
      <c r="BG130" s="80">
        <f>BG129</f>
        <v>-23.2</v>
      </c>
      <c r="BH130" s="80">
        <f>SUM(BH128:BH129)</f>
        <v>0</v>
      </c>
      <c r="BI130" s="81">
        <f t="shared" si="121"/>
        <v>0</v>
      </c>
      <c r="BJ130" s="82"/>
      <c r="BK130" s="82"/>
      <c r="BL130" s="82">
        <f>SUM(BL128:BL129)</f>
        <v>0</v>
      </c>
      <c r="BM130" s="83">
        <f>BM128</f>
        <v>-23.2</v>
      </c>
      <c r="BN130" s="83">
        <f>BN129</f>
        <v>-23.2</v>
      </c>
      <c r="BO130" s="83">
        <f>SUM(BO128:BO129)</f>
        <v>0</v>
      </c>
      <c r="BP130" s="83">
        <f>BP128</f>
        <v>27.5</v>
      </c>
      <c r="BQ130" s="83">
        <f>BQ129</f>
        <v>29.4</v>
      </c>
      <c r="BR130" s="83">
        <f>SUM(BR128:BR129)</f>
        <v>1.8999999999999986</v>
      </c>
      <c r="BS130" s="82"/>
      <c r="BT130" s="82"/>
      <c r="BU130" s="82"/>
      <c r="BV130" s="82"/>
      <c r="BW130" s="62" t="s">
        <v>215</v>
      </c>
    </row>
    <row r="131" spans="1:87" ht="15" customHeight="1" x14ac:dyDescent="0.2">
      <c r="A131" s="58">
        <f t="shared" si="122"/>
        <v>62009029</v>
      </c>
      <c r="B131" s="58" t="s">
        <v>127</v>
      </c>
      <c r="C131" s="58" t="s">
        <v>128</v>
      </c>
      <c r="D131" s="59" t="s">
        <v>114</v>
      </c>
      <c r="E131" s="60" t="s">
        <v>249</v>
      </c>
      <c r="F131" s="61" t="str">
        <f t="shared" si="87"/>
        <v>09/18/20</v>
      </c>
      <c r="G131" s="62" t="s">
        <v>250</v>
      </c>
      <c r="H131" s="62" t="s">
        <v>110</v>
      </c>
      <c r="I131" s="63"/>
      <c r="J131" s="64">
        <v>23.025200999999999</v>
      </c>
      <c r="K131" s="64">
        <v>42.286597999999998</v>
      </c>
      <c r="L131" s="64">
        <v>29.612697000000001</v>
      </c>
      <c r="M131" s="64">
        <v>29.37077</v>
      </c>
      <c r="N131" s="65">
        <v>3875</v>
      </c>
      <c r="O131" s="65">
        <v>28.39</v>
      </c>
      <c r="P131" s="65">
        <v>0.20169999999999999</v>
      </c>
      <c r="Q131" s="65">
        <v>1.932E-2</v>
      </c>
      <c r="R131" s="66">
        <v>1.76446031</v>
      </c>
      <c r="S131" s="66">
        <f>R131+R130</f>
        <v>9.1919997300000009</v>
      </c>
      <c r="T131" s="67">
        <v>93.044803999999999</v>
      </c>
      <c r="U131" s="67">
        <v>93.044803999999999</v>
      </c>
      <c r="V131" s="68">
        <v>4612</v>
      </c>
      <c r="W131" s="68">
        <v>6774</v>
      </c>
      <c r="X131" s="68">
        <f>W131-V131-X132</f>
        <v>463</v>
      </c>
      <c r="Y131" s="68">
        <f t="shared" si="112"/>
        <v>262.40318208121101</v>
      </c>
      <c r="Z131" s="69">
        <v>165.4</v>
      </c>
      <c r="AA131" s="68">
        <v>193.2</v>
      </c>
      <c r="AB131" s="68">
        <f>AA131-Z131-AB132</f>
        <v>10.799999999999983</v>
      </c>
      <c r="AC131" s="68">
        <f t="shared" si="113"/>
        <v>6.1208517634494042</v>
      </c>
      <c r="AD131" s="69">
        <v>140.97</v>
      </c>
      <c r="AE131" s="68">
        <v>164.78</v>
      </c>
      <c r="AF131" s="68">
        <f>AE131-AD131-AF132</f>
        <v>9.2449509999999862</v>
      </c>
      <c r="AG131" s="68">
        <f t="shared" si="114"/>
        <v>5.2395346880882725</v>
      </c>
      <c r="AH131" s="69">
        <v>25.62</v>
      </c>
      <c r="AI131" s="68">
        <v>25.99</v>
      </c>
      <c r="AJ131" s="68">
        <f>AI131-AH131-AJ132</f>
        <v>0.13999999999999702</v>
      </c>
      <c r="AK131" s="70">
        <f t="shared" si="115"/>
        <v>7.9344374711379603E-2</v>
      </c>
      <c r="AL131" s="69">
        <v>-16.3</v>
      </c>
      <c r="AM131" s="68">
        <v>-18.899999999999999</v>
      </c>
      <c r="AN131" s="68">
        <f>AM131-AL131-AN132</f>
        <v>-1.0999999999999979</v>
      </c>
      <c r="AO131" s="70">
        <f t="shared" si="116"/>
        <v>-0.62342008701799467</v>
      </c>
      <c r="AP131" s="69">
        <v>-19.8</v>
      </c>
      <c r="AQ131" s="68">
        <v>-23</v>
      </c>
      <c r="AR131" s="68">
        <f>AQ131-AP131-AR132</f>
        <v>-1.3000000000000007</v>
      </c>
      <c r="AS131" s="70">
        <f t="shared" si="117"/>
        <v>-0.736769193748541</v>
      </c>
      <c r="AT131" s="69">
        <v>6.7</v>
      </c>
      <c r="AU131" s="68">
        <v>7.7</v>
      </c>
      <c r="AV131" s="68">
        <f>AU131-AT131-AV132</f>
        <v>0.30000000000000071</v>
      </c>
      <c r="AW131" s="70">
        <f t="shared" si="118"/>
        <v>0.17002366009581746</v>
      </c>
      <c r="AX131" s="69">
        <v>4587</v>
      </c>
      <c r="AY131" s="68">
        <v>6750</v>
      </c>
      <c r="AZ131" s="68">
        <f>AY131-AX131-AZ132</f>
        <v>463</v>
      </c>
      <c r="BA131" s="70">
        <f t="shared" si="119"/>
        <v>262.40318208121101</v>
      </c>
      <c r="BB131" s="69">
        <v>29.5</v>
      </c>
      <c r="BC131" s="68">
        <v>30.4</v>
      </c>
      <c r="BD131" s="68">
        <f>BC131-BB131-BD132</f>
        <v>0.39999999999999858</v>
      </c>
      <c r="BE131" s="70">
        <f t="shared" si="120"/>
        <v>0.22669821346108859</v>
      </c>
      <c r="BF131" s="69">
        <v>-23.2</v>
      </c>
      <c r="BG131" s="68">
        <v>-23.2</v>
      </c>
      <c r="BH131" s="68">
        <f>BG131-BF131-BH132</f>
        <v>0</v>
      </c>
      <c r="BI131" s="70">
        <f t="shared" si="121"/>
        <v>0</v>
      </c>
      <c r="BJ131" s="71">
        <v>93.044803999999999</v>
      </c>
      <c r="BK131" s="71">
        <v>93.044803999999999</v>
      </c>
      <c r="BL131" s="71">
        <f>BK131-BJ131-BL132</f>
        <v>0</v>
      </c>
      <c r="BM131" s="72">
        <v>-23.2</v>
      </c>
      <c r="BN131" s="73">
        <v>-23.2</v>
      </c>
      <c r="BO131" s="73">
        <f>BN131-BM131-BO132</f>
        <v>0</v>
      </c>
      <c r="BP131" s="72">
        <v>29.5</v>
      </c>
      <c r="BQ131" s="73">
        <v>30.4</v>
      </c>
      <c r="BR131" s="73">
        <f>BQ131-BP131-BR132</f>
        <v>0.39999999999999858</v>
      </c>
      <c r="BS131" s="71"/>
      <c r="BT131" s="71"/>
      <c r="BU131" s="71"/>
      <c r="BV131" s="71"/>
      <c r="BW131" s="62" t="s">
        <v>215</v>
      </c>
      <c r="BX131" s="5">
        <v>5068.4452714099998</v>
      </c>
      <c r="BY131" s="5">
        <v>-2.8487291899999998</v>
      </c>
      <c r="BZ131" s="5">
        <v>2389.2186437599998</v>
      </c>
      <c r="CA131" s="5">
        <v>2459.2767791900001</v>
      </c>
      <c r="CB131" s="5">
        <v>2.8545535499999999</v>
      </c>
      <c r="CC131" s="5">
        <v>2.9251995000000002</v>
      </c>
      <c r="CD131" s="5">
        <v>-0.43369797999999998</v>
      </c>
      <c r="CE131" s="5">
        <v>1.7644185299999999</v>
      </c>
      <c r="CF131" s="5">
        <v>1.7721041099999999</v>
      </c>
      <c r="CG131" s="5">
        <v>-2.0304196000000001</v>
      </c>
      <c r="CH131" s="5">
        <v>-2.4150812899999998</v>
      </c>
      <c r="CI131" s="5">
        <v>0.81463677000000001</v>
      </c>
    </row>
    <row r="132" spans="1:87" ht="15" customHeight="1" x14ac:dyDescent="0.2">
      <c r="A132" s="58">
        <f t="shared" si="122"/>
        <v>62009029</v>
      </c>
      <c r="B132" s="58" t="s">
        <v>129</v>
      </c>
      <c r="C132" s="58" t="s">
        <v>130</v>
      </c>
      <c r="D132" s="59" t="s">
        <v>114</v>
      </c>
      <c r="E132" s="60" t="s">
        <v>249</v>
      </c>
      <c r="F132" s="61" t="str">
        <f t="shared" si="87"/>
        <v>09/18/20</v>
      </c>
      <c r="G132" s="62" t="s">
        <v>250</v>
      </c>
      <c r="H132" s="62" t="s">
        <v>110</v>
      </c>
      <c r="I132" s="63"/>
      <c r="J132" s="64">
        <v>27.028848</v>
      </c>
      <c r="K132" s="64">
        <v>33.075468000000001</v>
      </c>
      <c r="L132" s="64">
        <v>29.642996</v>
      </c>
      <c r="M132" s="64">
        <v>29.584589000000001</v>
      </c>
      <c r="N132" s="65">
        <v>3875</v>
      </c>
      <c r="O132" s="65">
        <v>28.39</v>
      </c>
      <c r="P132" s="65">
        <v>0.20169999999999999</v>
      </c>
      <c r="Q132" s="65">
        <v>1.932E-2</v>
      </c>
      <c r="R132" s="66">
        <v>6.2282626399999996</v>
      </c>
      <c r="S132" s="66">
        <f>R132+R131</f>
        <v>7.9927229499999992</v>
      </c>
      <c r="T132" s="67">
        <v>93.044803999999999</v>
      </c>
      <c r="U132" s="67">
        <v>93.044803999999999</v>
      </c>
      <c r="V132" s="68">
        <v>4934</v>
      </c>
      <c r="W132" s="68">
        <v>6633</v>
      </c>
      <c r="X132" s="68">
        <f>W132-V132</f>
        <v>1699</v>
      </c>
      <c r="Y132" s="68">
        <f t="shared" si="112"/>
        <v>272.7887531730679</v>
      </c>
      <c r="Z132" s="69">
        <v>171.4</v>
      </c>
      <c r="AA132" s="68">
        <v>188.4</v>
      </c>
      <c r="AB132" s="68">
        <f>AA132-Z132</f>
        <v>17</v>
      </c>
      <c r="AC132" s="68">
        <f t="shared" si="113"/>
        <v>2.7294931159165121</v>
      </c>
      <c r="AD132" s="69">
        <v>146.1</v>
      </c>
      <c r="AE132" s="68">
        <v>160.66504900000001</v>
      </c>
      <c r="AF132" s="68">
        <f>AE132-AD132</f>
        <v>14.565049000000016</v>
      </c>
      <c r="AG132" s="68">
        <f t="shared" si="114"/>
        <v>2.3385412340286305</v>
      </c>
      <c r="AH132" s="69">
        <v>25.7</v>
      </c>
      <c r="AI132" s="68">
        <v>25.93</v>
      </c>
      <c r="AJ132" s="68">
        <f>AI132-AH132</f>
        <v>0.23000000000000043</v>
      </c>
      <c r="AK132" s="70">
        <f t="shared" si="115"/>
        <v>3.6928436274164644E-2</v>
      </c>
      <c r="AL132" s="69">
        <v>-16.899999999999999</v>
      </c>
      <c r="AM132" s="68">
        <v>-18.399999999999999</v>
      </c>
      <c r="AN132" s="68">
        <f>AM132-AL132</f>
        <v>-1.5</v>
      </c>
      <c r="AO132" s="70">
        <f t="shared" si="116"/>
        <v>-0.24083762787498636</v>
      </c>
      <c r="AP132" s="69">
        <v>-20.5</v>
      </c>
      <c r="AQ132" s="68">
        <v>-22.4</v>
      </c>
      <c r="AR132" s="68">
        <f>AQ132-AP132</f>
        <v>-1.8999999999999986</v>
      </c>
      <c r="AS132" s="70">
        <f t="shared" si="117"/>
        <v>-0.30506099530831582</v>
      </c>
      <c r="AT132" s="69">
        <v>6.9</v>
      </c>
      <c r="AU132" s="68">
        <v>7.6</v>
      </c>
      <c r="AV132" s="68">
        <f>AU132-AT132</f>
        <v>0.69999999999999929</v>
      </c>
      <c r="AW132" s="70">
        <f t="shared" si="118"/>
        <v>0.11239089300832684</v>
      </c>
      <c r="AX132" s="69">
        <v>4909</v>
      </c>
      <c r="AY132" s="68">
        <v>6609</v>
      </c>
      <c r="AZ132" s="68">
        <f>AY132-AX132</f>
        <v>1700</v>
      </c>
      <c r="BA132" s="70">
        <f t="shared" si="119"/>
        <v>272.94931159165122</v>
      </c>
      <c r="BB132" s="69">
        <v>29.7</v>
      </c>
      <c r="BC132" s="68">
        <v>30.2</v>
      </c>
      <c r="BD132" s="68">
        <f>BC132-BB132</f>
        <v>0.5</v>
      </c>
      <c r="BE132" s="70">
        <f t="shared" si="120"/>
        <v>8.0279209291662115E-2</v>
      </c>
      <c r="BF132" s="69">
        <v>-23.2</v>
      </c>
      <c r="BG132" s="68">
        <v>-23.2</v>
      </c>
      <c r="BH132" s="68">
        <f>BG132-BF132</f>
        <v>0</v>
      </c>
      <c r="BI132" s="70">
        <f t="shared" si="121"/>
        <v>0</v>
      </c>
      <c r="BJ132" s="71">
        <v>93.044803999999999</v>
      </c>
      <c r="BK132" s="71">
        <v>93.044803999999999</v>
      </c>
      <c r="BL132" s="71">
        <f>BK132-BJ132</f>
        <v>0</v>
      </c>
      <c r="BM132" s="72">
        <v>-23.2</v>
      </c>
      <c r="BN132" s="73">
        <v>-23.2</v>
      </c>
      <c r="BO132" s="73">
        <f>BN132-BM132</f>
        <v>0</v>
      </c>
      <c r="BP132" s="72">
        <v>29.7</v>
      </c>
      <c r="BQ132" s="73">
        <v>30.2</v>
      </c>
      <c r="BR132" s="73">
        <f>BQ132-BP132</f>
        <v>0.5</v>
      </c>
      <c r="BS132" s="71"/>
      <c r="BT132" s="71"/>
      <c r="BU132" s="71"/>
      <c r="BV132" s="71"/>
      <c r="BW132" s="62" t="s">
        <v>215</v>
      </c>
      <c r="BX132" s="5">
        <v>10788.00595366</v>
      </c>
      <c r="BY132" s="5">
        <v>-6.9257210699999998</v>
      </c>
      <c r="BZ132" s="5">
        <v>1059.4275230200001</v>
      </c>
      <c r="CA132" s="5">
        <v>1138.26025319</v>
      </c>
      <c r="CB132" s="5">
        <v>6.3877446100000004</v>
      </c>
      <c r="CC132" s="5">
        <v>6.5094690699999997</v>
      </c>
      <c r="CD132" s="5">
        <v>-0.10517095</v>
      </c>
      <c r="CE132" s="5">
        <v>6.2283009600000003</v>
      </c>
      <c r="CF132" s="5">
        <v>6.2348582199999996</v>
      </c>
      <c r="CG132" s="5">
        <v>-1.79841871</v>
      </c>
      <c r="CH132" s="5">
        <v>-1.8699599499999999</v>
      </c>
      <c r="CI132" s="5">
        <v>0.34620529999999999</v>
      </c>
    </row>
    <row r="133" spans="1:87" ht="15" customHeight="1" x14ac:dyDescent="0.2">
      <c r="A133" s="58">
        <f t="shared" si="122"/>
        <v>62009029</v>
      </c>
      <c r="B133" s="58" t="s">
        <v>131</v>
      </c>
      <c r="C133" s="58" t="s">
        <v>132</v>
      </c>
      <c r="D133" s="59" t="s">
        <v>114</v>
      </c>
      <c r="E133" s="60" t="s">
        <v>249</v>
      </c>
      <c r="F133" s="61" t="str">
        <f t="shared" si="87"/>
        <v>09/18/20</v>
      </c>
      <c r="G133" s="62" t="s">
        <v>250</v>
      </c>
      <c r="H133" s="62" t="s">
        <v>110</v>
      </c>
      <c r="I133" s="63"/>
      <c r="J133" s="74">
        <f>AVERAGE(J131:J132)</f>
        <v>25.0270245</v>
      </c>
      <c r="K133" s="74">
        <f>AVERAGE(K131:K132)</f>
        <v>37.681032999999999</v>
      </c>
      <c r="L133" s="74">
        <f>AVERAGE(L131:L132)</f>
        <v>29.6278465</v>
      </c>
      <c r="M133" s="74">
        <f>AVERAGE(M131:M132)</f>
        <v>29.477679500000001</v>
      </c>
      <c r="N133" s="75"/>
      <c r="O133" s="65"/>
      <c r="P133" s="76"/>
      <c r="Q133" s="77"/>
      <c r="R133" s="78">
        <f>R132+R131</f>
        <v>7.9927229499999992</v>
      </c>
      <c r="S133" s="78">
        <f>S132</f>
        <v>7.9927229499999992</v>
      </c>
      <c r="T133" s="79">
        <f>T131</f>
        <v>93.044803999999999</v>
      </c>
      <c r="U133" s="79">
        <f>U132</f>
        <v>93.044803999999999</v>
      </c>
      <c r="V133" s="80">
        <f>V131</f>
        <v>4612</v>
      </c>
      <c r="W133" s="80">
        <f>W132</f>
        <v>6633</v>
      </c>
      <c r="X133" s="80">
        <f>SUM(X131:X132)</f>
        <v>2162</v>
      </c>
      <c r="Y133" s="80">
        <f t="shared" si="112"/>
        <v>270.49605166159301</v>
      </c>
      <c r="Z133" s="80">
        <f>Z131</f>
        <v>165.4</v>
      </c>
      <c r="AA133" s="80">
        <f>AA132</f>
        <v>188.4</v>
      </c>
      <c r="AB133" s="80">
        <f>SUM(AB131:AB132)</f>
        <v>27.799999999999983</v>
      </c>
      <c r="AC133" s="80">
        <f t="shared" si="113"/>
        <v>3.4781638465274196</v>
      </c>
      <c r="AD133" s="80">
        <f>AD131</f>
        <v>140.97</v>
      </c>
      <c r="AE133" s="80">
        <f>AE132</f>
        <v>160.66504900000001</v>
      </c>
      <c r="AF133" s="80">
        <f>SUM(AF131:AF132)</f>
        <v>23.810000000000002</v>
      </c>
      <c r="AG133" s="80">
        <f t="shared" si="114"/>
        <v>2.9789597548855369</v>
      </c>
      <c r="AH133" s="80">
        <f>AH131</f>
        <v>25.62</v>
      </c>
      <c r="AI133" s="80">
        <f>AI132</f>
        <v>25.93</v>
      </c>
      <c r="AJ133" s="80">
        <f>SUM(AJ131:AJ132)</f>
        <v>0.36999999999999744</v>
      </c>
      <c r="AK133" s="81">
        <f t="shared" si="115"/>
        <v>4.6292108748745946E-2</v>
      </c>
      <c r="AL133" s="80">
        <f>AL131</f>
        <v>-16.3</v>
      </c>
      <c r="AM133" s="80">
        <f>AM132</f>
        <v>-18.399999999999999</v>
      </c>
      <c r="AN133" s="80">
        <f>SUM(AN131:AN132)</f>
        <v>-2.5999999999999979</v>
      </c>
      <c r="AO133" s="81">
        <f t="shared" si="116"/>
        <v>-0.325295899315514</v>
      </c>
      <c r="AP133" s="80">
        <f>AP131</f>
        <v>-19.8</v>
      </c>
      <c r="AQ133" s="80">
        <f>AQ132</f>
        <v>-22.4</v>
      </c>
      <c r="AR133" s="80">
        <f>SUM(AR131:AR132)</f>
        <v>-3.1999999999999993</v>
      </c>
      <c r="AS133" s="81">
        <f t="shared" si="117"/>
        <v>-0.40036418377294059</v>
      </c>
      <c r="AT133" s="80">
        <f>AT131</f>
        <v>6.7</v>
      </c>
      <c r="AU133" s="80">
        <f>AU132</f>
        <v>7.6</v>
      </c>
      <c r="AV133" s="80">
        <f>SUM(AV131:AV132)</f>
        <v>1</v>
      </c>
      <c r="AW133" s="81">
        <f t="shared" si="118"/>
        <v>0.12511380742904396</v>
      </c>
      <c r="AX133" s="80">
        <f>AX131</f>
        <v>4587</v>
      </c>
      <c r="AY133" s="80">
        <f>AY132</f>
        <v>6609</v>
      </c>
      <c r="AZ133" s="80">
        <f>SUM(AZ131:AZ132)</f>
        <v>2163</v>
      </c>
      <c r="BA133" s="81">
        <f t="shared" si="119"/>
        <v>270.62116546902206</v>
      </c>
      <c r="BB133" s="80">
        <f>BB131</f>
        <v>29.5</v>
      </c>
      <c r="BC133" s="80">
        <f>BC132</f>
        <v>30.2</v>
      </c>
      <c r="BD133" s="80">
        <f>SUM(BD131:BD132)</f>
        <v>0.89999999999999858</v>
      </c>
      <c r="BE133" s="81">
        <f t="shared" si="120"/>
        <v>0.11260242668613937</v>
      </c>
      <c r="BF133" s="80">
        <f>BF131</f>
        <v>-23.2</v>
      </c>
      <c r="BG133" s="80">
        <f>BG132</f>
        <v>-23.2</v>
      </c>
      <c r="BH133" s="80">
        <f>SUM(BH131:BH132)</f>
        <v>0</v>
      </c>
      <c r="BI133" s="81">
        <f t="shared" si="121"/>
        <v>0</v>
      </c>
      <c r="BJ133" s="82"/>
      <c r="BK133" s="82"/>
      <c r="BL133" s="82">
        <f>SUM(BL131:BL132)</f>
        <v>0</v>
      </c>
      <c r="BM133" s="83">
        <f>BM131</f>
        <v>-23.2</v>
      </c>
      <c r="BN133" s="83">
        <f>BN132</f>
        <v>-23.2</v>
      </c>
      <c r="BO133" s="83">
        <f>SUM(BO131:BO132)</f>
        <v>0</v>
      </c>
      <c r="BP133" s="83">
        <f>BP131</f>
        <v>29.5</v>
      </c>
      <c r="BQ133" s="83">
        <f>BQ132</f>
        <v>30.2</v>
      </c>
      <c r="BR133" s="83">
        <f>SUM(BR131:BR132)</f>
        <v>0.89999999999999858</v>
      </c>
      <c r="BS133" s="82"/>
      <c r="BT133" s="82"/>
      <c r="BU133" s="82"/>
      <c r="BV133" s="82"/>
      <c r="BW133" s="62" t="s">
        <v>215</v>
      </c>
    </row>
    <row r="134" spans="1:87" ht="15" customHeight="1" x14ac:dyDescent="0.2">
      <c r="A134" s="2">
        <v>62009030</v>
      </c>
      <c r="B134" s="58" t="s">
        <v>177</v>
      </c>
      <c r="C134" s="58" t="s">
        <v>98</v>
      </c>
      <c r="D134" s="59" t="s">
        <v>251</v>
      </c>
      <c r="E134" s="60" t="s">
        <v>252</v>
      </c>
      <c r="F134" s="61" t="str">
        <f t="shared" si="87"/>
        <v>09/18/20</v>
      </c>
      <c r="G134" s="62" t="s">
        <v>253</v>
      </c>
      <c r="H134" s="62" t="s">
        <v>110</v>
      </c>
      <c r="I134" s="63"/>
      <c r="J134" s="64">
        <v>18.589345999999999</v>
      </c>
      <c r="K134" s="64">
        <v>56.180216999999999</v>
      </c>
      <c r="L134" s="64">
        <v>29.616665999999999</v>
      </c>
      <c r="M134" s="64">
        <v>28.680755999999999</v>
      </c>
      <c r="N134" s="65">
        <v>3875</v>
      </c>
      <c r="O134" s="65">
        <v>28.39</v>
      </c>
      <c r="P134" s="65">
        <v>0.20169999999999999</v>
      </c>
      <c r="Q134" s="65">
        <v>1.932E-2</v>
      </c>
      <c r="R134" s="66">
        <v>1.9078204299999999</v>
      </c>
      <c r="S134" s="66">
        <f t="shared" ref="S134:S141" si="123">R134+R133</f>
        <v>9.9005433799999985</v>
      </c>
      <c r="T134" s="67">
        <v>88.448792999999995</v>
      </c>
      <c r="U134" s="67">
        <v>88.071895999999995</v>
      </c>
      <c r="V134" s="68">
        <v>6777</v>
      </c>
      <c r="W134" s="68">
        <v>7054</v>
      </c>
      <c r="X134" s="68">
        <f t="shared" ref="X134:X141" si="124">W134-V134</f>
        <v>277</v>
      </c>
      <c r="Y134" s="68">
        <f t="shared" si="112"/>
        <v>145.19186168899554</v>
      </c>
      <c r="Z134" s="69">
        <v>195.7</v>
      </c>
      <c r="AA134" s="68">
        <v>222.5</v>
      </c>
      <c r="AB134" s="68">
        <f t="shared" ref="AB134:AB141" si="125">AA134-Z134</f>
        <v>26.800000000000011</v>
      </c>
      <c r="AC134" s="68">
        <f t="shared" si="113"/>
        <v>14.047443657996688</v>
      </c>
      <c r="AD134" s="69">
        <v>166.95056600000001</v>
      </c>
      <c r="AE134" s="68">
        <v>189.96497199999999</v>
      </c>
      <c r="AF134" s="68">
        <f t="shared" ref="AF134:AF141" si="126">AE134-AD134</f>
        <v>23.01440599999998</v>
      </c>
      <c r="AG134" s="68">
        <f t="shared" si="114"/>
        <v>12.063192970420168</v>
      </c>
      <c r="AH134" s="69">
        <v>33.384717000000002</v>
      </c>
      <c r="AI134" s="68">
        <v>33.32</v>
      </c>
      <c r="AJ134" s="68">
        <f t="shared" ref="AJ134:AJ141" si="127">AI134-AH134</f>
        <v>-6.471700000000169E-2</v>
      </c>
      <c r="AK134" s="70">
        <f t="shared" si="115"/>
        <v>-3.3921955642335633E-2</v>
      </c>
      <c r="AL134" s="69">
        <v>-19</v>
      </c>
      <c r="AM134" s="68">
        <v>-21.5</v>
      </c>
      <c r="AN134" s="68">
        <f t="shared" ref="AN134:AN141" si="128">AM134-AL134</f>
        <v>-2.5</v>
      </c>
      <c r="AO134" s="70">
        <f t="shared" si="116"/>
        <v>-1.3103958636190933</v>
      </c>
      <c r="AP134" s="69">
        <v>-22.9</v>
      </c>
      <c r="AQ134" s="68">
        <v>-26</v>
      </c>
      <c r="AR134" s="68">
        <f t="shared" ref="AR134:AR141" si="129">AQ134-AP134</f>
        <v>-3.1000000000000014</v>
      </c>
      <c r="AS134" s="70">
        <f t="shared" si="117"/>
        <v>-1.6248908708876766</v>
      </c>
      <c r="AT134" s="69">
        <v>7.8</v>
      </c>
      <c r="AU134" s="68">
        <v>8.8000000000000007</v>
      </c>
      <c r="AV134" s="68">
        <f t="shared" ref="AV134:AV141" si="130">AU134-AT134</f>
        <v>1.0000000000000009</v>
      </c>
      <c r="AW134" s="70">
        <f t="shared" si="118"/>
        <v>0.52415834544763784</v>
      </c>
      <c r="AX134" s="69">
        <v>6753</v>
      </c>
      <c r="AY134" s="68">
        <v>7029</v>
      </c>
      <c r="AZ134" s="68">
        <f t="shared" ref="AZ134:AZ141" si="131">AY134-AX134</f>
        <v>276</v>
      </c>
      <c r="BA134" s="70">
        <f t="shared" si="119"/>
        <v>144.66770334354791</v>
      </c>
      <c r="BB134" s="69">
        <v>30.9</v>
      </c>
      <c r="BC134" s="68">
        <v>31.7</v>
      </c>
      <c r="BD134" s="68">
        <f t="shared" ref="BD134:BD141" si="132">BC134-BB134</f>
        <v>0.80000000000000071</v>
      </c>
      <c r="BE134" s="70">
        <f t="shared" si="120"/>
        <v>0.41932667635811027</v>
      </c>
      <c r="BF134" s="69">
        <v>-23.2</v>
      </c>
      <c r="BG134" s="68">
        <v>-23.2</v>
      </c>
      <c r="BH134" s="68">
        <f t="shared" ref="BH134:BH141" si="133">BG134-BF134</f>
        <v>0</v>
      </c>
      <c r="BI134" s="70">
        <f t="shared" si="121"/>
        <v>0</v>
      </c>
      <c r="BJ134" s="71">
        <v>88.448792999999995</v>
      </c>
      <c r="BK134" s="71">
        <v>88.071895999999995</v>
      </c>
      <c r="BL134" s="71">
        <f t="shared" ref="BL134:BL141" si="134">BK134-BJ134</f>
        <v>-0.37689699999999959</v>
      </c>
      <c r="BM134" s="72">
        <v>-23.2</v>
      </c>
      <c r="BN134" s="73">
        <v>-23.2</v>
      </c>
      <c r="BO134" s="73">
        <f t="shared" ref="BO134:BO141" si="135">BN134-BM134</f>
        <v>0</v>
      </c>
      <c r="BP134" s="72">
        <v>30.9</v>
      </c>
      <c r="BQ134" s="73">
        <v>31.7</v>
      </c>
      <c r="BR134" s="73">
        <f t="shared" ref="BR134:BR141" si="136">BQ134-BP134</f>
        <v>0.80000000000000071</v>
      </c>
      <c r="BS134" s="71"/>
      <c r="BT134" s="71"/>
      <c r="BU134" s="71"/>
      <c r="BV134" s="71"/>
      <c r="BW134" s="62" t="s">
        <v>215</v>
      </c>
      <c r="BX134" s="5">
        <v>1001.86798311</v>
      </c>
      <c r="BY134" s="5">
        <v>-3.3288546299999999</v>
      </c>
      <c r="BZ134" s="5">
        <v>1932.56641199</v>
      </c>
      <c r="CA134" s="5">
        <v>1999.1140113199999</v>
      </c>
      <c r="CB134" s="5">
        <v>1.4101133800000001</v>
      </c>
      <c r="CC134" s="5">
        <v>1.45195798</v>
      </c>
      <c r="CD134" s="5">
        <v>-0.34546913000000001</v>
      </c>
      <c r="CE134" s="5">
        <v>1.9076972299999999</v>
      </c>
      <c r="CF134" s="5">
        <v>1.9143105899999999</v>
      </c>
      <c r="CG134" s="5">
        <v>-2.61174274</v>
      </c>
      <c r="CH134" s="5">
        <v>-2.8819429400000001</v>
      </c>
      <c r="CI134" s="5">
        <v>0.79371926000000004</v>
      </c>
    </row>
    <row r="135" spans="1:87" ht="15" customHeight="1" x14ac:dyDescent="0.2">
      <c r="A135" s="2">
        <v>62009030</v>
      </c>
      <c r="B135" s="58" t="s">
        <v>177</v>
      </c>
      <c r="C135" s="58" t="s">
        <v>104</v>
      </c>
      <c r="D135" s="59" t="s">
        <v>251</v>
      </c>
      <c r="E135" s="60" t="s">
        <v>252</v>
      </c>
      <c r="F135" s="61" t="str">
        <f t="shared" si="87"/>
        <v>09/18/20</v>
      </c>
      <c r="G135" s="62" t="s">
        <v>253</v>
      </c>
      <c r="H135" s="62" t="s">
        <v>110</v>
      </c>
      <c r="I135" s="63"/>
      <c r="J135" s="64">
        <v>20.667515000000002</v>
      </c>
      <c r="K135" s="64">
        <v>54.993158000000001</v>
      </c>
      <c r="L135" s="64">
        <v>29.620132999999999</v>
      </c>
      <c r="M135" s="64">
        <v>27.313023999999999</v>
      </c>
      <c r="N135" s="65">
        <v>3875</v>
      </c>
      <c r="O135" s="65">
        <v>28.39</v>
      </c>
      <c r="P135" s="65">
        <v>0.20169999999999999</v>
      </c>
      <c r="Q135" s="65">
        <v>1.932E-2</v>
      </c>
      <c r="R135" s="66">
        <v>2.9450897500000002</v>
      </c>
      <c r="S135" s="66">
        <f t="shared" si="123"/>
        <v>4.8529101800000003</v>
      </c>
      <c r="T135" s="67">
        <v>88.071895999999995</v>
      </c>
      <c r="U135" s="67">
        <v>87.423389</v>
      </c>
      <c r="V135" s="68">
        <v>7054</v>
      </c>
      <c r="W135" s="68">
        <v>7528</v>
      </c>
      <c r="X135" s="68">
        <f t="shared" si="124"/>
        <v>474</v>
      </c>
      <c r="Y135" s="68">
        <f t="shared" si="112"/>
        <v>160.94585912025261</v>
      </c>
      <c r="Z135" s="69">
        <v>222.5</v>
      </c>
      <c r="AA135" s="68">
        <v>242</v>
      </c>
      <c r="AB135" s="68">
        <f t="shared" si="125"/>
        <v>19.5</v>
      </c>
      <c r="AC135" s="68">
        <f t="shared" si="113"/>
        <v>6.6211904068458347</v>
      </c>
      <c r="AD135" s="69">
        <v>189.97</v>
      </c>
      <c r="AE135" s="68">
        <v>206.69</v>
      </c>
      <c r="AF135" s="68">
        <f t="shared" si="126"/>
        <v>16.72</v>
      </c>
      <c r="AG135" s="68">
        <f t="shared" si="114"/>
        <v>5.6772463385878131</v>
      </c>
      <c r="AH135" s="69">
        <v>33.32</v>
      </c>
      <c r="AI135" s="68">
        <v>33.46</v>
      </c>
      <c r="AJ135" s="68">
        <f t="shared" si="127"/>
        <v>0.14000000000000057</v>
      </c>
      <c r="AK135" s="70">
        <f t="shared" si="115"/>
        <v>4.7536751638893371E-2</v>
      </c>
      <c r="AL135" s="69">
        <v>-21.5</v>
      </c>
      <c r="AM135" s="68">
        <v>-23.4</v>
      </c>
      <c r="AN135" s="68">
        <f t="shared" si="128"/>
        <v>-1.8999999999999986</v>
      </c>
      <c r="AO135" s="70">
        <f t="shared" si="116"/>
        <v>-0.64514162938497832</v>
      </c>
      <c r="AP135" s="69">
        <v>-26</v>
      </c>
      <c r="AQ135" s="68">
        <v>-28.2</v>
      </c>
      <c r="AR135" s="68">
        <f t="shared" si="129"/>
        <v>-2.1999999999999993</v>
      </c>
      <c r="AS135" s="70">
        <f t="shared" si="117"/>
        <v>-0.7470060971826068</v>
      </c>
      <c r="AT135" s="69">
        <v>8.8000000000000007</v>
      </c>
      <c r="AU135" s="68">
        <v>9.6</v>
      </c>
      <c r="AV135" s="68">
        <f t="shared" si="130"/>
        <v>0.79999999999999893</v>
      </c>
      <c r="AW135" s="70">
        <f t="shared" si="118"/>
        <v>0.27163858079367492</v>
      </c>
      <c r="AX135" s="69">
        <v>7029</v>
      </c>
      <c r="AY135" s="68">
        <v>7502</v>
      </c>
      <c r="AZ135" s="68">
        <f t="shared" si="131"/>
        <v>473</v>
      </c>
      <c r="BA135" s="70">
        <f t="shared" si="119"/>
        <v>160.6063108942605</v>
      </c>
      <c r="BB135" s="69">
        <v>31.7</v>
      </c>
      <c r="BC135" s="68">
        <v>32.299999999999997</v>
      </c>
      <c r="BD135" s="68">
        <f t="shared" si="132"/>
        <v>0.59999999999999787</v>
      </c>
      <c r="BE135" s="70">
        <f t="shared" si="120"/>
        <v>0.20372893559525573</v>
      </c>
      <c r="BF135" s="69">
        <v>-23.2</v>
      </c>
      <c r="BG135" s="68">
        <v>-23.2</v>
      </c>
      <c r="BH135" s="68">
        <f t="shared" si="133"/>
        <v>0</v>
      </c>
      <c r="BI135" s="70">
        <f t="shared" si="121"/>
        <v>0</v>
      </c>
      <c r="BJ135" s="71">
        <v>88.071895999999995</v>
      </c>
      <c r="BK135" s="71">
        <v>87.423389</v>
      </c>
      <c r="BL135" s="71">
        <f t="shared" si="134"/>
        <v>-0.64850699999999506</v>
      </c>
      <c r="BM135" s="72">
        <v>-23.2</v>
      </c>
      <c r="BN135" s="73">
        <v>-23.2</v>
      </c>
      <c r="BO135" s="73">
        <f t="shared" si="135"/>
        <v>0</v>
      </c>
      <c r="BP135" s="72">
        <v>31.7</v>
      </c>
      <c r="BQ135" s="73">
        <v>32.299999999999997</v>
      </c>
      <c r="BR135" s="73">
        <f t="shared" si="136"/>
        <v>0.59999999999999787</v>
      </c>
      <c r="BS135" s="71"/>
      <c r="BT135" s="71"/>
      <c r="BU135" s="71"/>
      <c r="BV135" s="71"/>
      <c r="BW135" s="62" t="s">
        <v>215</v>
      </c>
      <c r="BX135" s="5">
        <v>1966.37318134</v>
      </c>
      <c r="BY135" s="5">
        <v>-3.7233685599999999</v>
      </c>
      <c r="BZ135" s="5">
        <v>1788.73115732</v>
      </c>
      <c r="CA135" s="5">
        <v>1857.9079165400001</v>
      </c>
      <c r="CB135" s="5">
        <v>2.40583905</v>
      </c>
      <c r="CC135" s="5">
        <v>2.4524235499999998</v>
      </c>
      <c r="CD135" s="5">
        <v>-0.10992992</v>
      </c>
      <c r="CE135" s="5">
        <v>2.94507699</v>
      </c>
      <c r="CF135" s="5">
        <v>2.94831807</v>
      </c>
      <c r="CG135" s="5">
        <v>-1.8242516900000001</v>
      </c>
      <c r="CH135" s="5">
        <v>-1.89952941</v>
      </c>
      <c r="CI135" s="5">
        <v>0.68639841999999995</v>
      </c>
    </row>
    <row r="136" spans="1:87" ht="15" customHeight="1" x14ac:dyDescent="0.2">
      <c r="A136" s="2">
        <v>62009030</v>
      </c>
      <c r="B136" s="58" t="s">
        <v>181</v>
      </c>
      <c r="C136" s="58" t="s">
        <v>105</v>
      </c>
      <c r="D136" s="59" t="s">
        <v>251</v>
      </c>
      <c r="E136" s="60" t="s">
        <v>252</v>
      </c>
      <c r="F136" s="61" t="str">
        <f t="shared" si="87"/>
        <v>09/18/20</v>
      </c>
      <c r="G136" s="62" t="s">
        <v>253</v>
      </c>
      <c r="H136" s="62" t="s">
        <v>110</v>
      </c>
      <c r="I136" s="63"/>
      <c r="J136" s="64">
        <v>24.041689000000002</v>
      </c>
      <c r="K136" s="64">
        <v>42.529113000000002</v>
      </c>
      <c r="L136" s="64">
        <v>29.630814999999998</v>
      </c>
      <c r="M136" s="64">
        <v>28.723485</v>
      </c>
      <c r="N136" s="65">
        <v>3875</v>
      </c>
      <c r="O136" s="65">
        <v>28.39</v>
      </c>
      <c r="P136" s="65">
        <v>0.20169999999999999</v>
      </c>
      <c r="Q136" s="65">
        <v>1.932E-2</v>
      </c>
      <c r="R136" s="66">
        <v>4.3829438999999999</v>
      </c>
      <c r="S136" s="66">
        <f t="shared" si="123"/>
        <v>7.3280336500000001</v>
      </c>
      <c r="T136" s="67">
        <v>87.423389</v>
      </c>
      <c r="U136" s="67">
        <v>86.28049</v>
      </c>
      <c r="V136" s="68">
        <v>7528</v>
      </c>
      <c r="W136" s="68">
        <v>8364</v>
      </c>
      <c r="X136" s="68">
        <f t="shared" si="124"/>
        <v>836</v>
      </c>
      <c r="Y136" s="68">
        <f t="shared" si="112"/>
        <v>190.73937952981785</v>
      </c>
      <c r="Z136" s="69">
        <v>242</v>
      </c>
      <c r="AA136" s="68">
        <v>262.8</v>
      </c>
      <c r="AB136" s="68">
        <f t="shared" si="125"/>
        <v>20.800000000000011</v>
      </c>
      <c r="AC136" s="68">
        <f t="shared" si="113"/>
        <v>4.7456687729906859</v>
      </c>
      <c r="AD136" s="69">
        <v>206.7</v>
      </c>
      <c r="AE136" s="68">
        <v>224.55</v>
      </c>
      <c r="AF136" s="68">
        <f t="shared" si="126"/>
        <v>17.850000000000023</v>
      </c>
      <c r="AG136" s="68">
        <f t="shared" si="114"/>
        <v>4.0726051729751829</v>
      </c>
      <c r="AH136" s="69">
        <v>33.46</v>
      </c>
      <c r="AI136" s="68">
        <v>33.590000000000003</v>
      </c>
      <c r="AJ136" s="68">
        <f t="shared" si="127"/>
        <v>0.13000000000000256</v>
      </c>
      <c r="AK136" s="70">
        <f t="shared" si="115"/>
        <v>2.9660429831192353E-2</v>
      </c>
      <c r="AL136" s="69">
        <v>-23.4</v>
      </c>
      <c r="AM136" s="68">
        <v>-25.3</v>
      </c>
      <c r="AN136" s="68">
        <f t="shared" si="128"/>
        <v>-1.9000000000000021</v>
      </c>
      <c r="AO136" s="70">
        <f t="shared" si="116"/>
        <v>-0.43349858984049561</v>
      </c>
      <c r="AP136" s="69">
        <v>-28.2</v>
      </c>
      <c r="AQ136" s="68">
        <v>-30.6</v>
      </c>
      <c r="AR136" s="68">
        <f t="shared" si="129"/>
        <v>-2.4000000000000021</v>
      </c>
      <c r="AS136" s="70">
        <f t="shared" si="117"/>
        <v>-0.54757716611431007</v>
      </c>
      <c r="AT136" s="69">
        <v>9.6</v>
      </c>
      <c r="AU136" s="68">
        <v>10.3</v>
      </c>
      <c r="AV136" s="68">
        <f t="shared" si="130"/>
        <v>0.70000000000000107</v>
      </c>
      <c r="AW136" s="70">
        <f t="shared" si="118"/>
        <v>0.15971000678334055</v>
      </c>
      <c r="AX136" s="69">
        <v>7502</v>
      </c>
      <c r="AY136" s="68">
        <v>8337</v>
      </c>
      <c r="AZ136" s="68">
        <f t="shared" si="131"/>
        <v>835</v>
      </c>
      <c r="BA136" s="70">
        <f t="shared" si="119"/>
        <v>190.51122237727023</v>
      </c>
      <c r="BB136" s="69">
        <v>32.299999999999997</v>
      </c>
      <c r="BC136" s="68">
        <v>32.9</v>
      </c>
      <c r="BD136" s="68">
        <f t="shared" si="132"/>
        <v>0.60000000000000142</v>
      </c>
      <c r="BE136" s="70">
        <f t="shared" si="120"/>
        <v>0.13689429152857774</v>
      </c>
      <c r="BF136" s="69">
        <v>-23.2</v>
      </c>
      <c r="BG136" s="68">
        <v>-23.2</v>
      </c>
      <c r="BH136" s="68">
        <f t="shared" si="133"/>
        <v>0</v>
      </c>
      <c r="BI136" s="70">
        <f t="shared" si="121"/>
        <v>0</v>
      </c>
      <c r="BJ136" s="71">
        <v>87.423389</v>
      </c>
      <c r="BK136" s="71">
        <v>86.28049</v>
      </c>
      <c r="BL136" s="71">
        <f t="shared" si="134"/>
        <v>-1.1428989999999999</v>
      </c>
      <c r="BM136" s="72">
        <v>-23.2</v>
      </c>
      <c r="BN136" s="73">
        <v>-23.2</v>
      </c>
      <c r="BO136" s="73">
        <f t="shared" si="135"/>
        <v>0</v>
      </c>
      <c r="BP136" s="72">
        <v>32.299999999999997</v>
      </c>
      <c r="BQ136" s="73">
        <v>32.9</v>
      </c>
      <c r="BR136" s="73">
        <f t="shared" si="136"/>
        <v>0.60000000000000142</v>
      </c>
      <c r="BS136" s="71"/>
      <c r="BT136" s="71"/>
      <c r="BU136" s="71"/>
      <c r="BV136" s="71"/>
      <c r="BW136" s="62" t="s">
        <v>215</v>
      </c>
      <c r="BX136" s="5">
        <v>1731.2291609500001</v>
      </c>
      <c r="BY136" s="5">
        <v>-2.78798251</v>
      </c>
      <c r="BZ136" s="5">
        <v>1581.89575092</v>
      </c>
      <c r="CA136" s="5">
        <v>1627.26357482</v>
      </c>
      <c r="CB136" s="5">
        <v>3.4653572399999999</v>
      </c>
      <c r="CC136" s="5">
        <v>3.5123426900000001</v>
      </c>
      <c r="CD136" s="5">
        <v>-0.10595945</v>
      </c>
      <c r="CE136" s="5">
        <v>4.3829618699999999</v>
      </c>
      <c r="CF136" s="5">
        <v>4.3876109599999999</v>
      </c>
      <c r="CG136" s="5">
        <v>-1.24846547</v>
      </c>
      <c r="CH136" s="5">
        <v>-1.3377239000000001</v>
      </c>
      <c r="CI136" s="5">
        <v>0.49641646</v>
      </c>
    </row>
    <row r="137" spans="1:87" ht="15" customHeight="1" x14ac:dyDescent="0.2">
      <c r="A137" s="2">
        <v>62009030</v>
      </c>
      <c r="B137" s="58" t="s">
        <v>181</v>
      </c>
      <c r="C137" s="58" t="s">
        <v>122</v>
      </c>
      <c r="D137" s="59" t="s">
        <v>251</v>
      </c>
      <c r="E137" s="60" t="s">
        <v>252</v>
      </c>
      <c r="F137" s="61" t="str">
        <f t="shared" si="87"/>
        <v>09/18/20</v>
      </c>
      <c r="G137" s="62" t="s">
        <v>253</v>
      </c>
      <c r="H137" s="62" t="s">
        <v>110</v>
      </c>
      <c r="I137" s="63"/>
      <c r="J137" s="64">
        <v>25.853321000000001</v>
      </c>
      <c r="K137" s="64">
        <v>35.363131000000003</v>
      </c>
      <c r="L137" s="64">
        <v>29.647933999999999</v>
      </c>
      <c r="M137" s="64">
        <v>30.107296000000002</v>
      </c>
      <c r="N137" s="65">
        <v>3875</v>
      </c>
      <c r="O137" s="65">
        <v>28.39</v>
      </c>
      <c r="P137" s="65">
        <v>0.20169999999999999</v>
      </c>
      <c r="Q137" s="65">
        <v>1.932E-2</v>
      </c>
      <c r="R137" s="66">
        <v>5.1241984599999997</v>
      </c>
      <c r="S137" s="66">
        <f t="shared" si="123"/>
        <v>9.5071423599999996</v>
      </c>
      <c r="T137" s="67">
        <v>86.28049</v>
      </c>
      <c r="U137" s="67">
        <v>84.293768</v>
      </c>
      <c r="V137" s="68">
        <v>8364</v>
      </c>
      <c r="W137" s="68">
        <v>9808</v>
      </c>
      <c r="X137" s="68">
        <f t="shared" si="124"/>
        <v>1444</v>
      </c>
      <c r="Y137" s="68">
        <f t="shared" si="112"/>
        <v>281.80017055779689</v>
      </c>
      <c r="Z137" s="69">
        <v>262.8</v>
      </c>
      <c r="AA137" s="68">
        <v>277.7</v>
      </c>
      <c r="AB137" s="68">
        <f t="shared" si="125"/>
        <v>14.899999999999977</v>
      </c>
      <c r="AC137" s="68">
        <f t="shared" si="113"/>
        <v>2.9077718430132737</v>
      </c>
      <c r="AD137" s="69">
        <v>224.55456000000001</v>
      </c>
      <c r="AE137" s="68">
        <v>237.39</v>
      </c>
      <c r="AF137" s="68">
        <f t="shared" si="126"/>
        <v>12.835439999999977</v>
      </c>
      <c r="AG137" s="68">
        <f t="shared" si="114"/>
        <v>2.5048678540057909</v>
      </c>
      <c r="AH137" s="69">
        <v>33.590000000000003</v>
      </c>
      <c r="AI137" s="68">
        <v>33.67</v>
      </c>
      <c r="AJ137" s="68">
        <f t="shared" si="127"/>
        <v>7.9999999999998295E-2</v>
      </c>
      <c r="AK137" s="70">
        <f t="shared" si="115"/>
        <v>1.5612197814836059E-2</v>
      </c>
      <c r="AL137" s="69">
        <v>-25.3</v>
      </c>
      <c r="AM137" s="68">
        <v>-26.7</v>
      </c>
      <c r="AN137" s="68">
        <f t="shared" si="128"/>
        <v>-1.3999999999999986</v>
      </c>
      <c r="AO137" s="70">
        <f t="shared" si="116"/>
        <v>-0.27321346175963657</v>
      </c>
      <c r="AP137" s="69">
        <v>-30.6</v>
      </c>
      <c r="AQ137" s="68">
        <v>-32.200000000000003</v>
      </c>
      <c r="AR137" s="68">
        <f t="shared" si="129"/>
        <v>-1.6000000000000014</v>
      </c>
      <c r="AS137" s="70">
        <f t="shared" si="117"/>
        <v>-0.31224395629672813</v>
      </c>
      <c r="AT137" s="69">
        <v>10.3</v>
      </c>
      <c r="AU137" s="68">
        <v>10.9</v>
      </c>
      <c r="AV137" s="68">
        <f t="shared" si="130"/>
        <v>0.59999999999999964</v>
      </c>
      <c r="AW137" s="70">
        <f t="shared" si="118"/>
        <v>0.11709148361127288</v>
      </c>
      <c r="AX137" s="69">
        <v>8337</v>
      </c>
      <c r="AY137" s="68">
        <v>9782</v>
      </c>
      <c r="AZ137" s="68">
        <f t="shared" si="131"/>
        <v>1445</v>
      </c>
      <c r="BA137" s="70">
        <f t="shared" si="119"/>
        <v>281.99532303048233</v>
      </c>
      <c r="BB137" s="69">
        <v>32.9</v>
      </c>
      <c r="BC137" s="68">
        <v>33.4</v>
      </c>
      <c r="BD137" s="68">
        <f t="shared" si="132"/>
        <v>0.5</v>
      </c>
      <c r="BE137" s="70">
        <f t="shared" si="120"/>
        <v>9.7576236342727454E-2</v>
      </c>
      <c r="BF137" s="69">
        <v>-23.2</v>
      </c>
      <c r="BG137" s="68">
        <v>-23.2</v>
      </c>
      <c r="BH137" s="68">
        <f t="shared" si="133"/>
        <v>0</v>
      </c>
      <c r="BI137" s="70">
        <f t="shared" si="121"/>
        <v>0</v>
      </c>
      <c r="BJ137" s="71">
        <v>86.28049</v>
      </c>
      <c r="BK137" s="71">
        <v>84.293768</v>
      </c>
      <c r="BL137" s="71">
        <f t="shared" si="134"/>
        <v>-1.9867220000000003</v>
      </c>
      <c r="BM137" s="72">
        <v>-23.2</v>
      </c>
      <c r="BN137" s="73">
        <v>-23.2</v>
      </c>
      <c r="BO137" s="73">
        <f t="shared" si="135"/>
        <v>0</v>
      </c>
      <c r="BP137" s="72">
        <v>32.9</v>
      </c>
      <c r="BQ137" s="73">
        <v>33.4</v>
      </c>
      <c r="BR137" s="73">
        <f t="shared" si="136"/>
        <v>0.5</v>
      </c>
      <c r="BS137" s="71"/>
      <c r="BT137" s="71"/>
      <c r="BU137" s="71"/>
      <c r="BV137" s="71"/>
      <c r="BW137" s="62" t="s">
        <v>215</v>
      </c>
      <c r="BX137" s="5">
        <v>1516.52947109</v>
      </c>
      <c r="BY137" s="5">
        <v>0.37419522</v>
      </c>
      <c r="BZ137" s="5">
        <v>997.10067790000005</v>
      </c>
      <c r="CA137" s="5">
        <v>993.38348441000005</v>
      </c>
      <c r="CB137" s="5">
        <v>5.4544716900000001</v>
      </c>
      <c r="CC137" s="5">
        <v>5.45828852</v>
      </c>
      <c r="CD137" s="5">
        <v>-8.9880360000000006E-2</v>
      </c>
      <c r="CE137" s="5">
        <v>5.1242228499999998</v>
      </c>
      <c r="CF137" s="5">
        <v>5.1288326700000004</v>
      </c>
      <c r="CG137" s="5">
        <v>1.996707E-2</v>
      </c>
      <c r="CH137" s="5">
        <v>-6.9927249999999996E-2</v>
      </c>
      <c r="CI137" s="5">
        <v>0.33763728999999998</v>
      </c>
    </row>
    <row r="138" spans="1:87" ht="15" customHeight="1" x14ac:dyDescent="0.2">
      <c r="A138" s="2">
        <v>62009030</v>
      </c>
      <c r="B138" s="58" t="s">
        <v>181</v>
      </c>
      <c r="C138" s="58" t="s">
        <v>124</v>
      </c>
      <c r="D138" s="59" t="s">
        <v>251</v>
      </c>
      <c r="E138" s="60" t="s">
        <v>252</v>
      </c>
      <c r="F138" s="61" t="str">
        <f t="shared" si="87"/>
        <v>09/18/20</v>
      </c>
      <c r="G138" s="62" t="s">
        <v>253</v>
      </c>
      <c r="H138" s="62" t="s">
        <v>110</v>
      </c>
      <c r="I138" s="63"/>
      <c r="J138" s="64">
        <v>20.092686</v>
      </c>
      <c r="K138" s="64">
        <v>49.557240999999998</v>
      </c>
      <c r="L138" s="64">
        <v>29.627559000000002</v>
      </c>
      <c r="M138" s="64">
        <v>30.373232000000002</v>
      </c>
      <c r="N138" s="65">
        <v>3875</v>
      </c>
      <c r="O138" s="65">
        <v>28.39</v>
      </c>
      <c r="P138" s="65">
        <v>0.20169999999999999</v>
      </c>
      <c r="Q138" s="65">
        <v>1.932E-2</v>
      </c>
      <c r="R138" s="66">
        <v>1.90774621</v>
      </c>
      <c r="S138" s="66">
        <f t="shared" si="123"/>
        <v>7.0319446699999997</v>
      </c>
      <c r="T138" s="67">
        <v>84.292242000000002</v>
      </c>
      <c r="U138" s="67">
        <v>83.919922</v>
      </c>
      <c r="V138" s="68">
        <v>9809</v>
      </c>
      <c r="W138" s="68">
        <v>10079</v>
      </c>
      <c r="X138" s="68">
        <f t="shared" si="124"/>
        <v>270</v>
      </c>
      <c r="Y138" s="68">
        <f t="shared" si="112"/>
        <v>141.52825914931316</v>
      </c>
      <c r="Z138" s="69">
        <v>278.5</v>
      </c>
      <c r="AA138" s="68">
        <v>304.5</v>
      </c>
      <c r="AB138" s="68">
        <f t="shared" si="125"/>
        <v>26</v>
      </c>
      <c r="AC138" s="68">
        <f t="shared" si="113"/>
        <v>13.628647177341268</v>
      </c>
      <c r="AD138" s="69">
        <v>238.09</v>
      </c>
      <c r="AE138" s="68">
        <v>260.32</v>
      </c>
      <c r="AF138" s="68">
        <f t="shared" si="126"/>
        <v>22.22999999999999</v>
      </c>
      <c r="AG138" s="68">
        <f t="shared" si="114"/>
        <v>11.652493336626778</v>
      </c>
      <c r="AH138" s="69">
        <v>33.68</v>
      </c>
      <c r="AI138" s="68">
        <v>33.799999999999997</v>
      </c>
      <c r="AJ138" s="68">
        <f t="shared" si="127"/>
        <v>0.11999999999999744</v>
      </c>
      <c r="AK138" s="70">
        <f t="shared" si="115"/>
        <v>6.2901448510804508E-2</v>
      </c>
      <c r="AL138" s="69">
        <v>-26.8</v>
      </c>
      <c r="AM138" s="68">
        <v>-29.3</v>
      </c>
      <c r="AN138" s="68">
        <f t="shared" si="128"/>
        <v>-2.5</v>
      </c>
      <c r="AO138" s="70">
        <f t="shared" si="116"/>
        <v>-1.3104468439751218</v>
      </c>
      <c r="AP138" s="69">
        <v>-32.299999999999997</v>
      </c>
      <c r="AQ138" s="68">
        <v>-35.4</v>
      </c>
      <c r="AR138" s="68">
        <f t="shared" si="129"/>
        <v>-3.1000000000000014</v>
      </c>
      <c r="AS138" s="70">
        <f t="shared" si="117"/>
        <v>-1.6249540865291519</v>
      </c>
      <c r="AT138" s="69">
        <v>10.9</v>
      </c>
      <c r="AU138" s="68">
        <v>11.9</v>
      </c>
      <c r="AV138" s="68">
        <f t="shared" si="130"/>
        <v>1</v>
      </c>
      <c r="AW138" s="70">
        <f t="shared" si="118"/>
        <v>0.52417873759004874</v>
      </c>
      <c r="AX138" s="69">
        <v>9782</v>
      </c>
      <c r="AY138" s="68">
        <v>10051</v>
      </c>
      <c r="AZ138" s="68">
        <f t="shared" si="131"/>
        <v>269</v>
      </c>
      <c r="BA138" s="70">
        <f t="shared" si="119"/>
        <v>141.00408041172309</v>
      </c>
      <c r="BB138" s="69">
        <v>33.4</v>
      </c>
      <c r="BC138" s="68">
        <v>34.200000000000003</v>
      </c>
      <c r="BD138" s="68">
        <f t="shared" si="132"/>
        <v>0.80000000000000426</v>
      </c>
      <c r="BE138" s="70">
        <f t="shared" si="120"/>
        <v>0.41934299007204123</v>
      </c>
      <c r="BF138" s="69">
        <v>-23.2</v>
      </c>
      <c r="BG138" s="68">
        <v>-23.2</v>
      </c>
      <c r="BH138" s="68">
        <f t="shared" si="133"/>
        <v>0</v>
      </c>
      <c r="BI138" s="70">
        <f t="shared" si="121"/>
        <v>0</v>
      </c>
      <c r="BJ138" s="71">
        <v>84.292242000000002</v>
      </c>
      <c r="BK138" s="71">
        <v>83.919922</v>
      </c>
      <c r="BL138" s="71">
        <f t="shared" si="134"/>
        <v>-0.37232000000000198</v>
      </c>
      <c r="BM138" s="72">
        <v>-23.2</v>
      </c>
      <c r="BN138" s="73">
        <v>-23.2</v>
      </c>
      <c r="BO138" s="73">
        <f t="shared" si="135"/>
        <v>0</v>
      </c>
      <c r="BP138" s="72">
        <v>33.4</v>
      </c>
      <c r="BQ138" s="73">
        <v>34.200000000000003</v>
      </c>
      <c r="BR138" s="73">
        <f t="shared" si="136"/>
        <v>0.80000000000000426</v>
      </c>
      <c r="BS138" s="71"/>
      <c r="BT138" s="71"/>
      <c r="BU138" s="71"/>
      <c r="BV138" s="71"/>
      <c r="BW138" s="62" t="s">
        <v>215</v>
      </c>
      <c r="BX138" s="5">
        <v>1000.44925196</v>
      </c>
      <c r="BY138" s="5">
        <v>-3.3842679599999999</v>
      </c>
      <c r="BZ138" s="5">
        <v>1931.38140215</v>
      </c>
      <c r="CA138" s="5">
        <v>1999.03407178</v>
      </c>
      <c r="CB138" s="5">
        <v>1.4088162399999999</v>
      </c>
      <c r="CC138" s="5">
        <v>1.4518761099999999</v>
      </c>
      <c r="CD138" s="5">
        <v>-0.35008262000000001</v>
      </c>
      <c r="CE138" s="5">
        <v>1.9076085899999999</v>
      </c>
      <c r="CF138" s="5">
        <v>1.9143102599999999</v>
      </c>
      <c r="CG138" s="5">
        <v>-2.6956746800000002</v>
      </c>
      <c r="CH138" s="5">
        <v>-2.9658087499999999</v>
      </c>
      <c r="CI138" s="5">
        <v>0.79372770000000004</v>
      </c>
    </row>
    <row r="139" spans="1:87" ht="15" customHeight="1" x14ac:dyDescent="0.2">
      <c r="A139" s="2">
        <v>62009030</v>
      </c>
      <c r="B139" s="58" t="s">
        <v>181</v>
      </c>
      <c r="C139" s="58" t="s">
        <v>182</v>
      </c>
      <c r="D139" s="59" t="s">
        <v>251</v>
      </c>
      <c r="E139" s="60" t="s">
        <v>252</v>
      </c>
      <c r="F139" s="61" t="str">
        <f t="shared" si="87"/>
        <v>09/18/20</v>
      </c>
      <c r="G139" s="62" t="s">
        <v>253</v>
      </c>
      <c r="H139" s="62" t="s">
        <v>110</v>
      </c>
      <c r="I139" s="63"/>
      <c r="J139" s="64">
        <v>19.910616999999998</v>
      </c>
      <c r="K139" s="64">
        <v>53.292085999999998</v>
      </c>
      <c r="L139" s="64">
        <v>29.631468000000002</v>
      </c>
      <c r="M139" s="64">
        <v>28.011361000000001</v>
      </c>
      <c r="N139" s="65">
        <v>3875</v>
      </c>
      <c r="O139" s="65">
        <v>28.39</v>
      </c>
      <c r="P139" s="65">
        <v>0.20169999999999999</v>
      </c>
      <c r="Q139" s="65">
        <v>1.932E-2</v>
      </c>
      <c r="R139" s="66">
        <v>2.94544571</v>
      </c>
      <c r="S139" s="66">
        <f t="shared" si="123"/>
        <v>4.8531919200000004</v>
      </c>
      <c r="T139" s="67">
        <v>83.919922</v>
      </c>
      <c r="U139" s="67">
        <v>83.268362999999994</v>
      </c>
      <c r="V139" s="68">
        <v>10079</v>
      </c>
      <c r="W139" s="68">
        <v>10550</v>
      </c>
      <c r="X139" s="68">
        <f t="shared" si="124"/>
        <v>471</v>
      </c>
      <c r="Y139" s="68">
        <f t="shared" si="112"/>
        <v>159.90788708171436</v>
      </c>
      <c r="Z139" s="69">
        <v>304.5</v>
      </c>
      <c r="AA139" s="68">
        <v>326.60000000000002</v>
      </c>
      <c r="AB139" s="68">
        <f t="shared" si="125"/>
        <v>22.100000000000023</v>
      </c>
      <c r="AC139" s="68">
        <f t="shared" si="113"/>
        <v>7.5031089267641002</v>
      </c>
      <c r="AD139" s="69">
        <v>260.33</v>
      </c>
      <c r="AE139" s="68">
        <v>279.44392499999998</v>
      </c>
      <c r="AF139" s="68">
        <f t="shared" si="126"/>
        <v>19.113924999999995</v>
      </c>
      <c r="AG139" s="68">
        <f t="shared" si="114"/>
        <v>6.4893149906334529</v>
      </c>
      <c r="AH139" s="69">
        <v>33.799999999999997</v>
      </c>
      <c r="AI139" s="68">
        <v>31.606075000000001</v>
      </c>
      <c r="AJ139" s="68">
        <f t="shared" si="127"/>
        <v>-2.1939249999999966</v>
      </c>
      <c r="AK139" s="70">
        <f t="shared" si="115"/>
        <v>-0.74485331457696313</v>
      </c>
      <c r="AL139" s="69">
        <v>-29.3</v>
      </c>
      <c r="AM139" s="68">
        <v>-31.2</v>
      </c>
      <c r="AN139" s="68">
        <f t="shared" si="128"/>
        <v>-1.8999999999999986</v>
      </c>
      <c r="AO139" s="70">
        <f t="shared" si="116"/>
        <v>-0.64506366338695764</v>
      </c>
      <c r="AP139" s="69">
        <v>-35.4</v>
      </c>
      <c r="AQ139" s="68">
        <v>-37.6</v>
      </c>
      <c r="AR139" s="68">
        <f t="shared" si="129"/>
        <v>-2.2000000000000028</v>
      </c>
      <c r="AS139" s="70">
        <f t="shared" si="117"/>
        <v>-0.74691582076384722</v>
      </c>
      <c r="AT139" s="69">
        <v>11.9</v>
      </c>
      <c r="AU139" s="68">
        <v>12.7</v>
      </c>
      <c r="AV139" s="68">
        <f t="shared" si="130"/>
        <v>0.79999999999999893</v>
      </c>
      <c r="AW139" s="70">
        <f t="shared" si="118"/>
        <v>0.27160575300503464</v>
      </c>
      <c r="AX139" s="69">
        <v>10051</v>
      </c>
      <c r="AY139" s="68">
        <v>10521</v>
      </c>
      <c r="AZ139" s="68">
        <f t="shared" si="131"/>
        <v>470</v>
      </c>
      <c r="BA139" s="70">
        <f t="shared" si="119"/>
        <v>159.56837989045806</v>
      </c>
      <c r="BB139" s="69">
        <v>34.200000000000003</v>
      </c>
      <c r="BC139" s="68">
        <v>34.799999999999997</v>
      </c>
      <c r="BD139" s="68">
        <f t="shared" si="132"/>
        <v>0.59999999999999432</v>
      </c>
      <c r="BE139" s="70">
        <f t="shared" si="120"/>
        <v>0.20370431475377435</v>
      </c>
      <c r="BF139" s="69">
        <v>-23.2</v>
      </c>
      <c r="BG139" s="68">
        <v>-23.2</v>
      </c>
      <c r="BH139" s="68">
        <f t="shared" si="133"/>
        <v>0</v>
      </c>
      <c r="BI139" s="70">
        <f t="shared" si="121"/>
        <v>0</v>
      </c>
      <c r="BJ139" s="71">
        <v>83.919922</v>
      </c>
      <c r="BK139" s="71">
        <v>83.268362999999994</v>
      </c>
      <c r="BL139" s="71">
        <f t="shared" si="134"/>
        <v>-0.65155900000000599</v>
      </c>
      <c r="BM139" s="72">
        <v>-23.2</v>
      </c>
      <c r="BN139" s="73">
        <v>-23.2</v>
      </c>
      <c r="BO139" s="73">
        <f t="shared" si="135"/>
        <v>0</v>
      </c>
      <c r="BP139" s="72">
        <v>34.200000000000003</v>
      </c>
      <c r="BQ139" s="73">
        <v>34.799999999999997</v>
      </c>
      <c r="BR139" s="73">
        <f t="shared" si="136"/>
        <v>0.59999999999999432</v>
      </c>
      <c r="BS139" s="71"/>
      <c r="BT139" s="71"/>
      <c r="BU139" s="71"/>
      <c r="BV139" s="71"/>
      <c r="BW139" s="62" t="s">
        <v>215</v>
      </c>
      <c r="BX139" s="5">
        <v>1964.2822812300001</v>
      </c>
      <c r="BY139" s="5">
        <v>-3.6750130900000002</v>
      </c>
      <c r="BZ139" s="5">
        <v>1789.5308965199999</v>
      </c>
      <c r="CA139" s="5">
        <v>1857.8054916000001</v>
      </c>
      <c r="CB139" s="5">
        <v>2.40574647</v>
      </c>
      <c r="CC139" s="5">
        <v>2.4523136700000001</v>
      </c>
      <c r="CD139" s="5">
        <v>-9.8234769999999999E-2</v>
      </c>
      <c r="CE139" s="5">
        <v>2.9454222400000001</v>
      </c>
      <c r="CF139" s="5">
        <v>2.9483185199999999</v>
      </c>
      <c r="CG139" s="5">
        <v>-1.8355291899999999</v>
      </c>
      <c r="CH139" s="5">
        <v>-1.8989089299999999</v>
      </c>
      <c r="CI139" s="5">
        <v>0.68639808000000002</v>
      </c>
    </row>
    <row r="140" spans="1:87" ht="15" customHeight="1" x14ac:dyDescent="0.2">
      <c r="A140" s="2">
        <v>62009030</v>
      </c>
      <c r="B140" s="58" t="s">
        <v>181</v>
      </c>
      <c r="C140" s="58" t="s">
        <v>130</v>
      </c>
      <c r="D140" s="59" t="s">
        <v>251</v>
      </c>
      <c r="E140" s="60" t="s">
        <v>252</v>
      </c>
      <c r="F140" s="61" t="str">
        <f t="shared" ref="F140:F173" si="137">LEFT(E140,8)</f>
        <v>09/18/20</v>
      </c>
      <c r="G140" s="62" t="s">
        <v>253</v>
      </c>
      <c r="H140" s="62" t="s">
        <v>110</v>
      </c>
      <c r="I140" s="63"/>
      <c r="J140" s="64">
        <v>23.261482999999998</v>
      </c>
      <c r="K140" s="64">
        <v>45.820611</v>
      </c>
      <c r="L140" s="64">
        <v>29.637253999999999</v>
      </c>
      <c r="M140" s="64">
        <v>28.625426999999998</v>
      </c>
      <c r="N140" s="65">
        <v>3875</v>
      </c>
      <c r="O140" s="65">
        <v>28.39</v>
      </c>
      <c r="P140" s="65">
        <v>0.20169999999999999</v>
      </c>
      <c r="Q140" s="65">
        <v>1.932E-2</v>
      </c>
      <c r="R140" s="66">
        <v>4.3829084700000003</v>
      </c>
      <c r="S140" s="66">
        <f t="shared" si="123"/>
        <v>7.3283541799999998</v>
      </c>
      <c r="T140" s="67">
        <v>83.268362999999994</v>
      </c>
      <c r="U140" s="67">
        <v>82.096472000000006</v>
      </c>
      <c r="V140" s="68">
        <v>10550</v>
      </c>
      <c r="W140" s="68">
        <v>11395</v>
      </c>
      <c r="X140" s="68">
        <f t="shared" si="124"/>
        <v>845</v>
      </c>
      <c r="Y140" s="68">
        <f t="shared" si="112"/>
        <v>192.79435237669929</v>
      </c>
      <c r="Z140" s="69">
        <v>326.60000000000002</v>
      </c>
      <c r="AA140" s="68">
        <v>360.9</v>
      </c>
      <c r="AB140" s="68">
        <f t="shared" si="125"/>
        <v>34.299999999999955</v>
      </c>
      <c r="AC140" s="68">
        <f t="shared" si="113"/>
        <v>7.8258535935157125</v>
      </c>
      <c r="AD140" s="69">
        <v>279.45999999999998</v>
      </c>
      <c r="AE140" s="68">
        <v>310.04379899999998</v>
      </c>
      <c r="AF140" s="68">
        <f t="shared" si="126"/>
        <v>30.583798999999999</v>
      </c>
      <c r="AG140" s="68">
        <f t="shared" si="114"/>
        <v>6.9779689010936607</v>
      </c>
      <c r="AH140" s="69">
        <v>31.6</v>
      </c>
      <c r="AI140" s="68">
        <v>19.963799000000002</v>
      </c>
      <c r="AJ140" s="68">
        <f t="shared" si="127"/>
        <v>-11.636201</v>
      </c>
      <c r="AK140" s="70">
        <f t="shared" si="115"/>
        <v>-2.6549039478344385</v>
      </c>
      <c r="AL140" s="69">
        <v>-31.2</v>
      </c>
      <c r="AM140" s="68">
        <v>-33.1</v>
      </c>
      <c r="AN140" s="68">
        <f t="shared" si="128"/>
        <v>-1.9000000000000021</v>
      </c>
      <c r="AO140" s="70">
        <f t="shared" si="116"/>
        <v>-0.43350209410145452</v>
      </c>
      <c r="AP140" s="69">
        <v>-37.6</v>
      </c>
      <c r="AQ140" s="68">
        <v>-40</v>
      </c>
      <c r="AR140" s="68">
        <f t="shared" si="129"/>
        <v>-2.3999999999999986</v>
      </c>
      <c r="AS140" s="70">
        <f t="shared" si="117"/>
        <v>-0.5475815925492048</v>
      </c>
      <c r="AT140" s="69">
        <v>12.7</v>
      </c>
      <c r="AU140" s="68">
        <v>13.5</v>
      </c>
      <c r="AV140" s="68">
        <f t="shared" si="130"/>
        <v>0.80000000000000071</v>
      </c>
      <c r="AW140" s="70">
        <f t="shared" si="118"/>
        <v>0.18252719751640187</v>
      </c>
      <c r="AX140" s="69">
        <v>10521</v>
      </c>
      <c r="AY140" s="68">
        <v>11366</v>
      </c>
      <c r="AZ140" s="68">
        <f t="shared" si="131"/>
        <v>845</v>
      </c>
      <c r="BA140" s="70">
        <f t="shared" si="119"/>
        <v>192.79435237669929</v>
      </c>
      <c r="BB140" s="69">
        <v>34.799999999999997</v>
      </c>
      <c r="BC140" s="68">
        <v>35.4</v>
      </c>
      <c r="BD140" s="68">
        <f t="shared" si="132"/>
        <v>0.60000000000000142</v>
      </c>
      <c r="BE140" s="70">
        <f t="shared" si="120"/>
        <v>0.13689539813730159</v>
      </c>
      <c r="BF140" s="69">
        <v>-23.2</v>
      </c>
      <c r="BG140" s="68">
        <v>-23.2</v>
      </c>
      <c r="BH140" s="68">
        <f t="shared" si="133"/>
        <v>0</v>
      </c>
      <c r="BI140" s="70">
        <f t="shared" si="121"/>
        <v>0</v>
      </c>
      <c r="BJ140" s="71">
        <v>83.268362999999994</v>
      </c>
      <c r="BK140" s="71">
        <v>82.096472000000006</v>
      </c>
      <c r="BL140" s="71">
        <f t="shared" si="134"/>
        <v>-1.171890999999988</v>
      </c>
      <c r="BM140" s="72">
        <v>-23.2</v>
      </c>
      <c r="BN140" s="73">
        <v>-23.2</v>
      </c>
      <c r="BO140" s="73">
        <f t="shared" si="135"/>
        <v>0</v>
      </c>
      <c r="BP140" s="72">
        <v>34.799999999999997</v>
      </c>
      <c r="BQ140" s="73">
        <v>35.4</v>
      </c>
      <c r="BR140" s="73">
        <f t="shared" si="136"/>
        <v>0.60000000000000142</v>
      </c>
      <c r="BS140" s="71"/>
      <c r="BT140" s="71"/>
      <c r="BU140" s="71"/>
      <c r="BV140" s="71"/>
      <c r="BW140" s="62" t="s">
        <v>215</v>
      </c>
      <c r="BX140" s="5">
        <v>1730.7180097099999</v>
      </c>
      <c r="BY140" s="5">
        <v>-2.6706171200000002</v>
      </c>
      <c r="BZ140" s="5">
        <v>1583.7407558100001</v>
      </c>
      <c r="CA140" s="5">
        <v>1627.19695634</v>
      </c>
      <c r="CB140" s="5">
        <v>3.4642736799999998</v>
      </c>
      <c r="CC140" s="5">
        <v>3.5122664000000001</v>
      </c>
      <c r="CD140" s="5">
        <v>-0.10717152000000001</v>
      </c>
      <c r="CE140" s="5">
        <v>4.3829089799999998</v>
      </c>
      <c r="CF140" s="5">
        <v>4.38761125</v>
      </c>
      <c r="CG140" s="5">
        <v>-1.2767054</v>
      </c>
      <c r="CH140" s="5">
        <v>-1.36643161</v>
      </c>
      <c r="CI140" s="5">
        <v>0.49640845</v>
      </c>
    </row>
    <row r="141" spans="1:87" ht="15" customHeight="1" x14ac:dyDescent="0.2">
      <c r="A141" s="2">
        <v>62009030</v>
      </c>
      <c r="B141" s="58" t="s">
        <v>181</v>
      </c>
      <c r="C141" s="58" t="s">
        <v>183</v>
      </c>
      <c r="D141" s="59" t="s">
        <v>251</v>
      </c>
      <c r="E141" s="60" t="s">
        <v>252</v>
      </c>
      <c r="F141" s="61" t="str">
        <f t="shared" si="137"/>
        <v>09/18/20</v>
      </c>
      <c r="G141" s="62" t="s">
        <v>253</v>
      </c>
      <c r="H141" s="62" t="s">
        <v>110</v>
      </c>
      <c r="I141" s="63"/>
      <c r="J141" s="64">
        <v>25.706160000000001</v>
      </c>
      <c r="K141" s="64">
        <v>36.992730000000002</v>
      </c>
      <c r="L141" s="64">
        <v>29.658853000000001</v>
      </c>
      <c r="M141" s="64">
        <v>30.124216000000001</v>
      </c>
      <c r="N141" s="65">
        <v>3875</v>
      </c>
      <c r="O141" s="65">
        <v>28.39</v>
      </c>
      <c r="P141" s="65">
        <v>0.20169999999999999</v>
      </c>
      <c r="Q141" s="65">
        <v>1.932E-2</v>
      </c>
      <c r="R141" s="66">
        <v>5.1231878100000001</v>
      </c>
      <c r="S141" s="66">
        <f t="shared" si="123"/>
        <v>9.5060962800000013</v>
      </c>
      <c r="T141" s="67">
        <v>82.096472000000006</v>
      </c>
      <c r="U141" s="67">
        <v>80.089912999999996</v>
      </c>
      <c r="V141" s="68">
        <v>11395</v>
      </c>
      <c r="W141" s="68">
        <v>12836</v>
      </c>
      <c r="X141" s="68">
        <f t="shared" si="124"/>
        <v>1441</v>
      </c>
      <c r="Y141" s="68">
        <f t="shared" si="112"/>
        <v>281.27018829707902</v>
      </c>
      <c r="Z141" s="69">
        <v>360.9</v>
      </c>
      <c r="AA141" s="68">
        <v>370.8</v>
      </c>
      <c r="AB141" s="68">
        <f t="shared" si="125"/>
        <v>9.9000000000000341</v>
      </c>
      <c r="AC141" s="68">
        <f t="shared" si="113"/>
        <v>1.9323906066211602</v>
      </c>
      <c r="AD141" s="69">
        <v>310.05</v>
      </c>
      <c r="AE141" s="68">
        <v>318.21356700000001</v>
      </c>
      <c r="AF141" s="68">
        <f t="shared" si="126"/>
        <v>8.1635670000000005</v>
      </c>
      <c r="AG141" s="68">
        <f t="shared" si="114"/>
        <v>1.5934545643760032</v>
      </c>
      <c r="AH141" s="69">
        <v>19.97</v>
      </c>
      <c r="AI141" s="68">
        <v>24.68</v>
      </c>
      <c r="AJ141" s="68">
        <f t="shared" si="127"/>
        <v>4.7100000000000009</v>
      </c>
      <c r="AK141" s="70">
        <f t="shared" si="115"/>
        <v>0.91934947042279147</v>
      </c>
      <c r="AL141" s="69">
        <v>-33.1</v>
      </c>
      <c r="AM141" s="68">
        <v>-34.4</v>
      </c>
      <c r="AN141" s="68">
        <f t="shared" si="128"/>
        <v>-1.2999999999999972</v>
      </c>
      <c r="AO141" s="70">
        <f t="shared" si="116"/>
        <v>-0.2537482614755045</v>
      </c>
      <c r="AP141" s="69">
        <v>-40</v>
      </c>
      <c r="AQ141" s="68">
        <v>-41.6</v>
      </c>
      <c r="AR141" s="68">
        <f t="shared" si="129"/>
        <v>-1.6000000000000014</v>
      </c>
      <c r="AS141" s="70">
        <f t="shared" si="117"/>
        <v>-0.31230555258523723</v>
      </c>
      <c r="AT141" s="69">
        <v>13.5</v>
      </c>
      <c r="AU141" s="68">
        <v>14</v>
      </c>
      <c r="AV141" s="68">
        <f t="shared" si="130"/>
        <v>0.5</v>
      </c>
      <c r="AW141" s="70">
        <f t="shared" si="118"/>
        <v>9.7595485182886549E-2</v>
      </c>
      <c r="AX141" s="69">
        <v>11366</v>
      </c>
      <c r="AY141" s="68">
        <v>12807</v>
      </c>
      <c r="AZ141" s="68">
        <f t="shared" si="131"/>
        <v>1441</v>
      </c>
      <c r="BA141" s="70">
        <f t="shared" si="119"/>
        <v>281.27018829707902</v>
      </c>
      <c r="BB141" s="69">
        <v>35.4</v>
      </c>
      <c r="BC141" s="68">
        <v>35.9</v>
      </c>
      <c r="BD141" s="68">
        <f t="shared" si="132"/>
        <v>0.5</v>
      </c>
      <c r="BE141" s="70">
        <f t="shared" si="120"/>
        <v>9.7595485182886549E-2</v>
      </c>
      <c r="BF141" s="69">
        <v>-23.2</v>
      </c>
      <c r="BG141" s="68">
        <v>-23.2</v>
      </c>
      <c r="BH141" s="68">
        <f t="shared" si="133"/>
        <v>0</v>
      </c>
      <c r="BI141" s="70">
        <f t="shared" si="121"/>
        <v>0</v>
      </c>
      <c r="BJ141" s="71">
        <v>82.096472000000006</v>
      </c>
      <c r="BK141" s="71">
        <v>80.089912999999996</v>
      </c>
      <c r="BL141" s="71">
        <f t="shared" si="134"/>
        <v>-2.00655900000001</v>
      </c>
      <c r="BM141" s="72">
        <v>-23.2</v>
      </c>
      <c r="BN141" s="73">
        <v>-23.2</v>
      </c>
      <c r="BO141" s="73">
        <f t="shared" si="135"/>
        <v>0</v>
      </c>
      <c r="BP141" s="72">
        <v>35.4</v>
      </c>
      <c r="BQ141" s="73">
        <v>35.9</v>
      </c>
      <c r="BR141" s="73">
        <f t="shared" si="136"/>
        <v>0.5</v>
      </c>
      <c r="BS141" s="71"/>
      <c r="BT141" s="71"/>
      <c r="BU141" s="71"/>
      <c r="BV141" s="71"/>
      <c r="BW141" s="62" t="s">
        <v>215</v>
      </c>
      <c r="BX141" s="5">
        <v>1516.90638298</v>
      </c>
      <c r="BY141" s="5">
        <v>0.33503242</v>
      </c>
      <c r="BZ141" s="5">
        <v>996.70689933999995</v>
      </c>
      <c r="CA141" s="5">
        <v>993.37875842000005</v>
      </c>
      <c r="CB141" s="5">
        <v>5.4546210000000004</v>
      </c>
      <c r="CC141" s="5">
        <v>5.4582740000000003</v>
      </c>
      <c r="CD141" s="5">
        <v>-0.10958717</v>
      </c>
      <c r="CE141" s="5">
        <v>5.1232120099999996</v>
      </c>
      <c r="CF141" s="5">
        <v>5.1288325600000002</v>
      </c>
      <c r="CG141" s="5">
        <v>4.2689890000000001E-2</v>
      </c>
      <c r="CH141" s="5">
        <v>-6.6925849999999995E-2</v>
      </c>
      <c r="CI141" s="5">
        <v>0.33763596000000001</v>
      </c>
    </row>
    <row r="142" spans="1:87" ht="15" customHeight="1" x14ac:dyDescent="0.2">
      <c r="A142" s="2">
        <v>62009030</v>
      </c>
      <c r="B142" s="58" t="s">
        <v>181</v>
      </c>
      <c r="C142" s="85" t="s">
        <v>184</v>
      </c>
      <c r="D142" s="59" t="s">
        <v>251</v>
      </c>
      <c r="E142" s="60" t="s">
        <v>252</v>
      </c>
      <c r="F142" s="61" t="str">
        <f t="shared" si="137"/>
        <v>09/18/20</v>
      </c>
      <c r="G142" s="62" t="s">
        <v>253</v>
      </c>
      <c r="H142" s="62" t="s">
        <v>110</v>
      </c>
      <c r="I142" s="63"/>
      <c r="J142" s="74">
        <f t="shared" ref="J142:M143" si="138">AVERAGE(J140:J141)</f>
        <v>24.483821499999998</v>
      </c>
      <c r="K142" s="74">
        <f t="shared" si="138"/>
        <v>41.406670500000004</v>
      </c>
      <c r="L142" s="74">
        <f t="shared" si="138"/>
        <v>29.6480535</v>
      </c>
      <c r="M142" s="74">
        <f t="shared" si="138"/>
        <v>29.374821499999999</v>
      </c>
      <c r="N142" s="75"/>
      <c r="O142" s="65"/>
      <c r="P142" s="76"/>
      <c r="Q142" s="77"/>
      <c r="R142" s="78">
        <f>R141+R140</f>
        <v>9.5060962800000013</v>
      </c>
      <c r="S142" s="78">
        <f>S141</f>
        <v>9.5060962800000013</v>
      </c>
      <c r="T142" s="79">
        <f>T140</f>
        <v>83.268362999999994</v>
      </c>
      <c r="U142" s="79">
        <f>U141</f>
        <v>80.089912999999996</v>
      </c>
      <c r="V142" s="80">
        <f>V140</f>
        <v>10550</v>
      </c>
      <c r="W142" s="80">
        <f>W141</f>
        <v>12836</v>
      </c>
      <c r="X142" s="80">
        <f>SUM(X140:X141)</f>
        <v>2286</v>
      </c>
      <c r="Y142" s="80">
        <f t="shared" si="112"/>
        <v>240.47726139798783</v>
      </c>
      <c r="Z142" s="80">
        <f>Z140</f>
        <v>326.60000000000002</v>
      </c>
      <c r="AA142" s="80">
        <f>AA141</f>
        <v>370.8</v>
      </c>
      <c r="AB142" s="80">
        <f>SUM(AB140:AB141)</f>
        <v>44.199999999999989</v>
      </c>
      <c r="AC142" s="80">
        <f t="shared" si="113"/>
        <v>4.6496478363040508</v>
      </c>
      <c r="AD142" s="80">
        <f>AD140</f>
        <v>279.45999999999998</v>
      </c>
      <c r="AE142" s="80">
        <f>AE141</f>
        <v>318.21356700000001</v>
      </c>
      <c r="AF142" s="80">
        <f>SUM(AF140:AF141)</f>
        <v>38.747366</v>
      </c>
      <c r="AG142" s="80">
        <f t="shared" si="114"/>
        <v>4.0760544453479906</v>
      </c>
      <c r="AH142" s="80">
        <f>AH140</f>
        <v>31.6</v>
      </c>
      <c r="AI142" s="80">
        <f>AI141</f>
        <v>24.68</v>
      </c>
      <c r="AJ142" s="80">
        <f>SUM(AJ140:AJ141)</f>
        <v>-6.9262009999999989</v>
      </c>
      <c r="AK142" s="81">
        <f t="shared" si="115"/>
        <v>-0.72860623288364146</v>
      </c>
      <c r="AL142" s="80">
        <f>AL140</f>
        <v>-31.2</v>
      </c>
      <c r="AM142" s="80">
        <f>AM141</f>
        <v>-34.4</v>
      </c>
      <c r="AN142" s="80">
        <f>SUM(AN140:AN141)</f>
        <v>-3.1999999999999993</v>
      </c>
      <c r="AO142" s="81">
        <f t="shared" si="116"/>
        <v>-0.33662608769622088</v>
      </c>
      <c r="AP142" s="80">
        <f>AP140</f>
        <v>-37.6</v>
      </c>
      <c r="AQ142" s="80">
        <f>AQ141</f>
        <v>-41.6</v>
      </c>
      <c r="AR142" s="80">
        <f>SUM(AR140:AR141)</f>
        <v>-4</v>
      </c>
      <c r="AS142" s="81">
        <f t="shared" si="117"/>
        <v>-0.42078260962027614</v>
      </c>
      <c r="AT142" s="80">
        <f>AT140</f>
        <v>12.7</v>
      </c>
      <c r="AU142" s="80">
        <f>AU141</f>
        <v>14</v>
      </c>
      <c r="AV142" s="80">
        <f>SUM(AV140:AV141)</f>
        <v>1.3000000000000007</v>
      </c>
      <c r="AW142" s="81">
        <f t="shared" si="118"/>
        <v>0.13675434812658982</v>
      </c>
      <c r="AX142" s="80">
        <f>AX140</f>
        <v>10521</v>
      </c>
      <c r="AY142" s="80">
        <f>AY141</f>
        <v>12807</v>
      </c>
      <c r="AZ142" s="80">
        <f>SUM(AZ140:AZ141)</f>
        <v>2286</v>
      </c>
      <c r="BA142" s="81">
        <f t="shared" si="119"/>
        <v>240.47726139798783</v>
      </c>
      <c r="BB142" s="80">
        <f>BB140</f>
        <v>34.799999999999997</v>
      </c>
      <c r="BC142" s="80">
        <f>BC141</f>
        <v>35.9</v>
      </c>
      <c r="BD142" s="80">
        <f>SUM(BD140:BD141)</f>
        <v>1.1000000000000014</v>
      </c>
      <c r="BE142" s="81">
        <f t="shared" si="120"/>
        <v>0.11571521764557609</v>
      </c>
      <c r="BF142" s="80">
        <f>BF140</f>
        <v>-23.2</v>
      </c>
      <c r="BG142" s="80">
        <f>BG141</f>
        <v>-23.2</v>
      </c>
      <c r="BH142" s="80">
        <f>SUM(BH140:BH141)</f>
        <v>0</v>
      </c>
      <c r="BI142" s="81">
        <f t="shared" si="121"/>
        <v>0</v>
      </c>
      <c r="BJ142" s="82"/>
      <c r="BK142" s="82"/>
      <c r="BL142" s="82">
        <f>SUM(BL140:BL141)</f>
        <v>-3.178449999999998</v>
      </c>
      <c r="BM142" s="83">
        <f>BM140</f>
        <v>-23.2</v>
      </c>
      <c r="BN142" s="83">
        <f>BN141</f>
        <v>-23.2</v>
      </c>
      <c r="BO142" s="83">
        <f>SUM(BO140:BO141)</f>
        <v>0</v>
      </c>
      <c r="BP142" s="83">
        <f>BP140</f>
        <v>34.799999999999997</v>
      </c>
      <c r="BQ142" s="83">
        <f>BQ141</f>
        <v>35.9</v>
      </c>
      <c r="BR142" s="83">
        <f>SUM(BR140:BR141)</f>
        <v>1.1000000000000014</v>
      </c>
      <c r="BS142" s="82"/>
      <c r="BT142" s="82"/>
      <c r="BU142" s="82"/>
      <c r="BV142" s="82"/>
      <c r="BW142" s="62" t="s">
        <v>215</v>
      </c>
    </row>
    <row r="143" spans="1:87" ht="15" customHeight="1" x14ac:dyDescent="0.2">
      <c r="A143" s="2">
        <v>62009030</v>
      </c>
      <c r="B143" s="58" t="s">
        <v>181</v>
      </c>
      <c r="C143" s="85" t="s">
        <v>185</v>
      </c>
      <c r="D143" s="59" t="s">
        <v>251</v>
      </c>
      <c r="E143" s="60" t="s">
        <v>252</v>
      </c>
      <c r="F143" s="61" t="str">
        <f t="shared" si="137"/>
        <v>09/18/20</v>
      </c>
      <c r="G143" s="62" t="s">
        <v>253</v>
      </c>
      <c r="H143" s="62" t="s">
        <v>110</v>
      </c>
      <c r="I143" s="63"/>
      <c r="J143" s="74">
        <f t="shared" si="138"/>
        <v>25.094990750000001</v>
      </c>
      <c r="K143" s="74">
        <f t="shared" si="138"/>
        <v>39.199700250000006</v>
      </c>
      <c r="L143" s="74">
        <f t="shared" si="138"/>
        <v>29.653453249999998</v>
      </c>
      <c r="M143" s="74">
        <f t="shared" si="138"/>
        <v>29.74951875</v>
      </c>
      <c r="N143" s="75"/>
      <c r="O143" s="65"/>
      <c r="P143" s="76"/>
      <c r="Q143" s="77"/>
      <c r="R143" s="78">
        <f>R142+R141</f>
        <v>14.629284090000002</v>
      </c>
      <c r="S143" s="78">
        <f>S142</f>
        <v>9.5060962800000013</v>
      </c>
      <c r="T143" s="79">
        <f>T141</f>
        <v>82.096472000000006</v>
      </c>
      <c r="U143" s="79">
        <f>U142</f>
        <v>80.089912999999996</v>
      </c>
      <c r="V143" s="80">
        <f>V141</f>
        <v>11395</v>
      </c>
      <c r="W143" s="80">
        <f>W142</f>
        <v>12836</v>
      </c>
      <c r="X143" s="80">
        <f>SUM(X141:X142)</f>
        <v>3727</v>
      </c>
      <c r="Y143" s="80">
        <f t="shared" si="112"/>
        <v>254.76297931404787</v>
      </c>
      <c r="Z143" s="80">
        <f>Z141</f>
        <v>360.9</v>
      </c>
      <c r="AA143" s="80">
        <f>AA142</f>
        <v>370.8</v>
      </c>
      <c r="AB143" s="80">
        <f>SUM(AB141:AB142)</f>
        <v>54.100000000000023</v>
      </c>
      <c r="AC143" s="80">
        <f t="shared" si="113"/>
        <v>3.6980620286799022</v>
      </c>
      <c r="AD143" s="80">
        <f>AD141</f>
        <v>310.05</v>
      </c>
      <c r="AE143" s="80">
        <f>AE142</f>
        <v>318.21356700000001</v>
      </c>
      <c r="AF143" s="80">
        <f>SUM(AF141:AF142)</f>
        <v>46.910933</v>
      </c>
      <c r="AG143" s="80">
        <f t="shared" si="114"/>
        <v>3.206645842093288</v>
      </c>
      <c r="AH143" s="80">
        <f>AH141</f>
        <v>19.97</v>
      </c>
      <c r="AI143" s="80">
        <f>AI142</f>
        <v>24.68</v>
      </c>
      <c r="AJ143" s="80">
        <f>SUM(AJ141:AJ142)</f>
        <v>-2.2162009999999981</v>
      </c>
      <c r="AK143" s="81">
        <f t="shared" si="115"/>
        <v>-0.15149073504662508</v>
      </c>
      <c r="AL143" s="80">
        <f>AL141</f>
        <v>-33.1</v>
      </c>
      <c r="AM143" s="80">
        <f>AM142</f>
        <v>-34.4</v>
      </c>
      <c r="AN143" s="80">
        <f>SUM(AN141:AN142)</f>
        <v>-4.4999999999999964</v>
      </c>
      <c r="AO143" s="81">
        <f t="shared" si="116"/>
        <v>-0.30760220201588795</v>
      </c>
      <c r="AP143" s="80">
        <f>AP141</f>
        <v>-40</v>
      </c>
      <c r="AQ143" s="80">
        <f>AQ142</f>
        <v>-41.6</v>
      </c>
      <c r="AR143" s="80">
        <f>SUM(AR141:AR142)</f>
        <v>-5.6000000000000014</v>
      </c>
      <c r="AS143" s="81">
        <f t="shared" si="117"/>
        <v>-0.38279385139754984</v>
      </c>
      <c r="AT143" s="80">
        <f>AT141</f>
        <v>13.5</v>
      </c>
      <c r="AU143" s="80">
        <f>AU142</f>
        <v>14</v>
      </c>
      <c r="AV143" s="80">
        <f>SUM(AV141:AV142)</f>
        <v>1.8000000000000007</v>
      </c>
      <c r="AW143" s="81">
        <f t="shared" si="118"/>
        <v>0.12304088080635533</v>
      </c>
      <c r="AX143" s="80">
        <f>AX141</f>
        <v>11366</v>
      </c>
      <c r="AY143" s="80">
        <f>AY142</f>
        <v>12807</v>
      </c>
      <c r="AZ143" s="80">
        <f>SUM(AZ141:AZ142)</f>
        <v>3727</v>
      </c>
      <c r="BA143" s="81">
        <f t="shared" si="119"/>
        <v>254.76297931404787</v>
      </c>
      <c r="BB143" s="80">
        <f>BB141</f>
        <v>35.4</v>
      </c>
      <c r="BC143" s="80">
        <f>BC142</f>
        <v>35.9</v>
      </c>
      <c r="BD143" s="80">
        <f>SUM(BD141:BD142)</f>
        <v>1.6000000000000014</v>
      </c>
      <c r="BE143" s="81">
        <f t="shared" si="120"/>
        <v>0.10936967182787145</v>
      </c>
      <c r="BF143" s="80">
        <f>BF141</f>
        <v>-23.2</v>
      </c>
      <c r="BG143" s="80">
        <f>BG142</f>
        <v>-23.2</v>
      </c>
      <c r="BH143" s="80">
        <f>SUM(BH141:BH142)</f>
        <v>0</v>
      </c>
      <c r="BI143" s="81">
        <f t="shared" si="121"/>
        <v>0</v>
      </c>
      <c r="BJ143" s="82"/>
      <c r="BK143" s="82"/>
      <c r="BL143" s="82">
        <f>SUM(BL141:BL142)</f>
        <v>-5.185009000000008</v>
      </c>
      <c r="BM143" s="83">
        <f>BM141</f>
        <v>-23.2</v>
      </c>
      <c r="BN143" s="83">
        <f>BN142</f>
        <v>-23.2</v>
      </c>
      <c r="BO143" s="83">
        <f>SUM(BO141:BO142)</f>
        <v>0</v>
      </c>
      <c r="BP143" s="83">
        <f>BP141</f>
        <v>35.4</v>
      </c>
      <c r="BQ143" s="83">
        <f>BQ142</f>
        <v>35.9</v>
      </c>
      <c r="BR143" s="83">
        <f>SUM(BR141:BR142)</f>
        <v>1.6000000000000014</v>
      </c>
      <c r="BS143" s="82"/>
      <c r="BT143" s="82"/>
      <c r="BU143" s="82"/>
      <c r="BV143" s="82"/>
      <c r="BW143" s="62" t="s">
        <v>215</v>
      </c>
    </row>
    <row r="144" spans="1:87" ht="15" customHeight="1" x14ac:dyDescent="0.2">
      <c r="A144" s="2">
        <v>62009031</v>
      </c>
      <c r="B144" s="58" t="s">
        <v>254</v>
      </c>
      <c r="C144" s="58" t="s">
        <v>98</v>
      </c>
      <c r="D144" s="59" t="s">
        <v>255</v>
      </c>
      <c r="E144" s="60" t="s">
        <v>256</v>
      </c>
      <c r="F144" s="61" t="str">
        <f t="shared" si="137"/>
        <v>09/18/20</v>
      </c>
      <c r="G144" s="62" t="s">
        <v>257</v>
      </c>
      <c r="H144" s="62" t="s">
        <v>110</v>
      </c>
      <c r="I144" s="63"/>
      <c r="J144" s="64">
        <v>24.410257000000001</v>
      </c>
      <c r="K144" s="64">
        <v>38.720131000000002</v>
      </c>
      <c r="L144" s="64">
        <v>29.653153</v>
      </c>
      <c r="M144" s="64">
        <v>30.681484000000001</v>
      </c>
      <c r="N144" s="65">
        <v>3875</v>
      </c>
      <c r="O144" s="65">
        <v>28.39</v>
      </c>
      <c r="P144" s="65">
        <v>0.20169999999999999</v>
      </c>
      <c r="Q144" s="65">
        <v>1.932E-2</v>
      </c>
      <c r="R144" s="66">
        <v>7.9931957699999998</v>
      </c>
      <c r="S144" s="66">
        <f t="shared" ref="S144:S153" si="139">R144+R143</f>
        <v>22.622479860000002</v>
      </c>
      <c r="T144" s="67">
        <v>80.086860999999999</v>
      </c>
      <c r="U144" s="67">
        <v>77.071682999999993</v>
      </c>
      <c r="V144" s="68">
        <v>12840</v>
      </c>
      <c r="W144" s="68">
        <v>14977</v>
      </c>
      <c r="X144" s="68">
        <f t="shared" ref="X144:X153" si="140">W144-V144</f>
        <v>2137</v>
      </c>
      <c r="Y144" s="68">
        <f t="shared" si="112"/>
        <v>267.3523908948373</v>
      </c>
      <c r="Z144" s="69">
        <v>374.2</v>
      </c>
      <c r="AA144" s="68">
        <v>402.9</v>
      </c>
      <c r="AB144" s="68">
        <f t="shared" ref="AB144:AB153" si="141">AA144-Z144</f>
        <v>28.699999999999989</v>
      </c>
      <c r="AC144" s="68">
        <f t="shared" si="113"/>
        <v>3.5905538692942573</v>
      </c>
      <c r="AD144" s="69">
        <v>321.13774599999999</v>
      </c>
      <c r="AE144" s="68">
        <v>345.99370499999998</v>
      </c>
      <c r="AF144" s="68">
        <f t="shared" ref="AF144:AF153" si="142">AE144-AD144</f>
        <v>24.855958999999984</v>
      </c>
      <c r="AG144" s="68">
        <f t="shared" si="114"/>
        <v>3.1096397129780278</v>
      </c>
      <c r="AH144" s="69">
        <v>29.806127</v>
      </c>
      <c r="AI144" s="68">
        <v>29.63</v>
      </c>
      <c r="AJ144" s="68">
        <f t="shared" ref="AJ144:AJ153" si="143">AI144-AH144</f>
        <v>-0.17612700000000103</v>
      </c>
      <c r="AK144" s="70">
        <f t="shared" si="115"/>
        <v>-2.2034616074466676E-2</v>
      </c>
      <c r="AL144" s="69">
        <v>-34.700000000000003</v>
      </c>
      <c r="AM144" s="68">
        <v>-37.200000000000003</v>
      </c>
      <c r="AN144" s="68">
        <f t="shared" ref="AN144:AN153" si="144">AM144-AL144</f>
        <v>-2.5</v>
      </c>
      <c r="AO144" s="70">
        <f t="shared" si="116"/>
        <v>-0.31276601648904689</v>
      </c>
      <c r="AP144" s="69">
        <v>-41.7</v>
      </c>
      <c r="AQ144" s="68">
        <v>-44.7</v>
      </c>
      <c r="AR144" s="68">
        <f t="shared" ref="AR144:AR153" si="145">AQ144-AP144</f>
        <v>-3</v>
      </c>
      <c r="AS144" s="70">
        <f t="shared" si="117"/>
        <v>-0.37531921978685628</v>
      </c>
      <c r="AT144" s="69">
        <v>14.1</v>
      </c>
      <c r="AU144" s="68">
        <v>15.1</v>
      </c>
      <c r="AV144" s="68">
        <f t="shared" ref="AV144:AV153" si="146">AU144-AT144</f>
        <v>1</v>
      </c>
      <c r="AW144" s="70">
        <f t="shared" si="118"/>
        <v>0.12510640659561878</v>
      </c>
      <c r="AX144" s="69">
        <v>12811</v>
      </c>
      <c r="AY144" s="68">
        <v>14949</v>
      </c>
      <c r="AZ144" s="68">
        <f t="shared" ref="AZ144:AZ153" si="147">AY144-AX144</f>
        <v>2138</v>
      </c>
      <c r="BA144" s="70">
        <f t="shared" si="119"/>
        <v>267.47749730143295</v>
      </c>
      <c r="BB144" s="69">
        <v>36.299999999999997</v>
      </c>
      <c r="BC144" s="68">
        <v>37.1</v>
      </c>
      <c r="BD144" s="68">
        <f t="shared" ref="BD144:BD153" si="148">BC144-BB144</f>
        <v>0.80000000000000426</v>
      </c>
      <c r="BE144" s="70">
        <f t="shared" si="120"/>
        <v>0.10008512527649555</v>
      </c>
      <c r="BF144" s="69">
        <v>-23.2</v>
      </c>
      <c r="BG144" s="68">
        <v>-23.2</v>
      </c>
      <c r="BH144" s="68">
        <f t="shared" ref="BH144:BH153" si="149">BG144-BF144</f>
        <v>0</v>
      </c>
      <c r="BI144" s="70">
        <f t="shared" si="121"/>
        <v>0</v>
      </c>
      <c r="BJ144" s="71">
        <v>80.086860999999999</v>
      </c>
      <c r="BK144" s="71">
        <v>77.071682999999993</v>
      </c>
      <c r="BL144" s="71">
        <f t="shared" ref="BL144:BL153" si="150">BK144-BJ144</f>
        <v>-3.0151780000000059</v>
      </c>
      <c r="BM144" s="72">
        <v>-23.2</v>
      </c>
      <c r="BN144" s="73">
        <v>-23.2</v>
      </c>
      <c r="BO144" s="73">
        <f t="shared" ref="BO144:BO153" si="151">BN144-BM144</f>
        <v>0</v>
      </c>
      <c r="BP144" s="72">
        <v>36.299999999999997</v>
      </c>
      <c r="BQ144" s="73">
        <v>37.1</v>
      </c>
      <c r="BR144" s="73">
        <f t="shared" ref="BR144:BR153" si="152">BQ144-BP144</f>
        <v>0.80000000000000426</v>
      </c>
      <c r="BS144" s="71"/>
      <c r="BT144" s="71"/>
      <c r="BU144" s="71"/>
      <c r="BV144" s="71"/>
      <c r="BW144" s="62" t="s">
        <v>215</v>
      </c>
      <c r="BX144" s="5">
        <v>8583.0826483199999</v>
      </c>
      <c r="BY144" s="5">
        <v>-4.1352350099999997</v>
      </c>
      <c r="BZ144" s="5">
        <v>3450.2201801299998</v>
      </c>
      <c r="CA144" s="5">
        <v>3599.0493280400001</v>
      </c>
      <c r="CB144" s="5">
        <v>9.2460514699999994</v>
      </c>
      <c r="CC144" s="5">
        <v>9.4389719299999992</v>
      </c>
      <c r="CD144" s="5">
        <v>-0.18439684000000001</v>
      </c>
      <c r="CE144" s="5">
        <v>7.9931853899999998</v>
      </c>
      <c r="CF144" s="5">
        <v>8.0079518000000007</v>
      </c>
      <c r="CG144" s="5">
        <v>-1.89827294</v>
      </c>
      <c r="CH144" s="5">
        <v>-2.0438715200000002</v>
      </c>
      <c r="CI144" s="5">
        <v>0.49160948999999998</v>
      </c>
    </row>
    <row r="145" spans="1:87" ht="15" customHeight="1" x14ac:dyDescent="0.2">
      <c r="A145" s="2">
        <v>62009031</v>
      </c>
      <c r="B145" s="58" t="s">
        <v>254</v>
      </c>
      <c r="C145" s="58" t="s">
        <v>104</v>
      </c>
      <c r="D145" s="59" t="s">
        <v>255</v>
      </c>
      <c r="E145" s="60" t="s">
        <v>256</v>
      </c>
      <c r="F145" s="61" t="str">
        <f t="shared" si="137"/>
        <v>09/18/20</v>
      </c>
      <c r="G145" s="62" t="s">
        <v>257</v>
      </c>
      <c r="H145" s="62" t="s">
        <v>110</v>
      </c>
      <c r="I145" s="63"/>
      <c r="J145" s="64">
        <v>24.230039000000001</v>
      </c>
      <c r="K145" s="64">
        <v>38.926510999999998</v>
      </c>
      <c r="L145" s="64">
        <v>29.654752999999999</v>
      </c>
      <c r="M145" s="64">
        <v>30.984372</v>
      </c>
      <c r="N145" s="65">
        <v>3875</v>
      </c>
      <c r="O145" s="65">
        <v>28.39</v>
      </c>
      <c r="P145" s="65">
        <v>0.20169999999999999</v>
      </c>
      <c r="Q145" s="65">
        <v>1.932E-2</v>
      </c>
      <c r="R145" s="66">
        <v>7.99277748</v>
      </c>
      <c r="S145" s="66">
        <f t="shared" si="139"/>
        <v>15.985973250000001</v>
      </c>
      <c r="T145" s="67">
        <v>77.071682999999993</v>
      </c>
      <c r="U145" s="67">
        <v>74.045822999999999</v>
      </c>
      <c r="V145" s="68">
        <v>14977</v>
      </c>
      <c r="W145" s="68">
        <v>17103</v>
      </c>
      <c r="X145" s="68">
        <f t="shared" si="140"/>
        <v>2126</v>
      </c>
      <c r="Y145" s="68">
        <f t="shared" si="112"/>
        <v>265.99013988814312</v>
      </c>
      <c r="Z145" s="69">
        <v>403</v>
      </c>
      <c r="AA145" s="68">
        <v>430.8</v>
      </c>
      <c r="AB145" s="68">
        <f t="shared" si="141"/>
        <v>27.800000000000011</v>
      </c>
      <c r="AC145" s="68">
        <f t="shared" si="113"/>
        <v>3.4781401170697936</v>
      </c>
      <c r="AD145" s="69">
        <v>346.00367</v>
      </c>
      <c r="AE145" s="68">
        <v>370.05</v>
      </c>
      <c r="AF145" s="68">
        <f t="shared" si="142"/>
        <v>24.046330000000012</v>
      </c>
      <c r="AG145" s="68">
        <f t="shared" si="114"/>
        <v>3.0085073755862912</v>
      </c>
      <c r="AH145" s="69">
        <v>29.63</v>
      </c>
      <c r="AI145" s="68">
        <v>29.77</v>
      </c>
      <c r="AJ145" s="68">
        <f t="shared" si="143"/>
        <v>0.14000000000000057</v>
      </c>
      <c r="AK145" s="70">
        <f t="shared" si="115"/>
        <v>1.7515813539200464E-2</v>
      </c>
      <c r="AL145" s="69">
        <v>-37.200000000000003</v>
      </c>
      <c r="AM145" s="68">
        <v>-39.6</v>
      </c>
      <c r="AN145" s="68">
        <f t="shared" si="144"/>
        <v>-2.3999999999999986</v>
      </c>
      <c r="AO145" s="70">
        <f t="shared" si="116"/>
        <v>-0.30027108924343515</v>
      </c>
      <c r="AP145" s="69">
        <v>-44.7</v>
      </c>
      <c r="AQ145" s="68">
        <v>-47.7</v>
      </c>
      <c r="AR145" s="68">
        <f t="shared" si="145"/>
        <v>-3</v>
      </c>
      <c r="AS145" s="70">
        <f t="shared" si="117"/>
        <v>-0.37533886155429413</v>
      </c>
      <c r="AT145" s="69">
        <v>15.1</v>
      </c>
      <c r="AU145" s="68">
        <v>16.100000000000001</v>
      </c>
      <c r="AV145" s="68">
        <f t="shared" si="146"/>
        <v>1.0000000000000018</v>
      </c>
      <c r="AW145" s="70">
        <f t="shared" si="118"/>
        <v>0.12511295385143159</v>
      </c>
      <c r="AX145" s="69">
        <v>14949</v>
      </c>
      <c r="AY145" s="68">
        <v>17077</v>
      </c>
      <c r="AZ145" s="68">
        <f t="shared" si="147"/>
        <v>2128</v>
      </c>
      <c r="BA145" s="70">
        <f t="shared" si="119"/>
        <v>266.240365795846</v>
      </c>
      <c r="BB145" s="69">
        <v>37.1</v>
      </c>
      <c r="BC145" s="68">
        <v>38</v>
      </c>
      <c r="BD145" s="68">
        <f t="shared" si="148"/>
        <v>0.89999999999999858</v>
      </c>
      <c r="BE145" s="70">
        <f t="shared" si="120"/>
        <v>0.11260165846628807</v>
      </c>
      <c r="BF145" s="69">
        <v>-23.2</v>
      </c>
      <c r="BG145" s="68">
        <v>-23.2</v>
      </c>
      <c r="BH145" s="68">
        <f t="shared" si="149"/>
        <v>0</v>
      </c>
      <c r="BI145" s="70">
        <f t="shared" si="121"/>
        <v>0</v>
      </c>
      <c r="BJ145" s="71">
        <v>77.071682999999993</v>
      </c>
      <c r="BK145" s="71">
        <v>74.045822999999999</v>
      </c>
      <c r="BL145" s="71">
        <f t="shared" si="150"/>
        <v>-3.0258599999999944</v>
      </c>
      <c r="BM145" s="72">
        <v>-23.2</v>
      </c>
      <c r="BN145" s="73">
        <v>-23.2</v>
      </c>
      <c r="BO145" s="73">
        <f t="shared" si="151"/>
        <v>0</v>
      </c>
      <c r="BP145" s="72">
        <v>37.1</v>
      </c>
      <c r="BQ145" s="73">
        <v>38</v>
      </c>
      <c r="BR145" s="73">
        <f t="shared" si="152"/>
        <v>0.89999999999999858</v>
      </c>
      <c r="BS145" s="71"/>
      <c r="BT145" s="71"/>
      <c r="BU145" s="71"/>
      <c r="BV145" s="71"/>
      <c r="BW145" s="62" t="s">
        <v>215</v>
      </c>
      <c r="BX145" s="5">
        <v>8586.3985274999995</v>
      </c>
      <c r="BY145" s="5">
        <v>-4.0904182899999997</v>
      </c>
      <c r="BZ145" s="5">
        <v>3451.4093061600001</v>
      </c>
      <c r="CA145" s="5">
        <v>3598.6074016399998</v>
      </c>
      <c r="CB145" s="5">
        <v>9.2457653700000009</v>
      </c>
      <c r="CC145" s="5">
        <v>9.4383891799999997</v>
      </c>
      <c r="CD145" s="5">
        <v>-0.18852574999999999</v>
      </c>
      <c r="CE145" s="5">
        <v>7.9928548399999997</v>
      </c>
      <c r="CF145" s="5">
        <v>8.0079518899999993</v>
      </c>
      <c r="CG145" s="5">
        <v>-1.8909198199999999</v>
      </c>
      <c r="CH145" s="5">
        <v>-2.0408546400000001</v>
      </c>
      <c r="CI145" s="5">
        <v>0.49153228999999998</v>
      </c>
    </row>
    <row r="146" spans="1:87" ht="15" customHeight="1" x14ac:dyDescent="0.2">
      <c r="A146" s="2">
        <v>62009031</v>
      </c>
      <c r="B146" s="58" t="s">
        <v>254</v>
      </c>
      <c r="C146" s="58" t="s">
        <v>105</v>
      </c>
      <c r="D146" s="59" t="s">
        <v>255</v>
      </c>
      <c r="E146" s="60" t="s">
        <v>256</v>
      </c>
      <c r="F146" s="61" t="str">
        <f t="shared" si="137"/>
        <v>09/18/20</v>
      </c>
      <c r="G146" s="62" t="s">
        <v>257</v>
      </c>
      <c r="H146" s="62" t="s">
        <v>110</v>
      </c>
      <c r="I146" s="63"/>
      <c r="J146" s="64">
        <v>24.154845000000002</v>
      </c>
      <c r="K146" s="64">
        <v>39.258310000000002</v>
      </c>
      <c r="L146" s="64">
        <v>29.654982</v>
      </c>
      <c r="M146" s="64">
        <v>31.068190999999999</v>
      </c>
      <c r="N146" s="65">
        <v>3875</v>
      </c>
      <c r="O146" s="65">
        <v>28.39</v>
      </c>
      <c r="P146" s="65">
        <v>0.20169999999999999</v>
      </c>
      <c r="Q146" s="65">
        <v>1.932E-2</v>
      </c>
      <c r="R146" s="66">
        <v>7.9928706500000004</v>
      </c>
      <c r="S146" s="66">
        <f t="shared" si="139"/>
        <v>15.985648130000001</v>
      </c>
      <c r="T146" s="67">
        <v>74.045822999999999</v>
      </c>
      <c r="U146" s="67">
        <v>70.998600999999994</v>
      </c>
      <c r="V146" s="68">
        <v>17103</v>
      </c>
      <c r="W146" s="68">
        <v>19226</v>
      </c>
      <c r="X146" s="68">
        <f t="shared" si="140"/>
        <v>2123</v>
      </c>
      <c r="Y146" s="68">
        <f t="shared" si="112"/>
        <v>265.6117048509974</v>
      </c>
      <c r="Z146" s="69">
        <v>430.8</v>
      </c>
      <c r="AA146" s="68">
        <v>458.9</v>
      </c>
      <c r="AB146" s="68">
        <f t="shared" si="141"/>
        <v>28.099999999999966</v>
      </c>
      <c r="AC146" s="68">
        <f t="shared" si="113"/>
        <v>3.5156330222859249</v>
      </c>
      <c r="AD146" s="69">
        <v>370.06</v>
      </c>
      <c r="AE146" s="68">
        <v>394.26</v>
      </c>
      <c r="AF146" s="68">
        <f t="shared" si="142"/>
        <v>24.199999999999989</v>
      </c>
      <c r="AG146" s="68">
        <f t="shared" si="114"/>
        <v>3.027698190011368</v>
      </c>
      <c r="AH146" s="69">
        <v>29.77</v>
      </c>
      <c r="AI146" s="68">
        <v>29.88</v>
      </c>
      <c r="AJ146" s="68">
        <f t="shared" si="143"/>
        <v>0.10999999999999943</v>
      </c>
      <c r="AK146" s="70">
        <f t="shared" si="115"/>
        <v>1.3762264500051609E-2</v>
      </c>
      <c r="AL146" s="69">
        <v>-39.6</v>
      </c>
      <c r="AM146" s="68">
        <v>-42</v>
      </c>
      <c r="AN146" s="68">
        <f t="shared" si="144"/>
        <v>-2.3999999999999986</v>
      </c>
      <c r="AO146" s="70">
        <f t="shared" si="116"/>
        <v>-0.30026758909203649</v>
      </c>
      <c r="AP146" s="69">
        <v>-47.7</v>
      </c>
      <c r="AQ146" s="68">
        <v>-50.6</v>
      </c>
      <c r="AR146" s="68">
        <f t="shared" si="145"/>
        <v>-2.8999999999999986</v>
      </c>
      <c r="AS146" s="70">
        <f t="shared" si="117"/>
        <v>-0.3628233368195441</v>
      </c>
      <c r="AT146" s="69">
        <v>16.100000000000001</v>
      </c>
      <c r="AU146" s="68">
        <v>17.100000000000001</v>
      </c>
      <c r="AV146" s="68">
        <f t="shared" si="146"/>
        <v>1</v>
      </c>
      <c r="AW146" s="70">
        <f t="shared" si="118"/>
        <v>0.12511149545501526</v>
      </c>
      <c r="AX146" s="69">
        <v>17077</v>
      </c>
      <c r="AY146" s="68">
        <v>19201</v>
      </c>
      <c r="AZ146" s="68">
        <f t="shared" si="147"/>
        <v>2124</v>
      </c>
      <c r="BA146" s="70">
        <f t="shared" si="119"/>
        <v>265.73681634645243</v>
      </c>
      <c r="BB146" s="69">
        <v>38</v>
      </c>
      <c r="BC146" s="68">
        <v>38.799999999999997</v>
      </c>
      <c r="BD146" s="68">
        <f t="shared" si="148"/>
        <v>0.79999999999999716</v>
      </c>
      <c r="BE146" s="70">
        <f t="shared" si="120"/>
        <v>0.10008919636401185</v>
      </c>
      <c r="BF146" s="69">
        <v>-23.2</v>
      </c>
      <c r="BG146" s="68">
        <v>-23.2</v>
      </c>
      <c r="BH146" s="68">
        <f t="shared" si="149"/>
        <v>0</v>
      </c>
      <c r="BI146" s="70">
        <f t="shared" si="121"/>
        <v>0</v>
      </c>
      <c r="BJ146" s="71">
        <v>74.045822999999999</v>
      </c>
      <c r="BK146" s="71">
        <v>70.998600999999994</v>
      </c>
      <c r="BL146" s="71">
        <f t="shared" si="150"/>
        <v>-3.047222000000005</v>
      </c>
      <c r="BM146" s="72">
        <v>-23.2</v>
      </c>
      <c r="BN146" s="73">
        <v>-23.2</v>
      </c>
      <c r="BO146" s="73">
        <f t="shared" si="151"/>
        <v>0</v>
      </c>
      <c r="BP146" s="72">
        <v>38</v>
      </c>
      <c r="BQ146" s="73">
        <v>38.799999999999997</v>
      </c>
      <c r="BR146" s="73">
        <f t="shared" si="152"/>
        <v>0.79999999999999716</v>
      </c>
      <c r="BS146" s="71"/>
      <c r="BT146" s="71"/>
      <c r="BU146" s="71"/>
      <c r="BV146" s="71"/>
      <c r="BW146" s="62" t="s">
        <v>215</v>
      </c>
      <c r="BX146" s="5">
        <v>8578.9569376399995</v>
      </c>
      <c r="BY146" s="5">
        <v>-4.0415654700000001</v>
      </c>
      <c r="BZ146" s="5">
        <v>3452.84624373</v>
      </c>
      <c r="CA146" s="5">
        <v>3598.27279447</v>
      </c>
      <c r="CB146" s="5">
        <v>9.2466469900000003</v>
      </c>
      <c r="CC146" s="5">
        <v>9.4379932899999996</v>
      </c>
      <c r="CD146" s="5">
        <v>-0.18822886999999999</v>
      </c>
      <c r="CE146" s="5">
        <v>7.9928784400000001</v>
      </c>
      <c r="CF146" s="5">
        <v>8.0079517199999994</v>
      </c>
      <c r="CG146" s="5">
        <v>-1.8772346900000001</v>
      </c>
      <c r="CH146" s="5">
        <v>-2.0274044199999999</v>
      </c>
      <c r="CI146" s="5">
        <v>0.49147434000000001</v>
      </c>
    </row>
    <row r="147" spans="1:87" ht="15" customHeight="1" x14ac:dyDescent="0.2">
      <c r="A147" s="2">
        <v>62009031</v>
      </c>
      <c r="B147" s="58" t="s">
        <v>254</v>
      </c>
      <c r="C147" s="58" t="s">
        <v>122</v>
      </c>
      <c r="D147" s="59" t="s">
        <v>255</v>
      </c>
      <c r="E147" s="60" t="s">
        <v>256</v>
      </c>
      <c r="F147" s="61" t="str">
        <f t="shared" si="137"/>
        <v>09/18/20</v>
      </c>
      <c r="G147" s="62" t="s">
        <v>257</v>
      </c>
      <c r="H147" s="62" t="s">
        <v>110</v>
      </c>
      <c r="I147" s="63"/>
      <c r="J147" s="64">
        <v>24.147424999999998</v>
      </c>
      <c r="K147" s="64">
        <v>41.623212000000002</v>
      </c>
      <c r="L147" s="64">
        <v>29.654108999999998</v>
      </c>
      <c r="M147" s="64">
        <v>31.105098999999999</v>
      </c>
      <c r="N147" s="65">
        <v>3875</v>
      </c>
      <c r="O147" s="65">
        <v>28.39</v>
      </c>
      <c r="P147" s="65">
        <v>0.20169999999999999</v>
      </c>
      <c r="Q147" s="65">
        <v>1.932E-2</v>
      </c>
      <c r="R147" s="66">
        <v>7.9930627300000001</v>
      </c>
      <c r="S147" s="66">
        <f t="shared" si="139"/>
        <v>15.985933380000001</v>
      </c>
      <c r="T147" s="67">
        <v>70.998600999999994</v>
      </c>
      <c r="U147" s="67">
        <v>67.923912999999999</v>
      </c>
      <c r="V147" s="68">
        <v>19226</v>
      </c>
      <c r="W147" s="68">
        <v>21350</v>
      </c>
      <c r="X147" s="68">
        <f t="shared" si="140"/>
        <v>2124</v>
      </c>
      <c r="Y147" s="68">
        <f t="shared" si="112"/>
        <v>265.73043046792151</v>
      </c>
      <c r="Z147" s="69">
        <v>458.9</v>
      </c>
      <c r="AA147" s="68">
        <v>487</v>
      </c>
      <c r="AB147" s="68">
        <f t="shared" si="141"/>
        <v>28.100000000000023</v>
      </c>
      <c r="AC147" s="68">
        <f t="shared" si="113"/>
        <v>3.5155485386763656</v>
      </c>
      <c r="AD147" s="69">
        <v>394.26316800000001</v>
      </c>
      <c r="AE147" s="68">
        <v>418.59281199999998</v>
      </c>
      <c r="AF147" s="68">
        <f t="shared" si="142"/>
        <v>24.329643999999973</v>
      </c>
      <c r="AG147" s="68">
        <f t="shared" si="114"/>
        <v>3.0438449968226351</v>
      </c>
      <c r="AH147" s="69">
        <v>29.88</v>
      </c>
      <c r="AI147" s="68">
        <v>29.96</v>
      </c>
      <c r="AJ147" s="68">
        <f t="shared" si="143"/>
        <v>8.0000000000001847E-2</v>
      </c>
      <c r="AK147" s="70">
        <f t="shared" si="115"/>
        <v>1.0008679113669592E-2</v>
      </c>
      <c r="AL147" s="69">
        <v>-42</v>
      </c>
      <c r="AM147" s="68">
        <v>-44.5</v>
      </c>
      <c r="AN147" s="68">
        <f t="shared" si="144"/>
        <v>-2.5</v>
      </c>
      <c r="AO147" s="70">
        <f t="shared" si="116"/>
        <v>-0.31277122230216753</v>
      </c>
      <c r="AP147" s="69">
        <v>-50.6</v>
      </c>
      <c r="AQ147" s="68">
        <v>-53.6</v>
      </c>
      <c r="AR147" s="68">
        <f t="shared" si="145"/>
        <v>-3</v>
      </c>
      <c r="AS147" s="70">
        <f t="shared" si="117"/>
        <v>-0.37532546676260103</v>
      </c>
      <c r="AT147" s="69">
        <v>17.100000000000001</v>
      </c>
      <c r="AU147" s="68">
        <v>18.100000000000001</v>
      </c>
      <c r="AV147" s="68">
        <f t="shared" si="146"/>
        <v>1</v>
      </c>
      <c r="AW147" s="70">
        <f t="shared" si="118"/>
        <v>0.12510848892086701</v>
      </c>
      <c r="AX147" s="69">
        <v>19201</v>
      </c>
      <c r="AY147" s="68">
        <v>21325</v>
      </c>
      <c r="AZ147" s="68">
        <f t="shared" si="147"/>
        <v>2124</v>
      </c>
      <c r="BA147" s="70">
        <f t="shared" si="119"/>
        <v>265.73043046792151</v>
      </c>
      <c r="BB147" s="69">
        <v>38.799999999999997</v>
      </c>
      <c r="BC147" s="68">
        <v>39.6</v>
      </c>
      <c r="BD147" s="68">
        <f t="shared" si="148"/>
        <v>0.80000000000000426</v>
      </c>
      <c r="BE147" s="70">
        <f t="shared" si="120"/>
        <v>0.10008679113669414</v>
      </c>
      <c r="BF147" s="69">
        <v>-23.2</v>
      </c>
      <c r="BG147" s="68">
        <v>-23.2</v>
      </c>
      <c r="BH147" s="68">
        <f t="shared" si="149"/>
        <v>0</v>
      </c>
      <c r="BI147" s="70">
        <f t="shared" si="121"/>
        <v>0</v>
      </c>
      <c r="BJ147" s="71">
        <v>70.998600999999994</v>
      </c>
      <c r="BK147" s="71">
        <v>67.923912999999999</v>
      </c>
      <c r="BL147" s="71">
        <f t="shared" si="150"/>
        <v>-3.0746879999999948</v>
      </c>
      <c r="BM147" s="72">
        <v>-23.2</v>
      </c>
      <c r="BN147" s="73">
        <v>-23.2</v>
      </c>
      <c r="BO147" s="73">
        <f t="shared" si="151"/>
        <v>0</v>
      </c>
      <c r="BP147" s="72">
        <v>38.799999999999997</v>
      </c>
      <c r="BQ147" s="73">
        <v>39.6</v>
      </c>
      <c r="BR147" s="73">
        <f t="shared" si="152"/>
        <v>0.80000000000000426</v>
      </c>
      <c r="BS147" s="71"/>
      <c r="BT147" s="71"/>
      <c r="BU147" s="71"/>
      <c r="BV147" s="71"/>
      <c r="BW147" s="62" t="s">
        <v>215</v>
      </c>
      <c r="BX147" s="5">
        <v>8572.6678796100005</v>
      </c>
      <c r="BY147" s="5">
        <v>-4.0785901100000004</v>
      </c>
      <c r="BZ147" s="5">
        <v>3451.2377595399998</v>
      </c>
      <c r="CA147" s="5">
        <v>3597.98481227</v>
      </c>
      <c r="CB147" s="5">
        <v>9.2451532299999997</v>
      </c>
      <c r="CC147" s="5">
        <v>9.4375978499999995</v>
      </c>
      <c r="CD147" s="5">
        <v>-0.18587782999999999</v>
      </c>
      <c r="CE147" s="5">
        <v>7.9930664800000004</v>
      </c>
      <c r="CF147" s="5">
        <v>8.0079514899999999</v>
      </c>
      <c r="CG147" s="5">
        <v>-1.89182608</v>
      </c>
      <c r="CH147" s="5">
        <v>-2.03912717</v>
      </c>
      <c r="CI147" s="5">
        <v>0.49142249999999998</v>
      </c>
    </row>
    <row r="148" spans="1:87" ht="15" customHeight="1" x14ac:dyDescent="0.2">
      <c r="A148" s="2">
        <v>62009031</v>
      </c>
      <c r="B148" s="58" t="s">
        <v>254</v>
      </c>
      <c r="C148" s="58" t="s">
        <v>124</v>
      </c>
      <c r="D148" s="59" t="s">
        <v>255</v>
      </c>
      <c r="E148" s="60" t="s">
        <v>256</v>
      </c>
      <c r="F148" s="61" t="str">
        <f t="shared" si="137"/>
        <v>09/18/20</v>
      </c>
      <c r="G148" s="62" t="s">
        <v>257</v>
      </c>
      <c r="H148" s="62" t="s">
        <v>110</v>
      </c>
      <c r="I148" s="63"/>
      <c r="J148" s="64">
        <v>24.138549999999999</v>
      </c>
      <c r="K148" s="64">
        <v>40.899968000000001</v>
      </c>
      <c r="L148" s="64">
        <v>29.658179000000001</v>
      </c>
      <c r="M148" s="64">
        <v>31.155377999999999</v>
      </c>
      <c r="N148" s="65">
        <v>3875</v>
      </c>
      <c r="O148" s="65">
        <v>28.39</v>
      </c>
      <c r="P148" s="65">
        <v>0.20169999999999999</v>
      </c>
      <c r="Q148" s="65">
        <v>1.932E-2</v>
      </c>
      <c r="R148" s="66">
        <v>7.99284515</v>
      </c>
      <c r="S148" s="66">
        <f t="shared" si="139"/>
        <v>15.985907879999999</v>
      </c>
      <c r="T148" s="67">
        <v>67.923912999999999</v>
      </c>
      <c r="U148" s="67">
        <v>64.803447000000006</v>
      </c>
      <c r="V148" s="68">
        <v>21350</v>
      </c>
      <c r="W148" s="68">
        <v>23486</v>
      </c>
      <c r="X148" s="68">
        <f t="shared" si="140"/>
        <v>2136</v>
      </c>
      <c r="Y148" s="68">
        <f t="shared" si="112"/>
        <v>267.23900687604339</v>
      </c>
      <c r="Z148" s="69">
        <v>487</v>
      </c>
      <c r="AA148" s="68">
        <v>528.79999999999995</v>
      </c>
      <c r="AB148" s="68">
        <f t="shared" si="141"/>
        <v>41.799999999999955</v>
      </c>
      <c r="AC148" s="68">
        <f t="shared" si="113"/>
        <v>5.2296771944843643</v>
      </c>
      <c r="AD148" s="69">
        <v>418.6</v>
      </c>
      <c r="AE148" s="68">
        <v>455.56255399999998</v>
      </c>
      <c r="AF148" s="68">
        <f t="shared" si="142"/>
        <v>36.962553999999955</v>
      </c>
      <c r="AG148" s="68">
        <f t="shared" si="114"/>
        <v>4.6244551603755211</v>
      </c>
      <c r="AH148" s="69">
        <v>29.96</v>
      </c>
      <c r="AI148" s="68">
        <v>18.137446000000001</v>
      </c>
      <c r="AJ148" s="68">
        <f t="shared" si="143"/>
        <v>-11.822554</v>
      </c>
      <c r="AK148" s="70">
        <f t="shared" si="115"/>
        <v>-1.4791421300086116</v>
      </c>
      <c r="AL148" s="69">
        <v>-44.5</v>
      </c>
      <c r="AM148" s="68">
        <v>-46.9</v>
      </c>
      <c r="AN148" s="68">
        <f t="shared" si="144"/>
        <v>-2.3999999999999986</v>
      </c>
      <c r="AO148" s="70">
        <f t="shared" si="116"/>
        <v>-0.30026854705173395</v>
      </c>
      <c r="AP148" s="69">
        <v>-53.6</v>
      </c>
      <c r="AQ148" s="68">
        <v>-56.5</v>
      </c>
      <c r="AR148" s="68">
        <f t="shared" si="145"/>
        <v>-2.8999999999999986</v>
      </c>
      <c r="AS148" s="70">
        <f t="shared" si="117"/>
        <v>-0.36282449435417857</v>
      </c>
      <c r="AT148" s="69">
        <v>18.100000000000001</v>
      </c>
      <c r="AU148" s="68">
        <v>19.100000000000001</v>
      </c>
      <c r="AV148" s="68">
        <f t="shared" si="146"/>
        <v>1</v>
      </c>
      <c r="AW148" s="70">
        <f t="shared" si="118"/>
        <v>0.12511189460488922</v>
      </c>
      <c r="AX148" s="69">
        <v>21325</v>
      </c>
      <c r="AY148" s="68">
        <v>23463</v>
      </c>
      <c r="AZ148" s="68">
        <f t="shared" si="147"/>
        <v>2138</v>
      </c>
      <c r="BA148" s="70">
        <f t="shared" si="119"/>
        <v>267.48923066525316</v>
      </c>
      <c r="BB148" s="69">
        <v>39.6</v>
      </c>
      <c r="BC148" s="68">
        <v>40.5</v>
      </c>
      <c r="BD148" s="68">
        <f t="shared" si="148"/>
        <v>0.89999999999999858</v>
      </c>
      <c r="BE148" s="70">
        <f t="shared" si="120"/>
        <v>0.11260070514440013</v>
      </c>
      <c r="BF148" s="69">
        <v>-23.2</v>
      </c>
      <c r="BG148" s="68">
        <v>-23.2</v>
      </c>
      <c r="BH148" s="68">
        <f t="shared" si="149"/>
        <v>0</v>
      </c>
      <c r="BI148" s="70">
        <f t="shared" si="121"/>
        <v>0</v>
      </c>
      <c r="BJ148" s="71">
        <v>67.923912999999999</v>
      </c>
      <c r="BK148" s="71">
        <v>64.803447000000006</v>
      </c>
      <c r="BL148" s="71">
        <f t="shared" si="150"/>
        <v>-3.1204659999999933</v>
      </c>
      <c r="BM148" s="72">
        <v>-23.2</v>
      </c>
      <c r="BN148" s="73">
        <v>-23.2</v>
      </c>
      <c r="BO148" s="73">
        <f t="shared" si="151"/>
        <v>0</v>
      </c>
      <c r="BP148" s="72">
        <v>39.6</v>
      </c>
      <c r="BQ148" s="73">
        <v>40.5</v>
      </c>
      <c r="BR148" s="73">
        <f t="shared" si="152"/>
        <v>0.89999999999999858</v>
      </c>
      <c r="BS148" s="71"/>
      <c r="BT148" s="71"/>
      <c r="BU148" s="71"/>
      <c r="BV148" s="71"/>
      <c r="BW148" s="62" t="s">
        <v>215</v>
      </c>
      <c r="BX148" s="5">
        <v>8569.0461309500006</v>
      </c>
      <c r="BY148" s="5">
        <v>-4.0333366000000002</v>
      </c>
      <c r="BZ148" s="5">
        <v>3452.7342424799999</v>
      </c>
      <c r="CA148" s="5">
        <v>3597.8475441400001</v>
      </c>
      <c r="CB148" s="5">
        <v>9.2460414400000008</v>
      </c>
      <c r="CC148" s="5">
        <v>9.4374706699999997</v>
      </c>
      <c r="CD148" s="5">
        <v>-0.18819981999999999</v>
      </c>
      <c r="CE148" s="5">
        <v>7.9928804700000002</v>
      </c>
      <c r="CF148" s="5">
        <v>8.0079514199999995</v>
      </c>
      <c r="CG148" s="5">
        <v>-1.8782949499999999</v>
      </c>
      <c r="CH148" s="5">
        <v>-2.0283955100000002</v>
      </c>
      <c r="CI148" s="5">
        <v>0.49139706</v>
      </c>
    </row>
    <row r="149" spans="1:87" ht="15" customHeight="1" x14ac:dyDescent="0.2">
      <c r="A149" s="2">
        <v>62009031</v>
      </c>
      <c r="B149" s="58" t="s">
        <v>254</v>
      </c>
      <c r="C149" s="58" t="s">
        <v>182</v>
      </c>
      <c r="D149" s="59" t="s">
        <v>255</v>
      </c>
      <c r="E149" s="60" t="s">
        <v>256</v>
      </c>
      <c r="F149" s="61" t="str">
        <f t="shared" si="137"/>
        <v>09/18/20</v>
      </c>
      <c r="G149" s="62" t="s">
        <v>257</v>
      </c>
      <c r="H149" s="62" t="s">
        <v>110</v>
      </c>
      <c r="I149" s="63"/>
      <c r="J149" s="64">
        <v>24.147027999999999</v>
      </c>
      <c r="K149" s="64">
        <v>38.742451000000003</v>
      </c>
      <c r="L149" s="64">
        <v>29.658329999999999</v>
      </c>
      <c r="M149" s="64">
        <v>31.196646000000001</v>
      </c>
      <c r="N149" s="65">
        <v>3875</v>
      </c>
      <c r="O149" s="65">
        <v>28.39</v>
      </c>
      <c r="P149" s="65">
        <v>0.20169999999999999</v>
      </c>
      <c r="Q149" s="65">
        <v>1.932E-2</v>
      </c>
      <c r="R149" s="66">
        <v>7.9935818799999998</v>
      </c>
      <c r="S149" s="66">
        <f t="shared" si="139"/>
        <v>15.98642703</v>
      </c>
      <c r="T149" s="67">
        <v>64.803447000000006</v>
      </c>
      <c r="U149" s="67">
        <v>61.687559</v>
      </c>
      <c r="V149" s="68">
        <v>23486</v>
      </c>
      <c r="W149" s="68">
        <v>25603</v>
      </c>
      <c r="X149" s="68">
        <f t="shared" si="140"/>
        <v>2117</v>
      </c>
      <c r="Y149" s="68">
        <f t="shared" si="112"/>
        <v>264.83746983273539</v>
      </c>
      <c r="Z149" s="69">
        <v>528.79999999999995</v>
      </c>
      <c r="AA149" s="68">
        <v>551.4</v>
      </c>
      <c r="AB149" s="68">
        <f t="shared" si="141"/>
        <v>22.600000000000023</v>
      </c>
      <c r="AC149" s="68">
        <f t="shared" si="113"/>
        <v>2.8272682183371871</v>
      </c>
      <c r="AD149" s="69">
        <v>455.58248200000003</v>
      </c>
      <c r="AE149" s="68">
        <v>474.96224899999999</v>
      </c>
      <c r="AF149" s="68">
        <f t="shared" si="142"/>
        <v>19.379766999999958</v>
      </c>
      <c r="AG149" s="68">
        <f t="shared" si="114"/>
        <v>2.424415899021223</v>
      </c>
      <c r="AH149" s="69">
        <v>18.127517999999998</v>
      </c>
      <c r="AI149" s="68">
        <v>23.61</v>
      </c>
      <c r="AJ149" s="68">
        <f t="shared" si="143"/>
        <v>5.482482000000001</v>
      </c>
      <c r="AK149" s="70">
        <f t="shared" si="115"/>
        <v>0.68586049186750819</v>
      </c>
      <c r="AL149" s="69">
        <v>-46.9</v>
      </c>
      <c r="AM149" s="68">
        <v>-49.3</v>
      </c>
      <c r="AN149" s="68">
        <f t="shared" si="144"/>
        <v>-2.3999999999999986</v>
      </c>
      <c r="AO149" s="70">
        <f t="shared" si="116"/>
        <v>-0.30024087274377159</v>
      </c>
      <c r="AP149" s="69">
        <v>-56.5</v>
      </c>
      <c r="AQ149" s="68">
        <v>-59.3</v>
      </c>
      <c r="AR149" s="68">
        <f t="shared" si="145"/>
        <v>-2.7999999999999972</v>
      </c>
      <c r="AS149" s="70">
        <f t="shared" si="117"/>
        <v>-0.35028101820106672</v>
      </c>
      <c r="AT149" s="69">
        <v>19.100000000000001</v>
      </c>
      <c r="AU149" s="68">
        <v>20.100000000000001</v>
      </c>
      <c r="AV149" s="68">
        <f t="shared" si="146"/>
        <v>1</v>
      </c>
      <c r="AW149" s="70">
        <f t="shared" si="118"/>
        <v>0.12510036364323823</v>
      </c>
      <c r="AX149" s="69">
        <v>23463</v>
      </c>
      <c r="AY149" s="68">
        <v>25582</v>
      </c>
      <c r="AZ149" s="68">
        <f t="shared" si="147"/>
        <v>2119</v>
      </c>
      <c r="BA149" s="70">
        <f t="shared" si="119"/>
        <v>265.08767056002182</v>
      </c>
      <c r="BB149" s="69">
        <v>40.5</v>
      </c>
      <c r="BC149" s="68">
        <v>41.3</v>
      </c>
      <c r="BD149" s="68">
        <f t="shared" si="148"/>
        <v>0.79999999999999716</v>
      </c>
      <c r="BE149" s="70">
        <f t="shared" si="120"/>
        <v>0.10008029091459024</v>
      </c>
      <c r="BF149" s="69">
        <v>-23.2</v>
      </c>
      <c r="BG149" s="68">
        <v>-23.2</v>
      </c>
      <c r="BH149" s="68">
        <f t="shared" si="149"/>
        <v>0</v>
      </c>
      <c r="BI149" s="70">
        <f t="shared" si="121"/>
        <v>0</v>
      </c>
      <c r="BJ149" s="71">
        <v>64.803447000000006</v>
      </c>
      <c r="BK149" s="71">
        <v>61.687559</v>
      </c>
      <c r="BL149" s="71">
        <f t="shared" si="150"/>
        <v>-3.1158880000000053</v>
      </c>
      <c r="BM149" s="72">
        <v>-23.2</v>
      </c>
      <c r="BN149" s="73">
        <v>-23.2</v>
      </c>
      <c r="BO149" s="73">
        <f t="shared" si="151"/>
        <v>0</v>
      </c>
      <c r="BP149" s="72">
        <v>40.5</v>
      </c>
      <c r="BQ149" s="73">
        <v>41.3</v>
      </c>
      <c r="BR149" s="73">
        <f t="shared" si="152"/>
        <v>0.79999999999999716</v>
      </c>
      <c r="BS149" s="71"/>
      <c r="BT149" s="71"/>
      <c r="BU149" s="71"/>
      <c r="BV149" s="71"/>
      <c r="BW149" s="62" t="s">
        <v>215</v>
      </c>
      <c r="BX149" s="5">
        <v>8566.9274551800008</v>
      </c>
      <c r="BY149" s="5">
        <v>-4.03343527</v>
      </c>
      <c r="BZ149" s="5">
        <v>3452.6256974399998</v>
      </c>
      <c r="CA149" s="5">
        <v>3597.73813651</v>
      </c>
      <c r="CB149" s="5">
        <v>9.24642871</v>
      </c>
      <c r="CC149" s="5">
        <v>9.4373147999999993</v>
      </c>
      <c r="CD149" s="5">
        <v>-0.17964804000000001</v>
      </c>
      <c r="CE149" s="5">
        <v>7.9935653899999997</v>
      </c>
      <c r="CF149" s="5">
        <v>8.0079515099999998</v>
      </c>
      <c r="CG149" s="5">
        <v>-1.8810737200000001</v>
      </c>
      <c r="CH149" s="5">
        <v>-2.0226737699999999</v>
      </c>
      <c r="CI149" s="5">
        <v>0.49137986</v>
      </c>
    </row>
    <row r="150" spans="1:87" ht="15" customHeight="1" x14ac:dyDescent="0.2">
      <c r="A150" s="2">
        <v>62009031</v>
      </c>
      <c r="B150" s="58" t="s">
        <v>254</v>
      </c>
      <c r="C150" s="58" t="s">
        <v>130</v>
      </c>
      <c r="D150" s="59" t="s">
        <v>255</v>
      </c>
      <c r="E150" s="60" t="s">
        <v>256</v>
      </c>
      <c r="F150" s="61" t="str">
        <f t="shared" si="137"/>
        <v>09/18/20</v>
      </c>
      <c r="G150" s="62" t="s">
        <v>257</v>
      </c>
      <c r="H150" s="62" t="s">
        <v>110</v>
      </c>
      <c r="I150" s="63"/>
      <c r="J150" s="64">
        <v>24.145341999999999</v>
      </c>
      <c r="K150" s="64">
        <v>40.926071999999998</v>
      </c>
      <c r="L150" s="64">
        <v>29.658923000000001</v>
      </c>
      <c r="M150" s="64">
        <v>31.245151</v>
      </c>
      <c r="N150" s="65">
        <v>3875</v>
      </c>
      <c r="O150" s="65">
        <v>28.39</v>
      </c>
      <c r="P150" s="65">
        <v>0.20169999999999999</v>
      </c>
      <c r="Q150" s="65">
        <v>1.932E-2</v>
      </c>
      <c r="R150" s="66">
        <v>7.9927277300000004</v>
      </c>
      <c r="S150" s="66">
        <f t="shared" si="139"/>
        <v>15.986309609999999</v>
      </c>
      <c r="T150" s="67">
        <v>61.687559</v>
      </c>
      <c r="U150" s="67">
        <v>58.538102000000002</v>
      </c>
      <c r="V150" s="68">
        <v>25603</v>
      </c>
      <c r="W150" s="68">
        <v>27725</v>
      </c>
      <c r="X150" s="68">
        <f t="shared" si="140"/>
        <v>2122</v>
      </c>
      <c r="Y150" s="68">
        <f t="shared" si="112"/>
        <v>265.4913405889281</v>
      </c>
      <c r="Z150" s="69">
        <v>551.4</v>
      </c>
      <c r="AA150" s="68">
        <v>578.4</v>
      </c>
      <c r="AB150" s="68">
        <f t="shared" si="141"/>
        <v>27</v>
      </c>
      <c r="AC150" s="68">
        <f t="shared" si="113"/>
        <v>3.3780707803492263</v>
      </c>
      <c r="AD150" s="69">
        <v>474.97</v>
      </c>
      <c r="AE150" s="68">
        <v>498.32</v>
      </c>
      <c r="AF150" s="68">
        <f t="shared" si="142"/>
        <v>23.349999999999966</v>
      </c>
      <c r="AG150" s="68">
        <f t="shared" si="114"/>
        <v>2.9214056563390489</v>
      </c>
      <c r="AH150" s="69">
        <v>23.61</v>
      </c>
      <c r="AI150" s="68">
        <v>24.81</v>
      </c>
      <c r="AJ150" s="68">
        <f t="shared" si="143"/>
        <v>1.1999999999999993</v>
      </c>
      <c r="AK150" s="70">
        <f t="shared" si="115"/>
        <v>0.15013647912663219</v>
      </c>
      <c r="AL150" s="69">
        <v>-49.3</v>
      </c>
      <c r="AM150" s="68">
        <v>-51.6</v>
      </c>
      <c r="AN150" s="68">
        <f t="shared" si="144"/>
        <v>-2.3000000000000043</v>
      </c>
      <c r="AO150" s="70">
        <f t="shared" si="116"/>
        <v>-0.28776158499271237</v>
      </c>
      <c r="AP150" s="69">
        <v>-59.3</v>
      </c>
      <c r="AQ150" s="68">
        <v>-62.2</v>
      </c>
      <c r="AR150" s="68">
        <f t="shared" si="145"/>
        <v>-2.9000000000000057</v>
      </c>
      <c r="AS150" s="70">
        <f t="shared" si="117"/>
        <v>-0.36282982455602869</v>
      </c>
      <c r="AT150" s="69">
        <v>20.100000000000001</v>
      </c>
      <c r="AU150" s="68">
        <v>21</v>
      </c>
      <c r="AV150" s="68">
        <f t="shared" si="146"/>
        <v>0.89999999999999858</v>
      </c>
      <c r="AW150" s="70">
        <f t="shared" si="118"/>
        <v>0.11260235934497402</v>
      </c>
      <c r="AX150" s="69">
        <v>25582</v>
      </c>
      <c r="AY150" s="68">
        <v>27704</v>
      </c>
      <c r="AZ150" s="68">
        <f t="shared" si="147"/>
        <v>2122</v>
      </c>
      <c r="BA150" s="70">
        <f t="shared" si="119"/>
        <v>265.4913405889281</v>
      </c>
      <c r="BB150" s="69">
        <v>41.3</v>
      </c>
      <c r="BC150" s="68">
        <v>42.1</v>
      </c>
      <c r="BD150" s="68">
        <f t="shared" si="148"/>
        <v>0.80000000000000426</v>
      </c>
      <c r="BE150" s="70">
        <f t="shared" si="120"/>
        <v>0.10009098608442205</v>
      </c>
      <c r="BF150" s="69">
        <v>-23.2</v>
      </c>
      <c r="BG150" s="68">
        <v>-23.2</v>
      </c>
      <c r="BH150" s="68">
        <f t="shared" si="149"/>
        <v>0</v>
      </c>
      <c r="BI150" s="70">
        <f t="shared" si="121"/>
        <v>0</v>
      </c>
      <c r="BJ150" s="71">
        <v>61.687559</v>
      </c>
      <c r="BK150" s="71">
        <v>58.538102000000002</v>
      </c>
      <c r="BL150" s="71">
        <f t="shared" si="150"/>
        <v>-3.1494569999999982</v>
      </c>
      <c r="BM150" s="72">
        <v>-23.2</v>
      </c>
      <c r="BN150" s="73">
        <v>-23.2</v>
      </c>
      <c r="BO150" s="73">
        <f t="shared" si="151"/>
        <v>0</v>
      </c>
      <c r="BP150" s="72">
        <v>41.3</v>
      </c>
      <c r="BQ150" s="73">
        <v>42.1</v>
      </c>
      <c r="BR150" s="73">
        <f t="shared" si="152"/>
        <v>0.80000000000000426</v>
      </c>
      <c r="BS150" s="71"/>
      <c r="BT150" s="71"/>
      <c r="BU150" s="71"/>
      <c r="BV150" s="71"/>
      <c r="BW150" s="62" t="s">
        <v>215</v>
      </c>
      <c r="BX150" s="5">
        <v>8564.6697286899998</v>
      </c>
      <c r="BY150" s="5">
        <v>-4.0594460400000001</v>
      </c>
      <c r="BZ150" s="5">
        <v>3451.7060811299998</v>
      </c>
      <c r="CA150" s="5">
        <v>3597.7550042799999</v>
      </c>
      <c r="CB150" s="5">
        <v>9.2455737100000004</v>
      </c>
      <c r="CC150" s="5">
        <v>9.4373513199999994</v>
      </c>
      <c r="CD150" s="5">
        <v>-0.18938437999999999</v>
      </c>
      <c r="CE150" s="5">
        <v>7.9927856400000001</v>
      </c>
      <c r="CF150" s="5">
        <v>8.0079514500000002</v>
      </c>
      <c r="CG150" s="5">
        <v>-1.8809513499999999</v>
      </c>
      <c r="CH150" s="5">
        <v>-2.03211268</v>
      </c>
      <c r="CI150" s="5">
        <v>0.49138367999999999</v>
      </c>
    </row>
    <row r="151" spans="1:87" ht="15" customHeight="1" x14ac:dyDescent="0.2">
      <c r="A151" s="2">
        <v>62009031</v>
      </c>
      <c r="B151" s="58" t="s">
        <v>254</v>
      </c>
      <c r="C151" s="58" t="s">
        <v>183</v>
      </c>
      <c r="D151" s="59" t="s">
        <v>255</v>
      </c>
      <c r="E151" s="60" t="s">
        <v>256</v>
      </c>
      <c r="F151" s="61" t="str">
        <f t="shared" si="137"/>
        <v>09/18/20</v>
      </c>
      <c r="G151" s="62" t="s">
        <v>257</v>
      </c>
      <c r="H151" s="62" t="s">
        <v>110</v>
      </c>
      <c r="I151" s="63"/>
      <c r="J151" s="64">
        <v>24.186216999999999</v>
      </c>
      <c r="K151" s="64">
        <v>42.536707</v>
      </c>
      <c r="L151" s="64">
        <v>29.658431</v>
      </c>
      <c r="M151" s="64">
        <v>31.315470000000001</v>
      </c>
      <c r="N151" s="65">
        <v>3875</v>
      </c>
      <c r="O151" s="65">
        <v>28.39</v>
      </c>
      <c r="P151" s="65">
        <v>0.20169999999999999</v>
      </c>
      <c r="Q151" s="65">
        <v>1.932E-2</v>
      </c>
      <c r="R151" s="66">
        <v>7.9936075899999999</v>
      </c>
      <c r="S151" s="66">
        <f t="shared" si="139"/>
        <v>15.98633532</v>
      </c>
      <c r="T151" s="67">
        <v>58.538102000000002</v>
      </c>
      <c r="U151" s="67">
        <v>55.361178000000002</v>
      </c>
      <c r="V151" s="68">
        <v>27725</v>
      </c>
      <c r="W151" s="68">
        <v>29847</v>
      </c>
      <c r="X151" s="68">
        <f t="shared" si="140"/>
        <v>2122</v>
      </c>
      <c r="Y151" s="68">
        <f t="shared" si="112"/>
        <v>265.46211783708537</v>
      </c>
      <c r="Z151" s="69">
        <v>578.4</v>
      </c>
      <c r="AA151" s="68">
        <v>606.20000000000005</v>
      </c>
      <c r="AB151" s="68">
        <f t="shared" si="141"/>
        <v>27.800000000000068</v>
      </c>
      <c r="AC151" s="68">
        <f t="shared" si="113"/>
        <v>3.4777789235961318</v>
      </c>
      <c r="AD151" s="69">
        <v>498.32195300000001</v>
      </c>
      <c r="AE151" s="68">
        <v>522.42171099999996</v>
      </c>
      <c r="AF151" s="68">
        <f t="shared" si="142"/>
        <v>24.099757999999952</v>
      </c>
      <c r="AG151" s="68">
        <f t="shared" si="114"/>
        <v>3.014878792667874</v>
      </c>
      <c r="AH151" s="69">
        <v>24.81</v>
      </c>
      <c r="AI151" s="68">
        <v>25.28</v>
      </c>
      <c r="AJ151" s="68">
        <f t="shared" si="143"/>
        <v>0.47000000000000242</v>
      </c>
      <c r="AK151" s="70">
        <f t="shared" si="115"/>
        <v>5.8796981801805259E-2</v>
      </c>
      <c r="AL151" s="69">
        <v>-51.6</v>
      </c>
      <c r="AM151" s="68">
        <v>-54</v>
      </c>
      <c r="AN151" s="68">
        <f t="shared" si="144"/>
        <v>-2.3999999999999986</v>
      </c>
      <c r="AO151" s="70">
        <f t="shared" si="116"/>
        <v>-0.30023990707304643</v>
      </c>
      <c r="AP151" s="69">
        <v>-62.2</v>
      </c>
      <c r="AQ151" s="68">
        <v>-65</v>
      </c>
      <c r="AR151" s="68">
        <f t="shared" si="145"/>
        <v>-2.7999999999999972</v>
      </c>
      <c r="AS151" s="70">
        <f t="shared" si="117"/>
        <v>-0.35027989158522066</v>
      </c>
      <c r="AT151" s="69">
        <v>21</v>
      </c>
      <c r="AU151" s="68">
        <v>22</v>
      </c>
      <c r="AV151" s="68">
        <f t="shared" si="146"/>
        <v>1</v>
      </c>
      <c r="AW151" s="70">
        <f t="shared" si="118"/>
        <v>0.12509996128043607</v>
      </c>
      <c r="AX151" s="69">
        <v>27704</v>
      </c>
      <c r="AY151" s="68">
        <v>29828</v>
      </c>
      <c r="AZ151" s="68">
        <f t="shared" si="147"/>
        <v>2124</v>
      </c>
      <c r="BA151" s="70">
        <f t="shared" si="119"/>
        <v>265.71231775964623</v>
      </c>
      <c r="BB151" s="69">
        <v>42.1</v>
      </c>
      <c r="BC151" s="68">
        <v>43</v>
      </c>
      <c r="BD151" s="68">
        <f t="shared" si="148"/>
        <v>0.89999999999999858</v>
      </c>
      <c r="BE151" s="70">
        <f t="shared" si="120"/>
        <v>0.11258996515239229</v>
      </c>
      <c r="BF151" s="69">
        <v>-23.2</v>
      </c>
      <c r="BG151" s="68">
        <v>-23.2</v>
      </c>
      <c r="BH151" s="68">
        <f t="shared" si="149"/>
        <v>0</v>
      </c>
      <c r="BI151" s="70">
        <f t="shared" si="121"/>
        <v>0</v>
      </c>
      <c r="BJ151" s="71">
        <v>58.538102000000002</v>
      </c>
      <c r="BK151" s="71">
        <v>55.361178000000002</v>
      </c>
      <c r="BL151" s="71">
        <f t="shared" si="150"/>
        <v>-3.1769239999999996</v>
      </c>
      <c r="BM151" s="72">
        <v>-23.2</v>
      </c>
      <c r="BN151" s="73">
        <v>-23.2</v>
      </c>
      <c r="BO151" s="73">
        <f t="shared" si="151"/>
        <v>0</v>
      </c>
      <c r="BP151" s="72">
        <v>42.1</v>
      </c>
      <c r="BQ151" s="73">
        <v>43</v>
      </c>
      <c r="BR151" s="73">
        <f t="shared" si="152"/>
        <v>0.89999999999999858</v>
      </c>
      <c r="BS151" s="71"/>
      <c r="BT151" s="71"/>
      <c r="BU151" s="71"/>
      <c r="BV151" s="71"/>
      <c r="BW151" s="62" t="s">
        <v>215</v>
      </c>
      <c r="BX151" s="5">
        <v>8568.9981833500005</v>
      </c>
      <c r="BY151" s="5">
        <v>-4.0378503400000003</v>
      </c>
      <c r="BZ151" s="5">
        <v>3452.5655002799999</v>
      </c>
      <c r="CA151" s="5">
        <v>3597.8409327300001</v>
      </c>
      <c r="CB151" s="5">
        <v>9.2450419099999994</v>
      </c>
      <c r="CC151" s="5">
        <v>9.4374391400000004</v>
      </c>
      <c r="CD151" s="5">
        <v>-0.17898745999999999</v>
      </c>
      <c r="CE151" s="5">
        <v>7.9936179599999999</v>
      </c>
      <c r="CF151" s="5">
        <v>8.00795119</v>
      </c>
      <c r="CG151" s="5">
        <v>-1.89837327</v>
      </c>
      <c r="CH151" s="5">
        <v>-2.03865937</v>
      </c>
      <c r="CI151" s="5">
        <v>0.49140178000000001</v>
      </c>
    </row>
    <row r="152" spans="1:87" ht="15" customHeight="1" x14ac:dyDescent="0.2">
      <c r="A152" s="2">
        <v>62009031</v>
      </c>
      <c r="B152" s="58" t="s">
        <v>254</v>
      </c>
      <c r="C152" s="58" t="s">
        <v>258</v>
      </c>
      <c r="D152" s="59" t="s">
        <v>255</v>
      </c>
      <c r="E152" s="60" t="s">
        <v>256</v>
      </c>
      <c r="F152" s="61" t="str">
        <f t="shared" si="137"/>
        <v>09/18/20</v>
      </c>
      <c r="G152" s="62" t="s">
        <v>257</v>
      </c>
      <c r="H152" s="62" t="s">
        <v>110</v>
      </c>
      <c r="I152" s="63"/>
      <c r="J152" s="64">
        <v>24.176552999999998</v>
      </c>
      <c r="K152" s="64">
        <v>40.743282999999998</v>
      </c>
      <c r="L152" s="64">
        <v>29.661353999999999</v>
      </c>
      <c r="M152" s="64">
        <v>31.328326000000001</v>
      </c>
      <c r="N152" s="65">
        <v>3875</v>
      </c>
      <c r="O152" s="65">
        <v>28.39</v>
      </c>
      <c r="P152" s="65">
        <v>0.20169999999999999</v>
      </c>
      <c r="Q152" s="65">
        <v>1.932E-2</v>
      </c>
      <c r="R152" s="66">
        <v>7.9926568800000002</v>
      </c>
      <c r="S152" s="66">
        <f t="shared" si="139"/>
        <v>15.98626447</v>
      </c>
      <c r="T152" s="67">
        <v>55.361178000000002</v>
      </c>
      <c r="U152" s="67">
        <v>52.161366000000001</v>
      </c>
      <c r="V152" s="68">
        <v>29847</v>
      </c>
      <c r="W152" s="68">
        <v>31969</v>
      </c>
      <c r="X152" s="68">
        <f t="shared" si="140"/>
        <v>2122</v>
      </c>
      <c r="Y152" s="68">
        <f t="shared" si="112"/>
        <v>265.49369400679188</v>
      </c>
      <c r="Z152" s="69">
        <v>606.21709199999998</v>
      </c>
      <c r="AA152" s="68">
        <v>634.29999999999995</v>
      </c>
      <c r="AB152" s="68">
        <f t="shared" si="141"/>
        <v>28.082907999999975</v>
      </c>
      <c r="AC152" s="68">
        <f t="shared" si="113"/>
        <v>3.5135885878288788</v>
      </c>
      <c r="AD152" s="69">
        <v>522.42999999999995</v>
      </c>
      <c r="AE152" s="68">
        <v>546.71</v>
      </c>
      <c r="AF152" s="68">
        <f t="shared" si="142"/>
        <v>24.280000000000086</v>
      </c>
      <c r="AG152" s="68">
        <f t="shared" si="114"/>
        <v>3.03778835555369</v>
      </c>
      <c r="AH152" s="69">
        <v>25.28</v>
      </c>
      <c r="AI152" s="68">
        <v>25.58</v>
      </c>
      <c r="AJ152" s="68">
        <f t="shared" si="143"/>
        <v>0.29999999999999716</v>
      </c>
      <c r="AK152" s="70">
        <f t="shared" si="115"/>
        <v>3.7534452498603585E-2</v>
      </c>
      <c r="AL152" s="69">
        <v>-54</v>
      </c>
      <c r="AM152" s="68">
        <v>-56.3</v>
      </c>
      <c r="AN152" s="68">
        <f t="shared" si="144"/>
        <v>-2.2999999999999972</v>
      </c>
      <c r="AO152" s="70">
        <f t="shared" si="116"/>
        <v>-0.28776413582262989</v>
      </c>
      <c r="AP152" s="69">
        <v>-65</v>
      </c>
      <c r="AQ152" s="68">
        <v>-67.8</v>
      </c>
      <c r="AR152" s="68">
        <f t="shared" si="145"/>
        <v>-2.7999999999999972</v>
      </c>
      <c r="AS152" s="70">
        <f t="shared" si="117"/>
        <v>-0.35032155665363646</v>
      </c>
      <c r="AT152" s="69">
        <v>22</v>
      </c>
      <c r="AU152" s="68">
        <v>22.9</v>
      </c>
      <c r="AV152" s="68">
        <f t="shared" si="146"/>
        <v>0.89999999999999858</v>
      </c>
      <c r="AW152" s="70">
        <f t="shared" si="118"/>
        <v>0.11260335749581166</v>
      </c>
      <c r="AX152" s="69">
        <v>29828</v>
      </c>
      <c r="AY152" s="68">
        <v>31952</v>
      </c>
      <c r="AZ152" s="68">
        <f t="shared" si="147"/>
        <v>2124</v>
      </c>
      <c r="BA152" s="70">
        <f t="shared" si="119"/>
        <v>265.74392369011593</v>
      </c>
      <c r="BB152" s="69">
        <v>43</v>
      </c>
      <c r="BC152" s="68">
        <v>43.8</v>
      </c>
      <c r="BD152" s="68">
        <f t="shared" si="148"/>
        <v>0.79999999999999716</v>
      </c>
      <c r="BE152" s="70">
        <f t="shared" si="120"/>
        <v>0.10009187332961016</v>
      </c>
      <c r="BF152" s="69">
        <v>-23.2</v>
      </c>
      <c r="BG152" s="68">
        <v>-23.2</v>
      </c>
      <c r="BH152" s="68">
        <f t="shared" si="149"/>
        <v>0</v>
      </c>
      <c r="BI152" s="70">
        <f t="shared" si="121"/>
        <v>0</v>
      </c>
      <c r="BJ152" s="71">
        <v>55.361178000000002</v>
      </c>
      <c r="BK152" s="71">
        <v>52.161366000000001</v>
      </c>
      <c r="BL152" s="71">
        <f t="shared" si="150"/>
        <v>-3.1998120000000014</v>
      </c>
      <c r="BM152" s="72">
        <v>-23.2</v>
      </c>
      <c r="BN152" s="73">
        <v>-23.2</v>
      </c>
      <c r="BO152" s="73">
        <f t="shared" si="151"/>
        <v>0</v>
      </c>
      <c r="BP152" s="72">
        <v>43</v>
      </c>
      <c r="BQ152" s="73">
        <v>43.8</v>
      </c>
      <c r="BR152" s="73">
        <f t="shared" si="152"/>
        <v>0.79999999999999716</v>
      </c>
      <c r="BS152" s="71"/>
      <c r="BT152" s="71"/>
      <c r="BU152" s="71"/>
      <c r="BV152" s="71"/>
      <c r="BW152" s="62" t="s">
        <v>215</v>
      </c>
      <c r="BX152" s="5">
        <v>8573.3446419200009</v>
      </c>
      <c r="BY152" s="5">
        <v>-4.0175310199999998</v>
      </c>
      <c r="BZ152" s="5">
        <v>3453.4790748199998</v>
      </c>
      <c r="CA152" s="5">
        <v>3598.03108987</v>
      </c>
      <c r="CB152" s="5">
        <v>9.2463331499999999</v>
      </c>
      <c r="CC152" s="5">
        <v>9.4376754500000004</v>
      </c>
      <c r="CD152" s="5">
        <v>-0.19140243000000001</v>
      </c>
      <c r="CE152" s="5">
        <v>7.9926246599999997</v>
      </c>
      <c r="CF152" s="5">
        <v>8.0079520800000008</v>
      </c>
      <c r="CG152" s="5">
        <v>-1.87402245</v>
      </c>
      <c r="CH152" s="5">
        <v>-2.0274303800000002</v>
      </c>
      <c r="CI152" s="5">
        <v>0.49143634000000003</v>
      </c>
    </row>
    <row r="153" spans="1:87" ht="15" customHeight="1" x14ac:dyDescent="0.2">
      <c r="A153" s="2">
        <v>62009031</v>
      </c>
      <c r="B153" s="58" t="s">
        <v>254</v>
      </c>
      <c r="C153" s="58" t="s">
        <v>259</v>
      </c>
      <c r="D153" s="59" t="s">
        <v>255</v>
      </c>
      <c r="E153" s="60" t="s">
        <v>256</v>
      </c>
      <c r="F153" s="61" t="str">
        <f t="shared" si="137"/>
        <v>09/18/20</v>
      </c>
      <c r="G153" s="62" t="s">
        <v>257</v>
      </c>
      <c r="H153" s="62" t="s">
        <v>110</v>
      </c>
      <c r="I153" s="63"/>
      <c r="J153" s="64">
        <v>24.195060999999999</v>
      </c>
      <c r="K153" s="64">
        <v>39.625973999999999</v>
      </c>
      <c r="L153" s="64">
        <v>29.658923999999999</v>
      </c>
      <c r="M153" s="64">
        <v>31.379898000000001</v>
      </c>
      <c r="N153" s="65">
        <v>3875</v>
      </c>
      <c r="O153" s="65">
        <v>28.39</v>
      </c>
      <c r="P153" s="65">
        <v>0.20169999999999999</v>
      </c>
      <c r="Q153" s="65">
        <v>1.932E-2</v>
      </c>
      <c r="R153" s="66">
        <v>7.9935069800000003</v>
      </c>
      <c r="S153" s="66">
        <f t="shared" si="139"/>
        <v>15.986163860000001</v>
      </c>
      <c r="T153" s="67">
        <v>52.161366000000001</v>
      </c>
      <c r="U153" s="67">
        <v>48.929509000000003</v>
      </c>
      <c r="V153" s="68">
        <v>31969</v>
      </c>
      <c r="W153" s="68">
        <v>34101</v>
      </c>
      <c r="X153" s="68">
        <f t="shared" si="140"/>
        <v>2132</v>
      </c>
      <c r="Y153" s="68">
        <f t="shared" si="112"/>
        <v>266.71647442534663</v>
      </c>
      <c r="Z153" s="69">
        <v>634.29999999999995</v>
      </c>
      <c r="AA153" s="68">
        <v>670.5</v>
      </c>
      <c r="AB153" s="68">
        <f t="shared" si="141"/>
        <v>36.200000000000045</v>
      </c>
      <c r="AC153" s="68">
        <f t="shared" si="113"/>
        <v>4.5286755976536401</v>
      </c>
      <c r="AD153" s="69">
        <v>546.72</v>
      </c>
      <c r="AE153" s="68">
        <v>578.67126099999996</v>
      </c>
      <c r="AF153" s="68">
        <f t="shared" si="142"/>
        <v>31.951260999999931</v>
      </c>
      <c r="AG153" s="68">
        <f t="shared" si="114"/>
        <v>3.9971518233414902</v>
      </c>
      <c r="AH153" s="69">
        <v>25.58</v>
      </c>
      <c r="AI153" s="68">
        <v>18.59</v>
      </c>
      <c r="AJ153" s="68">
        <f t="shared" si="143"/>
        <v>-6.9899999999999984</v>
      </c>
      <c r="AK153" s="70">
        <f t="shared" si="115"/>
        <v>-0.87445973556903034</v>
      </c>
      <c r="AL153" s="69">
        <v>-56.3</v>
      </c>
      <c r="AM153" s="68">
        <v>-58.6</v>
      </c>
      <c r="AN153" s="68">
        <f t="shared" si="144"/>
        <v>-2.3000000000000043</v>
      </c>
      <c r="AO153" s="70">
        <f t="shared" si="116"/>
        <v>-0.28773353244760713</v>
      </c>
      <c r="AP153" s="69">
        <v>-67.8</v>
      </c>
      <c r="AQ153" s="68">
        <v>-70.599999999999994</v>
      </c>
      <c r="AR153" s="68">
        <f t="shared" si="145"/>
        <v>-2.7999999999999972</v>
      </c>
      <c r="AS153" s="70">
        <f t="shared" si="117"/>
        <v>-0.350284300370999</v>
      </c>
      <c r="AT153" s="69">
        <v>22.9</v>
      </c>
      <c r="AU153" s="68">
        <v>23.9</v>
      </c>
      <c r="AV153" s="68">
        <f t="shared" si="146"/>
        <v>1</v>
      </c>
      <c r="AW153" s="70">
        <f t="shared" si="118"/>
        <v>0.12510153584678549</v>
      </c>
      <c r="AX153" s="69">
        <v>31952</v>
      </c>
      <c r="AY153" s="68">
        <v>34085</v>
      </c>
      <c r="AZ153" s="68">
        <f t="shared" si="147"/>
        <v>2133</v>
      </c>
      <c r="BA153" s="70">
        <f t="shared" si="119"/>
        <v>266.84157596119343</v>
      </c>
      <c r="BB153" s="69">
        <v>43.8</v>
      </c>
      <c r="BC153" s="68">
        <v>44.6</v>
      </c>
      <c r="BD153" s="68">
        <f t="shared" si="148"/>
        <v>0.80000000000000426</v>
      </c>
      <c r="BE153" s="70">
        <f t="shared" si="120"/>
        <v>0.10008122867742891</v>
      </c>
      <c r="BF153" s="69">
        <v>-23.2</v>
      </c>
      <c r="BG153" s="68">
        <v>-23.2</v>
      </c>
      <c r="BH153" s="68">
        <f t="shared" si="149"/>
        <v>0</v>
      </c>
      <c r="BI153" s="70">
        <f t="shared" si="121"/>
        <v>0</v>
      </c>
      <c r="BJ153" s="71">
        <v>52.161366000000001</v>
      </c>
      <c r="BK153" s="71">
        <v>48.929509000000003</v>
      </c>
      <c r="BL153" s="71">
        <f t="shared" si="150"/>
        <v>-3.231856999999998</v>
      </c>
      <c r="BM153" s="72">
        <v>-23.2</v>
      </c>
      <c r="BN153" s="73">
        <v>-23.2</v>
      </c>
      <c r="BO153" s="73">
        <f t="shared" si="151"/>
        <v>0</v>
      </c>
      <c r="BP153" s="72">
        <v>43.8</v>
      </c>
      <c r="BQ153" s="73">
        <v>44.6</v>
      </c>
      <c r="BR153" s="73">
        <f t="shared" si="152"/>
        <v>0.80000000000000426</v>
      </c>
      <c r="BS153" s="71"/>
      <c r="BT153" s="71"/>
      <c r="BU153" s="71"/>
      <c r="BV153" s="71"/>
      <c r="BW153" s="62" t="s">
        <v>215</v>
      </c>
      <c r="BX153" s="5">
        <v>8580.7195253600003</v>
      </c>
      <c r="BY153" s="5">
        <v>-4.0401101500000003</v>
      </c>
      <c r="BZ153" s="5">
        <v>3452.9043860500001</v>
      </c>
      <c r="CA153" s="5">
        <v>3598.2788137299999</v>
      </c>
      <c r="CB153" s="5">
        <v>9.2459618399999997</v>
      </c>
      <c r="CC153" s="5">
        <v>9.4379953600000004</v>
      </c>
      <c r="CD153" s="5">
        <v>-0.17959252000000001</v>
      </c>
      <c r="CE153" s="5">
        <v>7.9935700599999997</v>
      </c>
      <c r="CF153" s="5">
        <v>8.0079517399999993</v>
      </c>
      <c r="CG153" s="5">
        <v>-1.89362214</v>
      </c>
      <c r="CH153" s="5">
        <v>-2.0346853999999999</v>
      </c>
      <c r="CI153" s="5">
        <v>0.49147811000000002</v>
      </c>
    </row>
    <row r="154" spans="1:87" ht="15" customHeight="1" x14ac:dyDescent="0.2">
      <c r="A154" s="51" t="s">
        <v>260</v>
      </c>
      <c r="B154" s="52"/>
      <c r="C154" s="53"/>
      <c r="D154" s="53"/>
      <c r="E154" s="53"/>
      <c r="F154" s="53"/>
      <c r="G154" s="53"/>
      <c r="H154" s="52"/>
      <c r="I154" s="52"/>
      <c r="J154" s="96"/>
      <c r="K154" s="97"/>
      <c r="L154" s="52"/>
      <c r="M154" s="52"/>
      <c r="N154" s="52"/>
      <c r="O154" s="52"/>
      <c r="P154" s="52"/>
      <c r="Q154" s="52"/>
      <c r="R154" s="52"/>
      <c r="S154" s="52"/>
      <c r="T154" s="52"/>
      <c r="U154" s="52"/>
      <c r="V154" s="52"/>
      <c r="W154" s="52"/>
      <c r="X154" s="52"/>
      <c r="Y154" s="52"/>
      <c r="Z154" s="52"/>
      <c r="AA154" s="52"/>
      <c r="AB154" s="52"/>
      <c r="AC154" s="52"/>
      <c r="AD154" s="52"/>
      <c r="AE154" s="52"/>
      <c r="AF154" s="52"/>
      <c r="AG154" s="52"/>
      <c r="AH154" s="52"/>
      <c r="AI154" s="52"/>
      <c r="AJ154" s="52"/>
      <c r="AK154" s="52"/>
      <c r="AL154" s="52"/>
      <c r="AM154" s="52"/>
      <c r="AN154" s="52"/>
      <c r="AO154" s="52"/>
      <c r="AP154" s="52"/>
      <c r="AQ154" s="52"/>
      <c r="AR154" s="52"/>
      <c r="AS154" s="52"/>
      <c r="AT154" s="52"/>
      <c r="AU154" s="52"/>
      <c r="AV154" s="52"/>
      <c r="AW154" s="52"/>
      <c r="AX154" s="52"/>
      <c r="AY154" s="52"/>
      <c r="AZ154" s="52"/>
      <c r="BA154" s="52"/>
      <c r="BB154" s="52"/>
      <c r="BC154" s="52"/>
      <c r="BD154" s="52"/>
      <c r="BE154" s="52"/>
      <c r="BF154" s="98"/>
      <c r="BG154" s="52"/>
      <c r="BH154" s="52"/>
      <c r="BI154" s="52"/>
      <c r="BJ154" s="52"/>
      <c r="BK154" s="52"/>
      <c r="BL154" s="52"/>
      <c r="BM154" s="52"/>
      <c r="BN154" s="52"/>
      <c r="BO154" s="52"/>
      <c r="BP154" s="52"/>
      <c r="BQ154" s="52"/>
      <c r="BR154" s="57"/>
    </row>
    <row r="155" spans="1:87" ht="15" customHeight="1" x14ac:dyDescent="0.2">
      <c r="A155" s="2">
        <v>62009032</v>
      </c>
      <c r="B155" s="58" t="s">
        <v>113</v>
      </c>
      <c r="C155" s="58" t="s">
        <v>98</v>
      </c>
      <c r="D155" s="59" t="s">
        <v>261</v>
      </c>
      <c r="E155" s="60" t="s">
        <v>262</v>
      </c>
      <c r="F155" s="61" t="str">
        <f t="shared" si="137"/>
        <v>09/21/20</v>
      </c>
      <c r="G155" s="62" t="s">
        <v>263</v>
      </c>
      <c r="H155" s="62" t="s">
        <v>110</v>
      </c>
      <c r="I155" s="63"/>
      <c r="J155" s="64">
        <v>23.227813999999999</v>
      </c>
      <c r="K155" s="64">
        <v>44.832265</v>
      </c>
      <c r="L155" s="64">
        <v>29.680702</v>
      </c>
      <c r="M155" s="64">
        <v>24.322528999999999</v>
      </c>
      <c r="N155" s="65">
        <v>3875</v>
      </c>
      <c r="O155" s="65">
        <v>28.39</v>
      </c>
      <c r="P155" s="65">
        <v>0.20169999999999999</v>
      </c>
      <c r="Q155" s="65">
        <v>1.932E-2</v>
      </c>
      <c r="R155" s="66">
        <v>3.5812789700000001</v>
      </c>
      <c r="S155" s="66">
        <f>R155+R154</f>
        <v>3.5812789700000001</v>
      </c>
      <c r="T155" s="67">
        <v>97.225769999999997</v>
      </c>
      <c r="U155" s="67">
        <v>96.276661000000004</v>
      </c>
      <c r="V155" s="68">
        <v>34033</v>
      </c>
      <c r="W155" s="68">
        <v>34739</v>
      </c>
      <c r="X155" s="68">
        <f>W155-V155</f>
        <v>706</v>
      </c>
      <c r="Y155" s="68">
        <f t="shared" ref="Y155:Y173" si="153">X155/$R155</f>
        <v>197.13627614996997</v>
      </c>
      <c r="Z155" s="69">
        <v>1016.1</v>
      </c>
      <c r="AA155" s="68">
        <v>1048.5999999999999</v>
      </c>
      <c r="AB155" s="68">
        <f>AA155-Z155</f>
        <v>32.499999999999886</v>
      </c>
      <c r="AC155" s="68">
        <f t="shared" ref="AC155:AC173" si="154">AB155/$R155</f>
        <v>9.0749702193682733</v>
      </c>
      <c r="AD155" s="69">
        <v>806.25952500000005</v>
      </c>
      <c r="AE155" s="68">
        <v>834.78</v>
      </c>
      <c r="AF155" s="68">
        <f>AE155-AD155</f>
        <v>28.520474999999919</v>
      </c>
      <c r="AG155" s="68">
        <f t="shared" ref="AG155:AG173" si="155">AF155/$R155</f>
        <v>7.9637680389919243</v>
      </c>
      <c r="AH155" s="69">
        <v>-0.91952500000000004</v>
      </c>
      <c r="AI155" s="68">
        <v>-8.61</v>
      </c>
      <c r="AJ155" s="68">
        <f>AI155-AH155</f>
        <v>-7.6904749999999993</v>
      </c>
      <c r="AK155" s="70">
        <f t="shared" ref="AK155:AK173" si="156">AJ155/$R155</f>
        <v>-2.1474102030091218</v>
      </c>
      <c r="AL155" s="69">
        <v>-59.2</v>
      </c>
      <c r="AM155" s="68">
        <v>-61.4</v>
      </c>
      <c r="AN155" s="68">
        <f>AM155-AL155</f>
        <v>-2.1999999999999957</v>
      </c>
      <c r="AO155" s="70">
        <f t="shared" ref="AO155:AO173" si="157">AN155/$R155</f>
        <v>-0.61430567638800715</v>
      </c>
      <c r="AP155" s="69">
        <v>-71</v>
      </c>
      <c r="AQ155" s="68">
        <v>-73.8</v>
      </c>
      <c r="AR155" s="68">
        <f>AQ155-AP155</f>
        <v>-2.7999999999999972</v>
      </c>
      <c r="AS155" s="70">
        <f t="shared" ref="AS155:AS173" si="158">AR155/$R155</f>
        <v>-0.78184358813019172</v>
      </c>
      <c r="AT155" s="69">
        <v>70.5</v>
      </c>
      <c r="AU155" s="68">
        <v>71.5</v>
      </c>
      <c r="AV155" s="68">
        <f>AU155-AT155</f>
        <v>1</v>
      </c>
      <c r="AW155" s="70">
        <f t="shared" ref="AW155:AW173" si="159">AV155/$R155</f>
        <v>0.27922985290364016</v>
      </c>
      <c r="AX155" s="69">
        <v>-848</v>
      </c>
      <c r="AY155" s="68">
        <v>-142</v>
      </c>
      <c r="AZ155" s="68">
        <f>AY155-AX155</f>
        <v>706</v>
      </c>
      <c r="BA155" s="70">
        <f t="shared" ref="BA155:BA173" si="160">AZ155/$R155</f>
        <v>197.13627614996997</v>
      </c>
      <c r="BB155" s="69">
        <v>37917.5</v>
      </c>
      <c r="BC155" s="68">
        <v>37918.199999999997</v>
      </c>
      <c r="BD155" s="68">
        <f>BC155-BB155</f>
        <v>0.69999999999708962</v>
      </c>
      <c r="BE155" s="70">
        <f t="shared" ref="BE155:BE173" si="161">BD155/$R155</f>
        <v>0.19546089703173544</v>
      </c>
      <c r="BF155" s="69">
        <v>-37530.199999999997</v>
      </c>
      <c r="BG155" s="68">
        <v>-37530.199999999997</v>
      </c>
      <c r="BH155" s="68">
        <f>BG155-BF155</f>
        <v>0</v>
      </c>
      <c r="BI155" s="70">
        <f t="shared" ref="BI155:BI173" si="162">BH155/$R155</f>
        <v>0</v>
      </c>
      <c r="BJ155" s="71">
        <v>97.225769999999997</v>
      </c>
      <c r="BK155" s="71">
        <v>96.276661000000004</v>
      </c>
      <c r="BL155" s="71">
        <f>BK155-BJ155</f>
        <v>-0.94910899999999288</v>
      </c>
      <c r="BM155" s="72">
        <v>-37530.199999999997</v>
      </c>
      <c r="BN155" s="73">
        <v>-37530.199999999997</v>
      </c>
      <c r="BO155" s="73">
        <f>BN155-BM155</f>
        <v>0</v>
      </c>
      <c r="BP155" s="72">
        <v>37917.5</v>
      </c>
      <c r="BQ155" s="73">
        <v>37918.199999999997</v>
      </c>
      <c r="BR155" s="73">
        <f>BQ155-BP155</f>
        <v>0.69999999999708962</v>
      </c>
      <c r="BS155" s="71"/>
      <c r="BT155" s="71"/>
      <c r="BU155" s="71"/>
      <c r="BV155" s="71"/>
      <c r="BW155" s="62" t="s">
        <v>192</v>
      </c>
      <c r="BX155" s="5">
        <v>2203.62608525</v>
      </c>
      <c r="BY155" s="5">
        <v>-1.2092180400000001</v>
      </c>
      <c r="BZ155" s="5">
        <v>2024.0339335399999</v>
      </c>
      <c r="CA155" s="5">
        <v>2048.8084954999999</v>
      </c>
      <c r="CB155" s="5">
        <v>2.9309506299999999</v>
      </c>
      <c r="CC155" s="5">
        <v>2.9658637900000002</v>
      </c>
      <c r="CD155" s="5">
        <v>-0.27318502</v>
      </c>
      <c r="CE155" s="5">
        <v>3.5811695600000002</v>
      </c>
      <c r="CF155" s="5">
        <v>3.5909795799999999</v>
      </c>
      <c r="CG155" s="5">
        <v>-0.91474979999999995</v>
      </c>
      <c r="CH155" s="5">
        <v>-1.17716669</v>
      </c>
      <c r="CI155" s="5">
        <v>0.59140808</v>
      </c>
    </row>
    <row r="156" spans="1:87" ht="15" customHeight="1" x14ac:dyDescent="0.2">
      <c r="A156" s="2">
        <v>62009032</v>
      </c>
      <c r="B156" s="58" t="s">
        <v>117</v>
      </c>
      <c r="C156" s="58" t="s">
        <v>104</v>
      </c>
      <c r="D156" s="59" t="s">
        <v>261</v>
      </c>
      <c r="E156" s="60" t="s">
        <v>262</v>
      </c>
      <c r="F156" s="61" t="str">
        <f t="shared" si="137"/>
        <v>09/21/20</v>
      </c>
      <c r="G156" s="62" t="s">
        <v>263</v>
      </c>
      <c r="H156" s="62" t="s">
        <v>110</v>
      </c>
      <c r="I156" s="63"/>
      <c r="J156" s="64">
        <v>21.837198999999998</v>
      </c>
      <c r="K156" s="64">
        <v>45.774968000000001</v>
      </c>
      <c r="L156" s="64">
        <v>29.679614000000001</v>
      </c>
      <c r="M156" s="64">
        <v>26.185936000000002</v>
      </c>
      <c r="N156" s="65">
        <v>3875</v>
      </c>
      <c r="O156" s="65">
        <v>28.39</v>
      </c>
      <c r="P156" s="65">
        <v>0.20169999999999999</v>
      </c>
      <c r="Q156" s="65">
        <v>1.932E-2</v>
      </c>
      <c r="R156" s="66">
        <v>3.8450805699999999</v>
      </c>
      <c r="S156" s="66">
        <f>R156+R155</f>
        <v>7.42635954</v>
      </c>
      <c r="T156" s="67">
        <v>96.276661000000004</v>
      </c>
      <c r="U156" s="67">
        <v>95.506080999999995</v>
      </c>
      <c r="V156" s="68">
        <v>34739</v>
      </c>
      <c r="W156" s="68">
        <v>35310</v>
      </c>
      <c r="X156" s="68">
        <f>W156-V156</f>
        <v>571</v>
      </c>
      <c r="Y156" s="68">
        <f t="shared" si="153"/>
        <v>148.50143959402129</v>
      </c>
      <c r="Z156" s="69">
        <v>1048.5999999999999</v>
      </c>
      <c r="AA156" s="68">
        <v>1085.0999999999999</v>
      </c>
      <c r="AB156" s="68">
        <f>AA156-Z156</f>
        <v>36.5</v>
      </c>
      <c r="AC156" s="68">
        <f t="shared" si="154"/>
        <v>9.4926489407736909</v>
      </c>
      <c r="AD156" s="69">
        <v>834.78921400000002</v>
      </c>
      <c r="AE156" s="68">
        <v>865.72</v>
      </c>
      <c r="AF156" s="68">
        <f>AE156-AD156</f>
        <v>30.930786000000012</v>
      </c>
      <c r="AG156" s="68">
        <f t="shared" si="155"/>
        <v>8.0442491221972006</v>
      </c>
      <c r="AH156" s="69">
        <v>-8.61</v>
      </c>
      <c r="AI156" s="68">
        <v>-6.31</v>
      </c>
      <c r="AJ156" s="68">
        <f>AI156-AH156</f>
        <v>2.2999999999999998</v>
      </c>
      <c r="AK156" s="70">
        <f t="shared" si="156"/>
        <v>0.59816691955560242</v>
      </c>
      <c r="AL156" s="69">
        <v>-61.4</v>
      </c>
      <c r="AM156" s="68">
        <v>-65.2</v>
      </c>
      <c r="AN156" s="68">
        <f>AM156-AL156</f>
        <v>-3.8000000000000043</v>
      </c>
      <c r="AO156" s="70">
        <f t="shared" si="157"/>
        <v>-0.98827578013534434</v>
      </c>
      <c r="AP156" s="69">
        <v>-73.8</v>
      </c>
      <c r="AQ156" s="68">
        <v>-78.5</v>
      </c>
      <c r="AR156" s="68">
        <f>AQ156-AP156</f>
        <v>-4.7000000000000028</v>
      </c>
      <c r="AS156" s="70">
        <f t="shared" si="158"/>
        <v>-1.2223410964831884</v>
      </c>
      <c r="AT156" s="69">
        <v>71.5</v>
      </c>
      <c r="AU156" s="68">
        <v>73</v>
      </c>
      <c r="AV156" s="68">
        <f>AU156-AT156</f>
        <v>1.5</v>
      </c>
      <c r="AW156" s="70">
        <f t="shared" si="159"/>
        <v>0.39010886057974076</v>
      </c>
      <c r="AX156" s="69">
        <v>-142</v>
      </c>
      <c r="AY156" s="68">
        <v>426</v>
      </c>
      <c r="AZ156" s="68">
        <f>AY156-AX156</f>
        <v>568</v>
      </c>
      <c r="BA156" s="70">
        <f t="shared" si="160"/>
        <v>147.72122187286183</v>
      </c>
      <c r="BB156" s="69">
        <v>37918.199999999997</v>
      </c>
      <c r="BC156" s="68">
        <v>37919.4</v>
      </c>
      <c r="BD156" s="68">
        <f>BC156-BB156</f>
        <v>1.2000000000043656</v>
      </c>
      <c r="BE156" s="70">
        <f t="shared" si="161"/>
        <v>0.31208708846492794</v>
      </c>
      <c r="BF156" s="69">
        <v>-37530.199999999997</v>
      </c>
      <c r="BG156" s="68">
        <v>-37530.199999999997</v>
      </c>
      <c r="BH156" s="68">
        <f>BG156-BF156</f>
        <v>0</v>
      </c>
      <c r="BI156" s="70">
        <f t="shared" si="162"/>
        <v>0</v>
      </c>
      <c r="BJ156" s="71">
        <v>96.276661000000004</v>
      </c>
      <c r="BK156" s="71">
        <v>95.506080999999995</v>
      </c>
      <c r="BL156" s="71">
        <f>BK156-BJ156</f>
        <v>-0.77058000000000959</v>
      </c>
      <c r="BM156" s="72">
        <v>-37530.199999999997</v>
      </c>
      <c r="BN156" s="73">
        <v>-37530.199999999997</v>
      </c>
      <c r="BO156" s="73">
        <f>BN156-BM156</f>
        <v>0</v>
      </c>
      <c r="BP156" s="72">
        <v>37918.199999999997</v>
      </c>
      <c r="BQ156" s="73">
        <v>37919.4</v>
      </c>
      <c r="BR156" s="73">
        <f>BQ156-BP156</f>
        <v>1.2000000000043656</v>
      </c>
      <c r="BS156" s="71"/>
      <c r="BT156" s="71"/>
      <c r="BU156" s="71"/>
      <c r="BV156" s="71"/>
      <c r="BW156" s="62" t="s">
        <v>192</v>
      </c>
      <c r="BX156" s="5">
        <v>1348.2469040399999</v>
      </c>
      <c r="BY156" s="5">
        <v>-1.19250539</v>
      </c>
      <c r="BZ156" s="5">
        <v>3375.38460437</v>
      </c>
      <c r="CA156" s="5">
        <v>3416.1220438800001</v>
      </c>
      <c r="CB156" s="5">
        <v>2.7032826600000002</v>
      </c>
      <c r="CC156" s="5">
        <v>2.74165416</v>
      </c>
      <c r="CD156" s="5">
        <v>-0.38669382000000002</v>
      </c>
      <c r="CE156" s="5">
        <v>3.8449045399999999</v>
      </c>
      <c r="CF156" s="5">
        <v>3.8598302699999998</v>
      </c>
      <c r="CG156" s="5">
        <v>-1.0272579100000001</v>
      </c>
      <c r="CH156" s="5">
        <v>-1.3995744800000001</v>
      </c>
      <c r="CI156" s="5">
        <v>0.71727229000000003</v>
      </c>
    </row>
    <row r="157" spans="1:87" ht="15" customHeight="1" x14ac:dyDescent="0.2">
      <c r="A157" s="2">
        <v>62009032</v>
      </c>
      <c r="B157" s="58" t="s">
        <v>118</v>
      </c>
      <c r="C157" s="58" t="s">
        <v>119</v>
      </c>
      <c r="D157" s="59" t="s">
        <v>261</v>
      </c>
      <c r="E157" s="60" t="s">
        <v>262</v>
      </c>
      <c r="F157" s="61" t="str">
        <f t="shared" si="137"/>
        <v>09/21/20</v>
      </c>
      <c r="G157" s="62" t="s">
        <v>263</v>
      </c>
      <c r="H157" s="62" t="s">
        <v>110</v>
      </c>
      <c r="I157" s="63"/>
      <c r="J157" s="74">
        <f>AVERAGE(J155:J156)</f>
        <v>22.532506499999997</v>
      </c>
      <c r="K157" s="74">
        <f>AVERAGE(K155:K156)</f>
        <v>45.303616500000004</v>
      </c>
      <c r="L157" s="74">
        <f>AVERAGE(L155:L156)</f>
        <v>29.680157999999999</v>
      </c>
      <c r="M157" s="74">
        <f>AVERAGE(M155:M156)</f>
        <v>25.254232500000001</v>
      </c>
      <c r="N157" s="75"/>
      <c r="O157" s="65"/>
      <c r="P157" s="76"/>
      <c r="Q157" s="77"/>
      <c r="R157" s="78">
        <f>R156+R155</f>
        <v>7.42635954</v>
      </c>
      <c r="S157" s="78">
        <f>S156</f>
        <v>7.42635954</v>
      </c>
      <c r="T157" s="79">
        <f>T155</f>
        <v>97.225769999999997</v>
      </c>
      <c r="U157" s="79">
        <f>U156</f>
        <v>95.506080999999995</v>
      </c>
      <c r="V157" s="80">
        <f>V155</f>
        <v>34033</v>
      </c>
      <c r="W157" s="80">
        <f>W156</f>
        <v>35310</v>
      </c>
      <c r="X157" s="80">
        <f>SUM(X155:X156)</f>
        <v>1277</v>
      </c>
      <c r="Y157" s="80">
        <f t="shared" si="153"/>
        <v>171.95504649644258</v>
      </c>
      <c r="Z157" s="80">
        <f>Z155</f>
        <v>1016.1</v>
      </c>
      <c r="AA157" s="80">
        <f>AA156</f>
        <v>1085.0999999999999</v>
      </c>
      <c r="AB157" s="80">
        <f>SUM(AB155:AB156)</f>
        <v>68.999999999999886</v>
      </c>
      <c r="AC157" s="80">
        <f t="shared" si="154"/>
        <v>9.2912280409197496</v>
      </c>
      <c r="AD157" s="80">
        <f>AD155</f>
        <v>806.25952500000005</v>
      </c>
      <c r="AE157" s="80">
        <f>AE156</f>
        <v>865.72</v>
      </c>
      <c r="AF157" s="80">
        <f>SUM(AF155:AF156)</f>
        <v>59.451260999999931</v>
      </c>
      <c r="AG157" s="80">
        <f t="shared" si="155"/>
        <v>8.005438018423753</v>
      </c>
      <c r="AH157" s="80">
        <f>AH155</f>
        <v>-0.91952500000000004</v>
      </c>
      <c r="AI157" s="80">
        <f>AI156</f>
        <v>-6.31</v>
      </c>
      <c r="AJ157" s="80">
        <f>SUM(AJ155:AJ156)</f>
        <v>-5.3904749999999995</v>
      </c>
      <c r="AK157" s="81">
        <f t="shared" si="156"/>
        <v>-0.72585699237502843</v>
      </c>
      <c r="AL157" s="80">
        <f>AL155</f>
        <v>-59.2</v>
      </c>
      <c r="AM157" s="80">
        <f>AM156</f>
        <v>-65.2</v>
      </c>
      <c r="AN157" s="80">
        <f>SUM(AN155:AN156)</f>
        <v>-6</v>
      </c>
      <c r="AO157" s="81">
        <f t="shared" si="157"/>
        <v>-0.80793287312345774</v>
      </c>
      <c r="AP157" s="80">
        <f>AP155</f>
        <v>-71</v>
      </c>
      <c r="AQ157" s="80">
        <f>AQ156</f>
        <v>-78.5</v>
      </c>
      <c r="AR157" s="80">
        <f>SUM(AR155:AR156)</f>
        <v>-7.5</v>
      </c>
      <c r="AS157" s="81">
        <f t="shared" si="158"/>
        <v>-1.0099160914043221</v>
      </c>
      <c r="AT157" s="80">
        <f>AT155</f>
        <v>70.5</v>
      </c>
      <c r="AU157" s="80">
        <f>AU156</f>
        <v>73</v>
      </c>
      <c r="AV157" s="80">
        <f>SUM(AV155:AV156)</f>
        <v>2.5</v>
      </c>
      <c r="AW157" s="81">
        <f t="shared" si="159"/>
        <v>0.33663869713477407</v>
      </c>
      <c r="AX157" s="80">
        <f>AX155</f>
        <v>-848</v>
      </c>
      <c r="AY157" s="80">
        <f>AY156</f>
        <v>426</v>
      </c>
      <c r="AZ157" s="80">
        <f>SUM(AZ155:AZ156)</f>
        <v>1274</v>
      </c>
      <c r="BA157" s="81">
        <f t="shared" si="160"/>
        <v>171.55108005988086</v>
      </c>
      <c r="BB157" s="80">
        <f>BB155</f>
        <v>37917.5</v>
      </c>
      <c r="BC157" s="80">
        <f>BC156</f>
        <v>37919.4</v>
      </c>
      <c r="BD157" s="80">
        <f>SUM(BD155:BD156)</f>
        <v>1.9000000000014552</v>
      </c>
      <c r="BE157" s="81">
        <f t="shared" si="161"/>
        <v>0.25584540982262421</v>
      </c>
      <c r="BF157" s="80">
        <f>BF155</f>
        <v>-37530.199999999997</v>
      </c>
      <c r="BG157" s="80">
        <f>BG156</f>
        <v>-37530.199999999997</v>
      </c>
      <c r="BH157" s="80">
        <f>SUM(BH155:BH156)</f>
        <v>0</v>
      </c>
      <c r="BI157" s="81">
        <f t="shared" si="162"/>
        <v>0</v>
      </c>
      <c r="BJ157" s="82"/>
      <c r="BK157" s="82"/>
      <c r="BL157" s="82">
        <f>SUM(BL155:BL156)</f>
        <v>-1.7196890000000025</v>
      </c>
      <c r="BM157" s="83">
        <f>BM155</f>
        <v>-37530.199999999997</v>
      </c>
      <c r="BN157" s="83">
        <f>BN156</f>
        <v>-37530.199999999997</v>
      </c>
      <c r="BO157" s="83">
        <f>SUM(BO155:BO156)</f>
        <v>0</v>
      </c>
      <c r="BP157" s="83">
        <f>BP155</f>
        <v>37917.5</v>
      </c>
      <c r="BQ157" s="83">
        <f>BQ156</f>
        <v>37919.4</v>
      </c>
      <c r="BR157" s="83">
        <f>SUM(BR155:BR156)</f>
        <v>1.9000000000014552</v>
      </c>
      <c r="BS157" s="82"/>
      <c r="BT157" s="82"/>
      <c r="BU157" s="82"/>
      <c r="BV157" s="82"/>
      <c r="BW157" s="62" t="s">
        <v>192</v>
      </c>
    </row>
    <row r="158" spans="1:87" ht="15" customHeight="1" x14ac:dyDescent="0.2">
      <c r="A158" s="2">
        <v>62009032</v>
      </c>
      <c r="B158" s="58" t="s">
        <v>121</v>
      </c>
      <c r="C158" s="58" t="s">
        <v>105</v>
      </c>
      <c r="D158" s="59" t="s">
        <v>261</v>
      </c>
      <c r="E158" s="60" t="s">
        <v>262</v>
      </c>
      <c r="F158" s="61" t="str">
        <f t="shared" si="137"/>
        <v>09/21/20</v>
      </c>
      <c r="G158" s="62" t="s">
        <v>263</v>
      </c>
      <c r="H158" s="62" t="s">
        <v>110</v>
      </c>
      <c r="I158" s="63"/>
      <c r="J158" s="64">
        <v>22.615224000000001</v>
      </c>
      <c r="K158" s="64">
        <v>43.753242999999998</v>
      </c>
      <c r="L158" s="64">
        <v>29.682278</v>
      </c>
      <c r="M158" s="64">
        <v>26.73922</v>
      </c>
      <c r="N158" s="65">
        <v>3875</v>
      </c>
      <c r="O158" s="65">
        <v>28.39</v>
      </c>
      <c r="P158" s="65">
        <v>0.20169999999999999</v>
      </c>
      <c r="Q158" s="65">
        <v>1.932E-2</v>
      </c>
      <c r="R158" s="66">
        <v>3.5824305299999999</v>
      </c>
      <c r="S158" s="66">
        <f>R158+R157</f>
        <v>11.00879007</v>
      </c>
      <c r="T158" s="67">
        <v>95.506080999999995</v>
      </c>
      <c r="U158" s="67">
        <v>94.607326</v>
      </c>
      <c r="V158" s="68">
        <v>35310</v>
      </c>
      <c r="W158" s="68">
        <v>35972</v>
      </c>
      <c r="X158" s="68">
        <f>W158-V158</f>
        <v>662</v>
      </c>
      <c r="Y158" s="68">
        <f t="shared" si="153"/>
        <v>184.79074317178734</v>
      </c>
      <c r="Z158" s="69">
        <v>1085.2</v>
      </c>
      <c r="AA158" s="68">
        <v>1108.0999999999999</v>
      </c>
      <c r="AB158" s="68">
        <f>AA158-Z158</f>
        <v>22.899999999999864</v>
      </c>
      <c r="AC158" s="68">
        <f t="shared" si="154"/>
        <v>6.3923081852475905</v>
      </c>
      <c r="AD158" s="69">
        <v>865.80881999999997</v>
      </c>
      <c r="AE158" s="68">
        <v>885.38</v>
      </c>
      <c r="AF158" s="68">
        <f>AE158-AD158</f>
        <v>19.571180000000027</v>
      </c>
      <c r="AG158" s="68">
        <f t="shared" si="155"/>
        <v>5.4631010527927888</v>
      </c>
      <c r="AH158" s="69">
        <v>-6.31</v>
      </c>
      <c r="AI158" s="68">
        <v>-6.12</v>
      </c>
      <c r="AJ158" s="68">
        <f>AI158-AH158</f>
        <v>0.1899999999999995</v>
      </c>
      <c r="AK158" s="70">
        <f t="shared" si="156"/>
        <v>5.3036618130875381E-2</v>
      </c>
      <c r="AL158" s="69">
        <v>-65.2</v>
      </c>
      <c r="AM158" s="68">
        <v>-67.400000000000006</v>
      </c>
      <c r="AN158" s="68">
        <f>AM158-AL158</f>
        <v>-2.2000000000000028</v>
      </c>
      <c r="AO158" s="70">
        <f t="shared" si="157"/>
        <v>-0.61410820993645421</v>
      </c>
      <c r="AP158" s="69">
        <v>-78.5</v>
      </c>
      <c r="AQ158" s="68">
        <v>-81.2</v>
      </c>
      <c r="AR158" s="68">
        <f>AQ158-AP158</f>
        <v>-2.7000000000000028</v>
      </c>
      <c r="AS158" s="70">
        <f t="shared" si="158"/>
        <v>-0.75367825764928453</v>
      </c>
      <c r="AT158" s="69">
        <v>73</v>
      </c>
      <c r="AU158" s="68">
        <v>73.900000000000006</v>
      </c>
      <c r="AV158" s="68">
        <f>AU158-AT158</f>
        <v>0.90000000000000568</v>
      </c>
      <c r="AW158" s="70">
        <f t="shared" si="159"/>
        <v>0.25122608588309614</v>
      </c>
      <c r="AX158" s="69">
        <v>427</v>
      </c>
      <c r="AY158" s="68">
        <v>1088</v>
      </c>
      <c r="AZ158" s="68">
        <f>AY158-AX158</f>
        <v>661</v>
      </c>
      <c r="BA158" s="70">
        <f t="shared" si="160"/>
        <v>184.51160307636169</v>
      </c>
      <c r="BB158" s="69">
        <v>37919.4</v>
      </c>
      <c r="BC158" s="68">
        <v>37920.1</v>
      </c>
      <c r="BD158" s="68">
        <f>BC158-BB158</f>
        <v>0.69999999999708962</v>
      </c>
      <c r="BE158" s="70">
        <f t="shared" si="161"/>
        <v>0.19539806679715005</v>
      </c>
      <c r="BF158" s="69">
        <v>-37530.199999999997</v>
      </c>
      <c r="BG158" s="68">
        <v>-37530.199999999997</v>
      </c>
      <c r="BH158" s="68">
        <f>BG158-BF158</f>
        <v>0</v>
      </c>
      <c r="BI158" s="70">
        <f t="shared" si="162"/>
        <v>0</v>
      </c>
      <c r="BJ158" s="71">
        <v>95.506080999999995</v>
      </c>
      <c r="BK158" s="71">
        <v>94.607326</v>
      </c>
      <c r="BL158" s="71">
        <f>BK158-BJ158</f>
        <v>-0.8987549999999942</v>
      </c>
      <c r="BM158" s="72">
        <v>-37530.199999999997</v>
      </c>
      <c r="BN158" s="73">
        <v>-37530.199999999997</v>
      </c>
      <c r="BO158" s="73">
        <f>BN158-BM158</f>
        <v>0</v>
      </c>
      <c r="BP158" s="72">
        <v>37919.4</v>
      </c>
      <c r="BQ158" s="73">
        <v>37920.1</v>
      </c>
      <c r="BR158" s="73">
        <f>BQ158-BP158</f>
        <v>0.69999999999708962</v>
      </c>
      <c r="BS158" s="71"/>
      <c r="BT158" s="71"/>
      <c r="BU158" s="71"/>
      <c r="BV158" s="71"/>
      <c r="BW158" s="62" t="s">
        <v>192</v>
      </c>
      <c r="BX158" s="5">
        <v>2198.88707363</v>
      </c>
      <c r="BY158" s="5">
        <v>-0.9979266</v>
      </c>
      <c r="BZ158" s="5">
        <v>2028.2436330800001</v>
      </c>
      <c r="CA158" s="5">
        <v>2048.6880359400002</v>
      </c>
      <c r="CB158" s="5">
        <v>2.93171034</v>
      </c>
      <c r="CC158" s="5">
        <v>2.9657128799999999</v>
      </c>
      <c r="CD158" s="5">
        <v>-0.23973190999999999</v>
      </c>
      <c r="CE158" s="5">
        <v>3.5823707699999998</v>
      </c>
      <c r="CF158" s="5">
        <v>3.5909794900000001</v>
      </c>
      <c r="CG158" s="5">
        <v>-0.91730690999999998</v>
      </c>
      <c r="CH158" s="5">
        <v>-1.1465217000000001</v>
      </c>
      <c r="CI158" s="5">
        <v>0.59138648000000005</v>
      </c>
    </row>
    <row r="159" spans="1:87" ht="15" customHeight="1" x14ac:dyDescent="0.2">
      <c r="A159" s="2">
        <v>62009032</v>
      </c>
      <c r="B159" s="58" t="s">
        <v>123</v>
      </c>
      <c r="C159" s="58" t="s">
        <v>122</v>
      </c>
      <c r="D159" s="59" t="s">
        <v>261</v>
      </c>
      <c r="E159" s="60" t="s">
        <v>262</v>
      </c>
      <c r="F159" s="61" t="str">
        <f t="shared" si="137"/>
        <v>09/21/20</v>
      </c>
      <c r="G159" s="62" t="s">
        <v>263</v>
      </c>
      <c r="H159" s="62" t="s">
        <v>110</v>
      </c>
      <c r="I159" s="63"/>
      <c r="J159" s="64">
        <v>21.173069999999999</v>
      </c>
      <c r="K159" s="64">
        <v>47.651327000000002</v>
      </c>
      <c r="L159" s="64">
        <v>29.681301999999999</v>
      </c>
      <c r="M159" s="64">
        <v>26.952403</v>
      </c>
      <c r="N159" s="65">
        <v>3875</v>
      </c>
      <c r="O159" s="65">
        <v>28.39</v>
      </c>
      <c r="P159" s="65">
        <v>0.20169999999999999</v>
      </c>
      <c r="Q159" s="65">
        <v>1.932E-2</v>
      </c>
      <c r="R159" s="66">
        <v>3.84524774</v>
      </c>
      <c r="S159" s="66">
        <f>R159+R158</f>
        <v>7.4276782699999995</v>
      </c>
      <c r="T159" s="67">
        <v>94.607326</v>
      </c>
      <c r="U159" s="67">
        <v>93.841324</v>
      </c>
      <c r="V159" s="68">
        <v>35972</v>
      </c>
      <c r="W159" s="68">
        <v>36536</v>
      </c>
      <c r="X159" s="68">
        <f>W159-V159</f>
        <v>564</v>
      </c>
      <c r="Y159" s="68">
        <f t="shared" si="153"/>
        <v>146.67455470632433</v>
      </c>
      <c r="Z159" s="69">
        <v>1108.0999999999999</v>
      </c>
      <c r="AA159" s="68">
        <v>1146.7</v>
      </c>
      <c r="AB159" s="68">
        <f>AA159-Z159</f>
        <v>38.600000000000136</v>
      </c>
      <c r="AC159" s="68">
        <f t="shared" si="154"/>
        <v>10.03836491429812</v>
      </c>
      <c r="AD159" s="69">
        <v>885.39</v>
      </c>
      <c r="AE159" s="68">
        <v>918.36</v>
      </c>
      <c r="AF159" s="68">
        <f>AE159-AD159</f>
        <v>32.970000000000027</v>
      </c>
      <c r="AG159" s="68">
        <f t="shared" si="155"/>
        <v>8.5742199799069461</v>
      </c>
      <c r="AH159" s="69">
        <v>-6.12</v>
      </c>
      <c r="AI159" s="68">
        <v>-6</v>
      </c>
      <c r="AJ159" s="68">
        <f>AI159-AH159</f>
        <v>0.12000000000000011</v>
      </c>
      <c r="AK159" s="70">
        <f t="shared" si="156"/>
        <v>3.1207352065175418E-2</v>
      </c>
      <c r="AL159" s="69">
        <v>-67.400000000000006</v>
      </c>
      <c r="AM159" s="68">
        <v>-71.3</v>
      </c>
      <c r="AN159" s="68">
        <f>AM159-AL159</f>
        <v>-3.8999999999999915</v>
      </c>
      <c r="AO159" s="70">
        <f t="shared" si="157"/>
        <v>-1.0142389421181979</v>
      </c>
      <c r="AP159" s="69">
        <v>-81.2</v>
      </c>
      <c r="AQ159" s="68">
        <v>-85.9</v>
      </c>
      <c r="AR159" s="68">
        <f>AQ159-AP159</f>
        <v>-4.7000000000000028</v>
      </c>
      <c r="AS159" s="70">
        <f t="shared" si="158"/>
        <v>-1.2222879558860369</v>
      </c>
      <c r="AT159" s="69">
        <v>73.900000000000006</v>
      </c>
      <c r="AU159" s="68">
        <v>75.5</v>
      </c>
      <c r="AV159" s="68">
        <f>AU159-AT159</f>
        <v>1.5999999999999943</v>
      </c>
      <c r="AW159" s="70">
        <f t="shared" si="159"/>
        <v>0.41609802753567038</v>
      </c>
      <c r="AX159" s="69">
        <v>1088</v>
      </c>
      <c r="AY159" s="68">
        <v>1649</v>
      </c>
      <c r="AZ159" s="68">
        <f>AY159-AX159</f>
        <v>561</v>
      </c>
      <c r="BA159" s="70">
        <f t="shared" si="160"/>
        <v>145.89437090469494</v>
      </c>
      <c r="BB159" s="69">
        <v>37920.1</v>
      </c>
      <c r="BC159" s="68">
        <v>37921.300000000003</v>
      </c>
      <c r="BD159" s="68">
        <f>BC159-BB159</f>
        <v>1.2000000000043656</v>
      </c>
      <c r="BE159" s="70">
        <f t="shared" si="161"/>
        <v>0.31207352065288924</v>
      </c>
      <c r="BF159" s="69">
        <v>-37530.199999999997</v>
      </c>
      <c r="BG159" s="68">
        <v>-37530.199999999997</v>
      </c>
      <c r="BH159" s="68">
        <f>BG159-BF159</f>
        <v>0</v>
      </c>
      <c r="BI159" s="70">
        <f t="shared" si="162"/>
        <v>0</v>
      </c>
      <c r="BJ159" s="71">
        <v>94.607326</v>
      </c>
      <c r="BK159" s="71">
        <v>93.841324</v>
      </c>
      <c r="BL159" s="71">
        <f>BK159-BJ159</f>
        <v>-0.76600200000000029</v>
      </c>
      <c r="BM159" s="72">
        <v>-37530.199999999997</v>
      </c>
      <c r="BN159" s="73">
        <v>-37530.199999999997</v>
      </c>
      <c r="BO159" s="73">
        <f>BN159-BM159</f>
        <v>0</v>
      </c>
      <c r="BP159" s="72">
        <v>37920.1</v>
      </c>
      <c r="BQ159" s="73">
        <v>37921.300000000003</v>
      </c>
      <c r="BR159" s="73">
        <f>BQ159-BP159</f>
        <v>1.2000000000043656</v>
      </c>
      <c r="BS159" s="71"/>
      <c r="BT159" s="71"/>
      <c r="BU159" s="71"/>
      <c r="BV159" s="71"/>
      <c r="BW159" s="62" t="s">
        <v>192</v>
      </c>
      <c r="BX159" s="5">
        <v>1348.3849085899999</v>
      </c>
      <c r="BY159" s="5">
        <v>-1.27195112</v>
      </c>
      <c r="BZ159" s="5">
        <v>3372.5513613799999</v>
      </c>
      <c r="CA159" s="5">
        <v>3416.0012272700001</v>
      </c>
      <c r="CB159" s="5">
        <v>2.70155879</v>
      </c>
      <c r="CC159" s="5">
        <v>2.7415022800000002</v>
      </c>
      <c r="CD159" s="5">
        <v>-0.38264224000000002</v>
      </c>
      <c r="CE159" s="5">
        <v>3.8450600700000002</v>
      </c>
      <c r="CF159" s="5">
        <v>3.8598294100000001</v>
      </c>
      <c r="CG159" s="5">
        <v>-1.09023501</v>
      </c>
      <c r="CH159" s="5">
        <v>-1.4569926</v>
      </c>
      <c r="CI159" s="5">
        <v>0.71727784000000006</v>
      </c>
    </row>
    <row r="160" spans="1:87" ht="15" customHeight="1" x14ac:dyDescent="0.2">
      <c r="A160" s="2">
        <v>62009032</v>
      </c>
      <c r="B160" s="58" t="s">
        <v>125</v>
      </c>
      <c r="C160" s="58" t="s">
        <v>221</v>
      </c>
      <c r="D160" s="59" t="s">
        <v>261</v>
      </c>
      <c r="E160" s="60" t="s">
        <v>262</v>
      </c>
      <c r="F160" s="61" t="str">
        <f t="shared" si="137"/>
        <v>09/21/20</v>
      </c>
      <c r="G160" s="62" t="s">
        <v>263</v>
      </c>
      <c r="H160" s="62" t="s">
        <v>110</v>
      </c>
      <c r="I160" s="63"/>
      <c r="J160" s="74">
        <f>AVERAGE(J158:J159)</f>
        <v>21.894147</v>
      </c>
      <c r="K160" s="74">
        <f>AVERAGE(K158:K159)</f>
        <v>45.702285000000003</v>
      </c>
      <c r="L160" s="74">
        <f>AVERAGE(L158:L159)</f>
        <v>29.681789999999999</v>
      </c>
      <c r="M160" s="74">
        <f>AVERAGE(M158:M159)</f>
        <v>26.8458115</v>
      </c>
      <c r="N160" s="75"/>
      <c r="O160" s="65"/>
      <c r="P160" s="76"/>
      <c r="Q160" s="77"/>
      <c r="R160" s="78">
        <f>R159+R158</f>
        <v>7.4276782699999995</v>
      </c>
      <c r="S160" s="78">
        <f>S159</f>
        <v>7.4276782699999995</v>
      </c>
      <c r="T160" s="79">
        <f>T158</f>
        <v>95.506080999999995</v>
      </c>
      <c r="U160" s="79">
        <f>U159</f>
        <v>93.841324</v>
      </c>
      <c r="V160" s="80">
        <f>V158</f>
        <v>35310</v>
      </c>
      <c r="W160" s="80">
        <f>W159</f>
        <v>36536</v>
      </c>
      <c r="X160" s="80">
        <f>SUM(X158:X159)</f>
        <v>1226</v>
      </c>
      <c r="Y160" s="80">
        <f t="shared" si="153"/>
        <v>165.05830697483887</v>
      </c>
      <c r="Z160" s="80">
        <f>Z158</f>
        <v>1085.2</v>
      </c>
      <c r="AA160" s="80">
        <f>AA159</f>
        <v>1146.7</v>
      </c>
      <c r="AB160" s="80">
        <f>SUM(AB158:AB159)</f>
        <v>61.5</v>
      </c>
      <c r="AC160" s="80">
        <f t="shared" si="154"/>
        <v>8.2798416630934675</v>
      </c>
      <c r="AD160" s="80">
        <f>AD158</f>
        <v>865.80881999999997</v>
      </c>
      <c r="AE160" s="80">
        <f>AE159</f>
        <v>918.36</v>
      </c>
      <c r="AF160" s="80">
        <f>SUM(AF158:AF159)</f>
        <v>52.541180000000054</v>
      </c>
      <c r="AG160" s="80">
        <f t="shared" si="155"/>
        <v>7.0737016453998969</v>
      </c>
      <c r="AH160" s="80">
        <f>AH158</f>
        <v>-6.31</v>
      </c>
      <c r="AI160" s="80">
        <f>AI159</f>
        <v>-6</v>
      </c>
      <c r="AJ160" s="80">
        <f>SUM(AJ158:AJ159)</f>
        <v>0.30999999999999961</v>
      </c>
      <c r="AK160" s="81">
        <f t="shared" si="156"/>
        <v>4.1735787244861322E-2</v>
      </c>
      <c r="AL160" s="80">
        <f>AL158</f>
        <v>-65.2</v>
      </c>
      <c r="AM160" s="80">
        <f>AM159</f>
        <v>-71.3</v>
      </c>
      <c r="AN160" s="80">
        <f>SUM(AN158:AN159)</f>
        <v>-6.0999999999999943</v>
      </c>
      <c r="AO160" s="81">
        <f t="shared" si="157"/>
        <v>-0.82125258772146503</v>
      </c>
      <c r="AP160" s="80">
        <f>AP158</f>
        <v>-78.5</v>
      </c>
      <c r="AQ160" s="80">
        <f>AQ159</f>
        <v>-85.9</v>
      </c>
      <c r="AR160" s="80">
        <f>SUM(AR158:AR159)</f>
        <v>-7.4000000000000057</v>
      </c>
      <c r="AS160" s="81">
        <f t="shared" si="158"/>
        <v>-0.99627363100636912</v>
      </c>
      <c r="AT160" s="80">
        <f>AT158</f>
        <v>73</v>
      </c>
      <c r="AU160" s="80">
        <f>AU159</f>
        <v>75.5</v>
      </c>
      <c r="AV160" s="80">
        <f>SUM(AV158:AV159)</f>
        <v>2.5</v>
      </c>
      <c r="AW160" s="81">
        <f t="shared" si="159"/>
        <v>0.33657892939404338</v>
      </c>
      <c r="AX160" s="80">
        <f>AX158</f>
        <v>427</v>
      </c>
      <c r="AY160" s="80">
        <f>AY159</f>
        <v>1649</v>
      </c>
      <c r="AZ160" s="80">
        <f>SUM(AZ158:AZ159)</f>
        <v>1222</v>
      </c>
      <c r="BA160" s="81">
        <f t="shared" si="160"/>
        <v>164.51978068780841</v>
      </c>
      <c r="BB160" s="80">
        <f>BB158</f>
        <v>37919.4</v>
      </c>
      <c r="BC160" s="80">
        <f>BC159</f>
        <v>37921.300000000003</v>
      </c>
      <c r="BD160" s="80">
        <f>SUM(BD158:BD159)</f>
        <v>1.9000000000014552</v>
      </c>
      <c r="BE160" s="81">
        <f t="shared" si="161"/>
        <v>0.25579998633966888</v>
      </c>
      <c r="BF160" s="80">
        <f>BF158</f>
        <v>-37530.199999999997</v>
      </c>
      <c r="BG160" s="80">
        <f>BG159</f>
        <v>-37530.199999999997</v>
      </c>
      <c r="BH160" s="80">
        <f>SUM(BH158:BH159)</f>
        <v>0</v>
      </c>
      <c r="BI160" s="81">
        <f t="shared" si="162"/>
        <v>0</v>
      </c>
      <c r="BJ160" s="82"/>
      <c r="BK160" s="82"/>
      <c r="BL160" s="82">
        <f>SUM(BL158:BL159)</f>
        <v>-1.6647569999999945</v>
      </c>
      <c r="BM160" s="83">
        <f>BM158</f>
        <v>-37530.199999999997</v>
      </c>
      <c r="BN160" s="83">
        <f>BN159</f>
        <v>-37530.199999999997</v>
      </c>
      <c r="BO160" s="83">
        <f>SUM(BO158:BO159)</f>
        <v>0</v>
      </c>
      <c r="BP160" s="83">
        <f>BP158</f>
        <v>37919.4</v>
      </c>
      <c r="BQ160" s="83">
        <f>BQ159</f>
        <v>37921.300000000003</v>
      </c>
      <c r="BR160" s="83">
        <f>SUM(BR158:BR159)</f>
        <v>1.9000000000014552</v>
      </c>
      <c r="BS160" s="82"/>
      <c r="BT160" s="82"/>
      <c r="BU160" s="82"/>
      <c r="BV160" s="82"/>
      <c r="BW160" s="62" t="s">
        <v>192</v>
      </c>
    </row>
    <row r="161" spans="1:87" ht="15" customHeight="1" x14ac:dyDescent="0.2">
      <c r="A161" s="2">
        <v>62009032</v>
      </c>
      <c r="B161" s="58" t="s">
        <v>120</v>
      </c>
      <c r="C161" s="58" t="s">
        <v>124</v>
      </c>
      <c r="D161" s="59" t="s">
        <v>261</v>
      </c>
      <c r="E161" s="60" t="s">
        <v>262</v>
      </c>
      <c r="F161" s="61" t="str">
        <f t="shared" si="137"/>
        <v>09/21/20</v>
      </c>
      <c r="G161" s="62" t="s">
        <v>263</v>
      </c>
      <c r="H161" s="62" t="s">
        <v>110</v>
      </c>
      <c r="I161" s="63"/>
      <c r="J161" s="64">
        <v>25.296123999999999</v>
      </c>
      <c r="K161" s="64">
        <v>38.071528000000001</v>
      </c>
      <c r="L161" s="64">
        <v>29.69444</v>
      </c>
      <c r="M161" s="64">
        <v>28.269959</v>
      </c>
      <c r="N161" s="65">
        <v>3875</v>
      </c>
      <c r="O161" s="65">
        <v>28.39</v>
      </c>
      <c r="P161" s="65">
        <v>0.20169999999999999</v>
      </c>
      <c r="Q161" s="65">
        <v>1.932E-2</v>
      </c>
      <c r="R161" s="66">
        <v>10.247360370000001</v>
      </c>
      <c r="S161" s="66">
        <f>R161+R160</f>
        <v>17.67503864</v>
      </c>
      <c r="T161" s="67">
        <v>93.839798000000002</v>
      </c>
      <c r="U161" s="67">
        <v>91.042822999999999</v>
      </c>
      <c r="V161" s="68">
        <v>36537</v>
      </c>
      <c r="W161" s="68">
        <v>38593</v>
      </c>
      <c r="X161" s="68">
        <f>W161-V161</f>
        <v>2056</v>
      </c>
      <c r="Y161" s="68">
        <f t="shared" si="153"/>
        <v>200.63703488159848</v>
      </c>
      <c r="Z161" s="69">
        <v>1147.5</v>
      </c>
      <c r="AA161" s="68">
        <v>1190.7</v>
      </c>
      <c r="AB161" s="68">
        <f>AA161-Z161</f>
        <v>43.200000000000045</v>
      </c>
      <c r="AC161" s="68">
        <f t="shared" si="154"/>
        <v>4.2157197990686104</v>
      </c>
      <c r="AD161" s="69">
        <v>919.01838299999997</v>
      </c>
      <c r="AE161" s="68">
        <v>956.69791499999997</v>
      </c>
      <c r="AF161" s="68">
        <f>AE161-AD161</f>
        <v>37.679531999999995</v>
      </c>
      <c r="AG161" s="68">
        <f t="shared" si="155"/>
        <v>3.6769988211120159</v>
      </c>
      <c r="AH161" s="69">
        <v>-6</v>
      </c>
      <c r="AI161" s="68">
        <v>-12.3</v>
      </c>
      <c r="AJ161" s="68">
        <f>AI161-AH161</f>
        <v>-6.3000000000000007</v>
      </c>
      <c r="AK161" s="70">
        <f t="shared" si="156"/>
        <v>-0.61479247069750509</v>
      </c>
      <c r="AL161" s="69">
        <v>-71.3</v>
      </c>
      <c r="AM161" s="68">
        <v>-74.599999999999994</v>
      </c>
      <c r="AN161" s="68">
        <f>AM161-AL161</f>
        <v>-3.2999999999999972</v>
      </c>
      <c r="AO161" s="70">
        <f t="shared" si="157"/>
        <v>-0.32203415131774044</v>
      </c>
      <c r="AP161" s="69">
        <v>-86</v>
      </c>
      <c r="AQ161" s="68">
        <v>-90.1</v>
      </c>
      <c r="AR161" s="68">
        <f>AQ161-AP161</f>
        <v>-4.0999999999999943</v>
      </c>
      <c r="AS161" s="70">
        <f t="shared" si="158"/>
        <v>-0.40010303648567735</v>
      </c>
      <c r="AT161" s="69">
        <v>75.5</v>
      </c>
      <c r="AU161" s="68">
        <v>76.900000000000006</v>
      </c>
      <c r="AV161" s="68">
        <f>AU161-AT161</f>
        <v>1.4000000000000057</v>
      </c>
      <c r="AW161" s="70">
        <f t="shared" si="159"/>
        <v>0.13662054904389057</v>
      </c>
      <c r="AX161" s="69">
        <v>1650</v>
      </c>
      <c r="AY161" s="68">
        <v>3706</v>
      </c>
      <c r="AZ161" s="68">
        <f>AY161-AX161</f>
        <v>2056</v>
      </c>
      <c r="BA161" s="70">
        <f t="shared" si="160"/>
        <v>200.63703488159848</v>
      </c>
      <c r="BB161" s="69">
        <v>37921.300000000003</v>
      </c>
      <c r="BC161" s="68">
        <v>37922.400000000001</v>
      </c>
      <c r="BD161" s="68">
        <f>BC161-BB161</f>
        <v>1.0999999999985448</v>
      </c>
      <c r="BE161" s="70">
        <f t="shared" si="161"/>
        <v>0.10734471710577158</v>
      </c>
      <c r="BF161" s="69">
        <v>-37530.199999999997</v>
      </c>
      <c r="BG161" s="68">
        <v>-37530.199999999997</v>
      </c>
      <c r="BH161" s="68">
        <f>BG161-BF161</f>
        <v>0</v>
      </c>
      <c r="BI161" s="70">
        <f t="shared" si="162"/>
        <v>0</v>
      </c>
      <c r="BJ161" s="71">
        <v>93.839798000000002</v>
      </c>
      <c r="BK161" s="71">
        <v>91.042822999999999</v>
      </c>
      <c r="BL161" s="71">
        <f>BK161-BJ161</f>
        <v>-2.7969750000000033</v>
      </c>
      <c r="BM161" s="72">
        <v>-37530.199999999997</v>
      </c>
      <c r="BN161" s="73">
        <v>-37530.199999999997</v>
      </c>
      <c r="BO161" s="73">
        <f>BN161-BM161</f>
        <v>0</v>
      </c>
      <c r="BP161" s="72">
        <v>37921.300000000003</v>
      </c>
      <c r="BQ161" s="73">
        <v>37922.400000000001</v>
      </c>
      <c r="BR161" s="73">
        <f>BQ161-BP161</f>
        <v>1.0999999999985448</v>
      </c>
      <c r="BS161" s="71"/>
      <c r="BT161" s="71"/>
      <c r="BU161" s="71"/>
      <c r="BV161" s="71"/>
      <c r="BW161" s="62" t="s">
        <v>192</v>
      </c>
      <c r="BX161" s="5">
        <v>1772.42227564</v>
      </c>
      <c r="BY161" s="5">
        <v>2.0589927499999998</v>
      </c>
      <c r="BZ161" s="5">
        <v>1333.6052310499999</v>
      </c>
      <c r="CA161" s="5">
        <v>1306.7003652799999</v>
      </c>
      <c r="CB161" s="5">
        <v>7.3024468100000002</v>
      </c>
      <c r="CC161" s="5">
        <v>7.3153447299999996</v>
      </c>
      <c r="CD161" s="5">
        <v>-9.0165739999999994E-2</v>
      </c>
      <c r="CE161" s="5">
        <v>10.24743239</v>
      </c>
      <c r="CF161" s="5">
        <v>10.2566804</v>
      </c>
      <c r="CG161" s="5">
        <v>-8.6299669999999995E-2</v>
      </c>
      <c r="CH161" s="5">
        <v>-0.17631325</v>
      </c>
      <c r="CI161" s="5">
        <v>0.28264734000000002</v>
      </c>
    </row>
    <row r="162" spans="1:87" ht="15" customHeight="1" x14ac:dyDescent="0.2">
      <c r="A162" s="2">
        <v>62009032</v>
      </c>
      <c r="B162" s="58" t="s">
        <v>127</v>
      </c>
      <c r="C162" s="58" t="s">
        <v>128</v>
      </c>
      <c r="D162" s="59" t="s">
        <v>261</v>
      </c>
      <c r="E162" s="60" t="s">
        <v>262</v>
      </c>
      <c r="F162" s="61" t="str">
        <f t="shared" si="137"/>
        <v>09/21/20</v>
      </c>
      <c r="G162" s="62" t="s">
        <v>263</v>
      </c>
      <c r="H162" s="62" t="s">
        <v>110</v>
      </c>
      <c r="I162" s="63"/>
      <c r="J162" s="64">
        <v>22.851949999999999</v>
      </c>
      <c r="K162" s="64">
        <v>42.058262999999997</v>
      </c>
      <c r="L162" s="64">
        <v>29.680554000000001</v>
      </c>
      <c r="M162" s="64">
        <v>31.008362999999999</v>
      </c>
      <c r="N162" s="65">
        <v>3875</v>
      </c>
      <c r="O162" s="65">
        <v>28.39</v>
      </c>
      <c r="P162" s="65">
        <v>0.20169999999999999</v>
      </c>
      <c r="Q162" s="65">
        <v>1.932E-2</v>
      </c>
      <c r="R162" s="66">
        <v>1.76455625</v>
      </c>
      <c r="S162" s="66">
        <f>R162+R161</f>
        <v>12.011916620000001</v>
      </c>
      <c r="T162" s="67">
        <v>91.041297999999998</v>
      </c>
      <c r="U162" s="67">
        <v>88.103939999999994</v>
      </c>
      <c r="V162" s="68">
        <v>38594</v>
      </c>
      <c r="W162" s="68">
        <v>40719</v>
      </c>
      <c r="X162" s="68">
        <f>W162-V162-X163</f>
        <v>452</v>
      </c>
      <c r="Y162" s="68">
        <f t="shared" si="153"/>
        <v>256.15505314721474</v>
      </c>
      <c r="Z162" s="69">
        <v>1191.3</v>
      </c>
      <c r="AA162" s="68">
        <v>1217.7</v>
      </c>
      <c r="AB162" s="68">
        <f>AA162-Z162-AB163</f>
        <v>10.023529999999937</v>
      </c>
      <c r="AC162" s="68">
        <f t="shared" si="154"/>
        <v>5.6804819908687731</v>
      </c>
      <c r="AD162" s="69">
        <v>957.24</v>
      </c>
      <c r="AE162" s="68">
        <v>979.79</v>
      </c>
      <c r="AF162" s="68">
        <f>AE162-AD162-AF163</f>
        <v>8.5277699999999186</v>
      </c>
      <c r="AG162" s="68">
        <f t="shared" si="155"/>
        <v>4.832812782250449</v>
      </c>
      <c r="AH162" s="69">
        <v>-12.15</v>
      </c>
      <c r="AI162" s="68">
        <v>-10.48</v>
      </c>
      <c r="AJ162" s="68">
        <f>AI162-AH162-AJ163</f>
        <v>0.86999999999999922</v>
      </c>
      <c r="AK162" s="70">
        <f t="shared" si="156"/>
        <v>0.49304180583645274</v>
      </c>
      <c r="AL162" s="69">
        <v>-74.7</v>
      </c>
      <c r="AM162" s="68">
        <v>-77.2</v>
      </c>
      <c r="AN162" s="68">
        <f>AM162-AL162-AN163</f>
        <v>-1</v>
      </c>
      <c r="AO162" s="70">
        <f t="shared" si="157"/>
        <v>-0.56671471935224504</v>
      </c>
      <c r="AP162" s="69">
        <v>-90.1</v>
      </c>
      <c r="AQ162" s="68">
        <v>-93.3</v>
      </c>
      <c r="AR162" s="68">
        <f>AQ162-AP162-AR163</f>
        <v>-1.2999999999999972</v>
      </c>
      <c r="AS162" s="70">
        <f t="shared" si="158"/>
        <v>-0.73672913515791694</v>
      </c>
      <c r="AT162" s="69">
        <v>76.900000000000006</v>
      </c>
      <c r="AU162" s="68">
        <v>77.900000000000006</v>
      </c>
      <c r="AV162" s="68">
        <f>AU162-AT162-AV163</f>
        <v>0.29999999999999716</v>
      </c>
      <c r="AW162" s="70">
        <f t="shared" si="159"/>
        <v>0.17001441580567192</v>
      </c>
      <c r="AX162" s="69">
        <v>3706</v>
      </c>
      <c r="AY162" s="68">
        <v>5833</v>
      </c>
      <c r="AZ162" s="68">
        <f>AY162-AX162-AZ163</f>
        <v>454</v>
      </c>
      <c r="BA162" s="70">
        <f t="shared" si="160"/>
        <v>257.28848258591927</v>
      </c>
      <c r="BB162" s="69">
        <v>37922.400000000001</v>
      </c>
      <c r="BC162" s="68">
        <v>37923.199999999997</v>
      </c>
      <c r="BD162" s="68">
        <f>BC162-BB162-BD163</f>
        <v>0.29999999999563443</v>
      </c>
      <c r="BE162" s="70">
        <f t="shared" si="161"/>
        <v>0.17001441580319948</v>
      </c>
      <c r="BF162" s="69">
        <v>-37530.199999999997</v>
      </c>
      <c r="BG162" s="68">
        <v>-37530.199999999997</v>
      </c>
      <c r="BH162" s="68">
        <f>BG162-BF162-BH163</f>
        <v>0</v>
      </c>
      <c r="BI162" s="70">
        <f t="shared" si="162"/>
        <v>0</v>
      </c>
      <c r="BJ162" s="71">
        <v>91.041297999999998</v>
      </c>
      <c r="BK162" s="71">
        <v>88.103939999999994</v>
      </c>
      <c r="BL162" s="71">
        <f>BK162-BJ162-BL163</f>
        <v>-0.63782700000000148</v>
      </c>
      <c r="BM162" s="72">
        <v>-37530.199999999997</v>
      </c>
      <c r="BN162" s="73">
        <v>-37530.199999999997</v>
      </c>
      <c r="BO162" s="73">
        <f>BN162-BM162-BO163</f>
        <v>0</v>
      </c>
      <c r="BP162" s="72">
        <v>37922.400000000001</v>
      </c>
      <c r="BQ162" s="73">
        <v>37923.199999999997</v>
      </c>
      <c r="BR162" s="73">
        <f>BQ162-BP162-BR163</f>
        <v>0.29999999999563443</v>
      </c>
      <c r="BS162" s="71"/>
      <c r="BT162" s="71"/>
      <c r="BU162" s="71"/>
      <c r="BV162" s="71"/>
      <c r="BW162" s="62" t="s">
        <v>192</v>
      </c>
      <c r="BX162" s="5">
        <v>5068.1451556700003</v>
      </c>
      <c r="BY162" s="5">
        <v>-2.78495508</v>
      </c>
      <c r="BZ162" s="5">
        <v>2390.7749672899999</v>
      </c>
      <c r="CA162" s="5">
        <v>2459.26437549</v>
      </c>
      <c r="CB162" s="5">
        <v>2.8560475300000001</v>
      </c>
      <c r="CC162" s="5">
        <v>2.9251952600000002</v>
      </c>
      <c r="CD162" s="5">
        <v>-0.42594022999999998</v>
      </c>
      <c r="CE162" s="5">
        <v>1.7645565299999999</v>
      </c>
      <c r="CF162" s="5">
        <v>1.7721046300000001</v>
      </c>
      <c r="CG162" s="5">
        <v>-1.9848462200000001</v>
      </c>
      <c r="CH162" s="5">
        <v>-2.3638673200000002</v>
      </c>
      <c r="CI162" s="5">
        <v>0.81463518999999995</v>
      </c>
    </row>
    <row r="163" spans="1:87" ht="15" customHeight="1" x14ac:dyDescent="0.2">
      <c r="A163" s="2">
        <v>62009032</v>
      </c>
      <c r="B163" s="58" t="s">
        <v>129</v>
      </c>
      <c r="C163" s="58" t="s">
        <v>130</v>
      </c>
      <c r="D163" s="59" t="s">
        <v>261</v>
      </c>
      <c r="E163" s="60" t="s">
        <v>262</v>
      </c>
      <c r="F163" s="61" t="str">
        <f t="shared" si="137"/>
        <v>09/21/20</v>
      </c>
      <c r="G163" s="62" t="s">
        <v>263</v>
      </c>
      <c r="H163" s="62" t="s">
        <v>110</v>
      </c>
      <c r="I163" s="63"/>
      <c r="J163" s="64">
        <v>26.000215000000001</v>
      </c>
      <c r="K163" s="64">
        <v>35.844994</v>
      </c>
      <c r="L163" s="64">
        <v>29.698647000000001</v>
      </c>
      <c r="M163" s="64">
        <v>29.904674</v>
      </c>
      <c r="N163" s="65">
        <v>3875</v>
      </c>
      <c r="O163" s="65">
        <v>28.39</v>
      </c>
      <c r="P163" s="65">
        <v>0.20169999999999999</v>
      </c>
      <c r="Q163" s="65">
        <v>1.932E-2</v>
      </c>
      <c r="R163" s="66">
        <v>6.2273321199999998</v>
      </c>
      <c r="S163" s="66">
        <f>R163+R162</f>
        <v>7.9918883699999999</v>
      </c>
      <c r="T163" s="67">
        <v>90.606415999999996</v>
      </c>
      <c r="U163" s="67">
        <v>88.306884999999994</v>
      </c>
      <c r="V163" s="68">
        <v>38905</v>
      </c>
      <c r="W163" s="68">
        <v>40578</v>
      </c>
      <c r="X163" s="68">
        <f>W163-V163</f>
        <v>1673</v>
      </c>
      <c r="Y163" s="68">
        <f t="shared" si="153"/>
        <v>268.65437201059387</v>
      </c>
      <c r="Z163" s="69">
        <v>1196.5999999999999</v>
      </c>
      <c r="AA163" s="68">
        <v>1212.9764700000001</v>
      </c>
      <c r="AB163" s="68">
        <f>AA163-Z163</f>
        <v>16.376470000000154</v>
      </c>
      <c r="AC163" s="68">
        <f t="shared" si="154"/>
        <v>2.6297730206816325</v>
      </c>
      <c r="AD163" s="69">
        <v>961.69776999999999</v>
      </c>
      <c r="AE163" s="68">
        <v>975.72</v>
      </c>
      <c r="AF163" s="68">
        <f>AE163-AD163</f>
        <v>14.022230000000036</v>
      </c>
      <c r="AG163" s="68">
        <f t="shared" si="155"/>
        <v>2.251723487649802</v>
      </c>
      <c r="AH163" s="69">
        <v>-11.39</v>
      </c>
      <c r="AI163" s="68">
        <v>-10.59</v>
      </c>
      <c r="AJ163" s="68">
        <f>AI163-AH163</f>
        <v>0.80000000000000071</v>
      </c>
      <c r="AK163" s="70">
        <f t="shared" si="156"/>
        <v>0.12846592803853871</v>
      </c>
      <c r="AL163" s="69">
        <v>-75.3</v>
      </c>
      <c r="AM163" s="68">
        <v>-76.8</v>
      </c>
      <c r="AN163" s="68">
        <f>AM163-AL163</f>
        <v>-1.5</v>
      </c>
      <c r="AO163" s="70">
        <f t="shared" si="157"/>
        <v>-0.24087361507225988</v>
      </c>
      <c r="AP163" s="69">
        <v>-90.8</v>
      </c>
      <c r="AQ163" s="68">
        <v>-92.7</v>
      </c>
      <c r="AR163" s="68">
        <f>AQ163-AP163</f>
        <v>-1.9000000000000057</v>
      </c>
      <c r="AS163" s="70">
        <f t="shared" si="158"/>
        <v>-0.30510657909153011</v>
      </c>
      <c r="AT163" s="69">
        <v>77.099999999999994</v>
      </c>
      <c r="AU163" s="68">
        <v>77.8</v>
      </c>
      <c r="AV163" s="68">
        <f>AU163-AT163</f>
        <v>0.70000000000000284</v>
      </c>
      <c r="AW163" s="70">
        <f t="shared" si="159"/>
        <v>0.11240768703372173</v>
      </c>
      <c r="AX163" s="69">
        <v>4018</v>
      </c>
      <c r="AY163" s="68">
        <v>5691</v>
      </c>
      <c r="AZ163" s="68">
        <f>AY163-AX163</f>
        <v>1673</v>
      </c>
      <c r="BA163" s="70">
        <f t="shared" si="160"/>
        <v>268.65437201059387</v>
      </c>
      <c r="BB163" s="69">
        <v>37922.6</v>
      </c>
      <c r="BC163" s="68">
        <v>37923.1</v>
      </c>
      <c r="BD163" s="68">
        <f>BC163-BB163</f>
        <v>0.5</v>
      </c>
      <c r="BE163" s="70">
        <f t="shared" si="161"/>
        <v>8.0291205024086626E-2</v>
      </c>
      <c r="BF163" s="69">
        <v>-37530.199999999997</v>
      </c>
      <c r="BG163" s="68">
        <v>-37530.199999999997</v>
      </c>
      <c r="BH163" s="68">
        <f>BG163-BF163</f>
        <v>0</v>
      </c>
      <c r="BI163" s="70">
        <f t="shared" si="162"/>
        <v>0</v>
      </c>
      <c r="BJ163" s="71">
        <v>90.606415999999996</v>
      </c>
      <c r="BK163" s="71">
        <v>88.306884999999994</v>
      </c>
      <c r="BL163" s="71">
        <f>BK163-BJ163</f>
        <v>-2.2995310000000018</v>
      </c>
      <c r="BM163" s="72">
        <v>-37530.199999999997</v>
      </c>
      <c r="BN163" s="73">
        <v>-37530.199999999997</v>
      </c>
      <c r="BO163" s="73">
        <f>BN163-BM163</f>
        <v>0</v>
      </c>
      <c r="BP163" s="72">
        <v>37922.6</v>
      </c>
      <c r="BQ163" s="73">
        <v>37923.1</v>
      </c>
      <c r="BR163" s="73">
        <f>BQ163-BP163</f>
        <v>0.5</v>
      </c>
      <c r="BS163" s="71"/>
      <c r="BT163" s="71"/>
      <c r="BU163" s="71"/>
      <c r="BV163" s="71"/>
      <c r="BW163" s="62" t="s">
        <v>192</v>
      </c>
      <c r="BX163" s="5">
        <v>10779.70584267</v>
      </c>
      <c r="BY163" s="5">
        <v>-6.7729031800000001</v>
      </c>
      <c r="BZ163" s="5">
        <v>1061.11446647</v>
      </c>
      <c r="CA163" s="5">
        <v>1138.20391571</v>
      </c>
      <c r="CB163" s="5">
        <v>6.3877055599999997</v>
      </c>
      <c r="CC163" s="5">
        <v>6.50940136</v>
      </c>
      <c r="CD163" s="5">
        <v>-0.12054592</v>
      </c>
      <c r="CE163" s="5">
        <v>6.2273421600000001</v>
      </c>
      <c r="CF163" s="5">
        <v>6.2348580299999998</v>
      </c>
      <c r="CG163" s="5">
        <v>-1.7823141199999999</v>
      </c>
      <c r="CH163" s="5">
        <v>-1.86953898</v>
      </c>
      <c r="CI163" s="5">
        <v>0.34618599999999999</v>
      </c>
    </row>
    <row r="164" spans="1:87" ht="15" customHeight="1" x14ac:dyDescent="0.2">
      <c r="A164" s="2">
        <v>62009032</v>
      </c>
      <c r="B164" s="58" t="s">
        <v>131</v>
      </c>
      <c r="C164" s="58" t="s">
        <v>132</v>
      </c>
      <c r="D164" s="59" t="s">
        <v>261</v>
      </c>
      <c r="E164" s="60" t="s">
        <v>262</v>
      </c>
      <c r="F164" s="61" t="s">
        <v>264</v>
      </c>
      <c r="G164" s="62" t="s">
        <v>263</v>
      </c>
      <c r="H164" s="62" t="s">
        <v>110</v>
      </c>
      <c r="I164" s="63"/>
      <c r="J164" s="74">
        <f>AVERAGE(J162:J163)</f>
        <v>24.4260825</v>
      </c>
      <c r="K164" s="74">
        <f>AVERAGE(K162:K163)</f>
        <v>38.951628499999998</v>
      </c>
      <c r="L164" s="74">
        <f>AVERAGE(L162:L163)</f>
        <v>29.689600500000001</v>
      </c>
      <c r="M164" s="74">
        <f>AVERAGE(M162:M163)</f>
        <v>30.456518500000001</v>
      </c>
      <c r="N164" s="75"/>
      <c r="O164" s="65"/>
      <c r="P164" s="76"/>
      <c r="Q164" s="77"/>
      <c r="R164" s="78">
        <f>R163+R162</f>
        <v>7.9918883699999999</v>
      </c>
      <c r="S164" s="78">
        <f>S163</f>
        <v>7.9918883699999999</v>
      </c>
      <c r="T164" s="79">
        <f>T162</f>
        <v>91.041297999999998</v>
      </c>
      <c r="U164" s="79">
        <f>U163</f>
        <v>88.306884999999994</v>
      </c>
      <c r="V164" s="80">
        <f>V162</f>
        <v>38594</v>
      </c>
      <c r="W164" s="80">
        <f>W163</f>
        <v>40578</v>
      </c>
      <c r="X164" s="80">
        <f>SUM(X162:X163)</f>
        <v>2125</v>
      </c>
      <c r="Y164" s="80">
        <f t="shared" si="153"/>
        <v>265.89460483167386</v>
      </c>
      <c r="Z164" s="80">
        <f>Z162</f>
        <v>1191.3</v>
      </c>
      <c r="AA164" s="80">
        <f>AA163</f>
        <v>1212.9764700000001</v>
      </c>
      <c r="AB164" s="80">
        <f>SUM(AB162:AB163)</f>
        <v>26.400000000000091</v>
      </c>
      <c r="AC164" s="80">
        <f t="shared" si="154"/>
        <v>3.3033494435558652</v>
      </c>
      <c r="AD164" s="80">
        <f>AD162</f>
        <v>957.24</v>
      </c>
      <c r="AE164" s="80">
        <f>AE163</f>
        <v>975.72</v>
      </c>
      <c r="AF164" s="80">
        <f>SUM(AF162:AF163)</f>
        <v>22.549999999999955</v>
      </c>
      <c r="AG164" s="80">
        <f t="shared" si="155"/>
        <v>2.8216109830372864</v>
      </c>
      <c r="AH164" s="80">
        <f>AH162</f>
        <v>-12.15</v>
      </c>
      <c r="AI164" s="80">
        <f>AI163</f>
        <v>-10.59</v>
      </c>
      <c r="AJ164" s="80">
        <f>SUM(AJ162:AJ163)</f>
        <v>1.67</v>
      </c>
      <c r="AK164" s="81">
        <f t="shared" si="156"/>
        <v>0.20896187767948016</v>
      </c>
      <c r="AL164" s="80">
        <f>AL162</f>
        <v>-74.7</v>
      </c>
      <c r="AM164" s="80">
        <f>AM163</f>
        <v>-76.8</v>
      </c>
      <c r="AN164" s="80">
        <f>SUM(AN162:AN163)</f>
        <v>-2.5</v>
      </c>
      <c r="AO164" s="81">
        <f t="shared" si="157"/>
        <v>-0.31281718215491039</v>
      </c>
      <c r="AP164" s="80">
        <f>AP162</f>
        <v>-90.1</v>
      </c>
      <c r="AQ164" s="80">
        <f>AQ163</f>
        <v>-92.7</v>
      </c>
      <c r="AR164" s="80">
        <f>SUM(AR162:AR163)</f>
        <v>-3.2000000000000028</v>
      </c>
      <c r="AS164" s="81">
        <f t="shared" si="158"/>
        <v>-0.40040599315828568</v>
      </c>
      <c r="AT164" s="80">
        <f>AT162</f>
        <v>76.900000000000006</v>
      </c>
      <c r="AU164" s="80">
        <f>AU163</f>
        <v>77.8</v>
      </c>
      <c r="AV164" s="80">
        <f>SUM(AV162:AV163)</f>
        <v>1</v>
      </c>
      <c r="AW164" s="81">
        <f t="shared" si="159"/>
        <v>0.12512687286196417</v>
      </c>
      <c r="AX164" s="80">
        <f>AX162</f>
        <v>3706</v>
      </c>
      <c r="AY164" s="80">
        <f>AY163</f>
        <v>5691</v>
      </c>
      <c r="AZ164" s="80">
        <f>SUM(AZ162:AZ163)</f>
        <v>2127</v>
      </c>
      <c r="BA164" s="81">
        <f t="shared" si="160"/>
        <v>266.14485857739777</v>
      </c>
      <c r="BB164" s="80">
        <f>BB162</f>
        <v>37922.400000000001</v>
      </c>
      <c r="BC164" s="80">
        <f>BC163</f>
        <v>37923.1</v>
      </c>
      <c r="BD164" s="80">
        <f>SUM(BD162:BD163)</f>
        <v>0.79999999999563443</v>
      </c>
      <c r="BE164" s="81">
        <f t="shared" si="161"/>
        <v>0.10010149828902508</v>
      </c>
      <c r="BF164" s="80">
        <f>BF162</f>
        <v>-37530.199999999997</v>
      </c>
      <c r="BG164" s="80">
        <f>BG163</f>
        <v>-37530.199999999997</v>
      </c>
      <c r="BH164" s="80">
        <f>SUM(BH162:BH163)</f>
        <v>0</v>
      </c>
      <c r="BI164" s="81">
        <f t="shared" si="162"/>
        <v>0</v>
      </c>
      <c r="BJ164" s="82"/>
      <c r="BK164" s="82"/>
      <c r="BL164" s="82">
        <f>SUM(BL162:BL163)</f>
        <v>-2.9373580000000032</v>
      </c>
      <c r="BM164" s="83">
        <f>BM162</f>
        <v>-37530.199999999997</v>
      </c>
      <c r="BN164" s="83">
        <f>BN163</f>
        <v>-37530.199999999997</v>
      </c>
      <c r="BO164" s="83">
        <f>SUM(BO162:BO163)</f>
        <v>0</v>
      </c>
      <c r="BP164" s="83">
        <f>BP162</f>
        <v>37922.400000000001</v>
      </c>
      <c r="BQ164" s="83">
        <f>BQ163</f>
        <v>37923.1</v>
      </c>
      <c r="BR164" s="83">
        <f>SUM(BR162:BR163)</f>
        <v>0.79999999999563443</v>
      </c>
      <c r="BS164" s="82"/>
      <c r="BT164" s="82"/>
      <c r="BU164" s="82"/>
      <c r="BV164" s="82"/>
      <c r="BW164" s="62" t="s">
        <v>192</v>
      </c>
    </row>
    <row r="165" spans="1:87" ht="15" customHeight="1" x14ac:dyDescent="0.2">
      <c r="A165" s="2">
        <v>62009032</v>
      </c>
      <c r="B165" s="58" t="s">
        <v>265</v>
      </c>
      <c r="C165" s="58" t="s">
        <v>183</v>
      </c>
      <c r="D165" s="59" t="s">
        <v>261</v>
      </c>
      <c r="E165" s="60" t="s">
        <v>262</v>
      </c>
      <c r="F165" s="61" t="str">
        <f t="shared" si="137"/>
        <v>09/21/20</v>
      </c>
      <c r="G165" s="62" t="s">
        <v>263</v>
      </c>
      <c r="H165" s="62" t="s">
        <v>110</v>
      </c>
      <c r="I165" s="63"/>
      <c r="J165" s="64">
        <v>24.364419000000002</v>
      </c>
      <c r="K165" s="64">
        <v>39.106565000000003</v>
      </c>
      <c r="L165" s="64">
        <v>29.679086000000002</v>
      </c>
      <c r="M165" s="64">
        <v>29.149453999999999</v>
      </c>
      <c r="N165" s="65">
        <v>3875</v>
      </c>
      <c r="O165" s="65">
        <v>28.39</v>
      </c>
      <c r="P165" s="65">
        <v>0.20169999999999999</v>
      </c>
      <c r="Q165" s="65">
        <v>1.932E-2</v>
      </c>
      <c r="R165" s="66">
        <v>10.247246329999999</v>
      </c>
      <c r="S165" s="66">
        <f>R165+R164</f>
        <v>18.239134700000001</v>
      </c>
      <c r="T165" s="67">
        <v>88.102413999999996</v>
      </c>
      <c r="U165" s="67">
        <v>85.329853999999997</v>
      </c>
      <c r="V165" s="68">
        <v>40720</v>
      </c>
      <c r="W165" s="68">
        <v>42722</v>
      </c>
      <c r="X165" s="68">
        <f>W165-V165</f>
        <v>2002</v>
      </c>
      <c r="Y165" s="68">
        <f t="shared" si="153"/>
        <v>195.36955934580331</v>
      </c>
      <c r="Z165" s="69">
        <v>1218.4000000000001</v>
      </c>
      <c r="AA165" s="68">
        <v>1254.0999999999999</v>
      </c>
      <c r="AB165" s="68">
        <f>AA165-Z165</f>
        <v>35.699999999999818</v>
      </c>
      <c r="AC165" s="68">
        <f t="shared" si="154"/>
        <v>3.4838627715510202</v>
      </c>
      <c r="AD165" s="69">
        <v>980.43</v>
      </c>
      <c r="AE165" s="68">
        <v>1011.08</v>
      </c>
      <c r="AF165" s="68">
        <f>AE165-AD165</f>
        <v>30.650000000000091</v>
      </c>
      <c r="AG165" s="68">
        <f t="shared" si="155"/>
        <v>2.9910474495249195</v>
      </c>
      <c r="AH165" s="69">
        <v>-10.47</v>
      </c>
      <c r="AI165" s="68">
        <v>-10.07</v>
      </c>
      <c r="AJ165" s="68">
        <f>AI165-AH165</f>
        <v>0.40000000000000036</v>
      </c>
      <c r="AK165" s="70">
        <f t="shared" si="156"/>
        <v>3.9034876992168524E-2</v>
      </c>
      <c r="AL165" s="69">
        <v>-77.3</v>
      </c>
      <c r="AM165" s="68">
        <v>-80.5</v>
      </c>
      <c r="AN165" s="68">
        <f>AM165-AL165</f>
        <v>-3.2000000000000028</v>
      </c>
      <c r="AO165" s="70">
        <f t="shared" si="157"/>
        <v>-0.31227901593734819</v>
      </c>
      <c r="AP165" s="69">
        <v>-93.3</v>
      </c>
      <c r="AQ165" s="68">
        <v>-97.3</v>
      </c>
      <c r="AR165" s="68">
        <f>AQ165-AP165</f>
        <v>-4</v>
      </c>
      <c r="AS165" s="70">
        <f t="shared" si="158"/>
        <v>-0.39034876992168493</v>
      </c>
      <c r="AT165" s="69">
        <v>78</v>
      </c>
      <c r="AU165" s="68">
        <v>79.3</v>
      </c>
      <c r="AV165" s="68">
        <f>AU165-AT165</f>
        <v>1.2999999999999972</v>
      </c>
      <c r="AW165" s="70">
        <f t="shared" si="159"/>
        <v>0.12686335022454731</v>
      </c>
      <c r="AX165" s="69">
        <v>5833</v>
      </c>
      <c r="AY165" s="68">
        <v>7835</v>
      </c>
      <c r="AZ165" s="68">
        <f>AY165-AX165</f>
        <v>2002</v>
      </c>
      <c r="BA165" s="70">
        <f t="shared" si="160"/>
        <v>195.36955934580331</v>
      </c>
      <c r="BB165" s="69">
        <v>37923.199999999997</v>
      </c>
      <c r="BC165" s="68">
        <v>37924.300000000003</v>
      </c>
      <c r="BD165" s="68">
        <f>BC165-BB165</f>
        <v>1.1000000000058208</v>
      </c>
      <c r="BE165" s="70">
        <f t="shared" si="161"/>
        <v>0.10734591172903139</v>
      </c>
      <c r="BF165" s="69">
        <v>-37530.199999999997</v>
      </c>
      <c r="BG165" s="68">
        <v>-37530.199999999997</v>
      </c>
      <c r="BH165" s="68">
        <f>BG165-BF165</f>
        <v>0</v>
      </c>
      <c r="BI165" s="70">
        <f t="shared" si="162"/>
        <v>0</v>
      </c>
      <c r="BJ165" s="71">
        <v>88.102413999999996</v>
      </c>
      <c r="BK165" s="71">
        <v>85.329853999999997</v>
      </c>
      <c r="BL165" s="71">
        <f>BK165-BJ165</f>
        <v>-2.7725599999999986</v>
      </c>
      <c r="BM165" s="72">
        <v>-37530.199999999997</v>
      </c>
      <c r="BN165" s="73">
        <v>-37530.199999999997</v>
      </c>
      <c r="BO165" s="73">
        <f>BN165-BM165</f>
        <v>0</v>
      </c>
      <c r="BP165" s="72">
        <v>37923.199999999997</v>
      </c>
      <c r="BQ165" s="73">
        <v>37924.300000000003</v>
      </c>
      <c r="BR165" s="73">
        <f>BQ165-BP165</f>
        <v>1.1000000000058208</v>
      </c>
      <c r="BS165" s="71"/>
      <c r="BT165" s="71"/>
      <c r="BU165" s="71"/>
      <c r="BV165" s="71"/>
      <c r="BW165" s="62" t="s">
        <v>192</v>
      </c>
      <c r="BX165" s="5">
        <v>1773.4525066599999</v>
      </c>
      <c r="BY165" s="5">
        <v>1.60764752</v>
      </c>
      <c r="BZ165" s="5">
        <v>1327.7253279399999</v>
      </c>
      <c r="CA165" s="5">
        <v>1306.7179099</v>
      </c>
      <c r="CB165" s="5">
        <v>7.3032296800000003</v>
      </c>
      <c r="CC165" s="5">
        <v>7.3153764700000004</v>
      </c>
      <c r="CD165" s="5">
        <v>-9.1152860000000002E-2</v>
      </c>
      <c r="CE165" s="5">
        <v>10.24733108</v>
      </c>
      <c r="CF165" s="5">
        <v>10.256680340000001</v>
      </c>
      <c r="CG165" s="5">
        <v>-7.5016369999999999E-2</v>
      </c>
      <c r="CH165" s="5">
        <v>-0.16604467000000001</v>
      </c>
      <c r="CI165" s="5">
        <v>0.28265067999999999</v>
      </c>
    </row>
    <row r="166" spans="1:87" ht="15" customHeight="1" x14ac:dyDescent="0.2">
      <c r="A166" s="2">
        <v>62009032</v>
      </c>
      <c r="B166" s="58" t="s">
        <v>218</v>
      </c>
      <c r="C166" s="58" t="s">
        <v>258</v>
      </c>
      <c r="D166" s="59" t="s">
        <v>261</v>
      </c>
      <c r="E166" s="60" t="s">
        <v>262</v>
      </c>
      <c r="F166" s="61" t="str">
        <f t="shared" si="137"/>
        <v>09/21/20</v>
      </c>
      <c r="G166" s="62" t="s">
        <v>263</v>
      </c>
      <c r="H166" s="62" t="s">
        <v>110</v>
      </c>
      <c r="I166" s="63"/>
      <c r="J166" s="64">
        <v>21.381905</v>
      </c>
      <c r="K166" s="64">
        <v>46.879007000000001</v>
      </c>
      <c r="L166" s="64">
        <v>29.676856000000001</v>
      </c>
      <c r="M166" s="64">
        <v>29.23968</v>
      </c>
      <c r="N166" s="65">
        <v>3875</v>
      </c>
      <c r="O166" s="65">
        <v>28.39</v>
      </c>
      <c r="P166" s="65">
        <v>0.20169999999999999</v>
      </c>
      <c r="Q166" s="65">
        <v>1.932E-2</v>
      </c>
      <c r="R166" s="66">
        <v>3.5825288899999999</v>
      </c>
      <c r="S166" s="66">
        <f>R166+R165</f>
        <v>13.829775219999998</v>
      </c>
      <c r="T166" s="67">
        <v>85.329853999999997</v>
      </c>
      <c r="U166" s="67">
        <v>84.440253999999996</v>
      </c>
      <c r="V166" s="68">
        <v>42722</v>
      </c>
      <c r="W166" s="68">
        <v>43357</v>
      </c>
      <c r="X166" s="68">
        <f>W166-V166</f>
        <v>635</v>
      </c>
      <c r="Y166" s="68">
        <f t="shared" si="153"/>
        <v>177.24909400521261</v>
      </c>
      <c r="Z166" s="69">
        <v>1254.2</v>
      </c>
      <c r="AA166" s="68">
        <v>1277.2</v>
      </c>
      <c r="AB166" s="68">
        <f>AA166-Z166</f>
        <v>23</v>
      </c>
      <c r="AC166" s="68">
        <f t="shared" si="154"/>
        <v>6.4200459245982522</v>
      </c>
      <c r="AD166" s="69">
        <v>1011.13</v>
      </c>
      <c r="AE166" s="68">
        <v>1030.8688030000001</v>
      </c>
      <c r="AF166" s="68">
        <f>AE166-AD166</f>
        <v>19.738803000000075</v>
      </c>
      <c r="AG166" s="68">
        <f t="shared" si="155"/>
        <v>5.5097400763738369</v>
      </c>
      <c r="AH166" s="69">
        <v>-10.07</v>
      </c>
      <c r="AI166" s="68">
        <v>-9.9600000000000009</v>
      </c>
      <c r="AJ166" s="68">
        <f>AI166-AH166</f>
        <v>0.10999999999999943</v>
      </c>
      <c r="AK166" s="70">
        <f t="shared" si="156"/>
        <v>3.0704567465469745E-2</v>
      </c>
      <c r="AL166" s="69">
        <v>-80.5</v>
      </c>
      <c r="AM166" s="68">
        <v>-82.7</v>
      </c>
      <c r="AN166" s="68">
        <f>AM166-AL166</f>
        <v>-2.2000000000000028</v>
      </c>
      <c r="AO166" s="70">
        <f t="shared" si="157"/>
        <v>-0.6140913493093989</v>
      </c>
      <c r="AP166" s="69">
        <v>-97.3</v>
      </c>
      <c r="AQ166" s="68">
        <v>-99.9</v>
      </c>
      <c r="AR166" s="68">
        <f>AQ166-AP166</f>
        <v>-2.6000000000000085</v>
      </c>
      <c r="AS166" s="70">
        <f t="shared" si="158"/>
        <v>-0.72574432191110916</v>
      </c>
      <c r="AT166" s="69">
        <v>79.3</v>
      </c>
      <c r="AU166" s="68">
        <v>80.2</v>
      </c>
      <c r="AV166" s="68">
        <f>AU166-AT166</f>
        <v>0.90000000000000568</v>
      </c>
      <c r="AW166" s="70">
        <f t="shared" si="159"/>
        <v>0.25121918835384627</v>
      </c>
      <c r="AX166" s="69">
        <v>7835</v>
      </c>
      <c r="AY166" s="68">
        <v>8469</v>
      </c>
      <c r="AZ166" s="68">
        <f>AY166-AX166</f>
        <v>634</v>
      </c>
      <c r="BA166" s="70">
        <f t="shared" si="160"/>
        <v>176.96996157370836</v>
      </c>
      <c r="BB166" s="69">
        <v>37924.300000000003</v>
      </c>
      <c r="BC166" s="68">
        <v>37925</v>
      </c>
      <c r="BD166" s="68">
        <f>BC166-BB166</f>
        <v>0.69999999999708962</v>
      </c>
      <c r="BE166" s="70">
        <f t="shared" si="161"/>
        <v>0.1953927020521779</v>
      </c>
      <c r="BF166" s="69">
        <v>-37530.199999999997</v>
      </c>
      <c r="BG166" s="68">
        <v>-37530.199999999997</v>
      </c>
      <c r="BH166" s="68">
        <f>BG166-BF166</f>
        <v>0</v>
      </c>
      <c r="BI166" s="70">
        <f t="shared" si="162"/>
        <v>0</v>
      </c>
      <c r="BJ166" s="71">
        <v>85.329853999999997</v>
      </c>
      <c r="BK166" s="71">
        <v>84.440253999999996</v>
      </c>
      <c r="BL166" s="71">
        <f>BK166-BJ166</f>
        <v>-0.8896000000000015</v>
      </c>
      <c r="BM166" s="72">
        <v>-37530.199999999997</v>
      </c>
      <c r="BN166" s="73">
        <v>-37530.199999999997</v>
      </c>
      <c r="BO166" s="73">
        <f>BN166-BM166</f>
        <v>0</v>
      </c>
      <c r="BP166" s="72">
        <v>37924.300000000003</v>
      </c>
      <c r="BQ166" s="73">
        <v>37925</v>
      </c>
      <c r="BR166" s="73">
        <f>BQ166-BP166</f>
        <v>0.69999999999708962</v>
      </c>
      <c r="BS166" s="71"/>
      <c r="BT166" s="71"/>
      <c r="BU166" s="71"/>
      <c r="BV166" s="71"/>
      <c r="BW166" s="62" t="s">
        <v>192</v>
      </c>
      <c r="BX166" s="5">
        <v>2202.4691201999999</v>
      </c>
      <c r="BY166" s="5">
        <v>-0.91034543999999995</v>
      </c>
      <c r="BZ166" s="5">
        <v>2030.08530234</v>
      </c>
      <c r="CA166" s="5">
        <v>2048.7358760000002</v>
      </c>
      <c r="CB166" s="5">
        <v>2.9315629200000002</v>
      </c>
      <c r="CC166" s="5">
        <v>2.9657459500000001</v>
      </c>
      <c r="CD166" s="5">
        <v>-0.23789636</v>
      </c>
      <c r="CE166" s="5">
        <v>3.5824369900000002</v>
      </c>
      <c r="CF166" s="5">
        <v>3.5909797999999999</v>
      </c>
      <c r="CG166" s="5">
        <v>-0.92536392999999995</v>
      </c>
      <c r="CH166" s="5">
        <v>-1.1525946</v>
      </c>
      <c r="CI166" s="5">
        <v>0.59140082000000005</v>
      </c>
    </row>
    <row r="167" spans="1:87" ht="15" customHeight="1" x14ac:dyDescent="0.2">
      <c r="A167" s="2">
        <v>62009032</v>
      </c>
      <c r="B167" s="58" t="s">
        <v>219</v>
      </c>
      <c r="C167" s="58" t="s">
        <v>259</v>
      </c>
      <c r="D167" s="59" t="s">
        <v>261</v>
      </c>
      <c r="E167" s="60" t="s">
        <v>262</v>
      </c>
      <c r="F167" s="61" t="str">
        <f t="shared" si="137"/>
        <v>09/21/20</v>
      </c>
      <c r="G167" s="62" t="s">
        <v>263</v>
      </c>
      <c r="H167" s="62" t="s">
        <v>110</v>
      </c>
      <c r="I167" s="63"/>
      <c r="J167" s="64">
        <v>18.225172000000001</v>
      </c>
      <c r="K167" s="64">
        <v>62.140447999999999</v>
      </c>
      <c r="L167" s="64">
        <v>29.680783999999999</v>
      </c>
      <c r="M167" s="64">
        <v>27.381571000000001</v>
      </c>
      <c r="N167" s="65">
        <v>3875</v>
      </c>
      <c r="O167" s="65">
        <v>28.39</v>
      </c>
      <c r="P167" s="65">
        <v>0.20169999999999999</v>
      </c>
      <c r="Q167" s="65">
        <v>1.932E-2</v>
      </c>
      <c r="R167" s="66">
        <v>3.8452026699999999</v>
      </c>
      <c r="S167" s="66">
        <f>R167+R166</f>
        <v>7.4277315599999998</v>
      </c>
      <c r="T167" s="67">
        <v>84.440253999999996</v>
      </c>
      <c r="U167" s="67">
        <v>83.645259999999993</v>
      </c>
      <c r="V167" s="68">
        <v>43357</v>
      </c>
      <c r="W167" s="68">
        <v>43923</v>
      </c>
      <c r="X167" s="68">
        <f>W167-V167</f>
        <v>566</v>
      </c>
      <c r="Y167" s="68">
        <f t="shared" si="153"/>
        <v>147.19640252408334</v>
      </c>
      <c r="Z167" s="69">
        <v>1277.2</v>
      </c>
      <c r="AA167" s="68">
        <v>1328.9</v>
      </c>
      <c r="AB167" s="68">
        <f>AA167-Z167</f>
        <v>51.700000000000045</v>
      </c>
      <c r="AC167" s="68">
        <f t="shared" si="154"/>
        <v>13.44532510688183</v>
      </c>
      <c r="AD167" s="69">
        <v>1030.8800000000001</v>
      </c>
      <c r="AE167" s="68">
        <v>1076.0899999999999</v>
      </c>
      <c r="AF167" s="68">
        <f>AE167-AD167</f>
        <v>45.209999999999809</v>
      </c>
      <c r="AG167" s="68">
        <f t="shared" si="155"/>
        <v>11.757507699847668</v>
      </c>
      <c r="AH167" s="69">
        <v>-9.9600000000000009</v>
      </c>
      <c r="AI167" s="68">
        <v>-21.27</v>
      </c>
      <c r="AJ167" s="68">
        <f>AI167-AH167</f>
        <v>-11.309999999999999</v>
      </c>
      <c r="AK167" s="70">
        <f t="shared" si="156"/>
        <v>-2.9413274073275306</v>
      </c>
      <c r="AL167" s="69">
        <v>-82.7</v>
      </c>
      <c r="AM167" s="68">
        <v>-86.4</v>
      </c>
      <c r="AN167" s="68">
        <f>AM167-AL167</f>
        <v>-3.7000000000000028</v>
      </c>
      <c r="AO167" s="70">
        <f t="shared" si="157"/>
        <v>-0.96223796703022757</v>
      </c>
      <c r="AP167" s="69">
        <v>-99.9</v>
      </c>
      <c r="AQ167" s="68">
        <v>-104.5</v>
      </c>
      <c r="AR167" s="68">
        <f>AQ167-AP167</f>
        <v>-4.5999999999999943</v>
      </c>
      <c r="AS167" s="70">
        <f t="shared" si="158"/>
        <v>-1.1962958509024426</v>
      </c>
      <c r="AT167" s="69">
        <v>80.2</v>
      </c>
      <c r="AU167" s="68">
        <v>81.7</v>
      </c>
      <c r="AV167" s="68">
        <f>AU167-AT167</f>
        <v>1.5</v>
      </c>
      <c r="AW167" s="70">
        <f t="shared" si="159"/>
        <v>0.39009647312036222</v>
      </c>
      <c r="AX167" s="69">
        <v>8469</v>
      </c>
      <c r="AY167" s="68">
        <v>9034</v>
      </c>
      <c r="AZ167" s="68">
        <f>AY167-AX167</f>
        <v>565</v>
      </c>
      <c r="BA167" s="70">
        <f t="shared" si="160"/>
        <v>146.93633820866978</v>
      </c>
      <c r="BB167" s="69">
        <v>37925</v>
      </c>
      <c r="BC167" s="68">
        <v>37926.199999999997</v>
      </c>
      <c r="BD167" s="68">
        <f>BC167-BB167</f>
        <v>1.1999999999970896</v>
      </c>
      <c r="BE167" s="70">
        <f t="shared" si="161"/>
        <v>0.3120771784955329</v>
      </c>
      <c r="BF167" s="69">
        <v>-37530.199999999997</v>
      </c>
      <c r="BG167" s="68">
        <v>-37530.199999999997</v>
      </c>
      <c r="BH167" s="68">
        <f>BG167-BF167</f>
        <v>0</v>
      </c>
      <c r="BI167" s="70">
        <f t="shared" si="162"/>
        <v>0</v>
      </c>
      <c r="BJ167" s="71">
        <v>84.440253999999996</v>
      </c>
      <c r="BK167" s="71">
        <v>83.645259999999993</v>
      </c>
      <c r="BL167" s="71">
        <f>BK167-BJ167</f>
        <v>-0.79499400000000264</v>
      </c>
      <c r="BM167" s="72">
        <v>-37530.199999999997</v>
      </c>
      <c r="BN167" s="73">
        <v>-37530.199999999997</v>
      </c>
      <c r="BO167" s="73">
        <f>BN167-BM167</f>
        <v>0</v>
      </c>
      <c r="BP167" s="72">
        <v>37925</v>
      </c>
      <c r="BQ167" s="73">
        <v>37926.199999999997</v>
      </c>
      <c r="BR167" s="73">
        <f>BQ167-BP167</f>
        <v>1.1999999999970896</v>
      </c>
      <c r="BS167" s="71"/>
      <c r="BT167" s="71"/>
      <c r="BU167" s="71"/>
      <c r="BV167" s="71"/>
      <c r="BW167" s="62" t="s">
        <v>192</v>
      </c>
      <c r="BX167" s="5">
        <v>1350.35958211</v>
      </c>
      <c r="BY167" s="5">
        <v>-1.37802403</v>
      </c>
      <c r="BZ167" s="5">
        <v>3369.1499526399998</v>
      </c>
      <c r="CA167" s="5">
        <v>3416.2263728600001</v>
      </c>
      <c r="CB167" s="5">
        <v>2.7021207399999998</v>
      </c>
      <c r="CC167" s="5">
        <v>2.7417573499999999</v>
      </c>
      <c r="CD167" s="5">
        <v>-0.38350360999999999</v>
      </c>
      <c r="CE167" s="5">
        <v>3.8450282699999998</v>
      </c>
      <c r="CF167" s="5">
        <v>3.8598308600000002</v>
      </c>
      <c r="CG167" s="5">
        <v>-1.07774109</v>
      </c>
      <c r="CH167" s="5">
        <v>-1.44566419</v>
      </c>
      <c r="CI167" s="5">
        <v>0.71727573</v>
      </c>
    </row>
    <row r="168" spans="1:87" ht="15" customHeight="1" x14ac:dyDescent="0.2">
      <c r="A168" s="2">
        <v>62009032</v>
      </c>
      <c r="B168" s="58" t="s">
        <v>220</v>
      </c>
      <c r="C168" s="58" t="s">
        <v>266</v>
      </c>
      <c r="D168" s="59" t="s">
        <v>261</v>
      </c>
      <c r="E168" s="60" t="s">
        <v>262</v>
      </c>
      <c r="F168" s="61" t="str">
        <f t="shared" si="137"/>
        <v>09/21/20</v>
      </c>
      <c r="G168" s="62" t="s">
        <v>263</v>
      </c>
      <c r="H168" s="62" t="s">
        <v>110</v>
      </c>
      <c r="I168" s="63"/>
      <c r="J168" s="74">
        <f>AVERAGE(J166:J167)</f>
        <v>19.803538500000002</v>
      </c>
      <c r="K168" s="74">
        <f>AVERAGE(K166:K167)</f>
        <v>54.509727499999997</v>
      </c>
      <c r="L168" s="74">
        <f>AVERAGE(L166:L167)</f>
        <v>29.678820000000002</v>
      </c>
      <c r="M168" s="74">
        <f>AVERAGE(M166:M167)</f>
        <v>28.3106255</v>
      </c>
      <c r="N168" s="75"/>
      <c r="O168" s="65"/>
      <c r="P168" s="76"/>
      <c r="Q168" s="77"/>
      <c r="R168" s="78">
        <f>R167+R166</f>
        <v>7.4277315599999998</v>
      </c>
      <c r="S168" s="78">
        <f>S167</f>
        <v>7.4277315599999998</v>
      </c>
      <c r="T168" s="79">
        <f>T166</f>
        <v>85.329853999999997</v>
      </c>
      <c r="U168" s="79">
        <f>U167</f>
        <v>83.645259999999993</v>
      </c>
      <c r="V168" s="80">
        <f>V166</f>
        <v>42722</v>
      </c>
      <c r="W168" s="80">
        <f>W167</f>
        <v>43923</v>
      </c>
      <c r="X168" s="80">
        <f>SUM(X166:X167)</f>
        <v>1201</v>
      </c>
      <c r="Y168" s="80">
        <f t="shared" si="153"/>
        <v>161.69135762359187</v>
      </c>
      <c r="Z168" s="80">
        <f>Z166</f>
        <v>1254.2</v>
      </c>
      <c r="AA168" s="80">
        <f>AA167</f>
        <v>1328.9</v>
      </c>
      <c r="AB168" s="80">
        <f>SUM(AB166:AB167)</f>
        <v>74.700000000000045</v>
      </c>
      <c r="AC168" s="80">
        <f t="shared" si="154"/>
        <v>10.056906256854555</v>
      </c>
      <c r="AD168" s="80">
        <f>AD166</f>
        <v>1011.13</v>
      </c>
      <c r="AE168" s="80">
        <f>AE167</f>
        <v>1076.0899999999999</v>
      </c>
      <c r="AF168" s="80">
        <f>SUM(AF166:AF167)</f>
        <v>64.948802999999884</v>
      </c>
      <c r="AG168" s="80">
        <f t="shared" si="155"/>
        <v>8.744096697000165</v>
      </c>
      <c r="AH168" s="80">
        <f>AH166</f>
        <v>-10.07</v>
      </c>
      <c r="AI168" s="80">
        <f>AI167</f>
        <v>-21.27</v>
      </c>
      <c r="AJ168" s="80">
        <f>SUM(AJ166:AJ167)</f>
        <v>-11.2</v>
      </c>
      <c r="AK168" s="81">
        <f t="shared" si="156"/>
        <v>-1.5078627854989417</v>
      </c>
      <c r="AL168" s="80">
        <f>AL166</f>
        <v>-80.5</v>
      </c>
      <c r="AM168" s="80">
        <f>AM167</f>
        <v>-86.4</v>
      </c>
      <c r="AN168" s="80">
        <f>SUM(AN166:AN167)</f>
        <v>-5.9000000000000057</v>
      </c>
      <c r="AO168" s="81">
        <f t="shared" si="157"/>
        <v>-0.79432057450390758</v>
      </c>
      <c r="AP168" s="80">
        <f>AP166</f>
        <v>-97.3</v>
      </c>
      <c r="AQ168" s="80">
        <f>AQ167</f>
        <v>-104.5</v>
      </c>
      <c r="AR168" s="80">
        <f>SUM(AR166:AR167)</f>
        <v>-7.2000000000000028</v>
      </c>
      <c r="AS168" s="81">
        <f t="shared" si="158"/>
        <v>-0.96934036210646302</v>
      </c>
      <c r="AT168" s="80">
        <f>AT166</f>
        <v>79.3</v>
      </c>
      <c r="AU168" s="80">
        <f>AU167</f>
        <v>81.7</v>
      </c>
      <c r="AV168" s="80">
        <f>SUM(AV166:AV167)</f>
        <v>2.4000000000000057</v>
      </c>
      <c r="AW168" s="81">
        <f t="shared" si="159"/>
        <v>0.3231134540354883</v>
      </c>
      <c r="AX168" s="80">
        <f>AX166</f>
        <v>7835</v>
      </c>
      <c r="AY168" s="80">
        <f>AY167</f>
        <v>9034</v>
      </c>
      <c r="AZ168" s="80">
        <f>SUM(AZ166:AZ167)</f>
        <v>1199</v>
      </c>
      <c r="BA168" s="81">
        <f t="shared" si="160"/>
        <v>161.42209641189564</v>
      </c>
      <c r="BB168" s="80">
        <f>BB166</f>
        <v>37924.300000000003</v>
      </c>
      <c r="BC168" s="80">
        <f>BC167</f>
        <v>37926.199999999997</v>
      </c>
      <c r="BD168" s="80">
        <f>SUM(BD166:BD167)</f>
        <v>1.8999999999941792</v>
      </c>
      <c r="BE168" s="81">
        <f t="shared" si="161"/>
        <v>0.25579815111064397</v>
      </c>
      <c r="BF168" s="80">
        <f>BF166</f>
        <v>-37530.199999999997</v>
      </c>
      <c r="BG168" s="80">
        <f>BG167</f>
        <v>-37530.199999999997</v>
      </c>
      <c r="BH168" s="80">
        <f>SUM(BH166:BH167)</f>
        <v>0</v>
      </c>
      <c r="BI168" s="81">
        <f t="shared" si="162"/>
        <v>0</v>
      </c>
      <c r="BJ168" s="82"/>
      <c r="BK168" s="82"/>
      <c r="BL168" s="82">
        <f>SUM(BL166:BL167)</f>
        <v>-1.6845940000000041</v>
      </c>
      <c r="BM168" s="83">
        <f>BM166</f>
        <v>-37530.199999999997</v>
      </c>
      <c r="BN168" s="83">
        <f>BN167</f>
        <v>-37530.199999999997</v>
      </c>
      <c r="BO168" s="83">
        <f>SUM(BO166:BO167)</f>
        <v>0</v>
      </c>
      <c r="BP168" s="83">
        <f>BP166</f>
        <v>37924.300000000003</v>
      </c>
      <c r="BQ168" s="83">
        <f>BQ167</f>
        <v>37926.199999999997</v>
      </c>
      <c r="BR168" s="83">
        <f>SUM(BR166:BR167)</f>
        <v>1.8999999999941792</v>
      </c>
      <c r="BS168" s="82"/>
      <c r="BT168" s="82"/>
      <c r="BU168" s="82"/>
      <c r="BV168" s="82"/>
      <c r="BW168" s="62" t="s">
        <v>192</v>
      </c>
    </row>
    <row r="169" spans="1:87" ht="15" customHeight="1" x14ac:dyDescent="0.2">
      <c r="A169" s="2">
        <v>62009032</v>
      </c>
      <c r="B169" s="58" t="s">
        <v>223</v>
      </c>
      <c r="C169" s="58" t="s">
        <v>267</v>
      </c>
      <c r="D169" s="59" t="s">
        <v>261</v>
      </c>
      <c r="E169" s="60" t="s">
        <v>262</v>
      </c>
      <c r="F169" s="61" t="str">
        <f t="shared" si="137"/>
        <v>09/21/20</v>
      </c>
      <c r="G169" s="62" t="s">
        <v>263</v>
      </c>
      <c r="H169" s="62" t="s">
        <v>110</v>
      </c>
      <c r="I169" s="63"/>
      <c r="J169" s="64">
        <v>21.823108000000001</v>
      </c>
      <c r="K169" s="64">
        <v>50.479253999999997</v>
      </c>
      <c r="L169" s="64">
        <v>29.683268999999999</v>
      </c>
      <c r="M169" s="64">
        <v>26.988999</v>
      </c>
      <c r="N169" s="65">
        <v>3875</v>
      </c>
      <c r="O169" s="65">
        <v>28.39</v>
      </c>
      <c r="P169" s="65">
        <v>0.20169999999999999</v>
      </c>
      <c r="Q169" s="65">
        <v>1.932E-2</v>
      </c>
      <c r="R169" s="66">
        <v>3.5826600100000001</v>
      </c>
      <c r="S169" s="66">
        <f>R169+R168</f>
        <v>11.010391569999999</v>
      </c>
      <c r="T169" s="67">
        <v>83.643733999999995</v>
      </c>
      <c r="U169" s="67">
        <v>82.735823999999994</v>
      </c>
      <c r="V169" s="68">
        <v>43924</v>
      </c>
      <c r="W169" s="68">
        <v>44569</v>
      </c>
      <c r="X169" s="68">
        <f>W169-V169</f>
        <v>645</v>
      </c>
      <c r="Y169" s="68">
        <f t="shared" si="153"/>
        <v>180.03382911011977</v>
      </c>
      <c r="Z169" s="69">
        <v>1329.1</v>
      </c>
      <c r="AA169" s="68">
        <v>1344.9</v>
      </c>
      <c r="AB169" s="68">
        <f>AA169-Z169</f>
        <v>15.800000000000182</v>
      </c>
      <c r="AC169" s="68">
        <f t="shared" si="154"/>
        <v>4.4101310076587987</v>
      </c>
      <c r="AD169" s="69">
        <v>1076.276668</v>
      </c>
      <c r="AE169" s="68">
        <v>1089.45</v>
      </c>
      <c r="AF169" s="68">
        <f>AE169-AD169</f>
        <v>13.173332000000073</v>
      </c>
      <c r="AG169" s="68">
        <f t="shared" si="155"/>
        <v>3.6769696156571867</v>
      </c>
      <c r="AH169" s="69">
        <v>-21.356667999999999</v>
      </c>
      <c r="AI169" s="68">
        <v>-14.64</v>
      </c>
      <c r="AJ169" s="68">
        <f>AI169-AH169</f>
        <v>6.7166679999999985</v>
      </c>
      <c r="AK169" s="70">
        <f t="shared" si="156"/>
        <v>1.8747712541107127</v>
      </c>
      <c r="AL169" s="69">
        <v>-86.4</v>
      </c>
      <c r="AM169" s="68">
        <v>-88.6</v>
      </c>
      <c r="AN169" s="68">
        <f>AM169-AL169</f>
        <v>-2.1999999999999886</v>
      </c>
      <c r="AO169" s="70">
        <f t="shared" si="157"/>
        <v>-0.61406887448412628</v>
      </c>
      <c r="AP169" s="69">
        <v>-104.5</v>
      </c>
      <c r="AQ169" s="68">
        <v>-107.1</v>
      </c>
      <c r="AR169" s="68">
        <f>AQ169-AP169</f>
        <v>-2.5999999999999943</v>
      </c>
      <c r="AS169" s="70">
        <f t="shared" si="158"/>
        <v>-0.72571776075396954</v>
      </c>
      <c r="AT169" s="69">
        <v>81.7</v>
      </c>
      <c r="AU169" s="68">
        <v>82.6</v>
      </c>
      <c r="AV169" s="68">
        <f>AU169-AT169</f>
        <v>0.89999999999999147</v>
      </c>
      <c r="AW169" s="70">
        <f t="shared" si="159"/>
        <v>0.25120999410714151</v>
      </c>
      <c r="AX169" s="69">
        <v>9034</v>
      </c>
      <c r="AY169" s="68">
        <v>9679</v>
      </c>
      <c r="AZ169" s="68">
        <f>AY169-AX169</f>
        <v>645</v>
      </c>
      <c r="BA169" s="70">
        <f t="shared" si="160"/>
        <v>180.03382911011977</v>
      </c>
      <c r="BB169" s="69">
        <v>37926.199999999997</v>
      </c>
      <c r="BC169" s="68">
        <v>37926.9</v>
      </c>
      <c r="BD169" s="68">
        <f>BC169-BB169</f>
        <v>0.70000000000436557</v>
      </c>
      <c r="BE169" s="70">
        <f t="shared" si="161"/>
        <v>0.19538555097344154</v>
      </c>
      <c r="BF169" s="69">
        <v>-37530.199999999997</v>
      </c>
      <c r="BG169" s="68">
        <v>-37530.199999999997</v>
      </c>
      <c r="BH169" s="68">
        <f>BG169-BF169</f>
        <v>0</v>
      </c>
      <c r="BI169" s="70">
        <f t="shared" si="162"/>
        <v>0</v>
      </c>
      <c r="BJ169" s="71">
        <v>83.643733999999995</v>
      </c>
      <c r="BK169" s="71">
        <v>82.735823999999994</v>
      </c>
      <c r="BL169" s="71">
        <f>BK169-BJ169</f>
        <v>-0.90791000000000111</v>
      </c>
      <c r="BM169" s="72">
        <v>-37530.199999999997</v>
      </c>
      <c r="BN169" s="73">
        <v>-37530.199999999997</v>
      </c>
      <c r="BO169" s="73">
        <f>BN169-BM169</f>
        <v>0</v>
      </c>
      <c r="BP169" s="72">
        <v>37926.199999999997</v>
      </c>
      <c r="BQ169" s="73">
        <v>37926.9</v>
      </c>
      <c r="BR169" s="73">
        <f>BQ169-BP169</f>
        <v>0.70000000000436557</v>
      </c>
      <c r="BS169" s="71"/>
      <c r="BT169" s="71"/>
      <c r="BU169" s="71"/>
      <c r="BV169" s="71"/>
      <c r="BW169" s="62" t="s">
        <v>192</v>
      </c>
      <c r="BX169" s="5">
        <v>2202.4046064600002</v>
      </c>
      <c r="BY169" s="5">
        <v>-0.99134484</v>
      </c>
      <c r="BZ169" s="5">
        <v>2028.5910234200001</v>
      </c>
      <c r="CA169" s="5">
        <v>2048.9027147299998</v>
      </c>
      <c r="CB169" s="5">
        <v>2.9301003699999999</v>
      </c>
      <c r="CC169" s="5">
        <v>2.9659324699999998</v>
      </c>
      <c r="CD169" s="5">
        <v>-0.23240954999999999</v>
      </c>
      <c r="CE169" s="5">
        <v>3.58263541</v>
      </c>
      <c r="CF169" s="5">
        <v>3.5909811899999999</v>
      </c>
      <c r="CG169" s="5">
        <v>-0.98764496999999996</v>
      </c>
      <c r="CH169" s="5">
        <v>-1.2081225600000001</v>
      </c>
      <c r="CI169" s="5">
        <v>0.59143491000000004</v>
      </c>
    </row>
    <row r="170" spans="1:87" ht="15" customHeight="1" x14ac:dyDescent="0.2">
      <c r="A170" s="2">
        <v>62009032</v>
      </c>
      <c r="B170" s="58" t="s">
        <v>224</v>
      </c>
      <c r="C170" s="58" t="s">
        <v>268</v>
      </c>
      <c r="D170" s="59" t="s">
        <v>261</v>
      </c>
      <c r="E170" s="60" t="s">
        <v>262</v>
      </c>
      <c r="F170" s="61" t="str">
        <f t="shared" si="137"/>
        <v>09/21/20</v>
      </c>
      <c r="G170" s="62" t="s">
        <v>263</v>
      </c>
      <c r="H170" s="62" t="s">
        <v>110</v>
      </c>
      <c r="I170" s="63"/>
      <c r="J170" s="64">
        <v>21.309369</v>
      </c>
      <c r="K170" s="64">
        <v>47.576118000000001</v>
      </c>
      <c r="L170" s="64">
        <v>29.684044</v>
      </c>
      <c r="M170" s="64">
        <v>27.442461000000002</v>
      </c>
      <c r="N170" s="65">
        <v>3875</v>
      </c>
      <c r="O170" s="65">
        <v>28.39</v>
      </c>
      <c r="P170" s="65">
        <v>0.20169999999999999</v>
      </c>
      <c r="Q170" s="65">
        <v>1.932E-2</v>
      </c>
      <c r="R170" s="66">
        <v>3.8447274600000001</v>
      </c>
      <c r="S170" s="66">
        <f>R170+R169</f>
        <v>7.4273874700000002</v>
      </c>
      <c r="T170" s="67">
        <v>82.735823999999994</v>
      </c>
      <c r="U170" s="67">
        <v>81.953036999999995</v>
      </c>
      <c r="V170" s="68">
        <v>44569</v>
      </c>
      <c r="W170" s="68">
        <v>45124</v>
      </c>
      <c r="X170" s="68">
        <f>W170-V170</f>
        <v>555</v>
      </c>
      <c r="Y170" s="68">
        <f t="shared" si="153"/>
        <v>144.35353500973511</v>
      </c>
      <c r="Z170" s="69">
        <v>1344.9</v>
      </c>
      <c r="AA170" s="68">
        <v>1382.5</v>
      </c>
      <c r="AB170" s="68">
        <f>AA170-Z170</f>
        <v>37.599999999999909</v>
      </c>
      <c r="AC170" s="68">
        <f t="shared" si="154"/>
        <v>9.7796268763351843</v>
      </c>
      <c r="AD170" s="69">
        <v>1089.456563</v>
      </c>
      <c r="AE170" s="68">
        <v>1121.561999</v>
      </c>
      <c r="AF170" s="68">
        <f>AE170-AD170</f>
        <v>32.105436000000054</v>
      </c>
      <c r="AG170" s="68">
        <f t="shared" si="155"/>
        <v>8.3505102335654389</v>
      </c>
      <c r="AH170" s="69">
        <v>-14.64</v>
      </c>
      <c r="AI170" s="68">
        <v>-13.75</v>
      </c>
      <c r="AJ170" s="68">
        <f>AI170-AH170</f>
        <v>0.89000000000000057</v>
      </c>
      <c r="AK170" s="70">
        <f t="shared" si="156"/>
        <v>0.23148584893453034</v>
      </c>
      <c r="AL170" s="69">
        <v>-88.6</v>
      </c>
      <c r="AM170" s="68">
        <v>-92.3</v>
      </c>
      <c r="AN170" s="68">
        <f>AM170-AL170</f>
        <v>-3.7000000000000028</v>
      </c>
      <c r="AO170" s="70">
        <f t="shared" si="157"/>
        <v>-0.9623569000649016</v>
      </c>
      <c r="AP170" s="69">
        <v>-107.1</v>
      </c>
      <c r="AQ170" s="68">
        <v>-111.5</v>
      </c>
      <c r="AR170" s="68">
        <f>AQ170-AP170</f>
        <v>-4.4000000000000057</v>
      </c>
      <c r="AS170" s="70">
        <f t="shared" si="158"/>
        <v>-1.1444244216988024</v>
      </c>
      <c r="AT170" s="69">
        <v>82.6</v>
      </c>
      <c r="AU170" s="68">
        <v>84.1</v>
      </c>
      <c r="AV170" s="68">
        <f>AU170-AT170</f>
        <v>1.5</v>
      </c>
      <c r="AW170" s="70">
        <f t="shared" si="159"/>
        <v>0.39014468921550033</v>
      </c>
      <c r="AX170" s="69">
        <v>9679</v>
      </c>
      <c r="AY170" s="68">
        <v>10233</v>
      </c>
      <c r="AZ170" s="68">
        <f>AY170-AX170</f>
        <v>554</v>
      </c>
      <c r="BA170" s="70">
        <f t="shared" si="160"/>
        <v>144.09343855025813</v>
      </c>
      <c r="BB170" s="69">
        <v>37926.9</v>
      </c>
      <c r="BC170" s="68">
        <v>37928.1</v>
      </c>
      <c r="BD170" s="68">
        <f>BC170-BB170</f>
        <v>1.1999999999970896</v>
      </c>
      <c r="BE170" s="70">
        <f t="shared" si="161"/>
        <v>0.31211575137164327</v>
      </c>
      <c r="BF170" s="69">
        <v>-37530.199999999997</v>
      </c>
      <c r="BG170" s="68">
        <v>-37530.199999999997</v>
      </c>
      <c r="BH170" s="68">
        <f>BG170-BF170</f>
        <v>0</v>
      </c>
      <c r="BI170" s="70">
        <f t="shared" si="162"/>
        <v>0</v>
      </c>
      <c r="BJ170" s="71">
        <v>82.735823999999994</v>
      </c>
      <c r="BK170" s="71">
        <v>81.953036999999995</v>
      </c>
      <c r="BL170" s="71">
        <f>BK170-BJ170</f>
        <v>-0.78278699999999901</v>
      </c>
      <c r="BM170" s="72">
        <v>-37530.199999999997</v>
      </c>
      <c r="BN170" s="73">
        <v>-37530.199999999997</v>
      </c>
      <c r="BO170" s="73">
        <f>BN170-BM170</f>
        <v>0</v>
      </c>
      <c r="BP170" s="72">
        <v>37926.9</v>
      </c>
      <c r="BQ170" s="73">
        <v>37928.1</v>
      </c>
      <c r="BR170" s="73">
        <f>BQ170-BP170</f>
        <v>1.1999999999970896</v>
      </c>
      <c r="BS170" s="71"/>
      <c r="BT170" s="71"/>
      <c r="BU170" s="71"/>
      <c r="BV170" s="71"/>
      <c r="BW170" s="62" t="s">
        <v>192</v>
      </c>
      <c r="BX170" s="5">
        <v>1353.95898678</v>
      </c>
      <c r="BY170" s="5">
        <v>-1.28717568</v>
      </c>
      <c r="BZ170" s="5">
        <v>3372.5410275700001</v>
      </c>
      <c r="CA170" s="5">
        <v>3416.5176115200002</v>
      </c>
      <c r="CB170" s="5">
        <v>2.7045851999999999</v>
      </c>
      <c r="CC170" s="5">
        <v>2.7421081100000002</v>
      </c>
      <c r="CD170" s="5">
        <v>-0.39579969999999998</v>
      </c>
      <c r="CE170" s="5">
        <v>3.8445550100000001</v>
      </c>
      <c r="CF170" s="5">
        <v>3.85983221</v>
      </c>
      <c r="CG170" s="5">
        <v>-0.98609036000000005</v>
      </c>
      <c r="CH170" s="5">
        <v>-1.36839643</v>
      </c>
      <c r="CI170" s="5">
        <v>0.71726641999999996</v>
      </c>
    </row>
    <row r="171" spans="1:87" ht="15" customHeight="1" x14ac:dyDescent="0.2">
      <c r="A171" s="2">
        <v>62009032</v>
      </c>
      <c r="B171" s="58" t="s">
        <v>225</v>
      </c>
      <c r="C171" s="58" t="s">
        <v>269</v>
      </c>
      <c r="D171" s="59" t="s">
        <v>261</v>
      </c>
      <c r="E171" s="60" t="s">
        <v>262</v>
      </c>
      <c r="F171" s="61" t="str">
        <f t="shared" si="137"/>
        <v>09/21/20</v>
      </c>
      <c r="G171" s="62" t="s">
        <v>263</v>
      </c>
      <c r="H171" s="62" t="s">
        <v>110</v>
      </c>
      <c r="I171" s="63"/>
      <c r="J171" s="74">
        <f>AVERAGE(J169:J170)</f>
        <v>21.566238500000001</v>
      </c>
      <c r="K171" s="74">
        <f>AVERAGE(K169:K170)</f>
        <v>49.027686000000003</v>
      </c>
      <c r="L171" s="74">
        <f>AVERAGE(L169:L170)</f>
        <v>29.683656499999998</v>
      </c>
      <c r="M171" s="74">
        <f>AVERAGE(M169:M170)</f>
        <v>27.215730000000001</v>
      </c>
      <c r="N171" s="75"/>
      <c r="O171" s="65"/>
      <c r="P171" s="76"/>
      <c r="Q171" s="77"/>
      <c r="R171" s="78">
        <f>R170+R169</f>
        <v>7.4273874700000002</v>
      </c>
      <c r="S171" s="78">
        <f>S170</f>
        <v>7.4273874700000002</v>
      </c>
      <c r="T171" s="79">
        <f>T169</f>
        <v>83.643733999999995</v>
      </c>
      <c r="U171" s="79">
        <f>U170</f>
        <v>81.953036999999995</v>
      </c>
      <c r="V171" s="80">
        <f>V169</f>
        <v>43924</v>
      </c>
      <c r="W171" s="80">
        <f>W170</f>
        <v>45124</v>
      </c>
      <c r="X171" s="80">
        <f>SUM(X169:X170)</f>
        <v>1200</v>
      </c>
      <c r="Y171" s="80">
        <f t="shared" si="153"/>
        <v>161.56421148713815</v>
      </c>
      <c r="Z171" s="80">
        <f>Z169</f>
        <v>1329.1</v>
      </c>
      <c r="AA171" s="80">
        <f>AA170</f>
        <v>1382.5</v>
      </c>
      <c r="AB171" s="80">
        <f>SUM(AB169:AB170)</f>
        <v>53.400000000000091</v>
      </c>
      <c r="AC171" s="80">
        <f t="shared" si="154"/>
        <v>7.1896074111776596</v>
      </c>
      <c r="AD171" s="80">
        <f>AD169</f>
        <v>1076.276668</v>
      </c>
      <c r="AE171" s="80">
        <f>AE170</f>
        <v>1121.561999</v>
      </c>
      <c r="AF171" s="80">
        <f>SUM(AF169:AF170)</f>
        <v>45.278768000000127</v>
      </c>
      <c r="AG171" s="80">
        <f t="shared" si="155"/>
        <v>6.0961903741909031</v>
      </c>
      <c r="AH171" s="80">
        <f>AH169</f>
        <v>-21.356667999999999</v>
      </c>
      <c r="AI171" s="80">
        <f>AI170</f>
        <v>-13.75</v>
      </c>
      <c r="AJ171" s="80">
        <f>SUM(AJ169:AJ170)</f>
        <v>7.6066679999999991</v>
      </c>
      <c r="AK171" s="81">
        <f t="shared" si="156"/>
        <v>1.0241377645537051</v>
      </c>
      <c r="AL171" s="80">
        <f>AL169</f>
        <v>-86.4</v>
      </c>
      <c r="AM171" s="80">
        <f>AM170</f>
        <v>-92.3</v>
      </c>
      <c r="AN171" s="80">
        <f>SUM(AN169:AN170)</f>
        <v>-5.8999999999999915</v>
      </c>
      <c r="AO171" s="81">
        <f t="shared" si="157"/>
        <v>-0.7943573731450948</v>
      </c>
      <c r="AP171" s="80">
        <f>AP169</f>
        <v>-104.5</v>
      </c>
      <c r="AQ171" s="80">
        <f>AQ170</f>
        <v>-111.5</v>
      </c>
      <c r="AR171" s="80">
        <f>SUM(AR169:AR170)</f>
        <v>-7</v>
      </c>
      <c r="AS171" s="81">
        <f t="shared" si="158"/>
        <v>-0.94245790034163923</v>
      </c>
      <c r="AT171" s="80">
        <f>AT169</f>
        <v>81.7</v>
      </c>
      <c r="AU171" s="80">
        <f>AU170</f>
        <v>84.1</v>
      </c>
      <c r="AV171" s="80">
        <f>SUM(AV169:AV170)</f>
        <v>2.3999999999999915</v>
      </c>
      <c r="AW171" s="81">
        <f t="shared" si="159"/>
        <v>0.32312842297427513</v>
      </c>
      <c r="AX171" s="80">
        <f>AX169</f>
        <v>9034</v>
      </c>
      <c r="AY171" s="80">
        <f>AY170</f>
        <v>10233</v>
      </c>
      <c r="AZ171" s="80">
        <f>SUM(AZ169:AZ170)</f>
        <v>1199</v>
      </c>
      <c r="BA171" s="81">
        <f t="shared" si="160"/>
        <v>161.42957464423219</v>
      </c>
      <c r="BB171" s="80">
        <f>BB169</f>
        <v>37926.199999999997</v>
      </c>
      <c r="BC171" s="80">
        <f>BC170</f>
        <v>37928.1</v>
      </c>
      <c r="BD171" s="80">
        <f>SUM(BD169:BD170)</f>
        <v>1.9000000000014552</v>
      </c>
      <c r="BE171" s="81">
        <f t="shared" si="161"/>
        <v>0.25581000152149802</v>
      </c>
      <c r="BF171" s="80">
        <f>BF169</f>
        <v>-37530.199999999997</v>
      </c>
      <c r="BG171" s="80">
        <f>BG170</f>
        <v>-37530.199999999997</v>
      </c>
      <c r="BH171" s="80">
        <f>SUM(BH169:BH170)</f>
        <v>0</v>
      </c>
      <c r="BI171" s="81">
        <f t="shared" si="162"/>
        <v>0</v>
      </c>
      <c r="BJ171" s="82"/>
      <c r="BK171" s="82"/>
      <c r="BL171" s="82">
        <f>SUM(BL169:BL170)</f>
        <v>-1.6906970000000001</v>
      </c>
      <c r="BM171" s="83">
        <f>BM169</f>
        <v>-37530.199999999997</v>
      </c>
      <c r="BN171" s="83">
        <f>BN170</f>
        <v>-37530.199999999997</v>
      </c>
      <c r="BO171" s="83">
        <f>SUM(BO169:BO170)</f>
        <v>0</v>
      </c>
      <c r="BP171" s="83">
        <f>BP169</f>
        <v>37926.199999999997</v>
      </c>
      <c r="BQ171" s="83">
        <f>BQ170</f>
        <v>37928.1</v>
      </c>
      <c r="BR171" s="83">
        <f>SUM(BR169:BR170)</f>
        <v>1.9000000000014552</v>
      </c>
      <c r="BS171" s="82"/>
      <c r="BT171" s="82"/>
      <c r="BU171" s="82"/>
      <c r="BV171" s="82"/>
      <c r="BW171" s="62" t="s">
        <v>192</v>
      </c>
    </row>
    <row r="172" spans="1:87" ht="15" customHeight="1" x14ac:dyDescent="0.2">
      <c r="A172" s="2">
        <v>62009033</v>
      </c>
      <c r="B172" s="58" t="s">
        <v>270</v>
      </c>
      <c r="C172" s="58" t="s">
        <v>98</v>
      </c>
      <c r="D172" s="59" t="s">
        <v>271</v>
      </c>
      <c r="E172" s="60" t="s">
        <v>272</v>
      </c>
      <c r="F172" s="61" t="str">
        <f t="shared" si="137"/>
        <v>09/21/20</v>
      </c>
      <c r="G172" s="62" t="s">
        <v>273</v>
      </c>
      <c r="H172" s="62" t="s">
        <v>110</v>
      </c>
      <c r="I172" s="63"/>
      <c r="J172" s="64">
        <v>-195.32978700000001</v>
      </c>
      <c r="K172" s="64">
        <v>-253.17805899999999</v>
      </c>
      <c r="L172" s="64">
        <v>-217.41775899999999</v>
      </c>
      <c r="M172" s="64">
        <v>-228.46157400000001</v>
      </c>
      <c r="N172" s="65">
        <v>3875</v>
      </c>
      <c r="O172" s="65">
        <v>28.39</v>
      </c>
      <c r="P172" s="65">
        <v>0.20169999999999999</v>
      </c>
      <c r="Q172" s="65">
        <v>1.932E-2</v>
      </c>
      <c r="R172" s="66">
        <v>207.01340518999999</v>
      </c>
      <c r="S172" s="66">
        <f>R172+R171</f>
        <v>214.44079266</v>
      </c>
      <c r="T172" s="67">
        <v>81.942356000000004</v>
      </c>
      <c r="U172" s="67">
        <v>0.32349099999999997</v>
      </c>
      <c r="V172" s="68">
        <v>45132</v>
      </c>
      <c r="W172" s="68">
        <v>98076</v>
      </c>
      <c r="X172" s="68">
        <f>W172-V172</f>
        <v>52944</v>
      </c>
      <c r="Y172" s="68">
        <f t="shared" si="153"/>
        <v>255.75155363203271</v>
      </c>
      <c r="Z172" s="69">
        <v>1389.6</v>
      </c>
      <c r="AA172" s="68">
        <v>1936.4</v>
      </c>
      <c r="AB172" s="68">
        <f>AA172-Z172</f>
        <v>546.80000000000018</v>
      </c>
      <c r="AC172" s="68">
        <f t="shared" si="154"/>
        <v>2.6413748399440076</v>
      </c>
      <c r="AD172" s="69">
        <v>1127.6366740000001</v>
      </c>
      <c r="AE172" s="68">
        <v>1603.62</v>
      </c>
      <c r="AF172" s="68">
        <f>AE172-AD172</f>
        <v>475.98332599999981</v>
      </c>
      <c r="AG172" s="68">
        <f t="shared" si="155"/>
        <v>2.2992874570761987</v>
      </c>
      <c r="AH172" s="69">
        <v>-8.84</v>
      </c>
      <c r="AI172" s="68">
        <v>-19.88</v>
      </c>
      <c r="AJ172" s="68">
        <f>AI172-AH172</f>
        <v>-11.04</v>
      </c>
      <c r="AK172" s="70">
        <f t="shared" si="156"/>
        <v>-5.3329879723814616E-2</v>
      </c>
      <c r="AL172" s="69">
        <v>-92.9</v>
      </c>
      <c r="AM172" s="68">
        <v>-135.6</v>
      </c>
      <c r="AN172" s="68">
        <f>AM172-AL172</f>
        <v>-42.699999999999989</v>
      </c>
      <c r="AO172" s="70">
        <f t="shared" si="157"/>
        <v>-0.20626683552598582</v>
      </c>
      <c r="AP172" s="69">
        <v>-112</v>
      </c>
      <c r="AQ172" s="68">
        <v>-165.3</v>
      </c>
      <c r="AR172" s="68">
        <f>AQ172-AP172</f>
        <v>-53.300000000000011</v>
      </c>
      <c r="AS172" s="70">
        <f t="shared" si="158"/>
        <v>-0.25747124902892388</v>
      </c>
      <c r="AT172" s="69">
        <v>84.3</v>
      </c>
      <c r="AU172" s="68">
        <v>102.2</v>
      </c>
      <c r="AV172" s="68">
        <f>AU172-AT172</f>
        <v>17.900000000000006</v>
      </c>
      <c r="AW172" s="70">
        <f t="shared" si="159"/>
        <v>8.6467830349300903E-2</v>
      </c>
      <c r="AX172" s="69">
        <v>10240</v>
      </c>
      <c r="AY172" s="68">
        <v>63195</v>
      </c>
      <c r="AZ172" s="68">
        <f>AY172-AX172</f>
        <v>52955</v>
      </c>
      <c r="BA172" s="70">
        <f t="shared" si="160"/>
        <v>255.80469028755462</v>
      </c>
      <c r="BB172" s="69">
        <v>37928.699999999997</v>
      </c>
      <c r="BC172" s="68">
        <v>37944.5</v>
      </c>
      <c r="BD172" s="68">
        <f>BC172-BB172</f>
        <v>15.80000000000291</v>
      </c>
      <c r="BE172" s="70">
        <f t="shared" si="161"/>
        <v>7.6323559749676279E-2</v>
      </c>
      <c r="BF172" s="69">
        <v>-37530.199999999997</v>
      </c>
      <c r="BG172" s="68">
        <v>-37530.199999999997</v>
      </c>
      <c r="BH172" s="68">
        <f>BG172-BF172</f>
        <v>0</v>
      </c>
      <c r="BI172" s="70">
        <f t="shared" si="162"/>
        <v>0</v>
      </c>
      <c r="BJ172" s="71">
        <v>81.942356000000004</v>
      </c>
      <c r="BK172" s="71">
        <v>0.32349099999999997</v>
      </c>
      <c r="BL172" s="71">
        <f>BK172-BJ172</f>
        <v>-81.618865</v>
      </c>
      <c r="BM172" s="72">
        <v>-37530.199999999997</v>
      </c>
      <c r="BN172" s="73">
        <v>-37530.199999999997</v>
      </c>
      <c r="BO172" s="73">
        <f>BN172-BM172</f>
        <v>0</v>
      </c>
      <c r="BP172" s="72">
        <v>37928.699999999997</v>
      </c>
      <c r="BQ172" s="73">
        <v>37944.5</v>
      </c>
      <c r="BR172" s="73">
        <f>BQ172-BP172</f>
        <v>15.80000000000291</v>
      </c>
      <c r="BS172" s="71"/>
      <c r="BT172" s="71"/>
      <c r="BU172" s="71"/>
      <c r="BV172" s="71"/>
      <c r="BW172" s="62" t="s">
        <v>103</v>
      </c>
      <c r="BX172" s="5">
        <v>10.65521071</v>
      </c>
      <c r="BY172" s="5">
        <v>318.20988283000003</v>
      </c>
      <c r="BZ172" s="5">
        <v>2430.4350982400001</v>
      </c>
      <c r="CA172" s="5">
        <v>581.15200000000004</v>
      </c>
      <c r="CB172" s="5">
        <v>182.52143487999999</v>
      </c>
      <c r="CC172" s="5">
        <v>183.89654664</v>
      </c>
      <c r="CD172" s="5">
        <v>-0.41336337000000001</v>
      </c>
      <c r="CE172" s="5">
        <v>207.01523477999999</v>
      </c>
      <c r="CF172" s="5">
        <v>207.87451186999999</v>
      </c>
      <c r="CG172" s="5">
        <v>-0.33691977000000001</v>
      </c>
      <c r="CH172" s="5">
        <v>-0.74776377999999999</v>
      </c>
      <c r="CI172" s="5">
        <v>4.0956899999999999E-3</v>
      </c>
    </row>
    <row r="173" spans="1:87" ht="15" customHeight="1" x14ac:dyDescent="0.2">
      <c r="A173" s="2">
        <v>62009034</v>
      </c>
      <c r="B173" s="84" t="s">
        <v>141</v>
      </c>
      <c r="C173" s="58" t="s">
        <v>98</v>
      </c>
      <c r="D173" s="59" t="s">
        <v>228</v>
      </c>
      <c r="E173" s="60" t="s">
        <v>274</v>
      </c>
      <c r="F173" s="61" t="str">
        <f t="shared" si="137"/>
        <v>09/21/20</v>
      </c>
      <c r="G173" s="62" t="s">
        <v>275</v>
      </c>
      <c r="H173" s="62" t="s">
        <v>110</v>
      </c>
      <c r="I173" s="63"/>
      <c r="J173" s="64">
        <v>1113.6947090000001</v>
      </c>
      <c r="K173" s="64">
        <v>2349.1963850000002</v>
      </c>
      <c r="L173" s="64">
        <v>1496.557761</v>
      </c>
      <c r="M173" s="64">
        <v>1107.75271</v>
      </c>
      <c r="N173" s="65">
        <v>3875</v>
      </c>
      <c r="O173" s="65">
        <v>28.39</v>
      </c>
      <c r="P173" s="65">
        <v>0.20169999999999999</v>
      </c>
      <c r="Q173" s="65">
        <v>1.932E-2</v>
      </c>
      <c r="R173" s="66">
        <v>2.270235E-2</v>
      </c>
      <c r="S173" s="66">
        <f>R173+R172</f>
        <v>207.03610753999999</v>
      </c>
      <c r="T173" s="67" t="s">
        <v>276</v>
      </c>
      <c r="U173" s="67" t="s">
        <v>277</v>
      </c>
      <c r="V173" s="68">
        <v>0</v>
      </c>
      <c r="W173" s="68">
        <v>-142</v>
      </c>
      <c r="X173" s="68">
        <f>W173-V173</f>
        <v>-142</v>
      </c>
      <c r="Y173" s="68">
        <f t="shared" si="153"/>
        <v>-6254.8590784654452</v>
      </c>
      <c r="Z173" s="69">
        <v>0</v>
      </c>
      <c r="AA173" s="68">
        <v>579.29999999999995</v>
      </c>
      <c r="AB173" s="68">
        <f>AA173-Z173</f>
        <v>579.29999999999995</v>
      </c>
      <c r="AC173" s="68">
        <f t="shared" si="154"/>
        <v>25517.182141936846</v>
      </c>
      <c r="AD173" s="69">
        <v>-0.01</v>
      </c>
      <c r="AE173" s="68">
        <v>414.39</v>
      </c>
      <c r="AF173" s="68">
        <f>AE173-AD173</f>
        <v>414.4</v>
      </c>
      <c r="AG173" s="68">
        <f t="shared" si="155"/>
        <v>18253.616916310424</v>
      </c>
      <c r="AH173" s="69">
        <v>-0.01</v>
      </c>
      <c r="AI173" s="68">
        <v>-87.61</v>
      </c>
      <c r="AJ173" s="68">
        <f>AI173-AH173</f>
        <v>-87.6</v>
      </c>
      <c r="AK173" s="70">
        <f t="shared" si="156"/>
        <v>-3858.6313751660068</v>
      </c>
      <c r="AL173" s="69">
        <v>0</v>
      </c>
      <c r="AM173" s="68">
        <v>-0.3</v>
      </c>
      <c r="AN173" s="68">
        <f>AM173-AL173</f>
        <v>-0.3</v>
      </c>
      <c r="AO173" s="70">
        <f t="shared" si="157"/>
        <v>-13.21449101084249</v>
      </c>
      <c r="AP173" s="69">
        <v>0</v>
      </c>
      <c r="AQ173" s="68">
        <v>-0.4</v>
      </c>
      <c r="AR173" s="68">
        <f>AQ173-AP173</f>
        <v>-0.4</v>
      </c>
      <c r="AS173" s="70">
        <f t="shared" si="158"/>
        <v>-17.619321347789988</v>
      </c>
      <c r="AT173" s="69">
        <v>0</v>
      </c>
      <c r="AU173" s="68">
        <v>94.2</v>
      </c>
      <c r="AV173" s="68">
        <f>AU173-AT173</f>
        <v>94.2</v>
      </c>
      <c r="AW173" s="70">
        <f t="shared" si="159"/>
        <v>4149.3501774045417</v>
      </c>
      <c r="AX173" s="69">
        <v>0</v>
      </c>
      <c r="AY173" s="68">
        <v>-65677</v>
      </c>
      <c r="AZ173" s="68">
        <f>AY173-AX173</f>
        <v>-65677</v>
      </c>
      <c r="BA173" s="70">
        <f t="shared" si="160"/>
        <v>-2892960.4203970074</v>
      </c>
      <c r="BB173" s="69">
        <v>0.1</v>
      </c>
      <c r="BC173" s="68">
        <v>70564.2</v>
      </c>
      <c r="BD173" s="68">
        <f>BC173-BB173</f>
        <v>70564.099999999991</v>
      </c>
      <c r="BE173" s="70">
        <f t="shared" si="161"/>
        <v>3108228.8837939682</v>
      </c>
      <c r="BF173" s="69">
        <v>0</v>
      </c>
      <c r="BG173" s="68">
        <v>-70456.399999999994</v>
      </c>
      <c r="BH173" s="68">
        <f>BG173-BF173</f>
        <v>-70456.399999999994</v>
      </c>
      <c r="BI173" s="70">
        <f t="shared" si="162"/>
        <v>-3103484.881521076</v>
      </c>
      <c r="BJ173" s="71" t="s">
        <v>278</v>
      </c>
      <c r="BK173" s="71" t="s">
        <v>279</v>
      </c>
      <c r="BL173" s="71" t="e">
        <f>BK173-BJ173</f>
        <v>#VALUE!</v>
      </c>
      <c r="BM173" s="72">
        <v>0</v>
      </c>
      <c r="BN173" s="73">
        <v>-70456.399999999994</v>
      </c>
      <c r="BO173" s="73">
        <f>BN173-BM173</f>
        <v>-70456.399999999994</v>
      </c>
      <c r="BP173" s="72">
        <v>0.1</v>
      </c>
      <c r="BQ173" s="73">
        <v>70564.2</v>
      </c>
      <c r="BR173" s="73">
        <f>BQ173-BP173</f>
        <v>70564.099999999991</v>
      </c>
      <c r="BS173" s="71"/>
      <c r="BT173" s="71"/>
      <c r="BU173" s="71"/>
      <c r="BV173" s="71"/>
      <c r="BW173" s="62" t="s">
        <v>192</v>
      </c>
      <c r="BX173" s="5">
        <v>0</v>
      </c>
      <c r="BY173" s="5" t="s">
        <v>112</v>
      </c>
      <c r="BZ173" s="5">
        <v>0</v>
      </c>
      <c r="CA173" s="5">
        <v>0</v>
      </c>
      <c r="CB173" s="5">
        <v>0</v>
      </c>
      <c r="CC173" s="5">
        <v>0</v>
      </c>
      <c r="CD173" s="5" t="s">
        <v>112</v>
      </c>
      <c r="CE173" s="5">
        <v>0</v>
      </c>
      <c r="CF173" s="5">
        <v>0</v>
      </c>
      <c r="CG173" s="5" t="s">
        <v>112</v>
      </c>
      <c r="CH173" s="5" t="s">
        <v>112</v>
      </c>
      <c r="CI173" s="5" t="s">
        <v>112</v>
      </c>
    </row>
    <row r="174" spans="1:87" ht="15" customHeight="1" x14ac:dyDescent="0.2">
      <c r="B174" s="99"/>
      <c r="C174" s="99"/>
    </row>
    <row r="175" spans="1:87" ht="15" customHeight="1" x14ac:dyDescent="0.2">
      <c r="B175" s="99"/>
      <c r="C175" s="99"/>
    </row>
    <row r="176" spans="1:87" ht="15" customHeight="1" x14ac:dyDescent="0.2">
      <c r="B176" s="99"/>
      <c r="C176" s="99"/>
    </row>
    <row r="177" spans="2:3" ht="15" customHeight="1" x14ac:dyDescent="0.2">
      <c r="B177" s="99"/>
      <c r="C177" s="99"/>
    </row>
    <row r="178" spans="2:3" ht="15" customHeight="1" x14ac:dyDescent="0.2">
      <c r="B178" s="99"/>
      <c r="C178" s="99"/>
    </row>
    <row r="179" spans="2:3" ht="15" customHeight="1" x14ac:dyDescent="0.2">
      <c r="B179" s="99"/>
      <c r="C179" s="99"/>
    </row>
    <row r="180" spans="2:3" ht="15" customHeight="1" x14ac:dyDescent="0.2">
      <c r="B180" s="99"/>
      <c r="C180" s="99"/>
    </row>
    <row r="181" spans="2:3" ht="15" customHeight="1" x14ac:dyDescent="0.2">
      <c r="B181" s="99"/>
      <c r="C181" s="99"/>
    </row>
    <row r="182" spans="2:3" ht="15" customHeight="1" x14ac:dyDescent="0.2">
      <c r="B182" s="99"/>
      <c r="C182" s="99"/>
    </row>
    <row r="183" spans="2:3" ht="15" customHeight="1" x14ac:dyDescent="0.2">
      <c r="B183" s="99"/>
      <c r="C183" s="99"/>
    </row>
    <row r="184" spans="2:3" ht="15" customHeight="1" x14ac:dyDescent="0.2">
      <c r="B184" s="99"/>
      <c r="C184" s="99"/>
    </row>
    <row r="185" spans="2:3" ht="15" customHeight="1" x14ac:dyDescent="0.2">
      <c r="B185" s="99"/>
      <c r="C185" s="99"/>
    </row>
    <row r="186" spans="2:3" ht="15" customHeight="1" x14ac:dyDescent="0.2">
      <c r="B186" s="99"/>
      <c r="C186" s="99"/>
    </row>
    <row r="187" spans="2:3" ht="15" customHeight="1" x14ac:dyDescent="0.2">
      <c r="B187" s="99"/>
      <c r="C187" s="99"/>
    </row>
    <row r="188" spans="2:3" ht="15" customHeight="1" x14ac:dyDescent="0.2">
      <c r="B188" s="99"/>
      <c r="C188" s="99"/>
    </row>
    <row r="189" spans="2:3" ht="15" customHeight="1" x14ac:dyDescent="0.2">
      <c r="B189" s="99"/>
      <c r="C189" s="99"/>
    </row>
    <row r="190" spans="2:3" ht="15" customHeight="1" x14ac:dyDescent="0.2">
      <c r="B190" s="99"/>
      <c r="C190" s="99"/>
    </row>
    <row r="191" spans="2:3" ht="15" customHeight="1" x14ac:dyDescent="0.2">
      <c r="B191" s="99"/>
      <c r="C191" s="99"/>
    </row>
    <row r="192" spans="2:3" ht="15" customHeight="1" x14ac:dyDescent="0.2">
      <c r="B192" s="99"/>
      <c r="C192" s="99"/>
    </row>
    <row r="193" spans="2:3" ht="15" customHeight="1" x14ac:dyDescent="0.2">
      <c r="B193" s="99"/>
      <c r="C193" s="99"/>
    </row>
    <row r="194" spans="2:3" ht="15" customHeight="1" x14ac:dyDescent="0.2">
      <c r="B194" s="99"/>
      <c r="C194" s="99"/>
    </row>
    <row r="195" spans="2:3" ht="15" customHeight="1" x14ac:dyDescent="0.2">
      <c r="B195" s="99"/>
      <c r="C195" s="99"/>
    </row>
    <row r="196" spans="2:3" ht="15" customHeight="1" x14ac:dyDescent="0.2">
      <c r="B196" s="99"/>
      <c r="C196" s="99"/>
    </row>
    <row r="197" spans="2:3" ht="15" customHeight="1" x14ac:dyDescent="0.2">
      <c r="B197" s="99"/>
      <c r="C197" s="99"/>
    </row>
    <row r="198" spans="2:3" ht="15" customHeight="1" x14ac:dyDescent="0.2">
      <c r="B198" s="99"/>
      <c r="C198" s="99"/>
    </row>
    <row r="199" spans="2:3" ht="15" customHeight="1" x14ac:dyDescent="0.2">
      <c r="B199" s="99"/>
      <c r="C199" s="99"/>
    </row>
    <row r="200" spans="2:3" ht="15" customHeight="1" x14ac:dyDescent="0.2">
      <c r="B200" s="99"/>
      <c r="C200" s="99"/>
    </row>
    <row r="201" spans="2:3" ht="15" customHeight="1" x14ac:dyDescent="0.2">
      <c r="B201" s="99"/>
      <c r="C201" s="99"/>
    </row>
    <row r="202" spans="2:3" ht="15" customHeight="1" x14ac:dyDescent="0.2">
      <c r="B202" s="99"/>
      <c r="C202" s="99"/>
    </row>
    <row r="203" spans="2:3" ht="15" customHeight="1" x14ac:dyDescent="0.2">
      <c r="B203" s="99"/>
      <c r="C203" s="99"/>
    </row>
    <row r="204" spans="2:3" ht="15" customHeight="1" x14ac:dyDescent="0.2">
      <c r="B204" s="99"/>
      <c r="C204" s="99"/>
    </row>
    <row r="205" spans="2:3" ht="15" customHeight="1" x14ac:dyDescent="0.2">
      <c r="B205" s="99"/>
      <c r="C205" s="99"/>
    </row>
    <row r="206" spans="2:3" ht="15" customHeight="1" x14ac:dyDescent="0.2">
      <c r="B206" s="99"/>
      <c r="C206" s="99"/>
    </row>
    <row r="207" spans="2:3" ht="15" customHeight="1" x14ac:dyDescent="0.2">
      <c r="B207" s="99"/>
      <c r="C207" s="99"/>
    </row>
    <row r="208" spans="2:3" ht="15" customHeight="1" x14ac:dyDescent="0.2">
      <c r="B208" s="99"/>
      <c r="C208" s="99"/>
    </row>
    <row r="209" spans="1:88" ht="15" customHeight="1" x14ac:dyDescent="0.2">
      <c r="B209" s="99"/>
      <c r="C209" s="99"/>
    </row>
    <row r="210" spans="1:88" ht="15" customHeight="1" x14ac:dyDescent="0.2">
      <c r="B210" s="99"/>
      <c r="C210" s="99"/>
    </row>
    <row r="211" spans="1:88" ht="15" customHeight="1" x14ac:dyDescent="0.2">
      <c r="B211" s="99"/>
      <c r="C211" s="99"/>
    </row>
    <row r="213" spans="1:88" ht="11.25" x14ac:dyDescent="0.2">
      <c r="A213" s="100" t="s">
        <v>289</v>
      </c>
      <c r="B213" s="100"/>
      <c r="C213" s="101"/>
      <c r="D213" s="102" t="str">
        <f>REPT(A213, 20)</f>
        <v xml:space="preserve">       Do Not Delete Below This Line              Do Not Delete Below This Line              Do Not Delete Below This Line              Do Not Delete Below This Line              Do Not Delete Below This Line              Do Not Delete Below This Line              Do Not Delete Below This Line              Do Not Delete Below This Line              Do Not Delete Below This Line              Do Not Delete Below This Line              Do Not Delete Below This Line              Do Not Delete Below This Line              Do Not Delete Below This Line              Do Not Delete Below This Line              Do Not Delete Below This Line              Do Not Delete Below This Line              Do Not Delete Below This Line              Do Not Delete Below This Line              Do Not Delete Below This Line              Do Not Delete Below This Line       </v>
      </c>
      <c r="E213" s="103"/>
      <c r="F213" s="101"/>
      <c r="G213" s="103"/>
      <c r="H213" s="104"/>
      <c r="I213" s="103"/>
      <c r="J213" s="103"/>
      <c r="K213" s="103"/>
      <c r="L213" s="103"/>
      <c r="M213" s="103"/>
      <c r="N213" s="103"/>
      <c r="O213" s="103"/>
      <c r="P213" s="103"/>
      <c r="Q213" s="103"/>
      <c r="R213" s="103"/>
      <c r="S213" s="103"/>
      <c r="T213" s="103"/>
      <c r="U213" s="103"/>
      <c r="V213" s="105"/>
      <c r="W213" s="105"/>
      <c r="X213" s="103"/>
      <c r="Y213" s="103"/>
      <c r="Z213" s="103"/>
      <c r="AA213" s="103"/>
      <c r="AB213" s="103"/>
      <c r="AC213" s="103"/>
      <c r="AD213" s="103"/>
      <c r="AE213" s="105"/>
      <c r="AF213" s="105"/>
      <c r="AG213" s="105"/>
      <c r="AH213" s="105"/>
      <c r="AI213" s="105"/>
      <c r="AJ213" s="103"/>
      <c r="AK213" s="103"/>
      <c r="AL213" s="103"/>
      <c r="AM213" s="103"/>
      <c r="AN213" s="103"/>
      <c r="AO213" s="103"/>
      <c r="AP213" s="105"/>
      <c r="AQ213" s="105"/>
      <c r="AR213" s="103"/>
      <c r="AS213" s="103"/>
      <c r="AT213" s="105"/>
      <c r="AU213" s="105"/>
      <c r="AV213" s="103"/>
      <c r="AW213" s="103"/>
      <c r="AX213" s="105"/>
      <c r="AY213" s="105"/>
      <c r="AZ213" s="103"/>
      <c r="BA213" s="103"/>
      <c r="BB213" s="105"/>
      <c r="BC213" s="105"/>
      <c r="BD213" s="103"/>
      <c r="BE213" s="103"/>
      <c r="BF213" s="105"/>
      <c r="BG213" s="105"/>
      <c r="BH213" s="103"/>
      <c r="BI213" s="103"/>
      <c r="BJ213" s="103"/>
      <c r="BK213" s="103"/>
      <c r="BL213" s="103"/>
      <c r="BM213" s="106"/>
      <c r="BN213" s="106"/>
      <c r="BO213" s="103"/>
      <c r="BP213" s="106"/>
      <c r="BQ213" s="106"/>
      <c r="BR213" s="103"/>
      <c r="BS213" s="103"/>
      <c r="BT213" s="103"/>
      <c r="BU213" s="103"/>
      <c r="BV213" s="103"/>
      <c r="BW213" s="103"/>
      <c r="BX213" s="103"/>
      <c r="BY213" s="103"/>
      <c r="BZ213" s="103"/>
      <c r="CA213" s="103"/>
      <c r="CB213" s="103"/>
      <c r="CC213" s="103"/>
      <c r="CD213" s="103"/>
      <c r="CE213" s="103"/>
      <c r="CF213" s="103"/>
      <c r="CG213" s="103"/>
      <c r="CH213" s="103"/>
      <c r="CI213" s="105"/>
      <c r="CJ213" s="105"/>
    </row>
    <row r="214" spans="1:88" ht="15" customHeight="1" x14ac:dyDescent="0.2">
      <c r="A214" s="58">
        <v>-1</v>
      </c>
      <c r="B214" s="58" t="s">
        <v>290</v>
      </c>
      <c r="C214" s="107"/>
      <c r="D214" s="59" t="s">
        <v>280</v>
      </c>
      <c r="E214" s="60" t="s">
        <v>281</v>
      </c>
      <c r="F214" s="61" t="str">
        <f>LEFT(E214,8)</f>
        <v>##INFO(T</v>
      </c>
      <c r="G214" s="62" t="s">
        <v>282</v>
      </c>
      <c r="H214" s="62" t="s">
        <v>283</v>
      </c>
      <c r="I214" s="63"/>
      <c r="J214" s="64" t="s">
        <v>291</v>
      </c>
      <c r="K214" s="64" t="s">
        <v>292</v>
      </c>
      <c r="L214" s="64" t="s">
        <v>293</v>
      </c>
      <c r="M214" s="64" t="s">
        <v>294</v>
      </c>
      <c r="N214" s="65" t="s">
        <v>284</v>
      </c>
      <c r="O214" s="65" t="s">
        <v>285</v>
      </c>
      <c r="P214" s="65" t="s">
        <v>286</v>
      </c>
      <c r="Q214" s="65" t="s">
        <v>287</v>
      </c>
      <c r="R214" s="66" t="s">
        <v>295</v>
      </c>
      <c r="S214" s="66" t="e">
        <f>R214+R213</f>
        <v>#VALUE!</v>
      </c>
      <c r="T214" s="67" t="s">
        <v>296</v>
      </c>
      <c r="U214" s="67" t="s">
        <v>297</v>
      </c>
      <c r="V214" s="68" t="s">
        <v>298</v>
      </c>
      <c r="W214" s="68" t="s">
        <v>299</v>
      </c>
      <c r="X214" s="68" t="e">
        <f>W214-V214</f>
        <v>#VALUE!</v>
      </c>
      <c r="Y214" s="68" t="e">
        <f>X214/$R214</f>
        <v>#VALUE!</v>
      </c>
      <c r="Z214" s="69" t="s">
        <v>300</v>
      </c>
      <c r="AA214" s="68" t="s">
        <v>301</v>
      </c>
      <c r="AB214" s="68" t="e">
        <f>AA214-Z214</f>
        <v>#VALUE!</v>
      </c>
      <c r="AC214" s="68" t="e">
        <f>AB214/$R214</f>
        <v>#VALUE!</v>
      </c>
      <c r="AD214" s="69" t="s">
        <v>302</v>
      </c>
      <c r="AE214" s="68" t="s">
        <v>303</v>
      </c>
      <c r="AF214" s="68" t="e">
        <f>AE214-AD214</f>
        <v>#VALUE!</v>
      </c>
      <c r="AG214" s="68" t="e">
        <f>AF214/$R214</f>
        <v>#VALUE!</v>
      </c>
      <c r="AH214" s="69" t="s">
        <v>304</v>
      </c>
      <c r="AI214" s="68" t="s">
        <v>305</v>
      </c>
      <c r="AJ214" s="68" t="e">
        <f>AI214-AH214</f>
        <v>#VALUE!</v>
      </c>
      <c r="AK214" s="70" t="e">
        <f>AJ214/$R214</f>
        <v>#VALUE!</v>
      </c>
      <c r="AL214" s="69" t="s">
        <v>306</v>
      </c>
      <c r="AM214" s="68" t="s">
        <v>307</v>
      </c>
      <c r="AN214" s="68" t="e">
        <f>AM214-AL214</f>
        <v>#VALUE!</v>
      </c>
      <c r="AO214" s="70" t="e">
        <f>AN214/$R214</f>
        <v>#VALUE!</v>
      </c>
      <c r="AP214" s="69" t="s">
        <v>308</v>
      </c>
      <c r="AQ214" s="68" t="s">
        <v>309</v>
      </c>
      <c r="AR214" s="68" t="e">
        <f>AQ214-AP214</f>
        <v>#VALUE!</v>
      </c>
      <c r="AS214" s="70" t="e">
        <f>AR214/$R214</f>
        <v>#VALUE!</v>
      </c>
      <c r="AT214" s="69" t="s">
        <v>310</v>
      </c>
      <c r="AU214" s="68" t="s">
        <v>311</v>
      </c>
      <c r="AV214" s="68" t="e">
        <f>AU214-AT214</f>
        <v>#VALUE!</v>
      </c>
      <c r="AW214" s="70" t="e">
        <f>AV214/$R214</f>
        <v>#VALUE!</v>
      </c>
      <c r="AX214" s="69" t="s">
        <v>312</v>
      </c>
      <c r="AY214" s="68" t="s">
        <v>313</v>
      </c>
      <c r="AZ214" s="68" t="e">
        <f>AY214-AX214</f>
        <v>#VALUE!</v>
      </c>
      <c r="BA214" s="70" t="e">
        <f>AZ214/$R214</f>
        <v>#VALUE!</v>
      </c>
      <c r="BB214" s="69" t="s">
        <v>314</v>
      </c>
      <c r="BC214" s="68" t="s">
        <v>315</v>
      </c>
      <c r="BD214" s="68" t="e">
        <f>BC214-BB214</f>
        <v>#VALUE!</v>
      </c>
      <c r="BE214" s="70" t="e">
        <f>BD214/$R214</f>
        <v>#VALUE!</v>
      </c>
      <c r="BF214" s="69" t="s">
        <v>316</v>
      </c>
      <c r="BG214" s="68" t="s">
        <v>317</v>
      </c>
      <c r="BH214" s="68" t="e">
        <f>BG214-BF214</f>
        <v>#VALUE!</v>
      </c>
      <c r="BI214" s="70" t="e">
        <f>BH214/$R214</f>
        <v>#VALUE!</v>
      </c>
      <c r="BJ214" s="71" t="s">
        <v>296</v>
      </c>
      <c r="BK214" s="71" t="s">
        <v>318</v>
      </c>
      <c r="BL214" s="71" t="e">
        <f>BK214-BJ214</f>
        <v>#VALUE!</v>
      </c>
      <c r="BM214" s="72" t="s">
        <v>316</v>
      </c>
      <c r="BN214" s="73" t="s">
        <v>317</v>
      </c>
      <c r="BO214" s="73" t="e">
        <f>BN214-BM214</f>
        <v>#VALUE!</v>
      </c>
      <c r="BP214" s="72" t="s">
        <v>314</v>
      </c>
      <c r="BQ214" s="73" t="s">
        <v>315</v>
      </c>
      <c r="BR214" s="73" t="e">
        <f>BQ214-BP214</f>
        <v>#VALUE!</v>
      </c>
      <c r="BS214" s="71"/>
      <c r="BT214" s="71"/>
      <c r="BU214" s="71"/>
      <c r="BV214" s="71"/>
      <c r="BW214" s="62" t="s">
        <v>288</v>
      </c>
      <c r="BX214" s="5" t="s">
        <v>319</v>
      </c>
      <c r="BY214" s="5" t="s">
        <v>320</v>
      </c>
      <c r="BZ214" s="5" t="s">
        <v>321</v>
      </c>
      <c r="CA214" s="5" t="s">
        <v>322</v>
      </c>
      <c r="CB214" s="5" t="s">
        <v>323</v>
      </c>
      <c r="CC214" s="5" t="s">
        <v>324</v>
      </c>
      <c r="CD214" s="5" t="s">
        <v>325</v>
      </c>
      <c r="CE214" s="5" t="s">
        <v>326</v>
      </c>
      <c r="CF214" s="5" t="s">
        <v>327</v>
      </c>
      <c r="CG214" s="5" t="s">
        <v>328</v>
      </c>
      <c r="CH214" s="5" t="s">
        <v>329</v>
      </c>
      <c r="CI214" s="5" t="s">
        <v>330</v>
      </c>
    </row>
    <row r="215" spans="1:88" ht="15" customHeight="1" x14ac:dyDescent="0.2">
      <c r="A215" s="58">
        <v>-1</v>
      </c>
      <c r="B215" s="58" t="s">
        <v>331</v>
      </c>
      <c r="C215" s="58"/>
      <c r="D215" s="59" t="s">
        <v>280</v>
      </c>
      <c r="E215" s="60" t="s">
        <v>281</v>
      </c>
      <c r="F215" s="61" t="str">
        <f>LEFT(E215,8)</f>
        <v>##INFO(T</v>
      </c>
      <c r="G215" s="62" t="s">
        <v>282</v>
      </c>
      <c r="H215" s="62" t="s">
        <v>283</v>
      </c>
      <c r="I215" s="63"/>
      <c r="J215" s="64" t="s">
        <v>291</v>
      </c>
      <c r="K215" s="64" t="s">
        <v>292</v>
      </c>
      <c r="L215" s="64" t="s">
        <v>293</v>
      </c>
      <c r="M215" s="64" t="s">
        <v>294</v>
      </c>
      <c r="N215" s="65" t="s">
        <v>284</v>
      </c>
      <c r="O215" s="65" t="s">
        <v>285</v>
      </c>
      <c r="P215" s="65" t="s">
        <v>286</v>
      </c>
      <c r="Q215" s="65" t="s">
        <v>287</v>
      </c>
      <c r="R215" s="66" t="s">
        <v>295</v>
      </c>
      <c r="S215" s="66" t="e">
        <f>R215+R214</f>
        <v>#VALUE!</v>
      </c>
      <c r="T215" s="67" t="s">
        <v>332</v>
      </c>
      <c r="U215" s="67" t="s">
        <v>297</v>
      </c>
      <c r="V215" s="68" t="s">
        <v>298</v>
      </c>
      <c r="W215" s="68" t="s">
        <v>299</v>
      </c>
      <c r="X215" s="68" t="e">
        <f>W215-V215-X216</f>
        <v>#VALUE!</v>
      </c>
      <c r="Y215" s="68" t="e">
        <f>X215/$R215</f>
        <v>#VALUE!</v>
      </c>
      <c r="Z215" s="69" t="s">
        <v>300</v>
      </c>
      <c r="AA215" s="68" t="s">
        <v>301</v>
      </c>
      <c r="AB215" s="68" t="e">
        <f>AA215-Z215-AB216</f>
        <v>#VALUE!</v>
      </c>
      <c r="AC215" s="68" t="e">
        <f>AB215/$R215</f>
        <v>#VALUE!</v>
      </c>
      <c r="AD215" s="69" t="s">
        <v>302</v>
      </c>
      <c r="AE215" s="68" t="s">
        <v>303</v>
      </c>
      <c r="AF215" s="68" t="e">
        <f>AE215-AD215-AF216</f>
        <v>#VALUE!</v>
      </c>
      <c r="AG215" s="68" t="e">
        <f>AF215/$R215</f>
        <v>#VALUE!</v>
      </c>
      <c r="AH215" s="69" t="s">
        <v>304</v>
      </c>
      <c r="AI215" s="68" t="s">
        <v>305</v>
      </c>
      <c r="AJ215" s="68" t="e">
        <f>AI215-AH215-AJ216</f>
        <v>#VALUE!</v>
      </c>
      <c r="AK215" s="70" t="e">
        <f>AJ215/$R215</f>
        <v>#VALUE!</v>
      </c>
      <c r="AL215" s="69" t="s">
        <v>306</v>
      </c>
      <c r="AM215" s="68" t="s">
        <v>307</v>
      </c>
      <c r="AN215" s="68" t="e">
        <f>AM215-AL215-AN216</f>
        <v>#VALUE!</v>
      </c>
      <c r="AO215" s="70" t="e">
        <f>AN215/$R215</f>
        <v>#VALUE!</v>
      </c>
      <c r="AP215" s="69" t="s">
        <v>308</v>
      </c>
      <c r="AQ215" s="68" t="s">
        <v>309</v>
      </c>
      <c r="AR215" s="68" t="e">
        <f>AQ215-AP215-AR216</f>
        <v>#VALUE!</v>
      </c>
      <c r="AS215" s="70" t="e">
        <f>AR215/$R215</f>
        <v>#VALUE!</v>
      </c>
      <c r="AT215" s="69" t="s">
        <v>310</v>
      </c>
      <c r="AU215" s="68" t="s">
        <v>311</v>
      </c>
      <c r="AV215" s="68" t="e">
        <f>AU215-AT215-AV216</f>
        <v>#VALUE!</v>
      </c>
      <c r="AW215" s="70" t="e">
        <f>AV215/$R215</f>
        <v>#VALUE!</v>
      </c>
      <c r="AX215" s="69" t="s">
        <v>312</v>
      </c>
      <c r="AY215" s="68" t="s">
        <v>313</v>
      </c>
      <c r="AZ215" s="68" t="e">
        <f>AY215-AX215-AZ216</f>
        <v>#VALUE!</v>
      </c>
      <c r="BA215" s="70" t="e">
        <f>AZ215/$R215</f>
        <v>#VALUE!</v>
      </c>
      <c r="BB215" s="69" t="s">
        <v>314</v>
      </c>
      <c r="BC215" s="68" t="s">
        <v>315</v>
      </c>
      <c r="BD215" s="68" t="e">
        <f>BC215-BB215-BD216</f>
        <v>#VALUE!</v>
      </c>
      <c r="BE215" s="70" t="e">
        <f>BD215/$R215</f>
        <v>#VALUE!</v>
      </c>
      <c r="BF215" s="69" t="s">
        <v>316</v>
      </c>
      <c r="BG215" s="68" t="s">
        <v>317</v>
      </c>
      <c r="BH215" s="68" t="e">
        <f>BG215-BF215-BH216</f>
        <v>#VALUE!</v>
      </c>
      <c r="BI215" s="70" t="e">
        <f>BH215/$R215</f>
        <v>#VALUE!</v>
      </c>
      <c r="BJ215" s="71" t="s">
        <v>296</v>
      </c>
      <c r="BK215" s="71" t="s">
        <v>318</v>
      </c>
      <c r="BL215" s="71" t="e">
        <f>BK215-BJ215-BL216</f>
        <v>#VALUE!</v>
      </c>
      <c r="BM215" s="72" t="s">
        <v>316</v>
      </c>
      <c r="BN215" s="73" t="s">
        <v>317</v>
      </c>
      <c r="BO215" s="73" t="e">
        <f>BN215-BM215-BO216</f>
        <v>#VALUE!</v>
      </c>
      <c r="BP215" s="72" t="s">
        <v>314</v>
      </c>
      <c r="BQ215" s="73" t="s">
        <v>315</v>
      </c>
      <c r="BR215" s="73" t="e">
        <f>BQ215-BP215-BR216</f>
        <v>#VALUE!</v>
      </c>
      <c r="BS215" s="71"/>
      <c r="BT215" s="71"/>
      <c r="BU215" s="71"/>
      <c r="BV215" s="71"/>
      <c r="BW215" s="62" t="s">
        <v>288</v>
      </c>
      <c r="BX215" s="5" t="s">
        <v>319</v>
      </c>
      <c r="BY215" s="5" t="s">
        <v>320</v>
      </c>
      <c r="BZ215" s="5" t="s">
        <v>321</v>
      </c>
      <c r="CA215" s="5" t="s">
        <v>322</v>
      </c>
      <c r="CB215" s="5" t="s">
        <v>323</v>
      </c>
      <c r="CC215" s="5" t="s">
        <v>324</v>
      </c>
      <c r="CD215" s="5" t="s">
        <v>325</v>
      </c>
      <c r="CE215" s="5" t="s">
        <v>326</v>
      </c>
      <c r="CF215" s="5" t="s">
        <v>327</v>
      </c>
      <c r="CG215" s="5" t="s">
        <v>328</v>
      </c>
      <c r="CH215" s="5" t="s">
        <v>329</v>
      </c>
      <c r="CI215" s="5" t="s">
        <v>330</v>
      </c>
    </row>
    <row r="216" spans="1:88" ht="15" customHeight="1" x14ac:dyDescent="0.2">
      <c r="A216" s="58">
        <v>-1</v>
      </c>
      <c r="B216" s="58" t="s">
        <v>333</v>
      </c>
      <c r="C216" s="58"/>
      <c r="D216" s="59" t="s">
        <v>280</v>
      </c>
      <c r="E216" s="60" t="s">
        <v>281</v>
      </c>
      <c r="F216" s="61" t="str">
        <f>LEFT(E216,8)</f>
        <v>##INFO(T</v>
      </c>
      <c r="G216" s="62" t="s">
        <v>282</v>
      </c>
      <c r="H216" s="62" t="s">
        <v>283</v>
      </c>
      <c r="I216" s="63"/>
      <c r="J216" s="74" t="e">
        <f>AVERAGE(J214:J215)</f>
        <v>#DIV/0!</v>
      </c>
      <c r="K216" s="74" t="e">
        <f>AVERAGE(K214:K215)</f>
        <v>#DIV/0!</v>
      </c>
      <c r="L216" s="74" t="e">
        <f>AVERAGE(L214:L215)</f>
        <v>#DIV/0!</v>
      </c>
      <c r="M216" s="74" t="e">
        <f>AVERAGE(M214:M215)</f>
        <v>#DIV/0!</v>
      </c>
      <c r="N216" s="75"/>
      <c r="O216" s="65"/>
      <c r="P216" s="76"/>
      <c r="Q216" s="77"/>
      <c r="R216" s="78" t="e">
        <f>R215+R214</f>
        <v>#VALUE!</v>
      </c>
      <c r="S216" s="78" t="e">
        <f>S215</f>
        <v>#VALUE!</v>
      </c>
      <c r="T216" s="79" t="str">
        <f>T214</f>
        <v>##DATA(Exhaust_Bag, =$$, HVBatt_SOC_CAN4__per)</v>
      </c>
      <c r="U216" s="79" t="str">
        <f>U215</f>
        <v>##DATA(Exhaust_Bag, =$$-,HVBatt_SOC_CAN4__per)</v>
      </c>
      <c r="V216" s="80" t="str">
        <f>V214</f>
        <v>##DATA(Exhaust_Bag, =$$, WP1)</v>
      </c>
      <c r="W216" s="80" t="str">
        <f>W215</f>
        <v>##DATA(Exhaust_Bag, =$$-, WP1)</v>
      </c>
      <c r="X216" s="80" t="e">
        <f>SUM(X214:X215)</f>
        <v>#VALUE!</v>
      </c>
      <c r="Y216" s="80" t="e">
        <f>X216/$R216</f>
        <v>#VALUE!</v>
      </c>
      <c r="Z216" s="80" t="str">
        <f>Z214</f>
        <v>##DATA(Exhaust_Bag, =$$, WP2)</v>
      </c>
      <c r="AA216" s="80" t="str">
        <f>AA215</f>
        <v>##DATA(Exhaust_Bag, =$$-, WP2)</v>
      </c>
      <c r="AB216" s="80" t="e">
        <f>SUM(AB214:AB215)</f>
        <v>#VALUE!</v>
      </c>
      <c r="AC216" s="80" t="e">
        <f>AB216/$R216</f>
        <v>#VALUE!</v>
      </c>
      <c r="AD216" s="80" t="str">
        <f>AD214</f>
        <v>##DATA(Exhaust_Bag, =$$, WP3)</v>
      </c>
      <c r="AE216" s="80" t="str">
        <f>AE215</f>
        <v>##DATA(Exhaust_Bag, =$$-, WP3)</v>
      </c>
      <c r="AF216" s="80" t="e">
        <f>SUM(AF214:AF215)</f>
        <v>#VALUE!</v>
      </c>
      <c r="AG216" s="80" t="e">
        <f>AF216/$R216</f>
        <v>#VALUE!</v>
      </c>
      <c r="AH216" s="80" t="str">
        <f>AH214</f>
        <v>##DATA(Exhaust_Bag, =$$, WP4)</v>
      </c>
      <c r="AI216" s="80" t="str">
        <f>AI215</f>
        <v>##DATA(Exhaust_Bag, =$$-, WP4)</v>
      </c>
      <c r="AJ216" s="80" t="e">
        <f>SUM(AJ214:AJ215)</f>
        <v>#VALUE!</v>
      </c>
      <c r="AK216" s="81" t="e">
        <f>AJ216/$R216</f>
        <v>#VALUE!</v>
      </c>
      <c r="AL216" s="80" t="str">
        <f>AL214</f>
        <v>##DATA(Exhaust_Bag, =$$, WP5)</v>
      </c>
      <c r="AM216" s="80" t="str">
        <f>AM215</f>
        <v>##DATA(Exhaust_Bag, =$$-, WP5)</v>
      </c>
      <c r="AN216" s="80" t="e">
        <f>SUM(AN214:AN215)</f>
        <v>#VALUE!</v>
      </c>
      <c r="AO216" s="81" t="e">
        <f>AN216/$R216</f>
        <v>#VALUE!</v>
      </c>
      <c r="AP216" s="80" t="str">
        <f>AP214</f>
        <v>##DATA(Exhaust_Bag, =$$, WP6)</v>
      </c>
      <c r="AQ216" s="80" t="str">
        <f>AQ215</f>
        <v>##DATA(Exhaust_Bag, =$$-, WP6)</v>
      </c>
      <c r="AR216" s="80" t="e">
        <f>SUM(AR214:AR215)</f>
        <v>#VALUE!</v>
      </c>
      <c r="AS216" s="81" t="e">
        <f>AR216/$R216</f>
        <v>#VALUE!</v>
      </c>
      <c r="AT216" s="80" t="str">
        <f>AT214</f>
        <v>##DATA(Exhaust_Bag, =$$, WP7)</v>
      </c>
      <c r="AU216" s="80" t="str">
        <f>AU215</f>
        <v>##DATA(Exhaust_Bag, =$$-, WP7)</v>
      </c>
      <c r="AV216" s="80" t="e">
        <f>SUM(AV214:AV215)</f>
        <v>#VALUE!</v>
      </c>
      <c r="AW216" s="81" t="e">
        <f>AV216/$R216</f>
        <v>#VALUE!</v>
      </c>
      <c r="AX216" s="80" t="str">
        <f>AX214</f>
        <v>##DATA(Exhaust_Bag, =$$, WP8)</v>
      </c>
      <c r="AY216" s="80" t="str">
        <f>AY215</f>
        <v>##DATA(Exhaust_Bag, =$$-, WP8)</v>
      </c>
      <c r="AZ216" s="80" t="e">
        <f>SUM(AZ214:AZ215)</f>
        <v>#VALUE!</v>
      </c>
      <c r="BA216" s="81" t="e">
        <f>AZ216/$R216</f>
        <v>#VALUE!</v>
      </c>
      <c r="BB216" s="80" t="str">
        <f>BB214</f>
        <v>##DATA(Exhaust_Bag, =$$, WP9)</v>
      </c>
      <c r="BC216" s="80" t="str">
        <f>BC215</f>
        <v>##DATA(Exhaust_Bag, =$$-, WP9)</v>
      </c>
      <c r="BD216" s="80" t="e">
        <f>SUM(BD214:BD215)</f>
        <v>#VALUE!</v>
      </c>
      <c r="BE216" s="81" t="e">
        <f>BD216/$R216</f>
        <v>#VALUE!</v>
      </c>
      <c r="BF216" s="80" t="str">
        <f>BF214</f>
        <v>##DATA(Exhaust_Bag, =$$, WP10)</v>
      </c>
      <c r="BG216" s="80" t="str">
        <f>BG215</f>
        <v>##DATA(Exhaust_Bag, =$$-, WP10)</v>
      </c>
      <c r="BH216" s="80" t="e">
        <f>SUM(BH214:BH215)</f>
        <v>#VALUE!</v>
      </c>
      <c r="BI216" s="81" t="e">
        <f>BH216/$R216</f>
        <v>#VALUE!</v>
      </c>
      <c r="BJ216" s="82"/>
      <c r="BK216" s="82"/>
      <c r="BL216" s="82" t="e">
        <f>SUM(BL214:BL215)</f>
        <v>#VALUE!</v>
      </c>
      <c r="BM216" s="83" t="str">
        <f>BM214</f>
        <v>##DATA(Exhaust_Bag, =$$, WP10)</v>
      </c>
      <c r="BN216" s="83" t="str">
        <f>BN215</f>
        <v>##DATA(Exhaust_Bag, =$$-, WP10)</v>
      </c>
      <c r="BO216" s="83" t="e">
        <f>SUM(BO214:BO215)</f>
        <v>#VALUE!</v>
      </c>
      <c r="BP216" s="83" t="str">
        <f>BP214</f>
        <v>##DATA(Exhaust_Bag, =$$, WP9)</v>
      </c>
      <c r="BQ216" s="83" t="str">
        <f>BQ215</f>
        <v>##DATA(Exhaust_Bag, =$$-, WP9)</v>
      </c>
      <c r="BR216" s="83" t="e">
        <f>SUM(BR214:BR215)</f>
        <v>#VALUE!</v>
      </c>
      <c r="BS216" s="82"/>
      <c r="BT216" s="82"/>
      <c r="BU216" s="82"/>
      <c r="BV216" s="82"/>
      <c r="BW216" s="62" t="s">
        <v>288</v>
      </c>
      <c r="BX216" s="5" t="s">
        <v>319</v>
      </c>
      <c r="BY216" s="5" t="s">
        <v>320</v>
      </c>
      <c r="BZ216" s="5" t="s">
        <v>321</v>
      </c>
      <c r="CA216" s="5" t="s">
        <v>322</v>
      </c>
      <c r="CB216" s="5" t="s">
        <v>323</v>
      </c>
      <c r="CC216" s="5" t="s">
        <v>324</v>
      </c>
      <c r="CD216" s="5" t="s">
        <v>325</v>
      </c>
      <c r="CE216" s="5" t="s">
        <v>326</v>
      </c>
      <c r="CF216" s="5" t="s">
        <v>327</v>
      </c>
      <c r="CG216" s="5" t="s">
        <v>328</v>
      </c>
      <c r="CH216" s="5" t="s">
        <v>329</v>
      </c>
      <c r="CI216" s="5" t="s">
        <v>330</v>
      </c>
    </row>
  </sheetData>
  <mergeCells count="5">
    <mergeCell ref="T3:U3"/>
    <mergeCell ref="Y3:AE3"/>
    <mergeCell ref="BJ6:BL6"/>
    <mergeCell ref="BS6:BV6"/>
    <mergeCell ref="A213:B213"/>
  </mergeCell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TestSummary</vt:lpstr>
    </vt:vector>
  </TitlesOfParts>
  <Company>Argonne National Laboratory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Das, Debashis</dc:creator>
  <cp:lastModifiedBy>Das, Debashis</cp:lastModifiedBy>
  <dcterms:created xsi:type="dcterms:W3CDTF">2024-07-08T19:11:00Z</dcterms:created>
  <dcterms:modified xsi:type="dcterms:W3CDTF">2024-07-08T19:47:23Z</dcterms:modified>
</cp:coreProperties>
</file>